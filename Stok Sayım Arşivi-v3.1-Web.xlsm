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tables/table1.xml" ContentType="application/vnd.openxmlformats-officedocument.spreadsheetml.table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1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BuÇalışmaKitabı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DELL\Desktop\"/>
    </mc:Choice>
  </mc:AlternateContent>
  <xr:revisionPtr revIDLastSave="0" documentId="13_ncr:1_{E3A96F90-3533-4384-910F-D13A62D67493}" xr6:coauthVersionLast="47" xr6:coauthVersionMax="47" xr10:uidLastSave="{00000000-0000-0000-0000-000000000000}"/>
  <bookViews>
    <workbookView xWindow="-102" yWindow="-102" windowWidth="19813" windowHeight="10785" xr2:uid="{16E4BB84-10B0-4FBD-9740-BBACA84DC5B5}"/>
  </bookViews>
  <sheets>
    <sheet name="Dashboard" sheetId="6" r:id="rId1"/>
    <sheet name="Stok" sheetId="2" r:id="rId2"/>
    <sheet name="2. El Ürünler" sheetId="3" r:id="rId3"/>
    <sheet name="Nabi'nin Demo Ürünleri" sheetId="7" r:id="rId4"/>
    <sheet name="Stoğu Tükenen-EOS" sheetId="4" r:id="rId5"/>
    <sheet name="MS Kodu" sheetId="5" state="hidden" r:id="rId6"/>
  </sheets>
  <definedNames>
    <definedName name="_xlnm._FilterDatabase" localSheetId="1" hidden="1">Stok!$A$1:$CJ$446</definedName>
    <definedName name="Dilimleyici_Marka">#N/A</definedName>
    <definedName name="Dilimleyici_Ürün_Grubu">#N/A</definedName>
  </definedNames>
  <calcPr calcId="191029"/>
  <pivotCaches>
    <pivotCache cacheId="6" r:id="rId7"/>
  </pivotCaches>
  <extLst>
    <ext xmlns:x14="http://schemas.microsoft.com/office/spreadsheetml/2009/9/main" uri="{BBE1A952-AA13-448e-AADC-164F8A28A991}">
      <x14:slicerCaches>
        <x14:slicerCache r:id="rId8"/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6" i="6" l="1"/>
  <c r="N3" i="2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N369" i="2"/>
  <c r="N370" i="2"/>
  <c r="N371" i="2"/>
  <c r="N372" i="2"/>
  <c r="N373" i="2"/>
  <c r="N374" i="2"/>
  <c r="N375" i="2"/>
  <c r="N376" i="2"/>
  <c r="N377" i="2"/>
  <c r="N378" i="2"/>
  <c r="N379" i="2"/>
  <c r="N380" i="2"/>
  <c r="N381" i="2"/>
  <c r="N382" i="2"/>
  <c r="N383" i="2"/>
  <c r="N384" i="2"/>
  <c r="N385" i="2"/>
  <c r="N386" i="2"/>
  <c r="N387" i="2"/>
  <c r="N388" i="2"/>
  <c r="N389" i="2"/>
  <c r="N390" i="2"/>
  <c r="N391" i="2"/>
  <c r="N392" i="2"/>
  <c r="N393" i="2"/>
  <c r="N394" i="2"/>
  <c r="N395" i="2"/>
  <c r="N396" i="2"/>
  <c r="N397" i="2"/>
  <c r="N398" i="2"/>
  <c r="N399" i="2"/>
  <c r="N400" i="2"/>
  <c r="N401" i="2"/>
  <c r="N402" i="2"/>
  <c r="N403" i="2"/>
  <c r="N404" i="2"/>
  <c r="N405" i="2"/>
  <c r="N406" i="2"/>
  <c r="N407" i="2"/>
  <c r="N408" i="2"/>
  <c r="N409" i="2"/>
  <c r="N410" i="2"/>
  <c r="N411" i="2"/>
  <c r="N412" i="2"/>
  <c r="N413" i="2"/>
  <c r="N414" i="2"/>
  <c r="N415" i="2"/>
  <c r="N416" i="2"/>
  <c r="N417" i="2"/>
  <c r="N418" i="2"/>
  <c r="N419" i="2"/>
  <c r="N420" i="2"/>
  <c r="N421" i="2"/>
  <c r="N422" i="2"/>
  <c r="N423" i="2"/>
  <c r="N424" i="2"/>
  <c r="N425" i="2"/>
  <c r="N426" i="2"/>
  <c r="N427" i="2"/>
  <c r="N428" i="2"/>
  <c r="N429" i="2"/>
  <c r="N430" i="2"/>
  <c r="N431" i="2"/>
  <c r="N432" i="2"/>
  <c r="N433" i="2"/>
  <c r="N434" i="2"/>
  <c r="N435" i="2"/>
  <c r="N436" i="2"/>
  <c r="N437" i="2"/>
  <c r="N438" i="2"/>
  <c r="N439" i="2"/>
  <c r="N440" i="2"/>
  <c r="N441" i="2"/>
  <c r="N442" i="2"/>
  <c r="N443" i="2"/>
  <c r="N444" i="2"/>
  <c r="N445" i="2"/>
  <c r="N446" i="2"/>
  <c r="N2" i="2"/>
  <c r="DM344" i="2" l="1"/>
  <c r="DM142" i="2"/>
  <c r="L7" i="6" l="1"/>
  <c r="X2" i="6" s="1"/>
  <c r="DL344" i="2"/>
  <c r="DL142" i="2"/>
  <c r="DK344" i="2"/>
  <c r="DK142" i="2"/>
  <c r="L8" i="6" l="1"/>
  <c r="DJ344" i="2"/>
  <c r="DJ142" i="2"/>
  <c r="L9" i="6" l="1"/>
  <c r="DI344" i="2"/>
  <c r="DI142" i="2"/>
  <c r="L10" i="6" l="1"/>
  <c r="L11" i="6"/>
  <c r="DH344" i="2" l="1"/>
  <c r="DH142" i="2"/>
  <c r="DG344" i="2"/>
  <c r="DG142" i="2"/>
  <c r="L12" i="6" l="1"/>
  <c r="DF344" i="2"/>
  <c r="DF142" i="2"/>
  <c r="L13" i="6" l="1"/>
  <c r="L14" i="6"/>
  <c r="DE344" i="2"/>
  <c r="DE142" i="2"/>
  <c r="L15" i="6" l="1"/>
  <c r="DD344" i="2"/>
  <c r="DD142" i="2"/>
  <c r="L16" i="6"/>
  <c r="DC142" i="2" l="1"/>
  <c r="DB142" i="2"/>
  <c r="L17" i="6" l="1"/>
  <c r="L18" i="6"/>
  <c r="DA142" i="2"/>
  <c r="L19" i="6" l="1"/>
  <c r="CZ142" i="2"/>
  <c r="L20" i="6" l="1"/>
  <c r="L21" i="6"/>
  <c r="L22" i="6" l="1"/>
  <c r="L23" i="6" l="1"/>
  <c r="L24" i="6" l="1"/>
  <c r="L25" i="6" l="1"/>
  <c r="L26" i="6"/>
  <c r="L27" i="6" l="1"/>
  <c r="L28" i="6" l="1"/>
  <c r="L29" i="6"/>
  <c r="L30" i="6" l="1"/>
  <c r="L31" i="6" l="1"/>
  <c r="L32" i="6" l="1"/>
  <c r="L33" i="6"/>
  <c r="L34" i="6" l="1"/>
  <c r="L35" i="6"/>
  <c r="L36" i="6" l="1"/>
  <c r="L37" i="6" l="1"/>
  <c r="L38" i="6"/>
  <c r="L39" i="6" l="1"/>
  <c r="L40" i="6" l="1"/>
  <c r="L41" i="6" l="1"/>
  <c r="L42" i="6" l="1"/>
  <c r="L43" i="6"/>
  <c r="L44" i="6" l="1"/>
  <c r="L45" i="6" l="1"/>
  <c r="L46" i="6" l="1"/>
  <c r="L47" i="6" l="1"/>
  <c r="L48" i="6" l="1"/>
  <c r="L49" i="6" l="1"/>
  <c r="L50" i="6" l="1"/>
  <c r="BU144" i="2"/>
  <c r="L51" i="6" l="1"/>
  <c r="L52" i="6" l="1"/>
  <c r="BS191" i="2" l="1"/>
  <c r="L53" i="6" l="1"/>
  <c r="L54" i="6" l="1"/>
  <c r="L55" i="6" l="1"/>
  <c r="L56" i="6"/>
  <c r="L57" i="6"/>
  <c r="L58" i="6" l="1"/>
  <c r="L59" i="6"/>
  <c r="L60" i="6" l="1"/>
  <c r="L61" i="6"/>
  <c r="L106" i="6" l="1"/>
  <c r="L62" i="6" l="1"/>
  <c r="L63" i="6" l="1"/>
  <c r="L64" i="6" l="1"/>
  <c r="L65" i="6" l="1"/>
  <c r="L66" i="6" l="1"/>
  <c r="L67" i="6"/>
  <c r="L68" i="6" l="1"/>
  <c r="L69" i="6"/>
  <c r="L70" i="6" l="1"/>
  <c r="G2" i="6" l="1"/>
  <c r="L71" i="6" l="1"/>
  <c r="L72" i="6" l="1"/>
  <c r="L73" i="6" l="1"/>
  <c r="L74" i="6" l="1"/>
  <c r="L75" i="6" l="1"/>
  <c r="L109" i="6" l="1"/>
  <c r="L108" i="6"/>
  <c r="L107" i="6"/>
  <c r="L105" i="6"/>
  <c r="L104" i="6"/>
  <c r="L103" i="6"/>
  <c r="L102" i="6"/>
  <c r="L101" i="6"/>
  <c r="L100" i="6"/>
  <c r="L99" i="6"/>
  <c r="L98" i="6"/>
  <c r="L97" i="6"/>
  <c r="L96" i="6"/>
  <c r="L95" i="6"/>
  <c r="L94" i="6"/>
  <c r="L93" i="6"/>
  <c r="L92" i="6"/>
  <c r="L91" i="6"/>
  <c r="L90" i="6"/>
  <c r="L89" i="6"/>
  <c r="L88" i="6"/>
  <c r="L87" i="6"/>
  <c r="L86" i="6"/>
  <c r="L85" i="6"/>
  <c r="L84" i="6"/>
  <c r="L83" i="6"/>
  <c r="L82" i="6"/>
  <c r="L77" i="6"/>
  <c r="L76" i="6"/>
  <c r="L78" i="6"/>
  <c r="L79" i="6" l="1"/>
  <c r="L80" i="6" l="1"/>
  <c r="L81" i="6" l="1"/>
  <c r="L37" i="3" l="1"/>
</calcChain>
</file>

<file path=xl/sharedStrings.xml><?xml version="1.0" encoding="utf-8"?>
<sst xmlns="http://schemas.openxmlformats.org/spreadsheetml/2006/main" count="4695" uniqueCount="1575">
  <si>
    <t>Hareket Grafiği</t>
  </si>
  <si>
    <t>Ürün Kodu</t>
  </si>
  <si>
    <t>Ürün/hizmet ismi</t>
  </si>
  <si>
    <t>Marka</t>
  </si>
  <si>
    <t>Grup Kodu</t>
  </si>
  <si>
    <t>Depo</t>
  </si>
  <si>
    <t>Birim</t>
  </si>
  <si>
    <t>Stok Miktarı
04.09.2023</t>
  </si>
  <si>
    <t>Konsinye</t>
  </si>
  <si>
    <t>Durum</t>
  </si>
  <si>
    <t>Not</t>
  </si>
  <si>
    <t>Birim Maliyet</t>
  </si>
  <si>
    <t>Toplam Maliyet</t>
  </si>
  <si>
    <t>Stok Miktarı
15.12.2023</t>
  </si>
  <si>
    <t>Stok Miktarı
25.12.2023</t>
  </si>
  <si>
    <t>Stok Miktarı
02.01.2024</t>
  </si>
  <si>
    <t>Stok Miktarı
22.01.2024</t>
  </si>
  <si>
    <t>Stok Miktarı
29.01.2024</t>
  </si>
  <si>
    <t>Stok Miktarı
12.02.2024</t>
  </si>
  <si>
    <t>Stok Miktarı
01.03.2024</t>
  </si>
  <si>
    <t>Stok Miktarı
13.03.2024</t>
  </si>
  <si>
    <t>Stok Miktarı
25.03.2024</t>
  </si>
  <si>
    <t>Stok Miktarı
15.04.2024</t>
  </si>
  <si>
    <t>Stok Miktarı
29.04.2024</t>
  </si>
  <si>
    <t>Stok Miktarı
15.05.2024</t>
  </si>
  <si>
    <t>Stok Miktarı
30.05.2024</t>
  </si>
  <si>
    <t>Stok Miktarı
12.06.2024</t>
  </si>
  <si>
    <t>Stok Miktarı
24.06.2024</t>
  </si>
  <si>
    <t>Stok Miktarı
05.07.2024</t>
  </si>
  <si>
    <t>Stok Miktarı
17.07.2024</t>
  </si>
  <si>
    <t>Stok Miktarı
27.07.2024</t>
  </si>
  <si>
    <t>Stok Miktarı
7.08.2024</t>
  </si>
  <si>
    <t>Stok Miktarı
20.08.2024</t>
  </si>
  <si>
    <t>Stok Miktarı
04.09.2024</t>
  </si>
  <si>
    <t>Stok Miktarı
17.09.2024</t>
  </si>
  <si>
    <t>Stok Miktarı
28.09.2024</t>
  </si>
  <si>
    <t>Stok Miktarı
5.10.2024</t>
  </si>
  <si>
    <t>AT-IE340-12GP</t>
  </si>
  <si>
    <t>8x 10/100/1000T,4xSFP,Ind. Ethernet, L3 SW, PoE+</t>
  </si>
  <si>
    <t>Allied Telesis</t>
  </si>
  <si>
    <t>F2</t>
  </si>
  <si>
    <t>Adet</t>
  </si>
  <si>
    <t>Sıfır paketli</t>
  </si>
  <si>
    <t>1 adeti kutusuz</t>
  </si>
  <si>
    <t>AT-MC101XL-60</t>
  </si>
  <si>
    <t>UTP to multi-mode ST (2km) fiber Media Converter</t>
  </si>
  <si>
    <t>JW023A</t>
  </si>
  <si>
    <t>Outdoor MIMO Antenna ANT-2X2-2005</t>
  </si>
  <si>
    <t>Aruba</t>
  </si>
  <si>
    <t>Kasa Hasarlı ürün</t>
  </si>
  <si>
    <t>Acro' dan iade. Ahmet Bekçioğlu</t>
  </si>
  <si>
    <t>JL728A</t>
  </si>
  <si>
    <t>6200F 48G Class4 PoE 4SFP+ 740W Switch</t>
  </si>
  <si>
    <t>Sıfır kutulu</t>
  </si>
  <si>
    <t>JZ336A</t>
  </si>
  <si>
    <t>AP-535 (RW)  Dual Radio 4x4 802.11ax, ZigBee, Bluetooth</t>
  </si>
  <si>
    <t>Q9G71A</t>
  </si>
  <si>
    <t>AP-MNT-MP10-D Mount Bracket Kit</t>
  </si>
  <si>
    <t>Q9H62A</t>
  </si>
  <si>
    <t>AP-515 (RW) Dual Radio 4x4/2x2 802.11ax</t>
  </si>
  <si>
    <t>1 adet Melih Yaman' da
3 adet Mintyfi LBS</t>
  </si>
  <si>
    <t>R8N87A</t>
  </si>
  <si>
    <t>6000 24G Class4 PoE 4SFP 370W Switch</t>
  </si>
  <si>
    <t>DCS7130LBR48S6QD-F</t>
  </si>
  <si>
    <t>Arista 7130 Series, w ith 48 SFP+, 6 QSFP</t>
  </si>
  <si>
    <t>CAB-SFP-SFP-3M</t>
  </si>
  <si>
    <t>10GBASE-CR tw inax copper cable w ith SFP+</t>
  </si>
  <si>
    <t>CAB-SFP-SFP-5M</t>
  </si>
  <si>
    <t>CAB-Q-Q-100G-3M</t>
  </si>
  <si>
    <t>10GBASE-SR SFP+ (Short Reach)</t>
  </si>
  <si>
    <t>SFP-10G-SR-P</t>
  </si>
  <si>
    <t>IAP-205H-RW</t>
  </si>
  <si>
    <t>Aruba Instant 802.11ac Dual 2x2:2 Radio Integrated Antenna AP</t>
  </si>
  <si>
    <t>-</t>
  </si>
  <si>
    <t>Kutusuz, kullanılmış</t>
  </si>
  <si>
    <t>Dez Bilişim' den gelen konsinye ürünler</t>
  </si>
  <si>
    <t>7005-RW</t>
  </si>
  <si>
    <t>4-port 10/100/1000BASE-T 16 AP and 1K Client Controller</t>
  </si>
  <si>
    <t>APIN0505</t>
  </si>
  <si>
    <t>Dual Radio 2x2:2 802.11ax Internal Antennas Unified Campus AP</t>
  </si>
  <si>
    <t>AP Mount Bracket</t>
  </si>
  <si>
    <t>R3J18A</t>
  </si>
  <si>
    <t>AP Mount Bracket Individual Kit</t>
  </si>
  <si>
    <t>BC-FO-5LCSC-05/4</t>
  </si>
  <si>
    <t>LC-SC Patch Kablo, MM OM4 Duplex, 3.0mm, 5 mt</t>
  </si>
  <si>
    <t>Beek</t>
  </si>
  <si>
    <t>BC-U60025</t>
  </si>
  <si>
    <t>CAT6 Patch Kablo, U/UTP, 0,25 metre, gri</t>
  </si>
  <si>
    <t>BC-U60025BL</t>
  </si>
  <si>
    <t>CAT6 Patch Kablo, U/UTP, 0,25 metre, siyah</t>
  </si>
  <si>
    <t>BC-DSP-HA-MM-05-1</t>
  </si>
  <si>
    <t>HDMI High Speed with Ethernet Bağlantı Kablosu</t>
  </si>
  <si>
    <t>F2 Connect</t>
  </si>
  <si>
    <t>BC-500-FU6-HF</t>
  </si>
  <si>
    <t>CAT6 F-UTP AWG23 LSZH jacket, 500M/drum</t>
  </si>
  <si>
    <t>Metre</t>
  </si>
  <si>
    <t>BC-FO-I-924-O</t>
  </si>
  <si>
    <t>24 Core SM OS2, 9/125µ, 7mm, Unitube, Shielded</t>
  </si>
  <si>
    <t>F2-FO24C-OS2  koduyla Haribo' da kullanılmayan parça kablo</t>
  </si>
  <si>
    <t>E4OG-QSFP-C-0101</t>
  </si>
  <si>
    <t>40G QSFP DAC Cable</t>
  </si>
  <si>
    <t>Brocade</t>
  </si>
  <si>
    <t>AIR-AP1832I-E-K9</t>
  </si>
  <si>
    <t>802.11ac W2 AP, 3x3:2, Int Ant; Regulatory Domain</t>
  </si>
  <si>
    <t>Cisco</t>
  </si>
  <si>
    <t>1 adet Trainy</t>
  </si>
  <si>
    <t>AIR-SAP2602I-E-K9</t>
  </si>
  <si>
    <t>Dual-band autonomous 802.11a/g/n</t>
  </si>
  <si>
    <t>AİR CAP3502I-E-K9</t>
  </si>
  <si>
    <t>Aironet 3500 Series AP, 802.11n, 300Mbps</t>
  </si>
  <si>
    <t>CBS350-24T-4G-EU</t>
  </si>
  <si>
    <t>CBS350 Managed 24-port GE, 4x1G SFP</t>
  </si>
  <si>
    <t>CBW240AC-E</t>
  </si>
  <si>
    <t>802.11ac 4×4 Wave 2 Access Point Ceiling Mount AP</t>
  </si>
  <si>
    <t>SFP-10G-SR-S</t>
  </si>
  <si>
    <t>10G SR SFP+ module MM,850nm,LC, duplex</t>
  </si>
  <si>
    <t>WS-C3560CX-12PC-S</t>
  </si>
  <si>
    <t>Catalyst 3560-CX 12 Port 10/100/1000 PoE+ 240W</t>
  </si>
  <si>
    <t>GLC-SX-MMD</t>
  </si>
  <si>
    <t>1000Base-SX SFP transceiver module, MMF, 850nm, DOM</t>
  </si>
  <si>
    <t>Göçmen' den alınan ürünler</t>
  </si>
  <si>
    <t>9-1711163-1</t>
  </si>
  <si>
    <t>Cat7 F/FTP Cable, LSZH, 23 AWG, 500m reel, White</t>
  </si>
  <si>
    <t>Commscope</t>
  </si>
  <si>
    <t>Farklı metrajlar içeren makaralar</t>
  </si>
  <si>
    <t>1375055-1</t>
  </si>
  <si>
    <t>ModJack,RJ45,Cat6,unshielded,w/o dustcover,almond</t>
  </si>
  <si>
    <t>1375055-2</t>
  </si>
  <si>
    <t>ModJack,RJ45,Cat6,unshielded,w/o dustcover,black</t>
  </si>
  <si>
    <t>1711276-1</t>
  </si>
  <si>
    <t>Dual Outlet,shuttered flat,for 2SL jacks,45x45mm</t>
  </si>
  <si>
    <t>1711306-1</t>
  </si>
  <si>
    <t>Blank Module For Snap Inmodule 45 X 22.5,white</t>
  </si>
  <si>
    <t>1711349-1</t>
  </si>
  <si>
    <t>Unloaded Faceplate Snap-In Module, 1 port, white</t>
  </si>
  <si>
    <t>Sıfır paketsiz</t>
  </si>
  <si>
    <t>2160046-2</t>
  </si>
  <si>
    <t>FO Patch Cord,OM4,LC/LC,1.8 mm,LSZH&amp;OFNR,Aqua,2M</t>
  </si>
  <si>
    <t>6536501-2</t>
  </si>
  <si>
    <t>FO Patch Cord,SM,1.8mm,LC/LC duplex tuned,2M</t>
  </si>
  <si>
    <t>884044214/10</t>
  </si>
  <si>
    <t>CS34Z3 WHT C6 4/23 U/UTP CPK 305M</t>
  </si>
  <si>
    <t>CO199K2-08F003</t>
  </si>
  <si>
    <t>CAT 6A, U/UTP, 28 AWG, 4 Pair, White, 1M</t>
  </si>
  <si>
    <t>NPC06UZDB-BK025C</t>
  </si>
  <si>
    <t>NPC RJ45 Patch Cord Cat6 U/UTP LSZH BK 25C</t>
  </si>
  <si>
    <t>NPC06UZDB-WT001M</t>
  </si>
  <si>
    <t>NPC RJ45 Patch Cord Cat6 U/UTP LSZH WT 1M</t>
  </si>
  <si>
    <t>1-1116697-3</t>
  </si>
  <si>
    <t>SL Series Surface Mount Modular Jack Box, 1 port, unloaded, white</t>
  </si>
  <si>
    <t>210-BEQQ</t>
  </si>
  <si>
    <t>PowerEdge R660 Server</t>
  </si>
  <si>
    <t>Dell</t>
  </si>
  <si>
    <t>Sıfır, kutulu</t>
  </si>
  <si>
    <t>Info Yatırım Yeni Datacenter Projesi için geldi</t>
  </si>
  <si>
    <t>210-BDZY</t>
  </si>
  <si>
    <t>PowerEdge R760 Server</t>
  </si>
  <si>
    <t>407-BCGJ</t>
  </si>
  <si>
    <t>SFP28 SR Optic, 25GbE, 85C, for all SFP28 ports</t>
  </si>
  <si>
    <t>AK-300301-002-E</t>
  </si>
  <si>
    <t>2 x USB A Dişi 2 x 5 pin IDC Dişi, 0.25 mt, AWG 28</t>
  </si>
  <si>
    <t>Digitus</t>
  </si>
  <si>
    <t>mEdge ürününe entegre edildi.</t>
  </si>
  <si>
    <t>AK-330107-020-S</t>
  </si>
  <si>
    <t>HDMI 1.4 Kablo, 2160p,4K,3D, Tip A M-Tip A M, 2mt</t>
  </si>
  <si>
    <t>AK-330107-050-S</t>
  </si>
  <si>
    <t>HDMI 1.4 Kablo, 2160p,4K,3D, Tip A M-Tip A M, 5mt</t>
  </si>
  <si>
    <t>AK-330118-200-S</t>
  </si>
  <si>
    <t>HDMI 1.4 Kablo, 2160p,4K,3D, Tip A M-Tip A M, 20mt</t>
  </si>
  <si>
    <t>DK-1617-010</t>
  </si>
  <si>
    <t>CAT6 Patch Kablo, U/UTP, 1 metre, gri</t>
  </si>
  <si>
    <t>DK-1617-100</t>
  </si>
  <si>
    <t>CAT6 Patch Kablo, U/UTP, 10 metre, gri</t>
  </si>
  <si>
    <t xml:space="preserve">DK-1623-A-VH-500 </t>
  </si>
  <si>
    <t>Cat 6A U-FTP Data Kablosu 500 MHz LSZH</t>
  </si>
  <si>
    <t>Kullanılmış makara</t>
  </si>
  <si>
    <t>F2-F/UTP6A-4/23-305 koduyla Haribo' da kullanılmayan parça kablo</t>
  </si>
  <si>
    <t>DK-1644-A-0025/BL</t>
  </si>
  <si>
    <t>Cat 6A SFTP Patch Cord 0.25m Black color LSZH</t>
  </si>
  <si>
    <t>F2-C6A-PCF0025B koduyla Haribo' da kullanılmayan patch kablo</t>
  </si>
  <si>
    <t>DK-1644-A-020/BL</t>
  </si>
  <si>
    <t>Cat 6A SFTP Patch Cord 2m Black color LSZH</t>
  </si>
  <si>
    <t>F2-C6A-PCF0200B koduyla Haribo' da kullanılmayan patch kablo</t>
  </si>
  <si>
    <t>Keystone Jack</t>
  </si>
  <si>
    <t>Erat</t>
  </si>
  <si>
    <t>45x45 Face Plate Beyaz 2 portlu</t>
  </si>
  <si>
    <t>MDER006500400100G</t>
  </si>
  <si>
    <t>4*1 mm2 LIHCH Kablo</t>
  </si>
  <si>
    <t>Erse</t>
  </si>
  <si>
    <t>Banksoft da kullanılacak</t>
  </si>
  <si>
    <t>RG 6/U-6 Cu/Cu</t>
  </si>
  <si>
    <t>RG6U6 Coaxial Anten Kablosu</t>
  </si>
  <si>
    <t>F2-U/UTP-4/23-305</t>
  </si>
  <si>
    <t>UTP LAN Cable Cat.6 LSZH 305m/box 23AWG</t>
  </si>
  <si>
    <t>305m Antalya Showroom</t>
  </si>
  <si>
    <t>Parça kablo</t>
  </si>
  <si>
    <t>150m Fairmont</t>
  </si>
  <si>
    <t>F2-C6-BPP-U24P</t>
  </si>
  <si>
    <t>UTP Blank PP 24Port with Back Bar (Matt Surface)</t>
  </si>
  <si>
    <t>Raha KKTC Konsinye
1 adet Antalya Showroom</t>
  </si>
  <si>
    <t>F2-C6-BPP-U24P-2</t>
  </si>
  <si>
    <t>UTP Empty PP with Lock Latch Type Cable Manager</t>
  </si>
  <si>
    <t>F2-C6-BPP-U48P</t>
  </si>
  <si>
    <t>UTP Cat.6 1U 48Port Empty PP with Back Bar</t>
  </si>
  <si>
    <t>F2-C6-PP-U24P</t>
  </si>
  <si>
    <t>UTP Cat.6 PP, 24 Port Dual Use IDC with Back Bar</t>
  </si>
  <si>
    <t>Raha KKTC Konsinye</t>
  </si>
  <si>
    <t>F2-C6-PP-U24P-TF</t>
  </si>
  <si>
    <t>UTP Cat.6 Patch Panel 24 Port Tool Free</t>
  </si>
  <si>
    <t>F2-C6/A-BPP-F24P-1</t>
  </si>
  <si>
    <t>FTP Blank Patch Panel 1U 24 Port</t>
  </si>
  <si>
    <t>Uygun keystone sipariş edilmeli.
Raha KKTC Konsinye</t>
  </si>
  <si>
    <t>F2-C6/A-BPP-F24P-2</t>
  </si>
  <si>
    <t>FTP Empty PP with Lock Latch Type Cable Manager</t>
  </si>
  <si>
    <t>F2-C6-PC0020G</t>
  </si>
  <si>
    <t>Cat 6 UTP Patch Cord 0.20m Grey color LSZH Jacket</t>
  </si>
  <si>
    <t>F2-C6-PC0025G</t>
  </si>
  <si>
    <t>Cat 6 UTP Patch Cord 0.25m Grey color LSZH Jacket</t>
  </si>
  <si>
    <t>F2-C6-PC0050G</t>
  </si>
  <si>
    <t>Cat 6 UTP Patch Cord 0.5m Grey color LSZH Jacket</t>
  </si>
  <si>
    <t>F2-C6-PC0100G</t>
  </si>
  <si>
    <t>Cat 6 UTP Patch Cord 1m Grey color LSZH Jacket</t>
  </si>
  <si>
    <t>F2-C6-PC0200G</t>
  </si>
  <si>
    <t>Cat 6 UTP Patch Cord 2m Grey color LSZH Jacket</t>
  </si>
  <si>
    <t>F2-C6-PC0300G</t>
  </si>
  <si>
    <t>Cat 6 UTP Patch Cord 3m Grey color LSZH Jacket</t>
  </si>
  <si>
    <t>F2-C6-PC0500G</t>
  </si>
  <si>
    <t>Cat 6 UTP Patch Cord 5m Grey color LSZH Jacket</t>
  </si>
  <si>
    <t>F2-C6-PC0700G</t>
  </si>
  <si>
    <t>Cat 6 UTP Patch Cord 7m Grey color LSZH Jacket</t>
  </si>
  <si>
    <t>F2-C6-PC1000G</t>
  </si>
  <si>
    <t>Cat 6 UTP Patch Cord 10m Grey color LSZH Jacket</t>
  </si>
  <si>
    <t>F2-C6-PC1500G</t>
  </si>
  <si>
    <t>Cat 6 UTP Patch Cord 15m Grey color LSZH Jacket</t>
  </si>
  <si>
    <t>F2-C6-PC0020B</t>
  </si>
  <si>
    <t>Cat 6 UTP Patch Cord 0.20m Black color LSZH Jacket</t>
  </si>
  <si>
    <t>50 adet Antalya Showroom</t>
  </si>
  <si>
    <t>F2-C6-PC0025B</t>
  </si>
  <si>
    <t>Cat 6 UTP Patch Cord 0.25m Black color LSZH Jacket</t>
  </si>
  <si>
    <t>F2-C6-PC0050B</t>
  </si>
  <si>
    <t>Cat 6 UTP Patch Cord 0.5m Black color LSZH Jacket</t>
  </si>
  <si>
    <t>F2-C6-PC0100B</t>
  </si>
  <si>
    <t>Cat 6 UTP Patch Cord 1m Black color LSZH Jacket</t>
  </si>
  <si>
    <t>15 adet Antalya Showroom</t>
  </si>
  <si>
    <t>F2-C6-PC0200B</t>
  </si>
  <si>
    <t xml:space="preserve">Cat 6 UTP Patch Cord 2m Black color LSZH Jacket </t>
  </si>
  <si>
    <t>F2-C6-PC0300B</t>
  </si>
  <si>
    <t>Cat 6 UTP Patch Cord 3m Black color LSZH Jacket</t>
  </si>
  <si>
    <t>1 adet Antalya Showroom</t>
  </si>
  <si>
    <t>F2-C6-PC0500B</t>
  </si>
  <si>
    <t>Cat 6 UTP Patch Cord 5m Black color LSZH Jacket</t>
  </si>
  <si>
    <t>F2-C6-PC0700B</t>
  </si>
  <si>
    <t>Cat 6 UTP Patch Cord 7m Black color LSZH Jacket</t>
  </si>
  <si>
    <t>F2-C6-PC1000B</t>
  </si>
  <si>
    <t>Cat 6 UTP Patch Cord 10m Black color LSZH Jacket</t>
  </si>
  <si>
    <t>F2-C6-PC1500B</t>
  </si>
  <si>
    <t>Cat 6 UTP Patch Cord 15m Black color LSZH Jacket</t>
  </si>
  <si>
    <t>F2-C6-PC0020R</t>
  </si>
  <si>
    <t>Cat 6 UTP Patch Cord 0.20m Red color LSZH Jacket</t>
  </si>
  <si>
    <t>F2-C6-PC0025R</t>
  </si>
  <si>
    <t>Cat 6 UTP Patch Cord 0.25m Red color LSZH Jacket</t>
  </si>
  <si>
    <t>F2-C6-PC0050R</t>
  </si>
  <si>
    <t>Cat 6 UTP Patch Cord 0.5m Red color LSZH Jacket</t>
  </si>
  <si>
    <t>F2-C6-PC0100R</t>
  </si>
  <si>
    <t>Cat 6 UTP Patch Cord 1m Red color LSZH Jacket</t>
  </si>
  <si>
    <t>F2-C6-PC0200R</t>
  </si>
  <si>
    <t>Cat 6 UTP Patch Cord 2m Red color LSZH Jacket</t>
  </si>
  <si>
    <t>F2-C6-PC0300R</t>
  </si>
  <si>
    <t>Cat 6 UTP Patch Cord 3m Red color LSZH Jacket</t>
  </si>
  <si>
    <t>F2-C6-PC0500R</t>
  </si>
  <si>
    <t>Cat 6 UTP Patch Cord 5m Red color LSZH Jacket</t>
  </si>
  <si>
    <t>F2-C6-PC0700R</t>
  </si>
  <si>
    <t>Cat 6 UTP Patch Cord 7m Red color LSZH Jacket</t>
  </si>
  <si>
    <t>F2-C6-PC1000R</t>
  </si>
  <si>
    <t>Cat 6 UTP Patch Cord 10m Red color LSZH Jacket</t>
  </si>
  <si>
    <t>F2-C6-PC1500R</t>
  </si>
  <si>
    <t>Cat 6 UTP Patch Cord 15m Red color LSZH Jacket</t>
  </si>
  <si>
    <t>F2-C6-PC0025Y</t>
  </si>
  <si>
    <t>Cat 6 UTP Patch Cord 0.25m Yellow color LSZHJacket</t>
  </si>
  <si>
    <t>F2-C6-PC0050Y</t>
  </si>
  <si>
    <t>Cat 6 UTP Patch Cord 0.5m Yellow color LSZH Jacket</t>
  </si>
  <si>
    <t>F2-C6-PC0100Y</t>
  </si>
  <si>
    <t xml:space="preserve">Cat 6 UTP Patch Cord  1m Yellow color LSZH Jacket </t>
  </si>
  <si>
    <t>F2-C6-PC0200Y</t>
  </si>
  <si>
    <t>Cat 6 UTP Patch Cord 2m Yellow color LSZH Jacket</t>
  </si>
  <si>
    <t>F2-C6-PC0300Y</t>
  </si>
  <si>
    <t>Cat 6 UTP Patch Cord 3m Yellow color LSZH Jacket</t>
  </si>
  <si>
    <t>F2-C6-PC0020BL</t>
  </si>
  <si>
    <t>Cat 6 UTP Patch Cord 0.20m Blue color LSZH Jacket</t>
  </si>
  <si>
    <t>F2-C6-PC0025BL</t>
  </si>
  <si>
    <t>Cat 6 UTP Patch Cord 0.25m Blue color LSZH Jacket</t>
  </si>
  <si>
    <t>F2-C6-PC0050BL</t>
  </si>
  <si>
    <t>Cat 6 UTP Patch Cord 0.5m Blue color LSZH Jacket</t>
  </si>
  <si>
    <t>F2-C6-PC0100BL</t>
  </si>
  <si>
    <t>Cat 6 UTP Patch Cord 1m Blue color LSZH Jacket</t>
  </si>
  <si>
    <t>F2-C6-PC0200BL</t>
  </si>
  <si>
    <t>Cat 6 UTP Patch Cord 2m Blue color LSZH Jacket</t>
  </si>
  <si>
    <t>F2-C6-PC0300BL</t>
  </si>
  <si>
    <t>Cat 6 UTP Patch Cord 3m Blue color LSZH Jacket</t>
  </si>
  <si>
    <t>F2-C6-PC0500BL</t>
  </si>
  <si>
    <t>Cat 6 UTP Patch Cord 5m Blue color LSZH Jacket</t>
  </si>
  <si>
    <t>F2-C6-PC0700BL</t>
  </si>
  <si>
    <t>Cat 6 UTP Patch Cord 7m Blue color LSZH Jacket</t>
  </si>
  <si>
    <t>F2-C6-PC1000BL</t>
  </si>
  <si>
    <t>Cat 6 UTP Patch Cord 10m Blue color LSZH Jacket</t>
  </si>
  <si>
    <t>F2-C6-PC1500BL</t>
  </si>
  <si>
    <t>Cat 6 UTP Patch Cord 15m Blue color LSZH Jacket</t>
  </si>
  <si>
    <t>F2-C6A-PC0025B</t>
  </si>
  <si>
    <t>Cat 6A UTP Patch Cord 0.25m Black color LSZHJacket</t>
  </si>
  <si>
    <t>F2-C6A-PC0050B</t>
  </si>
  <si>
    <t>Cat 6A UTP Patch Cord 0.,5m Black color LSZHJacket</t>
  </si>
  <si>
    <t>F2-C6A-PC0100B</t>
  </si>
  <si>
    <t>Cat 6A UTP Patch Cord 1m Black color LSZH Jacket</t>
  </si>
  <si>
    <t>F2-C6A-PC0200B</t>
  </si>
  <si>
    <t>Cat 6A UTP Patch Cord 2m Black color LSZH Jacket</t>
  </si>
  <si>
    <t>F2-C6A-PC0300B</t>
  </si>
  <si>
    <t>Cat 6A UTP Patch Cord 3m Black color LSZH Jacket</t>
  </si>
  <si>
    <t>F2-C6-U-90KJ</t>
  </si>
  <si>
    <t>UTP Cat.6 Keystone Jack 90 degree</t>
  </si>
  <si>
    <t>Systimax tipi
Raha KKTC Konsinye</t>
  </si>
  <si>
    <t>F2-C6-U-KJL1</t>
  </si>
  <si>
    <t>UTP Cat.6 Keystone Jack Toolless</t>
  </si>
  <si>
    <t>Legrand tipi
Raha KKTC Konsinye</t>
  </si>
  <si>
    <t>F2-C6-U-180KJ</t>
  </si>
  <si>
    <t>UTP Cat.6 Keystone Jack 180 degree</t>
  </si>
  <si>
    <t>Commscope tipi
34 adet Antalya Showroom</t>
  </si>
  <si>
    <t>F2-C6-U-180KJ-W</t>
  </si>
  <si>
    <t>UTP Cat.6 Keystone Jack 180 degree white color</t>
  </si>
  <si>
    <t>F2-C6-U-180KJ-W2</t>
  </si>
  <si>
    <t>F2-C6-U-180KJ-B3</t>
  </si>
  <si>
    <t>UTP Cat.6 Keystone jack 180 degree black color</t>
  </si>
  <si>
    <t>F2-C6-U-180KJ-W3</t>
  </si>
  <si>
    <t>UTP Cat.6 Keystone jack 180 degree white color</t>
  </si>
  <si>
    <t>F2-C6A-U-180KJ-B</t>
  </si>
  <si>
    <t>UTP Cat.6A Keystone jack 180 degree black color</t>
  </si>
  <si>
    <t>F2-C6A-U-180KJ-W</t>
  </si>
  <si>
    <t>UTP Cat.6A Keystone jack 180 degree white color</t>
  </si>
  <si>
    <t>F2-C6A-F-180KJ</t>
  </si>
  <si>
    <t>FTP Cat.6A Keystone Jack 180 degree toolless</t>
  </si>
  <si>
    <t>F2-C6A-F-180KJ-2</t>
  </si>
  <si>
    <t>FTP Cat.6A Keystone Jack 180 degree toolless-2</t>
  </si>
  <si>
    <t>F2-C6-U-PLG</t>
  </si>
  <si>
    <t>Cat.6 UTP Plug</t>
  </si>
  <si>
    <t>F2-C6A-F-PGS</t>
  </si>
  <si>
    <t>FTP Cat.6A Plug for stranded patch cord</t>
  </si>
  <si>
    <t>F2-FTFP-01</t>
  </si>
  <si>
    <t>French Type Faceplate 1 Port</t>
  </si>
  <si>
    <t>F2-ST-NC</t>
  </si>
  <si>
    <t>Screw Tool For Network Cabinet</t>
  </si>
  <si>
    <t>F2-NT-001</t>
  </si>
  <si>
    <t>Network Crimp Tool for Keystone Jack</t>
  </si>
  <si>
    <t>F2-PPLC-24</t>
  </si>
  <si>
    <t>FO PP LC 24P 19 Sliding type empty, with Casette</t>
  </si>
  <si>
    <t>F2-PPSC-24</t>
  </si>
  <si>
    <t>FO PP SC 24P 19 Sliding type empty, with Casette</t>
  </si>
  <si>
    <t>F2-LCLC-OS2-0200</t>
  </si>
  <si>
    <t>LC-LC patch cord( duplex) OS2 2meters  2.0mm LSZH</t>
  </si>
  <si>
    <t>F2-LCLC-OS2-0300</t>
  </si>
  <si>
    <t>LC-LC Patch Cord (duplex) OS2 3meters 2.0mm LSZH</t>
  </si>
  <si>
    <t>F2-LCLC-OS2-0500</t>
  </si>
  <si>
    <t>LC-LC Patch Cord (duplex) OS2 5meters 2.0mm LSZH</t>
  </si>
  <si>
    <t>F2-LCLC-OS2-0700</t>
  </si>
  <si>
    <t>LC-LC Patch Cord (duplex) OS2 7meters 2.0mm LSZH</t>
  </si>
  <si>
    <t>F2-LCLC-OM3-0200</t>
  </si>
  <si>
    <t>LC-LC patch cord (duplex) OM3 2meters  2.0mm LSZH</t>
  </si>
  <si>
    <t>F2-LCLC-OM3-0300</t>
  </si>
  <si>
    <t>LC-LC Patch Cord (duplex) OM3 3meters 2.0mm LSZH</t>
  </si>
  <si>
    <t>F2-LCLC-OM3-0500</t>
  </si>
  <si>
    <t>LC-LC Patch Cord (duplex) OM3 5meters 2.0mm LSZH</t>
  </si>
  <si>
    <t>F2-LCLC-OM3-0700</t>
  </si>
  <si>
    <t>LC-LC Patch Cord (duplex) OM3 7meters 2.0mm LSZH</t>
  </si>
  <si>
    <t>F2-LCLC-OM4-0200</t>
  </si>
  <si>
    <t>LC-LC patch cord (duplex) OM4 2meters  2.0mm LSZH</t>
  </si>
  <si>
    <t>F2-LCLC-OM4-0300</t>
  </si>
  <si>
    <t>LC-LC patch cord (duplex) OM4 3meters  2.0mm LSZH</t>
  </si>
  <si>
    <t>F2-LCLC-OM4-0500</t>
  </si>
  <si>
    <t>LC-LC patch cord (duplex) OM4 5meters  2.0mm LSZH</t>
  </si>
  <si>
    <t>F2-LCLC-OM4-0700</t>
  </si>
  <si>
    <t>LC-LC patch cord (duplex) OM4 7meters  2.0mm LSZH</t>
  </si>
  <si>
    <t>F2-SCLC-OS2-0200</t>
  </si>
  <si>
    <t>SC-LC patch cord( duplex) OS2 2meters  2.0mm LSZH</t>
  </si>
  <si>
    <t>Raha KKTC konsinye</t>
  </si>
  <si>
    <t>F2-SCLC-OS2-0300</t>
  </si>
  <si>
    <t>SC-LC patch cord (duplex) OS2 3meters 2.0mm LSZH</t>
  </si>
  <si>
    <t>F2-SCLC-OS2-0500</t>
  </si>
  <si>
    <t>SC-LC patch cord (duplex) OS2 5meters 2.0mm LSZH</t>
  </si>
  <si>
    <t>F2-SCLC-OS2-0700</t>
  </si>
  <si>
    <t>SC-LC patch cord (duplex) OS2 7meters 2.0mm LSZH</t>
  </si>
  <si>
    <t>F2-SCLC-OM3-0200</t>
  </si>
  <si>
    <t>SC-LC patch cord (duplex) OM3 2meters  2.0mm LSZH</t>
  </si>
  <si>
    <t>F2-SCLC-OM4-0200</t>
  </si>
  <si>
    <t>SC-LC patch cord (duplex) OM4 2meters  2.0mm LSZH</t>
  </si>
  <si>
    <t>F2-LCLC-OS2-DC</t>
  </si>
  <si>
    <t>LC-LC Duplex Coupler OS2</t>
  </si>
  <si>
    <t>F2-LCLC-OM3-DC</t>
  </si>
  <si>
    <t>LC-LC Duplex Coupler OM3</t>
  </si>
  <si>
    <t>F2-LCLC-OM4-DC</t>
  </si>
  <si>
    <t>LC-LC Duplex Coupler OM4</t>
  </si>
  <si>
    <t>F2-SCSC-OS2-DC</t>
  </si>
  <si>
    <t>SC-SC Duplex Coupler OS2</t>
  </si>
  <si>
    <t>F2-SCSC-OM3-DC</t>
  </si>
  <si>
    <t>SC-SC Duplex Coupler OM3</t>
  </si>
  <si>
    <t>F2-SCSC-OM4-DC</t>
  </si>
  <si>
    <t>SC-SC Duplex Coupler OM4</t>
  </si>
  <si>
    <t>F2-LC-OS2-PT</t>
  </si>
  <si>
    <t>LC Simplex Pigtail OS2 0.9mm 1m LSZH</t>
  </si>
  <si>
    <t>F2-LC-OM3-PT</t>
  </si>
  <si>
    <t>LC Simplex Pigtail OM3 0.9mm 1m LSZH</t>
  </si>
  <si>
    <t>F2-LC-OM4-PT</t>
  </si>
  <si>
    <t>LC Simplex Pigtail OM4 0.9mm 1m LSZH</t>
  </si>
  <si>
    <t>F2-SC-OS2-PT</t>
  </si>
  <si>
    <t>SC Simplex Pigtail OS2 0.9mm 1m LSZH</t>
  </si>
  <si>
    <t>?</t>
  </si>
  <si>
    <r>
      <t xml:space="preserve">Raha KKTC konsinye  </t>
    </r>
    <r>
      <rPr>
        <sz val="10"/>
        <color rgb="FFFF0000"/>
        <rFont val="Calibri"/>
        <family val="2"/>
        <charset val="162"/>
      </rPr>
      <t>(Sayım yapılacak)</t>
    </r>
  </si>
  <si>
    <t>F2-SC-OM3-PT</t>
  </si>
  <si>
    <t>SC Simplex Pigtail OM3 0.9mm 1m LSZH</t>
  </si>
  <si>
    <t>F2-SC-OM4-PT</t>
  </si>
  <si>
    <t>SC Simplex Pigtail OM4 0.9mm 1m LSZH</t>
  </si>
  <si>
    <t>F2-FOSP-60MM</t>
  </si>
  <si>
    <t>Protector Sleeve 60mm</t>
  </si>
  <si>
    <t>F2-SP-12</t>
  </si>
  <si>
    <t>Splice Casette - for 12 splices</t>
  </si>
  <si>
    <t>F2-SX-MM-D</t>
  </si>
  <si>
    <t>F2-SX-MM-D-H</t>
  </si>
  <si>
    <t>F2-LX-SM-10-D</t>
  </si>
  <si>
    <t>F2-LX-SM-10-D-H</t>
  </si>
  <si>
    <t>F2-LX-SM-10-D-I</t>
  </si>
  <si>
    <t>F2-C-RJ-10/100/1000</t>
  </si>
  <si>
    <t>10/100/1000, Cat6/6A, 100M, 0-70C, RJ45</t>
  </si>
  <si>
    <t>1 adet Mintyfi Belis Otel Demo</t>
  </si>
  <si>
    <t>F2-C-RJ-10G</t>
  </si>
  <si>
    <t>F2-RJ45-10G</t>
  </si>
  <si>
    <t>Sıfır kutusuz</t>
  </si>
  <si>
    <t>F2-RJ45-1G</t>
  </si>
  <si>
    <t>F2-SR-MM-D</t>
  </si>
  <si>
    <t>1 adet arızalı</t>
  </si>
  <si>
    <t>F2-SR-MM-D-H</t>
  </si>
  <si>
    <t>F2-LR-SM-10-D</t>
  </si>
  <si>
    <t>F2-LRM-MM-D-H</t>
  </si>
  <si>
    <t>F2-BD10-12/13-10-D</t>
  </si>
  <si>
    <t>Bi-Di,10G,SFP+,10KM,1270/1330,0-70C,DDM,Simplex LC</t>
  </si>
  <si>
    <t>F2-BD10-12/13-10-D-H</t>
  </si>
  <si>
    <t>F2-BD10-13/12-10-D</t>
  </si>
  <si>
    <t>Bi-Di,10G,SFP+,10KM,1330/1270,0-70C,DDM,Simplex LC</t>
  </si>
  <si>
    <t>F2-BD10-13/12-10-D-H</t>
  </si>
  <si>
    <t>F2-QSFP+MSR4</t>
  </si>
  <si>
    <t>F2-Q+LC-LR4-D</t>
  </si>
  <si>
    <t>F2-Q8-LC-LR4</t>
  </si>
  <si>
    <t>F2-DCp-S+1M</t>
  </si>
  <si>
    <t>DAC,10G, SFP+ to SFP+,Copper Passive DAC,1m,AWG30</t>
  </si>
  <si>
    <t>F2-DCp-S+3M</t>
  </si>
  <si>
    <t>DAC,10G, SFP+ to SFP+,Copper Passive DAC,3m,AWG30</t>
  </si>
  <si>
    <t>F2-DCp-Q+1MT</t>
  </si>
  <si>
    <t>DAC,40G,QSFP+ to QSFP+,Copper Passive,1mt,AWG30</t>
  </si>
  <si>
    <t>1 adet arızalı yerine teslim edildi. (Info Yatırım)</t>
  </si>
  <si>
    <t>F2-DCp-Q+3MT</t>
  </si>
  <si>
    <t>DAC,40G,QSFP+ to QSFP+,Copper Passive,3mt,AWG30</t>
  </si>
  <si>
    <t>F2-BRK-1XQ-4XS+A-5mt</t>
  </si>
  <si>
    <t>Breakout Cable, 40G QSFP+ to 4x 10G SFP+, AOC, 5mt</t>
  </si>
  <si>
    <t>F2-BRK-1XQ8-4XS8+A-5mt</t>
  </si>
  <si>
    <t>Breakout Cable,100G QSFP28 to 4x25G SFP28, AOC, 5mt</t>
  </si>
  <si>
    <t>F2-SFP+DAC-1M</t>
  </si>
  <si>
    <t>DAC, 10G, SFP+ to SFP+, Copper Passive, 1mt, AWG30</t>
  </si>
  <si>
    <t>F2-SFP+DAC-3M</t>
  </si>
  <si>
    <t>DAC, 10G, SFP+ to SFP+, Copper Passive, 3mt, AWG30</t>
  </si>
  <si>
    <t>F2-QSFP+DAC-1M</t>
  </si>
  <si>
    <t>F2-Q8-M-SR4</t>
  </si>
  <si>
    <t>100Gbps QSFP28,MM,100m/OM4 MPO/MTP</t>
  </si>
  <si>
    <t>Başakşehir Belediyesi</t>
  </si>
  <si>
    <t>F2-Q8-M-MSR4</t>
  </si>
  <si>
    <t>F2-FMPO-120M4-10</t>
  </si>
  <si>
    <t>12Core MPO/MPO OM4 B-Type,3mm,10m Patch Cable</t>
  </si>
  <si>
    <t>F2-FMPO-120M4-15</t>
  </si>
  <si>
    <t>12Core MPO/MPO OM4 B-Type,3mm,15m Patch Cable</t>
  </si>
  <si>
    <t>F2-MPOMPO-OM4-1203</t>
  </si>
  <si>
    <t>F2-GMC-SFP</t>
  </si>
  <si>
    <t>Media Con.1 Fiber,1 UTP Port 10/100/1000M SFP Port</t>
  </si>
  <si>
    <t>F2FO1U</t>
  </si>
  <si>
    <t>1U Fırçalı organizer</t>
  </si>
  <si>
    <t>2 adet Antalya Showroom</t>
  </si>
  <si>
    <t>F2KP1U</t>
  </si>
  <si>
    <t>1U Kapama Paneli</t>
  </si>
  <si>
    <t>F2KP2U</t>
  </si>
  <si>
    <t>2U Kapama Paneli</t>
  </si>
  <si>
    <t>F2KP3U</t>
  </si>
  <si>
    <t>3U Kapama Paneli</t>
  </si>
  <si>
    <t>F2O1U</t>
  </si>
  <si>
    <t>1U Organizer</t>
  </si>
  <si>
    <t>F2SPR6SCH</t>
  </si>
  <si>
    <t>Sigortalı 6 lı 19" Alüminyum Priz</t>
  </si>
  <si>
    <t>FORM-12U600</t>
  </si>
  <si>
    <t>12U 600  Duvar Tipi Kabinet</t>
  </si>
  <si>
    <t>Formrack</t>
  </si>
  <si>
    <t>F024F2VT</t>
  </si>
  <si>
    <t>2 li Fan modülü termostatlı duvar tipi</t>
  </si>
  <si>
    <t>F082PR9SA</t>
  </si>
  <si>
    <t>Sigortalı 9 lu Alüminyum Priz</t>
  </si>
  <si>
    <t>FG-40F</t>
  </si>
  <si>
    <t>FortiGate 40F</t>
  </si>
  <si>
    <t>Fortinet</t>
  </si>
  <si>
    <t>1 adet Sistem Odası iç kullanım
1 adet Bellis Otel-Emren Turan</t>
  </si>
  <si>
    <t>FG-60F</t>
  </si>
  <si>
    <t>FortiGate 60F</t>
  </si>
  <si>
    <t>Mintyfi</t>
  </si>
  <si>
    <t>FG-40F-BDL-950-36</t>
  </si>
  <si>
    <t>FortiGate 40F + 3yr 24x7 FCare&amp;FGuard</t>
  </si>
  <si>
    <t>FG-120G</t>
  </si>
  <si>
    <t>FortiGate-120G</t>
  </si>
  <si>
    <t>FG-200F</t>
  </si>
  <si>
    <t>FortiGate 200F</t>
  </si>
  <si>
    <t>SP-RACKTRAY-02</t>
  </si>
  <si>
    <t>Fortinet Rack Mount Tray</t>
  </si>
  <si>
    <t>DL380 G10</t>
  </si>
  <si>
    <t>HP</t>
  </si>
  <si>
    <t>Göçmen'den alınan ürün</t>
  </si>
  <si>
    <t>Alper Güden Mars DC</t>
  </si>
  <si>
    <t>J9993A</t>
  </si>
  <si>
    <t>8p 1G/10GbE SFP+ v3 zl2 Module</t>
  </si>
  <si>
    <t>28N20AA</t>
  </si>
  <si>
    <t>HP 27" Monitör</t>
  </si>
  <si>
    <t>Sıfır, Kutulu</t>
  </si>
  <si>
    <t>65P58E9</t>
  </si>
  <si>
    <t>HP 24" Monitör</t>
  </si>
  <si>
    <t>X2550 M4</t>
  </si>
  <si>
    <t>IBM System x2550 M2</t>
  </si>
  <si>
    <t>IBM</t>
  </si>
  <si>
    <t>Kullanılmış kutusuz</t>
  </si>
  <si>
    <t>Midas' a sevk edildi.</t>
  </si>
  <si>
    <t>4657-924</t>
  </si>
  <si>
    <t>IBM FlashSystem 7300 NVMe Control Enclosure</t>
  </si>
  <si>
    <t>8969-F24</t>
  </si>
  <si>
    <t>IBM Storage Networking SAN24B-6</t>
  </si>
  <si>
    <t>4999-823-109</t>
  </si>
  <si>
    <t>Jabra</t>
  </si>
  <si>
    <t>Legrand Kanal 25x16</t>
  </si>
  <si>
    <t>Legrand</t>
  </si>
  <si>
    <t>X2522-PLUS</t>
  </si>
  <si>
    <t>Lenovo</t>
  </si>
  <si>
    <t>75UL3J-B</t>
  </si>
  <si>
    <t>75 inch LED 3840 x 2160 Endüstriyel Monitör</t>
  </si>
  <si>
    <t>LG</t>
  </si>
  <si>
    <t>86UL3J-B</t>
  </si>
  <si>
    <t>86 inch LED 3840 x 2160 Endüstriyel Monitör</t>
  </si>
  <si>
    <t>86UL3J-N</t>
  </si>
  <si>
    <t>86UH5J-H</t>
  </si>
  <si>
    <t>75UL3J-E</t>
  </si>
  <si>
    <t>43UH5J-H</t>
  </si>
  <si>
    <t>43 inch LED 3840 x 2160 Endüstriyel Monitör</t>
  </si>
  <si>
    <t>HFT Sunucu Kasası</t>
  </si>
  <si>
    <t>OEM</t>
  </si>
  <si>
    <t>Sıfır Kutulu</t>
  </si>
  <si>
    <t>1 adet Network katında Alper Güden' de.</t>
  </si>
  <si>
    <t>20mm PVC Sprial Boru</t>
  </si>
  <si>
    <t>Paketsiz</t>
  </si>
  <si>
    <t>UPS-RAY</t>
  </si>
  <si>
    <t>WT32-ETH01</t>
  </si>
  <si>
    <t>Kullanılmış, paketsiz</t>
  </si>
  <si>
    <t>WT32-ETH01-ANTEN</t>
  </si>
  <si>
    <t>Cat6 FTP Pach Cord-15cm</t>
  </si>
  <si>
    <t>Cat6 FTP Pach Cord-20cm</t>
  </si>
  <si>
    <t>Cat6 UTP Pach Cord-15cm</t>
  </si>
  <si>
    <t>Cat6 UTP Pach Cord-20cm</t>
  </si>
  <si>
    <t>SC Pigtail SM 1M</t>
  </si>
  <si>
    <t>Kullanılmamış, paketsiz</t>
  </si>
  <si>
    <t>LC Pigtail SM 1M</t>
  </si>
  <si>
    <t>SC-SC OS2 5m Patch Cable</t>
  </si>
  <si>
    <t>Sıfır, paketli</t>
  </si>
  <si>
    <t>SC-SC OS2 3m Patch Cable</t>
  </si>
  <si>
    <t>SC-LC OS2 2m Patch Cable</t>
  </si>
  <si>
    <t>Toz Kapağı</t>
  </si>
  <si>
    <t>1U Kapama Paneli (Perfore)</t>
  </si>
  <si>
    <t xml:space="preserve">6' lı Sigortalı Priz (Çet) </t>
  </si>
  <si>
    <t>6' lı Sigortalı Priz (Çet) Kablo ucunda fiş yok)</t>
  </si>
  <si>
    <t>SC-SC MM-OM3 Patch Cable 15m patch kablo</t>
  </si>
  <si>
    <t>SVK 1020077</t>
  </si>
  <si>
    <t>Server Soğutma Sistemi</t>
  </si>
  <si>
    <t>FOPCLCLCOM420</t>
  </si>
  <si>
    <t>LC-LC fiber patch cord, OM4 20m</t>
  </si>
  <si>
    <t>Netlink</t>
  </si>
  <si>
    <t>FOPCLCLCOM401</t>
  </si>
  <si>
    <t>LC-LC fiber patch cord, OM4 1m</t>
  </si>
  <si>
    <t>FOPCLCLCOM415</t>
  </si>
  <si>
    <t>LC-LC fiber patch cord, OM4 15m</t>
  </si>
  <si>
    <t>Banksoft' a sevk edildi.</t>
  </si>
  <si>
    <t>FOPCLCLCOM425</t>
  </si>
  <si>
    <t>LC-LC fiber patch cord, OM4 25m</t>
  </si>
  <si>
    <t>WNAP-W2200UE</t>
  </si>
  <si>
    <t>300 Mbps 802.11n In wall AP with with USB Charger</t>
  </si>
  <si>
    <t>Planet</t>
  </si>
  <si>
    <t>Afumex LSOH 3*2,5 mm2 NHXMH-J 300/500V Kablo</t>
  </si>
  <si>
    <t>Prysmian</t>
  </si>
  <si>
    <t>Sıfır</t>
  </si>
  <si>
    <t>10G-SFPP-TWX-0101</t>
  </si>
  <si>
    <t>10GbE Direct Attach SFP+ to SFP+ AOC, 1m</t>
  </si>
  <si>
    <t>Ruckus</t>
  </si>
  <si>
    <t>10G-SFPP-TWX-P-0101</t>
  </si>
  <si>
    <t>10G-SFPP-TWX-P-0301</t>
  </si>
  <si>
    <t>60-1002910-02</t>
  </si>
  <si>
    <t>Universal mounting ears XBR-R000295 for Brocade Switches</t>
  </si>
  <si>
    <t>60-1002910-03</t>
  </si>
  <si>
    <t>XBR-R000295</t>
  </si>
  <si>
    <t>FRU, Rackmount Kit, 4 Post 24-32 Depth RCK</t>
  </si>
  <si>
    <t>2 adet Redstar için ayrılmış ürün var</t>
  </si>
  <si>
    <t>P01-S144-UN00</t>
  </si>
  <si>
    <t>SmartZone 144 - 4x10GE &amp; 4xGE</t>
  </si>
  <si>
    <t>901-H550-WW00</t>
  </si>
  <si>
    <t xml:space="preserve">H550 WW dual band Wi-Fi 6 </t>
  </si>
  <si>
    <t>901-P300-WW01</t>
  </si>
  <si>
    <t>P300 WW 11ac outdoor bridge (single)</t>
  </si>
  <si>
    <t xml:space="preserve">901-R310-WW02 </t>
  </si>
  <si>
    <t>R310 WW dual band 11ac indoor AP 2x2:2</t>
  </si>
  <si>
    <t xml:space="preserve">901-R320-WW02 </t>
  </si>
  <si>
    <t>R320 Dual band .11ac indoor AP 2x2:2</t>
  </si>
  <si>
    <t>901-R350-WW02</t>
  </si>
  <si>
    <t>R350 WW dual band 11ax indoor AP 2x2:2</t>
  </si>
  <si>
    <t>901-R550-WW00</t>
  </si>
  <si>
    <t>R550 WW 11ax indoor 2x2:2 AP Plenum</t>
  </si>
  <si>
    <t>3 Adet Antalya Showroom</t>
  </si>
  <si>
    <t>901-R650-WW00</t>
  </si>
  <si>
    <t>R650 WW dual band 11ax indoor AP 4+2strm</t>
  </si>
  <si>
    <t>1 adet Midas' tan çizik geldi.</t>
  </si>
  <si>
    <t>901-R710-WW00</t>
  </si>
  <si>
    <t>R710 WW dual band 11ac indoor AP 4x4:4</t>
  </si>
  <si>
    <t>901-R750-WW00</t>
  </si>
  <si>
    <t>R750 WW dual band 11ax indoor AP 4x4:4</t>
  </si>
  <si>
    <t>901-T310-WW20</t>
  </si>
  <si>
    <t>T310c  .11ac W2 Outdoor AP 2x2:2</t>
  </si>
  <si>
    <t>901-T350-WW20</t>
  </si>
  <si>
    <t>T350c, Outdoor, 11ax, AP 2x2:2</t>
  </si>
  <si>
    <t>1 adet Praksis arızalı karşılığı gelen ürün</t>
  </si>
  <si>
    <t>901-T350-WW40</t>
  </si>
  <si>
    <t>T350d WW ax dual band outdor AP 2x2:2</t>
  </si>
  <si>
    <t>Tosyalı Holding' den Demo iadesi. (Kendi orijinal kutusunda değil)</t>
  </si>
  <si>
    <t>901-T350-WW51</t>
  </si>
  <si>
    <t>T350se, Outdoor 11ax AP 2x2:2</t>
  </si>
  <si>
    <t>902-0120-0000</t>
  </si>
  <si>
    <t>Secure Mounting Bracket for R-series</t>
  </si>
  <si>
    <t>902-0136-0000</t>
  </si>
  <si>
    <t>Surface Mount Bracket for H550</t>
  </si>
  <si>
    <t>9U1-R550-WW00</t>
  </si>
  <si>
    <t>R550 WW Unleashed 11ax AP 2x2:2</t>
  </si>
  <si>
    <t>9U1-T310-WW20</t>
  </si>
  <si>
    <t>Unleashed T310c  .11ac W2 Outdoor AP 2x2:2</t>
  </si>
  <si>
    <t>ICX6610-24F-E</t>
  </si>
  <si>
    <t>24 Port 1GbE SFP Switch with 8x1GbE SFPP Ports</t>
  </si>
  <si>
    <t>ICX7150-24F-4X1G</t>
  </si>
  <si>
    <t>24 Port SFP 4x1G SFP+ Switch</t>
  </si>
  <si>
    <t>Rackmount kiti yok.</t>
  </si>
  <si>
    <t>ICX7150-24-4X1G</t>
  </si>
  <si>
    <t>24 Port 4X1G SFP+</t>
  </si>
  <si>
    <t>ICX7150-24P-4X1G</t>
  </si>
  <si>
    <t>24 Port POE+ 4X1G SFP+ Max Poe Budget 370W</t>
  </si>
  <si>
    <t>Test amacıyla 1 adet Kadir Şar' da.
1 adet Antalya Showroom
1 adet çizik ürün</t>
  </si>
  <si>
    <t>ICX7150-48-4X1G</t>
  </si>
  <si>
    <t>48 Port 4X1G SFP+</t>
  </si>
  <si>
    <r>
      <rPr>
        <b/>
        <sz val="10"/>
        <color theme="1"/>
        <rFont val="Calibri"/>
        <family val="2"/>
        <charset val="162"/>
      </rPr>
      <t xml:space="preserve">1 adet Kadir Şar-Info Yatırım' dan iade geldi. Çizik için onay bekleniyor.
</t>
    </r>
    <r>
      <rPr>
        <sz val="10"/>
        <color rgb="FFFF0000"/>
        <rFont val="Calibri"/>
        <family val="2"/>
        <charset val="162"/>
      </rPr>
      <t>5 adet Redstar rafında ürün var.</t>
    </r>
  </si>
  <si>
    <t>ICX7150-48P-4X10GR</t>
  </si>
  <si>
    <t>48 Port POE+ 4x10G SFP+ Max Poe Budget 370W</t>
  </si>
  <si>
    <t>1 adet Başakşehir Belediyesi arızalı karşılığı gelen ürün</t>
  </si>
  <si>
    <t>Kutulu</t>
  </si>
  <si>
    <t>ICX7150-48P-4X1G</t>
  </si>
  <si>
    <t>48-Port POE+ 370W 4X1G SFP+</t>
  </si>
  <si>
    <t>Praxis Rezerve</t>
  </si>
  <si>
    <t>ICX7150-48PF-4X1G</t>
  </si>
  <si>
    <t>48 Port POE+ 4X1G SFP+ Max Poe Budget 740W</t>
  </si>
  <si>
    <t>Kullanılmış ürün. Mintyfi Belis Otel Demo</t>
  </si>
  <si>
    <t>ICX7150-48PF-4X10GR</t>
  </si>
  <si>
    <t>1 adet KTÜ arızalı karşılığı gelen ürün</t>
  </si>
  <si>
    <t>ICX7150-48ZP-E2X10G</t>
  </si>
  <si>
    <t>1 adet Kadir Şar-Info Yatırım</t>
  </si>
  <si>
    <t>ICX7550-24F-E2</t>
  </si>
  <si>
    <t>24 Port 1/10G SFP Bundle 2PSU-E R3</t>
  </si>
  <si>
    <t>ICX7750-48F</t>
  </si>
  <si>
    <t>48 PRT 10G SFPP, 6 PRT QSFP, 1 MOD SLT</t>
  </si>
  <si>
    <t>Nabi'de gelen PSU yok</t>
  </si>
  <si>
    <t>ICX7850-48F-E2</t>
  </si>
  <si>
    <t>48 Port SFP28 Bundle 2PSU</t>
  </si>
  <si>
    <t>ICX8200-24P</t>
  </si>
  <si>
    <t>24 Port POE 4x25G SFP28 Max Poe Budget 370W</t>
  </si>
  <si>
    <t>ICX8200-48P</t>
  </si>
  <si>
    <t>48 Port POE 4x25G SFP28 Max Poe Budget 370W</t>
  </si>
  <si>
    <t>ICX8200-48PF</t>
  </si>
  <si>
    <t>48 Port POE 4x25G SFP28 Max Poe Budget 740W</t>
  </si>
  <si>
    <t>Test amacıyla 1 adet Kadir Şar' da.</t>
  </si>
  <si>
    <t>ICX8200-48PF2-E</t>
  </si>
  <si>
    <t>48 Port POE FRU Bundle 1PSU Poe Budget 740W</t>
  </si>
  <si>
    <t>ICX8200-48ZP2-E2</t>
  </si>
  <si>
    <t>48 Port POE 4x25G SFP28 2PSU Poe Budget 1480W</t>
  </si>
  <si>
    <t>ICX7000-C12-RMK</t>
  </si>
  <si>
    <t>ICX7150-C12P Rack Mount Kit</t>
  </si>
  <si>
    <t>PCEURO</t>
  </si>
  <si>
    <t>Power Cord for VIIG to C13, Europe, 250V 10A</t>
  </si>
  <si>
    <t>Sıfır, paketsiz</t>
  </si>
  <si>
    <t>RSP9E</t>
  </si>
  <si>
    <t>FRU,500WACPS,EXHAUST,ICX7750,SIDEWINDER</t>
  </si>
  <si>
    <t>40G-AOC-5M</t>
  </si>
  <si>
    <t>40G QSFP+ Optical Stack Cable, 5m</t>
  </si>
  <si>
    <t>Ruijie</t>
  </si>
  <si>
    <t>RG-AP630(IODA)</t>
  </si>
  <si>
    <t>Outdoor AP,IP67,omni 3×3:3, 802.11a/b/g/n/ac</t>
  </si>
  <si>
    <t>RG-AP680-CD</t>
  </si>
  <si>
    <t>Dual Band 11ax Outdoor Wireless AP</t>
  </si>
  <si>
    <t>RG-AP820-L(V2)</t>
  </si>
  <si>
    <t>Wi-Fi 6 Selectable Dual-band Indoor AP</t>
  </si>
  <si>
    <t>RG-AP820-L(V3)</t>
  </si>
  <si>
    <t>AX3000 Wi-Fi 6 Multi-Gigabit Indoor AP</t>
  </si>
  <si>
    <t>RG-E-120(GE)</t>
  </si>
  <si>
    <t>1-port PoE Adapter (1000Base-T, 802.3af)</t>
  </si>
  <si>
    <t>RG-E-130(GE)</t>
  </si>
  <si>
    <t>1-port PoE Adapter (1000Base-T PoE+/ 802.3at)</t>
  </si>
  <si>
    <t>1 adet Kadir Şar' a teslim edildi.
2 adet Alper Güden araclığıyla Emre Kök</t>
  </si>
  <si>
    <t>RG-NBS3100-8GT2SFP-P</t>
  </si>
  <si>
    <t>8 port 1G Poe, 2x SFP Poe budget: 192W switch</t>
  </si>
  <si>
    <t>RG-NBS3200-24GT4XS-P</t>
  </si>
  <si>
    <t>24 port 1G POE, 4 x SFP+, Poe budget: 370W Switch</t>
  </si>
  <si>
    <t>RG-NBS3200-48GT4XS-P</t>
  </si>
  <si>
    <t>48 port 1G POE, 4x SFP, Poe budget: 370W Switch</t>
  </si>
  <si>
    <t>RG-PA1000I-P-F</t>
  </si>
  <si>
    <t>AC PSU, 740W PoE for S5310-24/  S5310-48</t>
  </si>
  <si>
    <t>RG-PA150I-F</t>
  </si>
  <si>
    <t>150W AC power module for RG-S6120-20XS4VS2QXS</t>
  </si>
  <si>
    <t>4xÖztuğ, 2xYalıkavak</t>
  </si>
  <si>
    <t>RG-PA600I-P-F</t>
  </si>
  <si>
    <t>AC Power Module, 370W Power Budget for PoE</t>
  </si>
  <si>
    <t>RG-S2910-24GT4XS-E</t>
  </si>
  <si>
    <t>24 Port 1G, 4x 1G/10G SFP+ (non-combo) switch</t>
  </si>
  <si>
    <t>RG-S5300-48GT4XS-E</t>
  </si>
  <si>
    <t>48 port 1G 4x 1G/10G SFP+ Switch</t>
  </si>
  <si>
    <t>RG-S5310-24GT4XS-P-E</t>
  </si>
  <si>
    <t>24-PORT 10/100/1000BASE-T,4x1G/10G SFP+ PORTS</t>
  </si>
  <si>
    <t>RG-S5310-48GT4XS-P-E</t>
  </si>
  <si>
    <t>48-PORT 10/100/1000BASE-T,4x1G/10G SFP+ PORTS</t>
  </si>
  <si>
    <t>RG-WS6008</t>
  </si>
  <si>
    <t>Wireless Controller 6x 1G 2x 1G/SFP combo Max:200AP</t>
  </si>
  <si>
    <t>XG-SFP-AOC5M</t>
  </si>
  <si>
    <t>10G SFP+ Optical Stack Cable, 5m</t>
  </si>
  <si>
    <t>XG-SFP-LR-SM1310</t>
  </si>
  <si>
    <t>10GBase-LR, SFP+ transceiver (1310nm, 10km, LC)</t>
  </si>
  <si>
    <t>XS-S1960-24GT4SFP-H</t>
  </si>
  <si>
    <t>Layer 2+ Switch,24x1G BASE-T ports, 4x1G SFP</t>
  </si>
  <si>
    <t>CBA-U21-S07ZAR</t>
  </si>
  <si>
    <t>Barkod okuyucu kablosu</t>
  </si>
  <si>
    <t>Zebra</t>
  </si>
  <si>
    <t>MCX512A-ACUT</t>
  </si>
  <si>
    <t>Ethernet Kartı 25G Dual Port</t>
  </si>
  <si>
    <t>Mellanox</t>
  </si>
  <si>
    <t>2 adet Info Yatırım' da. (HFT)</t>
  </si>
  <si>
    <t>A-X3522-P08G-PQ-G</t>
  </si>
  <si>
    <t>Xilinx</t>
  </si>
  <si>
    <t>AIR-CAP1702I-E-K9</t>
  </si>
  <si>
    <t>Aironet 1702i AP; dual-band, 802.11a/g/n/ac</t>
  </si>
  <si>
    <r>
      <rPr>
        <b/>
        <sz val="10"/>
        <color rgb="FFFF0000"/>
        <rFont val="Calibri"/>
        <family val="2"/>
        <charset val="162"/>
      </rPr>
      <t>Arızalı</t>
    </r>
    <r>
      <rPr>
        <sz val="10"/>
        <color theme="1"/>
        <rFont val="Calibri"/>
        <family val="2"/>
        <charset val="162"/>
      </rPr>
      <t>, Kullanılmış kutusuz</t>
    </r>
  </si>
  <si>
    <t>AIR-AP1252AG-E-K9</t>
  </si>
  <si>
    <t>802.11a/g/n 2.4/5-GHz Mod Auto AP; 6 RP-TNC; ETSI</t>
  </si>
  <si>
    <t>AIR-SAP1602I-E-K9</t>
  </si>
  <si>
    <t>Dual-band stand-alone 802.11a/g/n</t>
  </si>
  <si>
    <t>J9591A</t>
  </si>
  <si>
    <t>MSM460 Dual Radio 802.11n Access Point</t>
  </si>
  <si>
    <t>901-E510-WW01</t>
  </si>
  <si>
    <t>Embedded 802.11ac Outdoor Wave 2 Wi-FI AP</t>
  </si>
  <si>
    <t>AIR-CT2504-K9</t>
  </si>
  <si>
    <t>2504 Wireless LAN Controller</t>
  </si>
  <si>
    <t>SG-80A</t>
  </si>
  <si>
    <t>Checkpoint L-50,8 port Firewall</t>
  </si>
  <si>
    <t>Checkpoint</t>
  </si>
  <si>
    <t>Honda'dan çıkanlar.</t>
  </si>
  <si>
    <t>U-5</t>
  </si>
  <si>
    <t>Checkpoint U-5, 5 Port Firewall</t>
  </si>
  <si>
    <t>FW-7540D</t>
  </si>
  <si>
    <t>Coslat Firewall</t>
  </si>
  <si>
    <t>Coslat</t>
  </si>
  <si>
    <t>SSG20</t>
  </si>
  <si>
    <t>Secure Services Gateway Firewall</t>
  </si>
  <si>
    <t>Juniper</t>
  </si>
  <si>
    <t>TTC8-05</t>
  </si>
  <si>
    <t>1080p TelePresence Precision Camera</t>
  </si>
  <si>
    <t>EN-84299</t>
  </si>
  <si>
    <t>Ednet Smart Home HD Starter Kit</t>
  </si>
  <si>
    <t>Ednet</t>
  </si>
  <si>
    <t>OPT-020-2</t>
  </si>
  <si>
    <t>Video Digital Optical Multiplexer 20km (Converter)</t>
  </si>
  <si>
    <t>Cifocs</t>
  </si>
  <si>
    <t>EX16S</t>
  </si>
  <si>
    <t>Coovox 16FXS Port VoIP Auto Expansion Box</t>
  </si>
  <si>
    <t>Zyco</t>
  </si>
  <si>
    <t>NG11AO</t>
  </si>
  <si>
    <t>NetGenie FW VDSL2-ADSL2+ WAN,3G,USB Modem Router</t>
  </si>
  <si>
    <t>Cyberoam</t>
  </si>
  <si>
    <t>USR5630G</t>
  </si>
  <si>
    <t>US Robotics Fax Modem</t>
  </si>
  <si>
    <t>US Robotics</t>
  </si>
  <si>
    <t>CISCO878-K9</t>
  </si>
  <si>
    <t>Cisco 878 Integrated Services Router</t>
  </si>
  <si>
    <t>TTC7-21</t>
  </si>
  <si>
    <t>Cisco TelePresence SX20 Quick Set</t>
  </si>
  <si>
    <t>WS-C2960X-24PD-L</t>
  </si>
  <si>
    <t>Catalyst 2960-X 24-Port 10/100/1000 POE Switch 370W</t>
  </si>
  <si>
    <t>N9K-C9372PX-E V01</t>
  </si>
  <si>
    <t>Nexus 9300 with 48p 10G SFP+ and 6p 40G QSFP+</t>
  </si>
  <si>
    <t>FWS624G</t>
  </si>
  <si>
    <t>Fastiron SW Manageable 24x10/100/1000Base-T</t>
  </si>
  <si>
    <t>kullanılmış kutusuz</t>
  </si>
  <si>
    <t>SSG-320M-SH</t>
  </si>
  <si>
    <t>Juniper 320M Secure Service Gateway</t>
  </si>
  <si>
    <t>EX2200-C-12P-2G</t>
  </si>
  <si>
    <t>12x 1G, 2x1G/ 2xSFP Uplink 100W Poe Switch</t>
  </si>
  <si>
    <t>IPS31108PFM</t>
  </si>
  <si>
    <t>Gigabit uplink 10-port managed industrial PoE switch</t>
  </si>
  <si>
    <t>ONV</t>
  </si>
  <si>
    <t>GS1900-8HP</t>
  </si>
  <si>
    <t>8-port GbE Akıllı Yönetilebilir PoE Switch (70W)</t>
  </si>
  <si>
    <t>Zyxel</t>
  </si>
  <si>
    <t>2498-24E</t>
  </si>
  <si>
    <t>Express System Storage SAN24B-4</t>
  </si>
  <si>
    <t>200-0356-06</t>
  </si>
  <si>
    <t>BIG-IP 2000 Load Balancer Local Traffic Manager</t>
  </si>
  <si>
    <t>F5</t>
  </si>
  <si>
    <t>DKX116</t>
  </si>
  <si>
    <t>Dominion KX 1-User 16-Port KVM Over IP Switch</t>
  </si>
  <si>
    <t>Raritan</t>
  </si>
  <si>
    <t>41Y9310</t>
  </si>
  <si>
    <t>8 Port KVM Console Switch</t>
  </si>
  <si>
    <t>69Y6015</t>
  </si>
  <si>
    <t>Local 1x8 Console Manager</t>
  </si>
  <si>
    <t>CISCO2911-K9</t>
  </si>
  <si>
    <t>Cisco 2911 with 3 onboard GE</t>
  </si>
  <si>
    <t>Cisco1941/K9 V02</t>
  </si>
  <si>
    <t>1941 Series Integrated Services Routers</t>
  </si>
  <si>
    <t>ICX7450-48P-E</t>
  </si>
  <si>
    <t>48 Port POE+ Bundle 4X10G SFP+ 2X40G 1PSU</t>
  </si>
  <si>
    <t>3C16471</t>
  </si>
  <si>
    <t>Baseline 10/100 24-Port Switch</t>
  </si>
  <si>
    <t>3COM</t>
  </si>
  <si>
    <t>RG-S2910-24GT4SFP-UP-H</t>
  </si>
  <si>
    <t>24x 10/100/1000, 4SFP ports HPoE (1-4 port) Poe Budget: 370W</t>
  </si>
  <si>
    <t>RG-NBS5200-24GT4XS</t>
  </si>
  <si>
    <t xml:space="preserve">24x 10/100/1000 4SFP+ Basic L3 Cloud Managed Switch </t>
  </si>
  <si>
    <t>J9021A</t>
  </si>
  <si>
    <t>HPE ProCurve Switch 2810 24G</t>
  </si>
  <si>
    <t>J4899A</t>
  </si>
  <si>
    <t>HPE ProCurve Switch 2650, 48x10/100, 2xSFP/T Combo</t>
  </si>
  <si>
    <t>J4899C</t>
  </si>
  <si>
    <t>J4899B</t>
  </si>
  <si>
    <t>J9088A</t>
  </si>
  <si>
    <t>HPE Procurve 2610 48x10/100,2xSFP</t>
  </si>
  <si>
    <t>J9089A</t>
  </si>
  <si>
    <t>HPE ProCurve Switch 2610 48PWR 48PT</t>
  </si>
  <si>
    <t>Tatko da konsinye</t>
  </si>
  <si>
    <t>J9019B</t>
  </si>
  <si>
    <t>HPE ProCurve 2510 24x10/100,2x10/100/1000,2xSFP</t>
  </si>
  <si>
    <t>J9028A</t>
  </si>
  <si>
    <t>HPE ProCurve Switch 1800 24G</t>
  </si>
  <si>
    <t>J4904A</t>
  </si>
  <si>
    <t>HPE ProCurve 2848, 44x10/100/1000,4xSFP/T Combo</t>
  </si>
  <si>
    <t>J4903A</t>
  </si>
  <si>
    <t>HPE ProCurve 2824, 20x10/100/1000,4xSFP/T Combo</t>
  </si>
  <si>
    <t>MDP-1200MB-1A</t>
  </si>
  <si>
    <t>NEC Ipasolink VR  6-42GHz 10-500 Mbps Digital Radio System</t>
  </si>
  <si>
    <t>NEC</t>
  </si>
  <si>
    <t>FML-400C</t>
  </si>
  <si>
    <t>FML-400C Mail Appliance</t>
  </si>
  <si>
    <t xml:space="preserve">P01-S124-UK00 </t>
  </si>
  <si>
    <t>SmartZone 124 - 2x10GE &amp; 1xGE</t>
  </si>
  <si>
    <t>WS-C3650-12X48UR</t>
  </si>
  <si>
    <t>12x 100M/1G/2.5G/5G/10G + 36 10/100/1000 Cisco UPOE</t>
  </si>
  <si>
    <t>2 adet Mars DC' de</t>
  </si>
  <si>
    <t>WS-C2960X-24TD-L</t>
  </si>
  <si>
    <t>24x 10/100/1000 ports, 2SFP+</t>
  </si>
  <si>
    <t>WS-C2960X-48TD-L</t>
  </si>
  <si>
    <t>Catalyst 2960-X 48-Port 10/100/1000 Switch</t>
  </si>
  <si>
    <t>WS-C3750-48PS-S V05</t>
  </si>
  <si>
    <t>48x 10/100, 4 SFP, Stacking POE Switch, 370W</t>
  </si>
  <si>
    <t>catalyst 3750G</t>
  </si>
  <si>
    <t>WS-C3750X-48P-S</t>
  </si>
  <si>
    <t>48x 10/100/1000 ports, 4 SFP Poe budget: 435W</t>
  </si>
  <si>
    <t>AIR-CT5508-K9</t>
  </si>
  <si>
    <t>Aironet 5508 Wireless LAN Controller</t>
  </si>
  <si>
    <t>JE072A</t>
  </si>
  <si>
    <t>48x 10/100/1000 ports, 4 SFP  L3 SI Switch</t>
  </si>
  <si>
    <t>J4868A</t>
  </si>
  <si>
    <t>Procurve 2124, 24x 10/100 ports, 1x 100FX SFP slot (Unmanaged)</t>
  </si>
  <si>
    <t>J9776A</t>
  </si>
  <si>
    <t>Procurve, 2530-24G, 24x 100/1000/1000 ports, 4SFP</t>
  </si>
  <si>
    <t>J8762A</t>
  </si>
  <si>
    <t>8x 10/100, 1x 10/100T/ 1xSFP Uplink, 126W Poe Switch</t>
  </si>
  <si>
    <t>XS-S1960-10GT2SFP-P-H</t>
  </si>
  <si>
    <t>Layer 2+ Switch,2x100/1000BASE-XSFP,8xPoE/PoE+125W</t>
  </si>
  <si>
    <t>Ruijie den gelen</t>
  </si>
  <si>
    <t>RG-S2910-10GT2SFP-P-E</t>
  </si>
  <si>
    <t>10x 10/100/1000, 2SFP, 1-8 ports for PoE/PoE+</t>
  </si>
  <si>
    <t>RG-S1818G</t>
  </si>
  <si>
    <t>16x 10/100/1000, 2SFP Unmanaged Switch</t>
  </si>
  <si>
    <t>RG-S1826G</t>
  </si>
  <si>
    <t>24x 10/100/1000, 2SFP Unmanaged Switch</t>
  </si>
  <si>
    <r>
      <rPr>
        <b/>
        <sz val="10"/>
        <color rgb="FFFF0000"/>
        <rFont val="Calibri"/>
        <family val="2"/>
        <charset val="162"/>
      </rPr>
      <t>Arızalı</t>
    </r>
    <r>
      <rPr>
        <sz val="10"/>
        <color theme="1"/>
        <rFont val="Calibri"/>
        <family val="2"/>
        <charset val="162"/>
      </rPr>
      <t>, Kullanılmış, kutusuz</t>
    </r>
  </si>
  <si>
    <t>RG-S1826G-P</t>
  </si>
  <si>
    <t>24x 10/100/1000, 2SFP Unmanaged Poe Switch Poe budget: 370W</t>
  </si>
  <si>
    <t>RG-ES126G-LP-L</t>
  </si>
  <si>
    <t>24x 10/100/1000, 2SFP Unmanaged Poe Switch, Poe budget: 180W</t>
  </si>
  <si>
    <t>10x 10/100/1000, 2SFP, 1-8 ports for PoE/PoE+ Poe budget: 125W</t>
  </si>
  <si>
    <t>N9K-C9372PX V03</t>
  </si>
  <si>
    <t>Göçmen' den alınan 2. El ürünler. Kadir Şar' a teslim edildi. 07.08.2024</t>
  </si>
  <si>
    <t>WS-C3850-48XS</t>
  </si>
  <si>
    <t>8132F</t>
  </si>
  <si>
    <t>AT-SPSX</t>
  </si>
  <si>
    <t>1000SX SFP, LC, MMF, 850 nm</t>
  </si>
  <si>
    <t>PM1W-GR</t>
  </si>
  <si>
    <t>Schneider APC Akım Korumalı Priz  Tekli</t>
  </si>
  <si>
    <t>APC</t>
  </si>
  <si>
    <t xml:space="preserve">PM5-GR </t>
  </si>
  <si>
    <t>Schneider APC Akım Korumalı Priz  5Li</t>
  </si>
  <si>
    <t>SRVRK1</t>
  </si>
  <si>
    <t>APC Easy UPS RAIL KIT, 700MM</t>
  </si>
  <si>
    <t xml:space="preserve">J9993A </t>
  </si>
  <si>
    <t xml:space="preserve">8-port 1G/10GbE SFP+ MACsec v3 zl2 Module </t>
  </si>
  <si>
    <t>JL675A</t>
  </si>
  <si>
    <t>6100 48G Class4 PoE 4SFP+ 370W Switch</t>
  </si>
  <si>
    <t>R2H28A</t>
  </si>
  <si>
    <t>AP-505 (RW) Dual Radio 2x2:2 802.11ax Indoor AP</t>
  </si>
  <si>
    <t>R4H17A</t>
  </si>
  <si>
    <t>AP-575 (RW) 802.11ax 2x2:2/4x4:4 Outdoor AP</t>
  </si>
  <si>
    <t>BN-GLC-10T</t>
  </si>
  <si>
    <t>10GBase-T RJ45 SFP+ 30m</t>
  </si>
  <si>
    <t>BN-GLC-T</t>
  </si>
  <si>
    <t>1000Base-T RJ45 100M 1.25G SFP Transceiver</t>
  </si>
  <si>
    <t>BN-PP-624U</t>
  </si>
  <si>
    <t>24 Port Cat6 UTP Patch Panel,8P8C,LSA,1U,zırhsız</t>
  </si>
  <si>
    <t>XBR-000147</t>
  </si>
  <si>
    <t>8G Fiber SFP+ 850nm 150m DOM LC MMF 57-1000012-01</t>
  </si>
  <si>
    <t>XBR-000180</t>
  </si>
  <si>
    <t>10GBase-SR SFP+ MMF 300m 850nm 57-0000075-01</t>
  </si>
  <si>
    <t>AIR-AP2802I-E-K9</t>
  </si>
  <si>
    <t>802.11ac W2 AP w/CA; 4x4:3; Int Ant; 2xGbE E</t>
  </si>
  <si>
    <t>AIR-CAP1602I-E-K9</t>
  </si>
  <si>
    <t>Dual-band controller based 802.11a/g/n</t>
  </si>
  <si>
    <t>AIR-CAP2702I-E-K9</t>
  </si>
  <si>
    <t>802.11ac CAP w/CleanAir; 3x4:3SS; Int Ant; E</t>
  </si>
  <si>
    <t>AIR-CAP3502I-E-K9</t>
  </si>
  <si>
    <t>802.11a/g/n Ctrlr-based AP w/CleanAir; Int Ant; E</t>
  </si>
  <si>
    <t>AIR-CAP3702E-A-K9</t>
  </si>
  <si>
    <t>802.11ac Ctrlr AP 4x4:3SS w/CleanAir; Ext Ant</t>
  </si>
  <si>
    <t>AIR-CAP3702I-E-K9</t>
  </si>
  <si>
    <t>802.11ac Ctrlr AP 4x4:3SS w/CleanAir; Int Ant</t>
  </si>
  <si>
    <t>AIR-PWRINJ4</t>
  </si>
  <si>
    <t>Aironet PoE Power Injector 341-0212-01</t>
  </si>
  <si>
    <t>ASA5506-FTD-K9</t>
  </si>
  <si>
    <t>ASA 5506-X with Firepower Threat Defense, 8GE, AC</t>
  </si>
  <si>
    <t>ASA5506-PWR-AC</t>
  </si>
  <si>
    <t>ASA 5506-X Power Adaptor</t>
  </si>
  <si>
    <t>CBW140AC-E</t>
  </si>
  <si>
    <t>CBW140AC 802.11ac 2x2 Wave 2 AP Ceiling Mount</t>
  </si>
  <si>
    <t>FPR1010-NGFW-K9</t>
  </si>
  <si>
    <t>Cisco Firepower 1010 NGFW Appliance</t>
  </si>
  <si>
    <t>1000Base-SX short wavelength;with DOM</t>
  </si>
  <si>
    <t>SFP-H10GB-CU1M</t>
  </si>
  <si>
    <t>1 Meter 10GbE SFP+ DAC Cable Twinax 37-0960-03</t>
  </si>
  <si>
    <t>SFP-H10GB-CU5M</t>
  </si>
  <si>
    <t>5 Meter 10GbE SFP+ DAC Cable Twinax 37-0962-03</t>
  </si>
  <si>
    <t>Distribution Module Panel, SL, UTP, 1U, 24 port</t>
  </si>
  <si>
    <t>1673956-6</t>
  </si>
  <si>
    <t>Mod Jack Lacing Fixture for SL Tool</t>
  </si>
  <si>
    <t>6-554720-3</t>
  </si>
  <si>
    <t>Modular Plug,8P/8C,unshielded,flatoval,2.54x8.89mm</t>
  </si>
  <si>
    <t>AP-7622-68B30-1-WR</t>
  </si>
  <si>
    <t>802.11ac dual band 1x1;single band 2x2,BLE, 1xGE</t>
  </si>
  <si>
    <t>Extreme</t>
  </si>
  <si>
    <t>FTLF8519P2BNL</t>
  </si>
  <si>
    <t>1000Base-SX 2.125G-850nm SFP Module</t>
  </si>
  <si>
    <t>Finisar</t>
  </si>
  <si>
    <t>FTLF8519P3BNL</t>
  </si>
  <si>
    <t>1000Base-SX 2.125G 850nm SFP Module</t>
  </si>
  <si>
    <t>FTLX8574D3BCL</t>
  </si>
  <si>
    <t>10GBase-SR 850nm SFP+ 300 Meter DDM</t>
  </si>
  <si>
    <t>FTRJ-1319-7D</t>
  </si>
  <si>
    <t>1000Base-LX 2.125G 10km 1310nm LC SFP Module</t>
  </si>
  <si>
    <t>FG-3000D</t>
  </si>
  <si>
    <t>16x10G SFP+slots,2xRJ45 Management,480GBSSD,2PSU</t>
  </si>
  <si>
    <t>FG-40F-BDL-950-12</t>
  </si>
  <si>
    <t>FortiGate 40F + 1yr 24x7 FCare&amp;FGuard</t>
  </si>
  <si>
    <t>FG-80F-BDL-950-12</t>
  </si>
  <si>
    <t>FortiGate 80F + 1yr 24x7 FCare&amp;Fguard UTP</t>
  </si>
  <si>
    <t>FWL-400C</t>
  </si>
  <si>
    <t>FortiMail Email Security App,4x1G,2TB Storage</t>
  </si>
  <si>
    <t>CA72311-0701</t>
  </si>
  <si>
    <t>SAS QSFP 0.75M Cable</t>
  </si>
  <si>
    <t>Fujitsu</t>
  </si>
  <si>
    <t>418408-B21</t>
  </si>
  <si>
    <t>HP StorageWorks 60 Modular Smart Array, MSA60</t>
  </si>
  <si>
    <t>AG052A</t>
  </si>
  <si>
    <t xml:space="preserve">HP TFT7600 Rackmount Keyboard and Monitor </t>
  </si>
  <si>
    <t>DL360 G5</t>
  </si>
  <si>
    <t>DL380 G5</t>
  </si>
  <si>
    <t>G4P</t>
  </si>
  <si>
    <t>J4821B</t>
  </si>
  <si>
    <t>HPE ProCurve Switch xl 100/1000 T Module</t>
  </si>
  <si>
    <t>J4850A</t>
  </si>
  <si>
    <t>ProCurve 5304xl Switch</t>
  </si>
  <si>
    <t>J4858B</t>
  </si>
  <si>
    <t>ProCurve Gigabit-SX-LC Mini-GBIC Transceiver</t>
  </si>
  <si>
    <t>J4858C</t>
  </si>
  <si>
    <t>X121 1G SFP LC SX Transceiver</t>
  </si>
  <si>
    <t>J4862B</t>
  </si>
  <si>
    <t>HPE ProCurve Switch GL 10/100 24-Port Module</t>
  </si>
  <si>
    <t>J4864A</t>
  </si>
  <si>
    <t>HPE Procurve GL 3 Slot Transceiver Module</t>
  </si>
  <si>
    <t>J4865A</t>
  </si>
  <si>
    <t>HPE Procurve 4108GL Switch Chassis</t>
  </si>
  <si>
    <t>J4908A</t>
  </si>
  <si>
    <t>HPE Procurve 22 port 2 mGBIC 4100GL Switch Module</t>
  </si>
  <si>
    <t>J8164A</t>
  </si>
  <si>
    <t>HPE ProCurve 2626 PWR Switch ,24 Ports PoE</t>
  </si>
  <si>
    <t>J8698A</t>
  </si>
  <si>
    <t>HPE ProCurve Switch 5412zl Intelligent Edge</t>
  </si>
  <si>
    <t>J8702A</t>
  </si>
  <si>
    <t>HPE ProCurve Switch zl 24-Port 10/100/1000 PoE</t>
  </si>
  <si>
    <t>J8705A</t>
  </si>
  <si>
    <t>HPE ProCurve Switch zl 20-Port 10/100/1000+4-Port</t>
  </si>
  <si>
    <t>J8706A</t>
  </si>
  <si>
    <t>HPE ProCurve Switch 5400zl 24p Mini-GBIC Module</t>
  </si>
  <si>
    <t>J8726A</t>
  </si>
  <si>
    <t>HPE 5400ZL Procurve Switch 5400zl Mang. Module</t>
  </si>
  <si>
    <t>HPE ProCurve Switch 2600 8 PWR PoE</t>
  </si>
  <si>
    <t>J8768A</t>
  </si>
  <si>
    <t>HPE ProCurve Switch vl 24 Port Gig T Module</t>
  </si>
  <si>
    <t>J8770A</t>
  </si>
  <si>
    <t>HPE ProCurve 4200 vl Switch 4Slot Chassis 4204vl</t>
  </si>
  <si>
    <t>J9001A</t>
  </si>
  <si>
    <t>HPE ProCurve Wireless Edge Services xl Module</t>
  </si>
  <si>
    <t>J9003A</t>
  </si>
  <si>
    <t>HPE ProCurve Redn Wireless Edge Services XL module</t>
  </si>
  <si>
    <t>J9022A</t>
  </si>
  <si>
    <t>HPE ProCurve Switch 2810 48G</t>
  </si>
  <si>
    <t>J9033A</t>
  </si>
  <si>
    <t>HPE Procurve 20 Port Gig-T &amp; 4 SFP Port Module</t>
  </si>
  <si>
    <t>J9309A</t>
  </si>
  <si>
    <t>HPE ProCurve 4-Port 10GbE SFP+ zl Module</t>
  </si>
  <si>
    <t>J9538A</t>
  </si>
  <si>
    <t>HPE 8-port 10GbE SFP+ v2 zl Module</t>
  </si>
  <si>
    <t>HPE MSM460 Dual Radio 802.11n AP</t>
  </si>
  <si>
    <t>J9651A</t>
  </si>
  <si>
    <t>HPE MSM430 Dual Radio 802.11n AP</t>
  </si>
  <si>
    <t>MXPD-243S</t>
  </si>
  <si>
    <t>1.25G-1310NM-10KM-SM-ESFP MXPD-243S transceiver</t>
  </si>
  <si>
    <t>Huawei</t>
  </si>
  <si>
    <t>S2350-28TP-EI-AC</t>
  </si>
  <si>
    <t>24x10/100BASE-TX ports,2xSFP/T Combo</t>
  </si>
  <si>
    <t>17353LX</t>
  </si>
  <si>
    <t>IBM (1x8) Console Switch</t>
  </si>
  <si>
    <t>1754A1X</t>
  </si>
  <si>
    <t>IBM Local 1X8 Console Manager (LCM8) 1754HC3</t>
  </si>
  <si>
    <t>2498-B24</t>
  </si>
  <si>
    <t>IBM 2498 SAN24B-4 Express Model B24</t>
  </si>
  <si>
    <t>7226-1U3</t>
  </si>
  <si>
    <t>IBM System Storage 7226 Model 1U3</t>
  </si>
  <si>
    <t>794786G</t>
  </si>
  <si>
    <t>IBM System x3650 M2</t>
  </si>
  <si>
    <t>7979B4G</t>
  </si>
  <si>
    <t>IBM System x3650 Xeon</t>
  </si>
  <si>
    <t>7979KHG</t>
  </si>
  <si>
    <t>IBM System x3650 Quad Core Intel Xeon</t>
  </si>
  <si>
    <t>Controller</t>
  </si>
  <si>
    <t>IBM Shelf</t>
  </si>
  <si>
    <t>System P5</t>
  </si>
  <si>
    <t>X3550 M4</t>
  </si>
  <si>
    <t>SRX-SFP-10GE-SR</t>
  </si>
  <si>
    <t>10 Gigabit Ethernet (SFP+) SR Duplex LC 740-021308</t>
  </si>
  <si>
    <t>SSG-20-SH</t>
  </si>
  <si>
    <t xml:space="preserve">Juniper 5 Ports L3 Stackable SW Secure Gateway </t>
  </si>
  <si>
    <t>X2000</t>
  </si>
  <si>
    <t>Linksys X2000 Wireless-N Router with ADSL2+ Modem</t>
  </si>
  <si>
    <t>Linksys</t>
  </si>
  <si>
    <t>LNF-SFP-10G-SR</t>
  </si>
  <si>
    <t>10GBase-SR SFP+ 850nm 300m DDM</t>
  </si>
  <si>
    <t>Longline</t>
  </si>
  <si>
    <t>001 020 400018 00 11</t>
  </si>
  <si>
    <t>18mm PVC Spiral Boru</t>
  </si>
  <si>
    <t>Mutlusan</t>
  </si>
  <si>
    <t>NTL-SFPRJ45-C</t>
  </si>
  <si>
    <t>1000Base-T RJ45100M Cisco Compatible</t>
  </si>
  <si>
    <t>VR-100</t>
  </si>
  <si>
    <t>5-Port 10/100/1000T VPN Security Router</t>
  </si>
  <si>
    <t>901-7372-WW00</t>
  </si>
  <si>
    <t>ZF7372 dual band 11n AP</t>
  </si>
  <si>
    <t>901-H500-WW00</t>
  </si>
  <si>
    <t>H500 WW dual band 11ac wall switch AP</t>
  </si>
  <si>
    <t>901-P300-WW02</t>
  </si>
  <si>
    <t>P300 WW 11ac outdoor bridge (pair)</t>
  </si>
  <si>
    <t>901-R510-WW00</t>
  </si>
  <si>
    <t>R510 WW dual band 11ac indoor AP 2x2:2</t>
  </si>
  <si>
    <t>901-R730-WW00</t>
  </si>
  <si>
    <t>R730 WW dual band 11ax AP 1GbE and 1/2.5/5 Gbps</t>
  </si>
  <si>
    <t>902-0162-EU00</t>
  </si>
  <si>
    <t>PoE Injector 20W 100Mbps EU - 1</t>
  </si>
  <si>
    <t>9U1-H320-WW00</t>
  </si>
  <si>
    <t>H320 WW Unleashed 11ac W2 wall switch AP</t>
  </si>
  <si>
    <t>CLD-ANAP-1001</t>
  </si>
  <si>
    <t>Ruckus Analytics 1yr for 1AP</t>
  </si>
  <si>
    <t xml:space="preserve">ICX6450-48 </t>
  </si>
  <si>
    <t>48-PRT 2×1 GbE SFP+(upto10GbE) 2×1GbE/10GbE SFP+</t>
  </si>
  <si>
    <t xml:space="preserve">ICX7150-C12P-2X1G </t>
  </si>
  <si>
    <t>12 Port POE+ Compact 2X1G SFP+</t>
  </si>
  <si>
    <t>RG-ES216GC</t>
  </si>
  <si>
    <t>16-Port Gigabit Cloud Mananged Non-PoE Switch</t>
  </si>
  <si>
    <t>RG-NBA5200-24GT4XS</t>
  </si>
  <si>
    <t>24-port Gigabit Layer 2+ Non-PoE Switch, 4 SFP+</t>
  </si>
  <si>
    <t>MINI-GBIC-GT</t>
  </si>
  <si>
    <t>1000Base-GT mini GBIC Transceiver</t>
  </si>
  <si>
    <t>Mini-GBIC-LX-SM1310</t>
  </si>
  <si>
    <t>1000Base-LX mini GBIC transceiver (1310nm)</t>
  </si>
  <si>
    <t>Mini-GBIC-SX-MM850</t>
  </si>
  <si>
    <t>1000Base-SX mini GBIC transceiver (850nm)</t>
  </si>
  <si>
    <t>RG-EG2100-P V2</t>
  </si>
  <si>
    <t>Gateway,8GEports(upto2WAN&amp;7LANport) upto7xPOE/POE+</t>
  </si>
  <si>
    <t xml:space="preserve">RG-LIC-WS-16 </t>
  </si>
  <si>
    <t>WS Series Controller Upgrade License for 16 Aps</t>
  </si>
  <si>
    <t>RG-LIC-WS-32</t>
  </si>
  <si>
    <t>WS Series Controller Upgrade License for 32 Aps</t>
  </si>
  <si>
    <t>RG-S6120-20XS4VS2QXS</t>
  </si>
  <si>
    <t>20x1G/10GBASE-X SFP+,4x10G/25GBASE-X, 2x40G QSFP+</t>
  </si>
  <si>
    <t>XG-SFP-AOC1M V1.1</t>
  </si>
  <si>
    <t>10GBase SFP+ optical stack cable 1 meter</t>
  </si>
  <si>
    <t>XG-SFP-AOC1M V2.0</t>
  </si>
  <si>
    <t>XG-SFP-SR-MM850</t>
  </si>
  <si>
    <t>10GBase-SR, SFP+ transceiver, MM (850nm, 300m, LC)</t>
  </si>
  <si>
    <t>DS218</t>
  </si>
  <si>
    <t>DiskStation 2 slots NAS</t>
  </si>
  <si>
    <t>Synology</t>
  </si>
  <si>
    <t>Nano5-72812</t>
  </si>
  <si>
    <t>Mini PC Nano Z</t>
  </si>
  <si>
    <t>Techno PC</t>
  </si>
  <si>
    <t>F2 Systems</t>
  </si>
  <si>
    <t>IPC2122CR3-PF40-A</t>
  </si>
  <si>
    <t>2MP 4.0MM IR Bullet IP Kamera</t>
  </si>
  <si>
    <t>Uniview</t>
  </si>
  <si>
    <t>MS Kodu</t>
  </si>
  <si>
    <t>MS Açıklaması</t>
  </si>
  <si>
    <t>Aktif Cihaz Ürün Grubu</t>
  </si>
  <si>
    <t>Zayıf Akım</t>
  </si>
  <si>
    <t>Network</t>
  </si>
  <si>
    <t>Sistem</t>
  </si>
  <si>
    <t>Lisans ve Destek</t>
  </si>
  <si>
    <t>Bilgisayar ve Donanımları</t>
  </si>
  <si>
    <t>Aktif Cihaz Aksesuarları</t>
  </si>
  <si>
    <t>Enerji</t>
  </si>
  <si>
    <t>Pasif Cihaz Ürün Grubu</t>
  </si>
  <si>
    <t>Bakır</t>
  </si>
  <si>
    <t>Fiber</t>
  </si>
  <si>
    <t>Kabinet</t>
  </si>
  <si>
    <t>Pasif</t>
  </si>
  <si>
    <t>Elektrik</t>
  </si>
  <si>
    <t>Yazılım Ürün Grupları</t>
  </si>
  <si>
    <t>Sayım Tarihi</t>
  </si>
  <si>
    <t>Miktar</t>
  </si>
  <si>
    <t>ÜRÜN HAREKET RAPORU</t>
  </si>
  <si>
    <t>Satır Etiketleri</t>
  </si>
  <si>
    <t>Genel Toplam</t>
  </si>
  <si>
    <t>T. Maliyet</t>
  </si>
  <si>
    <t>B. Maliyet</t>
  </si>
  <si>
    <t>Arista</t>
  </si>
  <si>
    <t>Xilinx Alveo X3522 Low Latency Network Adapter</t>
  </si>
  <si>
    <t>48 Port POE+ 4X10G SFP+ Max Poe Budget 740W</t>
  </si>
  <si>
    <t>Jabra Evolve 20 Duo MS Kablolu Çağrı Merkezi Kulaklığı</t>
  </si>
  <si>
    <t>HPE ProLiant DL380 Gen10 Server</t>
  </si>
  <si>
    <t>MPO/MPO Patch Cord 12 Cores OM4 B Type 3.0mm 3M LSZH</t>
  </si>
  <si>
    <t>100Gbps, QSFP28, Multimode,100m,OM4,MPO/MTP Connector</t>
  </si>
  <si>
    <t>9 Pin 2 USB 20 Cm Dişi Panel Tipi Kablo</t>
  </si>
  <si>
    <t>Alphacool</t>
  </si>
  <si>
    <t>Stok Miktarı
15.10.2024</t>
  </si>
  <si>
    <t>Stok Miktarı
31.10.2024</t>
  </si>
  <si>
    <t>RPS21-E</t>
  </si>
  <si>
    <t>ICX-FAN12-E</t>
  </si>
  <si>
    <t>9U1-R350-WW02</t>
  </si>
  <si>
    <t>9U1-R650-WW00</t>
  </si>
  <si>
    <t>ICX7150-C10ZP-2X10GR</t>
  </si>
  <si>
    <t>ICX7550-24F</t>
  </si>
  <si>
    <t>ICX7550-48F</t>
  </si>
  <si>
    <t>ICX8200-24</t>
  </si>
  <si>
    <t>ICX8200-48</t>
  </si>
  <si>
    <t>Power Supply, 400W AC exhaust front to back airflow</t>
  </si>
  <si>
    <t>ICX 7650 and ICX 7850 exhaust airflow fan, front to back airflow</t>
  </si>
  <si>
    <t>R350 WW Unleashed 11ax AP 2x2:2</t>
  </si>
  <si>
    <t>R650 WW Unleashed 11ax AP 4+2strm</t>
  </si>
  <si>
    <t>10 Port POH MG 2X10G SFP+ L3 Prem</t>
  </si>
  <si>
    <t>24 Port 1/10G SFP NO PSU/FAN</t>
  </si>
  <si>
    <t>24 Port 1G 4x25G SFP28</t>
  </si>
  <si>
    <t>48 Port 1G 4x25G SFP28</t>
  </si>
  <si>
    <t>48 Port 1G SFP + 4 1/10/25 SFP28 Fiber Switch</t>
  </si>
  <si>
    <t>48 Port 12x 1/10G SFP NO PSU/FAN</t>
  </si>
  <si>
    <t>100GbE QSFP to QSFP twinax copper cable</t>
  </si>
  <si>
    <t>J9734A</t>
  </si>
  <si>
    <t>JL325A</t>
  </si>
  <si>
    <t>R0M46A</t>
  </si>
  <si>
    <t>JL087A</t>
  </si>
  <si>
    <t>BN-PP-M24S</t>
  </si>
  <si>
    <t>1725150-6</t>
  </si>
  <si>
    <t>Stok Miktarı
12.11.2024</t>
  </si>
  <si>
    <t xml:space="preserve">X372 54VDC 1050W 110-240VAC Power Supply </t>
  </si>
  <si>
    <t>2-port Stacking Module</t>
  </si>
  <si>
    <t>50G SFP56 DAC 0.65m </t>
  </si>
  <si>
    <t>24 Port Modüler Boş Patch Panel, Zırhlı</t>
  </si>
  <si>
    <t xml:space="preserve">Jack Termination Tool with Lacing Fixture </t>
  </si>
  <si>
    <t>2920/2930M 0.5m Stacking Cable </t>
  </si>
  <si>
    <t>Ürün Grubu</t>
  </si>
  <si>
    <t>Switch</t>
  </si>
  <si>
    <t>Converter</t>
  </si>
  <si>
    <t>Accessories</t>
  </si>
  <si>
    <t>AP</t>
  </si>
  <si>
    <t>SFP</t>
  </si>
  <si>
    <t>FO Patch Cable</t>
  </si>
  <si>
    <t>Copper Patch Cable</t>
  </si>
  <si>
    <t>HDMI Cable</t>
  </si>
  <si>
    <t>LAN Cable</t>
  </si>
  <si>
    <t>FO Cable</t>
  </si>
  <si>
    <t>Copper Patch Panel</t>
  </si>
  <si>
    <t>Server</t>
  </si>
  <si>
    <t>Other</t>
  </si>
  <si>
    <t>LIHCH Cable</t>
  </si>
  <si>
    <t>Coaxial Cable</t>
  </si>
  <si>
    <t>FO Patch Panel</t>
  </si>
  <si>
    <t>Pigtail</t>
  </si>
  <si>
    <t>Coupler</t>
  </si>
  <si>
    <t>DAC</t>
  </si>
  <si>
    <t>Cabinet</t>
  </si>
  <si>
    <t>Firewall</t>
  </si>
  <si>
    <t>Monitor</t>
  </si>
  <si>
    <t>Storage</t>
  </si>
  <si>
    <t>DLP</t>
  </si>
  <si>
    <t>Headset</t>
  </si>
  <si>
    <t>Energy Cable</t>
  </si>
  <si>
    <t>Ethernet Adapter</t>
  </si>
  <si>
    <t>Null</t>
  </si>
  <si>
    <t>QSFP-40G-CSR4</t>
  </si>
  <si>
    <t>Stok Miktarı
18.11.2024</t>
  </si>
  <si>
    <t>40GBase-CSR4, 4 şerit, 850 nm MMF</t>
  </si>
  <si>
    <t>JNP-SFP-25G-DAC-5M</t>
  </si>
  <si>
    <t>EX4100-48T</t>
  </si>
  <si>
    <t>JPSU-150AC-AFO</t>
  </si>
  <si>
    <t>43UH5N-E</t>
  </si>
  <si>
    <t>Stok Miktarı
04.12.2024</t>
  </si>
  <si>
    <t>PowerEdge R640 Server</t>
  </si>
  <si>
    <t>SFP28, 25GE Direct Attach Copper Cable</t>
  </si>
  <si>
    <t xml:space="preserve">48-Port 10/100/1000BaseT, 4x 10G SFP+,4x25G SFP28 </t>
  </si>
  <si>
    <t>EX3400 150W DC Power Supply, front-to-back airflow</t>
  </si>
  <si>
    <t>901-H550-WW02</t>
  </si>
  <si>
    <t>Stok Miktarı
09.12.2024</t>
  </si>
  <si>
    <t>Stok Miktarı
16.12.2024</t>
  </si>
  <si>
    <t>11FJA0EPTX</t>
  </si>
  <si>
    <t>RG-AP180</t>
  </si>
  <si>
    <t>RG-AP180-MNT/10/1</t>
  </si>
  <si>
    <t>Stok Miktarı
23.12.2024</t>
  </si>
  <si>
    <t xml:space="preserve">V50A-24 Intel Core i5-10400T 32GB 1TB SSD </t>
  </si>
  <si>
    <t>PC</t>
  </si>
  <si>
    <t>Wi-Fi 6 Dual Radio 1775 Mbps Indoor Wall Plate AP</t>
  </si>
  <si>
    <t>Mounting bracket for the US standard junction box</t>
  </si>
  <si>
    <t>FG-400F</t>
  </si>
  <si>
    <t>THS 120 G</t>
  </si>
  <si>
    <t>001-020-140025-00-17</t>
  </si>
  <si>
    <t>Stok Miktarı
30.12.2024</t>
  </si>
  <si>
    <t>FortiGate 400F</t>
  </si>
  <si>
    <t>Socomec</t>
  </si>
  <si>
    <t>UPS</t>
  </si>
  <si>
    <t>STATYS XS 16A 230V Single Phase 2 Wires 2 Pole Switching 19" Rack</t>
  </si>
  <si>
    <t>16mm PVC Spiral Boru</t>
  </si>
  <si>
    <t>210-BGLV</t>
  </si>
  <si>
    <t>4662-7H2</t>
  </si>
  <si>
    <t>66EE-GAC3TK</t>
  </si>
  <si>
    <t>E25G-SFP28-TWX-P-0101</t>
  </si>
  <si>
    <t>901-H350-WW00</t>
  </si>
  <si>
    <t>901-R560-WW00</t>
  </si>
  <si>
    <t>ICX7150-48-4X10GR</t>
  </si>
  <si>
    <t>ICX8200-24F</t>
  </si>
  <si>
    <t>ICX8200-48F</t>
  </si>
  <si>
    <t>Stok Miktarı
15.01.2025</t>
  </si>
  <si>
    <t>PowerEdge R760XS Server</t>
  </si>
  <si>
    <t>IBM FlashSystem 5300 Control Enclosure</t>
  </si>
  <si>
    <t>Q24i-20 23.8" 4 ms Full HD IPS 75Hz Monitör</t>
  </si>
  <si>
    <t>H350 WW dual band Wi-Fi 6</t>
  </si>
  <si>
    <t>R560 WW tri band Wifi 6E indoor AP 2x2:2</t>
  </si>
  <si>
    <t>48 Port 4x10G SFP+ L3 Premium</t>
  </si>
  <si>
    <t>24 Port 100/1000 SFP, 4×25 GbE SFP28</t>
  </si>
  <si>
    <t>Stok Miktarı
20.01.2025</t>
  </si>
  <si>
    <t>F2-LR-SM-10-D-H</t>
  </si>
  <si>
    <t>F2-S28-LR-D-H</t>
  </si>
  <si>
    <t>F2-DCp-S+5M</t>
  </si>
  <si>
    <t>800 lük Yan Kol</t>
  </si>
  <si>
    <t>Stok Miktarı
27.01.2025</t>
  </si>
  <si>
    <t>DAC,10G, SFP+ to SFP+,Copper Passive DAC,5m,AWG30</t>
  </si>
  <si>
    <t>Dikey organizer montaj aparatı (Set)</t>
  </si>
  <si>
    <t>1.25G SFP,550m,850nm,0-70C,DDM,LC</t>
  </si>
  <si>
    <t>1.25G SFP,10km,1310nm,0-70C,DDM,LC</t>
  </si>
  <si>
    <t>1.25G SFP,10km,1310nm,-40+85C,DDM,LC</t>
  </si>
  <si>
    <t>1G, Cat6/6A, 100M, 0-70C, RJ45 Connector</t>
  </si>
  <si>
    <t>10G, Cat6:55m/6A:100M, 0-70C,RJ45 Connector</t>
  </si>
  <si>
    <t>10G SFP+, 300m/OM3,850nm,DDM,LC</t>
  </si>
  <si>
    <t>10G SFP+, 10km, 1310nm,DDM, LC</t>
  </si>
  <si>
    <t>10G SFP+, 220m, MM, 1310nm, 0-70C, DDM,LC</t>
  </si>
  <si>
    <t>25G SFP28, 10KM 1310nm 0-70C,DDM, Duplex,LC</t>
  </si>
  <si>
    <t>40G QSFP+, MM,OM3:100M/OM4:150m,850nm,MPO/MTP</t>
  </si>
  <si>
    <t>40G QSFP+, SM, 10km/20km, 0-70C, DDM, Duplex,LC</t>
  </si>
  <si>
    <t>100G QSFP28, 10km,1310nm,WDM,LC</t>
  </si>
  <si>
    <t>Stok Miktarı
03.02.2025</t>
  </si>
  <si>
    <t>Notebook</t>
  </si>
  <si>
    <t>Stok Miktarı
10.02.2025</t>
  </si>
  <si>
    <t>Stok Miktarı
17.02.2025</t>
  </si>
  <si>
    <t>AK-440201-018-S</t>
  </si>
  <si>
    <t>Stok Miktarı
24.02.2025</t>
  </si>
  <si>
    <t>C13-C14 Power Cord</t>
  </si>
  <si>
    <t>Power Cord</t>
  </si>
  <si>
    <t>Stok Miktarı
14.02.2025</t>
  </si>
  <si>
    <t>RG-NBS3200-24SFP/8GT4XS</t>
  </si>
  <si>
    <t>Stok Miktarı
28.02.2025</t>
  </si>
  <si>
    <t>24 port 1G SFP, 8x1G combo, 4x10G SFP+ Switch</t>
  </si>
  <si>
    <t>Stok Miktarı
07.03.2025</t>
  </si>
  <si>
    <t>2-599625-2</t>
  </si>
  <si>
    <t>Stok Miktarı
10.03.2025</t>
  </si>
  <si>
    <t>Indoor/Outdoor FO Cable, 12Core, OM4, Aqua</t>
  </si>
  <si>
    <t>P-Q9G71A</t>
  </si>
  <si>
    <t>P-1711349-1</t>
  </si>
  <si>
    <t>EKJC6AS-0180-D</t>
  </si>
  <si>
    <t>HTR-PR-Z-00002</t>
  </si>
  <si>
    <t>P-HTR-PR-Z-00002</t>
  </si>
  <si>
    <t>P-F2-U/UTP-4/23-305</t>
  </si>
  <si>
    <t>P-Spiral Boru</t>
  </si>
  <si>
    <t>P-OEM-C6-PCF0015</t>
  </si>
  <si>
    <t>P-OEM-C6-PCF0020</t>
  </si>
  <si>
    <t>P-OEM-C6-PCU0015</t>
  </si>
  <si>
    <t>P-OEM-C6-PCU0020</t>
  </si>
  <si>
    <t>P-OEM-SC-OS2-PT</t>
  </si>
  <si>
    <t>P-OEM-LC-OS2-PT</t>
  </si>
  <si>
    <t>P-OEM-SCSC-OS2-0500</t>
  </si>
  <si>
    <t>P-OEM-SCSC-OS2-0300</t>
  </si>
  <si>
    <t>P-OEM-SCLC-OS2-0200</t>
  </si>
  <si>
    <t>P-Toz Kapağı</t>
  </si>
  <si>
    <t>P-OEMKP1U</t>
  </si>
  <si>
    <t>B-PDU-1105</t>
  </si>
  <si>
    <t>P-B-PDU-1105</t>
  </si>
  <si>
    <t>P-OEM-SCSC-OM3-1500</t>
  </si>
  <si>
    <t>P-ICX7150-48PF-4X1G</t>
  </si>
  <si>
    <t>P-ICX7750-48F</t>
  </si>
  <si>
    <t>Stok Miktarı
20.03.2025</t>
  </si>
  <si>
    <t>Twinax Copper Networking Cable 5M</t>
  </si>
  <si>
    <t>Inspiron 3520 i5-1235U 8 GB 512GB SSD UHD 15.6''</t>
  </si>
  <si>
    <t>Cat6A FTP Keystone Jack 180 derece Shielded</t>
  </si>
  <si>
    <t>10G, Cat6:55m / 6A:100M", 0-70C, RJ45 (30m)</t>
  </si>
  <si>
    <t>DAC, 40G, QSFP+ to QSFP+, Copper Passive, 1mt, AWG30</t>
  </si>
  <si>
    <t>ThinkSystem Solarflare X2522-Plus 10/25GbE SFP28 Ethernet Adapter</t>
  </si>
  <si>
    <t>25mm PVC Spiral Boru</t>
  </si>
  <si>
    <t>Universal mounting ears XBR-R000295 for Brocade Switches Screw Set</t>
  </si>
  <si>
    <t>16 Port 2.5 POH 32x1G POE+ 6x1G 2x10G 1PS Max Poe:1480W</t>
  </si>
  <si>
    <t>Stok Miktarı
25.03.2025</t>
  </si>
  <si>
    <t>E40G-QSFP-C-0101</t>
  </si>
  <si>
    <t>902-I100-WW00</t>
  </si>
  <si>
    <t>9U1-R320-WW02</t>
  </si>
  <si>
    <t>P-ICX7150-24P-4X1G</t>
  </si>
  <si>
    <t>10GbE DAC SFP+ to SFP+ Passive copper cable, 1m</t>
  </si>
  <si>
    <t>10GbE DAC SFP+ to SFP+ Passive copper cable, 3m</t>
  </si>
  <si>
    <t xml:space="preserve">25GbE DAC SFP28 Passive, 1m </t>
  </si>
  <si>
    <t>40GbE DAC QSFP Passive, 1m</t>
  </si>
  <si>
    <t>Ruckus IoT Module, Zigbee, BLE</t>
  </si>
  <si>
    <t>R320 WW Unleashed 11ac AP 2x2:2</t>
  </si>
  <si>
    <t>Stok Miktarı
03.04.2025</t>
  </si>
  <si>
    <t>F2VSP</t>
  </si>
  <si>
    <t>M6 Kafes Somun-Vida-Pul</t>
  </si>
  <si>
    <t>HTBOX 505-W</t>
  </si>
  <si>
    <t>Stok Miktarı
15.04.2025</t>
  </si>
  <si>
    <t>AK-330107-030-S</t>
  </si>
  <si>
    <t>AK-330107-100-S</t>
  </si>
  <si>
    <t>Stok Miktarı
22.04.2025</t>
  </si>
  <si>
    <t>HDMI 1.4 Kablo, 2160p,4K,3D, Tip A M-Tip A M, 3mt</t>
  </si>
  <si>
    <t>HDMI 1.4 Kablo, 2160p,4K,3D, Tip A M-Tip A M, 10mt</t>
  </si>
  <si>
    <t>TS-433</t>
  </si>
  <si>
    <t>Stok Miktarı
06.05.2025</t>
  </si>
  <si>
    <t>4 Slotlu NAS Depolama Ünitesi</t>
  </si>
  <si>
    <t>QNAP</t>
  </si>
  <si>
    <t>NAS</t>
  </si>
  <si>
    <t>10GBase-SR SFP+ transceiver (850nm 300m LC)</t>
  </si>
  <si>
    <t>Stok Miktarı
20.05.2025</t>
  </si>
  <si>
    <t>Stok Miktarı
28.05.2025</t>
  </si>
  <si>
    <t>Stok Miktarı
16.06.2025</t>
  </si>
  <si>
    <t>P-RG-AP680-CD</t>
  </si>
  <si>
    <t>Stok Miktarı
02.07.2025</t>
  </si>
  <si>
    <t>032861</t>
  </si>
  <si>
    <t>Stok Miktarı
28.07.2025</t>
  </si>
  <si>
    <t>Legrand U/UTP Cat6 LSZH Lan Cable 4P Mavi Makara</t>
  </si>
  <si>
    <t>Stok Miktarı
27.08.2025</t>
  </si>
  <si>
    <t>Stok Miktarı
08.09.2025</t>
  </si>
  <si>
    <t>P-RG-NBS3200-24GT4XS-P</t>
  </si>
  <si>
    <t>Stok Miktarı
19.09.2025</t>
  </si>
  <si>
    <t>ICX7150-48PF-2X10G</t>
  </si>
  <si>
    <t>Stok Miktarı
29.09.2025</t>
  </si>
  <si>
    <t>48 Port POE+ 2X10G SFP+ Max Poe Budget 740W</t>
  </si>
  <si>
    <t>2153449-1</t>
  </si>
  <si>
    <t>2153449-2</t>
  </si>
  <si>
    <t>Stok Miktarı
06.10.2025</t>
  </si>
  <si>
    <t>SL-Series Modular Jack, RJ45, Cat6A Shielded, Light Almond</t>
  </si>
  <si>
    <t>SL-Series Modular Jack, RJ45, Cat6A Shielded, Black</t>
  </si>
  <si>
    <t>2269025-1</t>
  </si>
  <si>
    <t>P-F2-C6-BPP-U24P</t>
  </si>
  <si>
    <t>P-F2-C6-U-180KJ</t>
  </si>
  <si>
    <t>P-F2KP1U</t>
  </si>
  <si>
    <t>P-F2KP2U</t>
  </si>
  <si>
    <t>Stok Miktarı
13.10.2025</t>
  </si>
  <si>
    <t>1U 24-Port STP E Series Patch Panel</t>
  </si>
  <si>
    <t>KJ Series Modular Jack, RJ45, Cat6A Shielded, Silver</t>
  </si>
  <si>
    <t>Surface Mount Box, universal, one port, pro white</t>
  </si>
  <si>
    <t>1671000-8</t>
  </si>
  <si>
    <t>1671281-1</t>
  </si>
  <si>
    <t>657054-000</t>
  </si>
  <si>
    <t>A14037-000</t>
  </si>
  <si>
    <t>6536880-1</t>
  </si>
  <si>
    <t>FFWLCLC42-JXF003</t>
  </si>
  <si>
    <t>1725150-3</t>
  </si>
  <si>
    <t>Stok Miktarı
20.10.2025</t>
  </si>
  <si>
    <t>FO Patch Panel, Unloaded for holding up to 24 LC/UPC duplex, black</t>
  </si>
  <si>
    <t>Fiber Optic Splice Tray Kit</t>
  </si>
  <si>
    <t>Protective Sleeve for Single Fusion</t>
  </si>
  <si>
    <t>Duplex Adapter, Singlemode LC/UPC, blue</t>
  </si>
  <si>
    <t>Pigtail, Simplex, Singlemode, LC/UPC to Stub, 1 m</t>
  </si>
  <si>
    <t>SM LC/UPC to LC/UPC, Fiber Patch Cord, 1.6 mm Duplex, LSZH</t>
  </si>
  <si>
    <t>Shielded Modular Panel, Keystone, 1U, 24 port, Black</t>
  </si>
  <si>
    <t>Jack Termination Tool</t>
  </si>
  <si>
    <t>Jack Termination Tool - Lacing Fixture (SL / KJ / UNJ)</t>
  </si>
  <si>
    <t>Stok Miktarı
03.11.2025</t>
  </si>
  <si>
    <t>12 Core SM FO Cable</t>
  </si>
  <si>
    <t>Üretici Kodu</t>
  </si>
  <si>
    <t>Seri No</t>
  </si>
  <si>
    <t>Ürün Nerede?</t>
  </si>
  <si>
    <t>Depoda Olanlar</t>
  </si>
  <si>
    <t>CRH3337L04N</t>
  </si>
  <si>
    <t>901-R610-WW00</t>
  </si>
  <si>
    <t>IoT</t>
  </si>
  <si>
    <t>1809153560 - 1809150906
1809154731 - 1809153494
1809153801 - 1809154987
1809150430</t>
  </si>
  <si>
    <t>Yeni Gelenler</t>
  </si>
  <si>
    <t>SYS-E300-13AD</t>
  </si>
  <si>
    <t>SuperMicro</t>
  </si>
  <si>
    <t>IOT Server</t>
  </si>
  <si>
    <t>E504114X4A02875</t>
  </si>
  <si>
    <t>WD19DCS</t>
  </si>
  <si>
    <t>Docking Station</t>
  </si>
  <si>
    <t>9XQG824</t>
  </si>
  <si>
    <t>KB3121Wp</t>
  </si>
  <si>
    <t>Klavye</t>
  </si>
  <si>
    <t>0G97KP</t>
  </si>
  <si>
    <t>ICX8100-C08PF</t>
  </si>
  <si>
    <t>FPB4813W0MC</t>
  </si>
  <si>
    <t>ICX8200-C08ZP</t>
  </si>
  <si>
    <t>FNR4341U05Y - FNR4341U056</t>
  </si>
  <si>
    <t>ICX8200-C08PF</t>
  </si>
  <si>
    <t>FNS4320U0W9</t>
  </si>
  <si>
    <t>242573001040 - 242573000931</t>
  </si>
  <si>
    <t>282422007968 - 282422007787</t>
  </si>
  <si>
    <t>901-T670-WW01</t>
  </si>
  <si>
    <t>Bridge</t>
  </si>
  <si>
    <t>511503309126 - 521503500176</t>
  </si>
  <si>
    <t>Teslim edilen kutuda ürün yok.</t>
  </si>
  <si>
    <t>902-0134-0000</t>
  </si>
  <si>
    <t>Seri numarasız</t>
  </si>
  <si>
    <t>MTS5800</t>
  </si>
  <si>
    <t>75UH5N-M</t>
  </si>
  <si>
    <t>43UH5N-M</t>
  </si>
  <si>
    <t>Stok Miktarı
10.11.2025</t>
  </si>
  <si>
    <t>JDSU</t>
  </si>
  <si>
    <t>Tester</t>
  </si>
  <si>
    <t>Handheld Network Tester</t>
  </si>
  <si>
    <t>10Gbase SFP+ Bakır RJ45, 30m</t>
  </si>
  <si>
    <t>Stok Miktarı
17.11.2025</t>
  </si>
  <si>
    <t>Stok Miktarı
24.11.2025</t>
  </si>
  <si>
    <t>Surface Mount Box, universal, two ports, white</t>
  </si>
  <si>
    <t>SFP-10G-LR-S</t>
  </si>
  <si>
    <t>Stok Miktarı
01.12.2025</t>
  </si>
  <si>
    <t>10G LR SFP+ module SM,1310nm,LC, duplex</t>
  </si>
  <si>
    <t>Stok Miktarı
08.12.2025</t>
  </si>
  <si>
    <t>Stok Miktarı
15.12.2025</t>
  </si>
  <si>
    <t>Stok Miktarı
22.12.2025</t>
  </si>
  <si>
    <t>Stok Miktarı
29.12.2025</t>
  </si>
  <si>
    <t>NPC6ASZDB-WT001M</t>
  </si>
  <si>
    <t>NPC6ASZDB-WT002M</t>
  </si>
  <si>
    <t>NPC6ASZDB-WT003M</t>
  </si>
  <si>
    <t>NPC6ASZDB-WT005M</t>
  </si>
  <si>
    <t>NPC6ASZDB-WT010M</t>
  </si>
  <si>
    <t>Cat 6A S/FTP RJ45 Patch Cord, LSZH, White, 1M</t>
  </si>
  <si>
    <t>Cat 6A S/FTP RJ45 Patch Cord, LSZH, White, 2M</t>
  </si>
  <si>
    <t>Cat 6A S/FTP RJ45 Patch Cord, LSZH, White, 3M</t>
  </si>
  <si>
    <t>Cat 6A S/FTP RJ45 Patch Cord, LSZH, White, 5M</t>
  </si>
  <si>
    <t>Cat 6A S/FTP RJ45 Patch Cord, LSZH, White, 10M</t>
  </si>
  <si>
    <t>Stok Miktarı
05.01.2026</t>
  </si>
  <si>
    <t>9U1-R350-WW03</t>
  </si>
  <si>
    <t>Stok Miktarı
12.01.2026</t>
  </si>
  <si>
    <t>Stok Miktarı
19.01.2026</t>
  </si>
  <si>
    <t>Stok Miktarı
26.01.2026</t>
  </si>
  <si>
    <t>Stok Miktarı
02.02.2026</t>
  </si>
  <si>
    <t>BN-FP191U-QL</t>
  </si>
  <si>
    <t>BC-FO-PT9SC-01</t>
  </si>
  <si>
    <t>Stok Miktarı
09.02.2026</t>
  </si>
  <si>
    <t>PigTail, 9/125, OS2, LSZH, 1 metre</t>
  </si>
  <si>
    <r>
      <t xml:space="preserve">1U 19” Fiber Patch Panel Şasi </t>
    </r>
    <r>
      <rPr>
        <i/>
        <sz val="10"/>
        <color theme="1"/>
        <rFont val="Calibri"/>
        <family val="2"/>
        <charset val="162"/>
      </rPr>
      <t>(Ön tepsi ayrıca alınmalı)</t>
    </r>
  </si>
  <si>
    <t>Dedeman-Palandöken-Frozen Fest</t>
  </si>
  <si>
    <t>Stok Miktarı
16.02.2026</t>
  </si>
  <si>
    <t>Stok Miktarı
23.02.2026</t>
  </si>
  <si>
    <t>Stok Miktarı
02.03.2026</t>
  </si>
  <si>
    <t>P01-S144-EU00</t>
  </si>
  <si>
    <t>Stok Miktarı
09.03.2026</t>
  </si>
  <si>
    <t>Stok Miktarı
16.03.2026</t>
  </si>
  <si>
    <t>Stok Miktarı
23.03.2026</t>
  </si>
  <si>
    <t>86UL3Q-E</t>
  </si>
  <si>
    <t>75UL3Q-E</t>
  </si>
  <si>
    <t>43UL3Q-E</t>
  </si>
  <si>
    <t>Stok Miktarı
30.03.2026</t>
  </si>
  <si>
    <t>JL677A</t>
  </si>
  <si>
    <t>032777</t>
  </si>
  <si>
    <t>Stok Miktarı
06.04.2026</t>
  </si>
  <si>
    <t>CX6100 24G Class4 PoE 4SFP+ 370W Switch</t>
  </si>
  <si>
    <t>İFM Proje Ürünü</t>
  </si>
  <si>
    <t>Legrand S/FTP Cat7 LSZH Lan Cable, 4P Kırmızı Makara</t>
  </si>
  <si>
    <t>A-OMNI-0403-V1-O1</t>
  </si>
  <si>
    <t>A-OMNI-0121-V3</t>
  </si>
  <si>
    <t>Stok Miktarı
13.04.2026</t>
  </si>
  <si>
    <t>Çok Yönlü, Deniz ve Kıyı LTE Anteni</t>
  </si>
  <si>
    <t>Poynting</t>
  </si>
  <si>
    <t>Antenna</t>
  </si>
  <si>
    <t>Çok Yönlü, Geniş Bant LTE Anteni</t>
  </si>
  <si>
    <t>Stok Miktarı
20.04.2026</t>
  </si>
  <si>
    <t>Stok Miktarı
27.04.2026</t>
  </si>
  <si>
    <t>Stok Miktarı
04.05.2026</t>
  </si>
  <si>
    <t>Kadir Şar, arızalı 7150-48 yerine Testinium' a teslim etti</t>
  </si>
  <si>
    <t>Stok Miktarı
11.05.2026</t>
  </si>
  <si>
    <t>Stok Miktarı
18.05.2026</t>
  </si>
  <si>
    <t>C9200L-48PL-4G-E</t>
  </si>
  <si>
    <t>C9200L-24P-4G-E</t>
  </si>
  <si>
    <t>GLC-LH-SMD</t>
  </si>
  <si>
    <t>Stok Miktarı
01.06.2026</t>
  </si>
  <si>
    <t>Catalyst 9200L 48-port Partial PoE+, 4 x 1G, NW Essentials</t>
  </si>
  <si>
    <t>Catalyst 9200L 24-port PoE+, 4 x 1G, Network Essentials</t>
  </si>
  <si>
    <t>1000BASE-LX/LH SFP transceiver module, MMF/SMF, 1310nm, DOM</t>
  </si>
  <si>
    <t>Stok Miktarı
08.06.2026</t>
  </si>
  <si>
    <t>Stok Miktarı
15.06.2026</t>
  </si>
  <si>
    <t>Stok Miktarı
22.06.2026</t>
  </si>
  <si>
    <t>Stok Miktarı
29.06.2026</t>
  </si>
  <si>
    <t>001 060 025016 20 00</t>
  </si>
  <si>
    <t>IS230-54TXP-AC</t>
  </si>
  <si>
    <t>S3330-28GXF-AC</t>
  </si>
  <si>
    <t>IS230-10TP-AC</t>
  </si>
  <si>
    <t>IS230-28TF-AC</t>
  </si>
  <si>
    <t>IS230-28TP-AC</t>
  </si>
  <si>
    <t>Stok Miktarı
06.07.2026</t>
  </si>
  <si>
    <t>25x16 Yapışkanlı Kanal</t>
  </si>
  <si>
    <t>48-Port 100/1000M electric interfaces, 4-Port 1/10G SFP+ interfaces, 380W PoE&amp;PoE+, Single AC Power</t>
  </si>
  <si>
    <t>24-Port 1000M SFP fiber interfaces, 4-Port 10G SFP+ interfaces, Dual AC Power</t>
  </si>
  <si>
    <t>8-Port 100/1000M electric interfaces, 2-Port 1G SFP interfaces, 150W PoE&amp;PoE+, Single AC Power</t>
  </si>
  <si>
    <t>24-Port 100/1000M electric interfaces, 4-Port 1G SFP interfaces, Single AC Power</t>
  </si>
  <si>
    <t>24-Port 100/1000M electric interfaces, 4-Port 1G SFP interfaces, 380W PoE&amp;PoE+, Single AC Power</t>
  </si>
  <si>
    <t>Maipu</t>
  </si>
  <si>
    <t>Stok Miktarı
13.07.2026</t>
  </si>
  <si>
    <t>Stok Miktarı
20.07.2026</t>
  </si>
  <si>
    <t>imVision iPatch 96F-LC, Sliding Shelf 1PK imVision Upgrade Kit</t>
  </si>
  <si>
    <t>Stok Miktarı
03.08.2026</t>
  </si>
  <si>
    <t>Stok Miktarı
10.08.2026</t>
  </si>
  <si>
    <t>BC-U60025Y</t>
  </si>
  <si>
    <t>BC-U6005Y</t>
  </si>
  <si>
    <t>J6E-00873</t>
  </si>
  <si>
    <t>P-J6E-00873</t>
  </si>
  <si>
    <t>J6A-00826</t>
  </si>
  <si>
    <t>P-J6A-00826</t>
  </si>
  <si>
    <t>P-P00-02450-1U</t>
  </si>
  <si>
    <t>Stok Miktarı
17.08.2026</t>
  </si>
  <si>
    <t>CAT6 Patch Kablo, U/UTP, 0,25 metre, sarı</t>
  </si>
  <si>
    <t>CAT6 Patch Kablo, U/UTP, 0,5 metre, sarı</t>
  </si>
  <si>
    <t>UTP Keystone Jack CAT6 180 Derece</t>
  </si>
  <si>
    <t>HCS</t>
  </si>
  <si>
    <t>FTP Toolless Keystone Jack CAT 6A 180°</t>
  </si>
  <si>
    <t>24 Port Keystone Jack FTP Panel Boş</t>
  </si>
  <si>
    <t>Kutu hasarlı</t>
  </si>
  <si>
    <t>Tamer' in teslim ettiği ürün. Resmi girişi olmadığı için maliyet bilinmiyor</t>
  </si>
  <si>
    <t>Toplam Stok Miktarı
17.08.2026</t>
  </si>
  <si>
    <t>Güncelleme Tarihi 17.08.2026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</si>
</sst>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[$$-1009]#,##0.00"/>
  </numFmts>
  <fonts count="33" x14ac:knownFonts="1"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</font>
    <font>
      <sz val="11"/>
      <color theme="1"/>
      <name val="Calibri"/>
      <family val="2"/>
      <scheme val="minor"/>
    </font>
    <font>
      <b/>
      <sz val="10"/>
      <color rgb="FF000000"/>
      <name val="Calibri"/>
      <family val="2"/>
      <charset val="162"/>
    </font>
    <font>
      <b/>
      <sz val="10"/>
      <color rgb="FFFF0000"/>
      <name val="Calibri"/>
      <family val="2"/>
      <charset val="162"/>
    </font>
    <font>
      <sz val="10"/>
      <color theme="1"/>
      <name val="Calibri"/>
      <family val="2"/>
      <charset val="162"/>
    </font>
    <font>
      <sz val="10"/>
      <color rgb="FFFF0000"/>
      <name val="Calibri"/>
      <family val="2"/>
      <charset val="162"/>
    </font>
    <font>
      <sz val="10"/>
      <color rgb="FF000000"/>
      <name val="Calibri"/>
      <family val="2"/>
      <charset val="162"/>
    </font>
    <font>
      <sz val="11"/>
      <name val="Calibri"/>
      <family val="2"/>
      <charset val="162"/>
      <scheme val="minor"/>
    </font>
    <font>
      <sz val="10"/>
      <name val="Calibri"/>
      <family val="2"/>
      <charset val="162"/>
    </font>
    <font>
      <b/>
      <sz val="10"/>
      <color theme="1"/>
      <name val="Calibri"/>
      <family val="2"/>
      <charset val="162"/>
    </font>
    <font>
      <sz val="11"/>
      <name val="Calibri"/>
      <family val="2"/>
      <charset val="162"/>
    </font>
    <font>
      <sz val="10"/>
      <color rgb="FF333333"/>
      <name val="Calibri"/>
      <family val="2"/>
      <charset val="162"/>
    </font>
    <font>
      <sz val="12"/>
      <color rgb="FFFF0000"/>
      <name val="Tahoma"/>
      <family val="2"/>
      <charset val="162"/>
    </font>
    <font>
      <sz val="12"/>
      <color rgb="FF000000"/>
      <name val="Tahoma"/>
      <family val="2"/>
      <charset val="162"/>
    </font>
    <font>
      <sz val="10"/>
      <color theme="1"/>
      <name val="Times New Roman"/>
      <family val="1"/>
      <charset val="162"/>
    </font>
    <font>
      <sz val="11"/>
      <color theme="0" tint="-4.9989318521683403E-2"/>
      <name val="Calibri"/>
      <family val="2"/>
      <scheme val="minor"/>
    </font>
    <font>
      <sz val="12"/>
      <name val="Gilroy Light"/>
      <charset val="162"/>
    </font>
    <font>
      <b/>
      <sz val="12"/>
      <color theme="0" tint="-4.9989318521683403E-2"/>
      <name val="Gilroy Light"/>
      <charset val="162"/>
    </font>
    <font>
      <sz val="24"/>
      <color theme="0" tint="-4.9989318521683403E-2"/>
      <name val="Calibri Light"/>
      <family val="2"/>
      <charset val="162"/>
      <scheme val="major"/>
    </font>
    <font>
      <sz val="24"/>
      <color theme="1"/>
      <name val="Gilroy Light"/>
      <charset val="162"/>
    </font>
    <font>
      <sz val="12"/>
      <color theme="1"/>
      <name val="Gilroy Light"/>
      <charset val="162"/>
    </font>
    <font>
      <sz val="16"/>
      <color theme="0" tint="-4.9989318521683403E-2"/>
      <name val="Calibri Light"/>
      <family val="2"/>
      <charset val="162"/>
      <scheme val="major"/>
    </font>
    <font>
      <sz val="24"/>
      <color rgb="FFFF0000"/>
      <name val="Gilroy Light"/>
      <charset val="162"/>
    </font>
    <font>
      <sz val="11"/>
      <color theme="1"/>
      <name val="Calibri"/>
      <family val="2"/>
      <charset val="162"/>
      <scheme val="minor"/>
    </font>
    <font>
      <b/>
      <sz val="11"/>
      <color rgb="FFFFFFFF"/>
      <name val="Calibri"/>
      <family val="2"/>
      <charset val="162"/>
    </font>
    <font>
      <b/>
      <sz val="11"/>
      <color rgb="FF0000FF"/>
      <name val="Calibri"/>
      <family val="2"/>
      <charset val="162"/>
    </font>
    <font>
      <sz val="11"/>
      <color rgb="FF000000"/>
      <name val="Calibri"/>
      <family val="2"/>
      <charset val="162"/>
    </font>
    <font>
      <b/>
      <sz val="11"/>
      <color rgb="FFFF0000"/>
      <name val="Calibri"/>
      <family val="2"/>
      <charset val="162"/>
    </font>
    <font>
      <i/>
      <sz val="11"/>
      <color rgb="FFC00000"/>
      <name val="Calibri"/>
      <family val="2"/>
      <charset val="162"/>
      <scheme val="minor"/>
    </font>
    <font>
      <b/>
      <sz val="10"/>
      <color rgb="FF3333FF"/>
      <name val="Calibri"/>
      <family val="2"/>
      <charset val="162"/>
    </font>
    <font>
      <i/>
      <sz val="10"/>
      <color theme="1"/>
      <name val="Calibri"/>
      <family val="2"/>
      <charset val="162"/>
    </font>
    <font>
      <sz val="12"/>
      <color theme="1"/>
      <name val="Gilroy Light"/>
    </font>
  </fonts>
  <fills count="1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9A9A9A"/>
      </left>
      <right style="medium">
        <color rgb="FF9A9A9A"/>
      </right>
      <top style="medium">
        <color rgb="FF9A9A9A"/>
      </top>
      <bottom style="medium">
        <color rgb="FF9A9A9A"/>
      </bottom>
      <diagonal/>
    </border>
    <border>
      <left/>
      <right style="medium">
        <color rgb="FF9A9A9A"/>
      </right>
      <top style="medium">
        <color rgb="FF9A9A9A"/>
      </top>
      <bottom style="medium">
        <color rgb="FF9A9A9A"/>
      </bottom>
      <diagonal/>
    </border>
    <border>
      <left style="medium">
        <color rgb="FF9A9A9A"/>
      </left>
      <right style="medium">
        <color rgb="FF9A9A9A"/>
      </right>
      <top/>
      <bottom style="medium">
        <color rgb="FF9A9A9A"/>
      </bottom>
      <diagonal/>
    </border>
    <border>
      <left/>
      <right style="medium">
        <color rgb="FF9A9A9A"/>
      </right>
      <top/>
      <bottom style="medium">
        <color rgb="FF9A9A9A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24" fillId="0" borderId="0"/>
  </cellStyleXfs>
  <cellXfs count="138">
    <xf numFmtId="0" fontId="0" fillId="0" borderId="0" xfId="0"/>
    <xf numFmtId="0" fontId="3" fillId="0" borderId="1" xfId="1" applyFont="1" applyBorder="1" applyAlignment="1">
      <alignment horizontal="left" vertical="center" wrapText="1"/>
    </xf>
    <xf numFmtId="0" fontId="3" fillId="0" borderId="1" xfId="1" applyFont="1" applyBorder="1" applyAlignment="1">
      <alignment vertical="center" wrapText="1"/>
    </xf>
    <xf numFmtId="0" fontId="3" fillId="0" borderId="1" xfId="1" applyFont="1" applyBorder="1" applyAlignment="1">
      <alignment horizontal="center" vertical="center" wrapText="1"/>
    </xf>
    <xf numFmtId="0" fontId="4" fillId="0" borderId="1" xfId="1" applyFont="1" applyBorder="1" applyAlignment="1">
      <alignment horizontal="center" vertical="center" wrapText="1"/>
    </xf>
    <xf numFmtId="14" fontId="4" fillId="0" borderId="1" xfId="1" applyNumberFormat="1" applyFont="1" applyBorder="1" applyAlignment="1">
      <alignment horizontal="center" vertical="center" wrapText="1"/>
    </xf>
    <xf numFmtId="0" fontId="5" fillId="0" borderId="0" xfId="1" applyFont="1" applyAlignment="1">
      <alignment vertical="center" wrapText="1"/>
    </xf>
    <xf numFmtId="0" fontId="5" fillId="0" borderId="1" xfId="1" applyFont="1" applyBorder="1" applyAlignment="1">
      <alignment vertical="center"/>
    </xf>
    <xf numFmtId="0" fontId="5" fillId="0" borderId="1" xfId="1" applyFont="1" applyBorder="1" applyAlignment="1">
      <alignment horizontal="left" vertical="center"/>
    </xf>
    <xf numFmtId="0" fontId="5" fillId="0" borderId="1" xfId="1" applyFont="1" applyBorder="1" applyAlignment="1">
      <alignment vertical="center" wrapText="1"/>
    </xf>
    <xf numFmtId="0" fontId="5" fillId="0" borderId="1" xfId="1" applyFont="1" applyBorder="1" applyAlignment="1">
      <alignment horizontal="center" vertical="center"/>
    </xf>
    <xf numFmtId="0" fontId="6" fillId="0" borderId="1" xfId="1" applyFont="1" applyBorder="1" applyAlignment="1">
      <alignment horizontal="center" vertical="center"/>
    </xf>
    <xf numFmtId="164" fontId="5" fillId="0" borderId="1" xfId="1" applyNumberFormat="1" applyFont="1" applyBorder="1" applyAlignment="1">
      <alignment vertical="center"/>
    </xf>
    <xf numFmtId="0" fontId="5" fillId="0" borderId="0" xfId="1" applyFont="1" applyAlignment="1">
      <alignment vertical="center"/>
    </xf>
    <xf numFmtId="0" fontId="5" fillId="0" borderId="1" xfId="1" applyFont="1" applyBorder="1" applyAlignment="1">
      <alignment horizontal="left" vertical="center" wrapText="1"/>
    </xf>
    <xf numFmtId="0" fontId="6" fillId="0" borderId="1" xfId="1" applyFont="1" applyBorder="1" applyAlignment="1">
      <alignment horizontal="center" vertical="center" wrapText="1"/>
    </xf>
    <xf numFmtId="0" fontId="5" fillId="2" borderId="1" xfId="1" applyFont="1" applyFill="1" applyBorder="1" applyAlignment="1">
      <alignment vertical="center"/>
    </xf>
    <xf numFmtId="0" fontId="5" fillId="2" borderId="1" xfId="1" applyFont="1" applyFill="1" applyBorder="1" applyAlignment="1">
      <alignment horizontal="left" vertical="center"/>
    </xf>
    <xf numFmtId="0" fontId="5" fillId="2" borderId="1" xfId="1" applyFont="1" applyFill="1" applyBorder="1" applyAlignment="1">
      <alignment vertical="center" wrapText="1"/>
    </xf>
    <xf numFmtId="0" fontId="5" fillId="2" borderId="1" xfId="1" applyFont="1" applyFill="1" applyBorder="1" applyAlignment="1">
      <alignment horizontal="center" vertical="center"/>
    </xf>
    <xf numFmtId="0" fontId="6" fillId="2" borderId="1" xfId="1" applyFont="1" applyFill="1" applyBorder="1" applyAlignment="1">
      <alignment horizontal="center" vertical="center"/>
    </xf>
    <xf numFmtId="0" fontId="7" fillId="0" borderId="1" xfId="1" applyFont="1" applyBorder="1" applyAlignment="1">
      <alignment horizontal="left" vertical="center"/>
    </xf>
    <xf numFmtId="0" fontId="7" fillId="0" borderId="1" xfId="1" applyFont="1" applyBorder="1" applyAlignment="1">
      <alignment vertical="center"/>
    </xf>
    <xf numFmtId="0" fontId="7" fillId="0" borderId="1" xfId="1" applyFont="1" applyBorder="1" applyAlignment="1">
      <alignment horizontal="center" vertical="center"/>
    </xf>
    <xf numFmtId="0" fontId="8" fillId="0" borderId="1" xfId="1" applyFont="1" applyBorder="1" applyAlignment="1">
      <alignment horizontal="left" vertical="center"/>
    </xf>
    <xf numFmtId="0" fontId="1" fillId="0" borderId="1" xfId="1" applyFont="1" applyBorder="1" applyAlignment="1">
      <alignment horizontal="left"/>
    </xf>
    <xf numFmtId="0" fontId="5" fillId="3" borderId="1" xfId="1" applyFont="1" applyFill="1" applyBorder="1" applyAlignment="1">
      <alignment horizontal="left" vertical="center"/>
    </xf>
    <xf numFmtId="0" fontId="5" fillId="3" borderId="1" xfId="1" applyFont="1" applyFill="1" applyBorder="1" applyAlignment="1">
      <alignment vertical="center" wrapText="1"/>
    </xf>
    <xf numFmtId="0" fontId="5" fillId="3" borderId="1" xfId="1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/>
    </xf>
    <xf numFmtId="0" fontId="9" fillId="0" borderId="1" xfId="1" applyFont="1" applyBorder="1" applyAlignment="1">
      <alignment horizontal="left" vertical="center"/>
    </xf>
    <xf numFmtId="0" fontId="6" fillId="0" borderId="1" xfId="1" applyFont="1" applyBorder="1" applyAlignment="1">
      <alignment horizontal="left" vertical="center"/>
    </xf>
    <xf numFmtId="0" fontId="7" fillId="0" borderId="1" xfId="1" applyFont="1" applyBorder="1" applyAlignment="1">
      <alignment vertical="center" wrapText="1"/>
    </xf>
    <xf numFmtId="0" fontId="7" fillId="3" borderId="1" xfId="1" applyFont="1" applyFill="1" applyBorder="1" applyAlignment="1">
      <alignment horizontal="left" vertical="center"/>
    </xf>
    <xf numFmtId="0" fontId="7" fillId="3" borderId="1" xfId="1" applyFont="1" applyFill="1" applyBorder="1" applyAlignment="1">
      <alignment horizontal="center" vertical="center"/>
    </xf>
    <xf numFmtId="0" fontId="9" fillId="0" borderId="1" xfId="1" applyFont="1" applyBorder="1" applyAlignment="1">
      <alignment vertical="center" wrapText="1"/>
    </xf>
    <xf numFmtId="0" fontId="5" fillId="0" borderId="0" xfId="1" applyFont="1" applyAlignment="1">
      <alignment horizontal="left" vertical="center"/>
    </xf>
    <xf numFmtId="0" fontId="5" fillId="0" borderId="0" xfId="1" applyFont="1" applyAlignment="1">
      <alignment horizontal="center" vertical="center"/>
    </xf>
    <xf numFmtId="0" fontId="6" fillId="0" borderId="0" xfId="1" applyFont="1" applyAlignment="1">
      <alignment horizontal="center" vertical="center"/>
    </xf>
    <xf numFmtId="0" fontId="2" fillId="0" borderId="0" xfId="1"/>
    <xf numFmtId="0" fontId="1" fillId="0" borderId="1" xfId="1" applyFont="1" applyBorder="1"/>
    <xf numFmtId="0" fontId="11" fillId="0" borderId="1" xfId="1" applyFont="1" applyBorder="1"/>
    <xf numFmtId="0" fontId="5" fillId="4" borderId="1" xfId="1" applyFont="1" applyFill="1" applyBorder="1" applyAlignment="1">
      <alignment horizontal="left" vertical="center"/>
    </xf>
    <xf numFmtId="0" fontId="12" fillId="0" borderId="1" xfId="1" applyFont="1" applyBorder="1" applyAlignment="1">
      <alignment vertical="center"/>
    </xf>
    <xf numFmtId="0" fontId="6" fillId="0" borderId="1" xfId="1" applyFont="1" applyBorder="1" applyAlignment="1">
      <alignment vertical="center" wrapText="1"/>
    </xf>
    <xf numFmtId="0" fontId="13" fillId="5" borderId="2" xfId="1" applyFont="1" applyFill="1" applyBorder="1" applyAlignment="1">
      <alignment horizontal="center" vertical="center" wrapText="1"/>
    </xf>
    <xf numFmtId="0" fontId="13" fillId="5" borderId="3" xfId="1" applyFont="1" applyFill="1" applyBorder="1" applyAlignment="1">
      <alignment vertical="center" wrapText="1"/>
    </xf>
    <xf numFmtId="0" fontId="13" fillId="3" borderId="4" xfId="1" applyFont="1" applyFill="1" applyBorder="1" applyAlignment="1">
      <alignment horizontal="center" vertical="center" wrapText="1"/>
    </xf>
    <xf numFmtId="0" fontId="13" fillId="3" borderId="5" xfId="1" applyFont="1" applyFill="1" applyBorder="1" applyAlignment="1">
      <alignment vertical="center" wrapText="1"/>
    </xf>
    <xf numFmtId="0" fontId="14" fillId="6" borderId="4" xfId="1" applyFont="1" applyFill="1" applyBorder="1" applyAlignment="1">
      <alignment horizontal="center" vertical="center" wrapText="1"/>
    </xf>
    <xf numFmtId="0" fontId="14" fillId="6" borderId="5" xfId="1" applyFont="1" applyFill="1" applyBorder="1" applyAlignment="1">
      <alignment vertical="center" wrapText="1"/>
    </xf>
    <xf numFmtId="0" fontId="15" fillId="6" borderId="5" xfId="1" applyFont="1" applyFill="1" applyBorder="1" applyAlignment="1">
      <alignment vertical="top" wrapText="1"/>
    </xf>
    <xf numFmtId="0" fontId="2" fillId="0" borderId="0" xfId="1" applyAlignment="1">
      <alignment horizontal="center"/>
    </xf>
    <xf numFmtId="0" fontId="2" fillId="7" borderId="0" xfId="1" applyFill="1"/>
    <xf numFmtId="0" fontId="16" fillId="7" borderId="0" xfId="1" applyFont="1" applyFill="1"/>
    <xf numFmtId="0" fontId="2" fillId="7" borderId="0" xfId="1" applyFill="1" applyAlignment="1">
      <alignment horizontal="center"/>
    </xf>
    <xf numFmtId="0" fontId="18" fillId="0" borderId="8" xfId="1" applyFont="1" applyBorder="1" applyAlignment="1">
      <alignment horizontal="right"/>
    </xf>
    <xf numFmtId="0" fontId="18" fillId="0" borderId="9" xfId="1" applyFont="1" applyBorder="1" applyAlignment="1">
      <alignment horizontal="center"/>
    </xf>
    <xf numFmtId="14" fontId="17" fillId="0" borderId="6" xfId="1" applyNumberFormat="1" applyFont="1" applyBorder="1" applyAlignment="1">
      <alignment horizontal="right" vertical="center" wrapText="1"/>
    </xf>
    <xf numFmtId="0" fontId="17" fillId="0" borderId="7" xfId="1" applyFont="1" applyBorder="1" applyAlignment="1">
      <alignment horizontal="center"/>
    </xf>
    <xf numFmtId="14" fontId="17" fillId="0" borderId="10" xfId="1" applyNumberFormat="1" applyFont="1" applyBorder="1" applyAlignment="1">
      <alignment horizontal="right" vertical="center" wrapText="1"/>
    </xf>
    <xf numFmtId="0" fontId="20" fillId="7" borderId="0" xfId="1" applyFont="1" applyFill="1" applyAlignment="1">
      <alignment horizontal="left"/>
    </xf>
    <xf numFmtId="0" fontId="0" fillId="7" borderId="0" xfId="0" applyFill="1"/>
    <xf numFmtId="0" fontId="21" fillId="7" borderId="0" xfId="1" applyFont="1" applyFill="1" applyAlignment="1">
      <alignment horizontal="left"/>
    </xf>
    <xf numFmtId="0" fontId="21" fillId="7" borderId="0" xfId="1" applyFont="1" applyFill="1" applyAlignment="1">
      <alignment horizontal="center"/>
    </xf>
    <xf numFmtId="0" fontId="21" fillId="7" borderId="0" xfId="1" applyFont="1" applyFill="1" applyAlignment="1">
      <alignment horizontal="right"/>
    </xf>
    <xf numFmtId="0" fontId="21" fillId="7" borderId="0" xfId="1" applyFont="1" applyFill="1" applyAlignment="1">
      <alignment horizontal="right" vertical="center"/>
    </xf>
    <xf numFmtId="0" fontId="21" fillId="0" borderId="0" xfId="1" applyFont="1" applyAlignment="1">
      <alignment horizontal="left"/>
    </xf>
    <xf numFmtId="0" fontId="21" fillId="0" borderId="0" xfId="1" applyFont="1" applyAlignment="1">
      <alignment horizontal="center"/>
    </xf>
    <xf numFmtId="0" fontId="21" fillId="0" borderId="0" xfId="1" applyFont="1" applyAlignment="1">
      <alignment horizontal="right"/>
    </xf>
    <xf numFmtId="0" fontId="17" fillId="0" borderId="11" xfId="1" applyFont="1" applyBorder="1" applyAlignment="1">
      <alignment horizontal="center"/>
    </xf>
    <xf numFmtId="14" fontId="4" fillId="0" borderId="1" xfId="0" applyNumberFormat="1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1" xfId="0" applyFont="1" applyBorder="1" applyAlignment="1">
      <alignment horizontal="left" vertical="center"/>
    </xf>
    <xf numFmtId="0" fontId="5" fillId="0" borderId="1" xfId="0" applyFont="1" applyBorder="1" applyAlignment="1">
      <alignment vertical="center" wrapText="1"/>
    </xf>
    <xf numFmtId="0" fontId="7" fillId="0" borderId="1" xfId="0" applyFont="1" applyBorder="1" applyAlignment="1">
      <alignment horizontal="left" vertical="center"/>
    </xf>
    <xf numFmtId="0" fontId="3" fillId="0" borderId="1" xfId="1" applyFont="1" applyBorder="1" applyAlignment="1">
      <alignment horizontal="center" vertical="center"/>
    </xf>
    <xf numFmtId="0" fontId="0" fillId="8" borderId="0" xfId="0" applyFill="1"/>
    <xf numFmtId="0" fontId="2" fillId="8" borderId="0" xfId="1" applyFill="1"/>
    <xf numFmtId="0" fontId="0" fillId="9" borderId="0" xfId="0" applyFill="1"/>
    <xf numFmtId="0" fontId="19" fillId="8" borderId="0" xfId="0" applyFont="1" applyFill="1" applyAlignment="1">
      <alignment horizontal="left" vertical="center" indent="10"/>
    </xf>
    <xf numFmtId="0" fontId="19" fillId="8" borderId="0" xfId="0" applyFont="1" applyFill="1" applyAlignment="1">
      <alignment horizontal="left" vertical="center" indent="9"/>
    </xf>
    <xf numFmtId="0" fontId="19" fillId="8" borderId="0" xfId="0" applyFont="1" applyFill="1" applyAlignment="1">
      <alignment vertical="center"/>
    </xf>
    <xf numFmtId="0" fontId="21" fillId="8" borderId="0" xfId="0" applyFont="1" applyFill="1" applyAlignment="1">
      <alignment horizontal="left"/>
    </xf>
    <xf numFmtId="0" fontId="21" fillId="8" borderId="0" xfId="0" applyFont="1" applyFill="1" applyAlignment="1">
      <alignment horizontal="center"/>
    </xf>
    <xf numFmtId="0" fontId="21" fillId="8" borderId="0" xfId="0" applyFont="1" applyFill="1" applyAlignment="1">
      <alignment horizontal="right"/>
    </xf>
    <xf numFmtId="0" fontId="5" fillId="0" borderId="1" xfId="0" applyFont="1" applyBorder="1" applyAlignment="1">
      <alignment horizontal="left" vertical="center" wrapText="1"/>
    </xf>
    <xf numFmtId="0" fontId="7" fillId="3" borderId="1" xfId="0" applyFont="1" applyFill="1" applyBorder="1" applyAlignment="1">
      <alignment vertical="center" wrapText="1"/>
    </xf>
    <xf numFmtId="0" fontId="5" fillId="0" borderId="1" xfId="2" applyFont="1" applyBorder="1" applyAlignment="1">
      <alignment horizontal="left" vertical="center"/>
    </xf>
    <xf numFmtId="0" fontId="5" fillId="0" borderId="1" xfId="2" applyFont="1" applyBorder="1" applyAlignment="1">
      <alignment vertical="center" wrapText="1"/>
    </xf>
    <xf numFmtId="0" fontId="5" fillId="3" borderId="1" xfId="0" applyFont="1" applyFill="1" applyBorder="1" applyAlignment="1">
      <alignment vertical="center" wrapText="1"/>
    </xf>
    <xf numFmtId="0" fontId="7" fillId="0" borderId="1" xfId="2" applyFont="1" applyBorder="1" applyAlignment="1">
      <alignment vertical="center"/>
    </xf>
    <xf numFmtId="0" fontId="7" fillId="0" borderId="1" xfId="0" applyFont="1" applyBorder="1" applyAlignment="1">
      <alignment vertical="center"/>
    </xf>
    <xf numFmtId="0" fontId="5" fillId="0" borderId="1" xfId="0" applyFont="1" applyBorder="1" applyAlignment="1">
      <alignment horizontal="center" vertical="center"/>
    </xf>
    <xf numFmtId="0" fontId="5" fillId="4" borderId="1" xfId="0" applyFont="1" applyFill="1" applyBorder="1" applyAlignment="1">
      <alignment horizontal="left" vertical="center"/>
    </xf>
    <xf numFmtId="0" fontId="25" fillId="10" borderId="12" xfId="0" applyFont="1" applyFill="1" applyBorder="1" applyAlignment="1">
      <alignment horizontal="left" vertical="center"/>
    </xf>
    <xf numFmtId="0" fontId="25" fillId="10" borderId="12" xfId="0" applyFont="1" applyFill="1" applyBorder="1" applyAlignment="1">
      <alignment horizontal="center" vertical="center"/>
    </xf>
    <xf numFmtId="0" fontId="25" fillId="10" borderId="13" xfId="0" applyFont="1" applyFill="1" applyBorder="1" applyAlignment="1">
      <alignment horizontal="center" vertical="center"/>
    </xf>
    <xf numFmtId="0" fontId="26" fillId="0" borderId="7" xfId="0" applyFont="1" applyBorder="1" applyAlignment="1">
      <alignment vertical="center"/>
    </xf>
    <xf numFmtId="0" fontId="25" fillId="0" borderId="14" xfId="0" applyFont="1" applyBorder="1" applyAlignment="1">
      <alignment horizontal="center" vertical="center"/>
    </xf>
    <xf numFmtId="1" fontId="25" fillId="0" borderId="14" xfId="0" applyNumberFormat="1" applyFon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27" fillId="0" borderId="1" xfId="0" applyFont="1" applyBorder="1" applyAlignment="1">
      <alignment horizontal="left" vertical="center"/>
    </xf>
    <xf numFmtId="0" fontId="27" fillId="0" borderId="1" xfId="0" applyFont="1" applyBorder="1" applyAlignment="1">
      <alignment horizontal="center" vertical="center"/>
    </xf>
    <xf numFmtId="1" fontId="27" fillId="0" borderId="1" xfId="0" applyNumberFormat="1" applyFon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27" fillId="0" borderId="1" xfId="0" applyFont="1" applyBorder="1" applyAlignment="1">
      <alignment horizontal="center" vertical="center" wrapText="1"/>
    </xf>
    <xf numFmtId="0" fontId="27" fillId="0" borderId="12" xfId="0" applyFont="1" applyBorder="1" applyAlignment="1">
      <alignment horizontal="center" vertical="center" wrapText="1"/>
    </xf>
    <xf numFmtId="1" fontId="27" fillId="0" borderId="1" xfId="0" applyNumberFormat="1" applyFont="1" applyBorder="1" applyAlignment="1">
      <alignment horizontal="left" vertical="center" wrapText="1"/>
    </xf>
    <xf numFmtId="0" fontId="28" fillId="0" borderId="7" xfId="0" applyFont="1" applyBorder="1" applyAlignment="1">
      <alignment vertical="center"/>
    </xf>
    <xf numFmtId="1" fontId="25" fillId="0" borderId="14" xfId="0" applyNumberFormat="1" applyFont="1" applyBorder="1" applyAlignment="1">
      <alignment horizontal="left" vertical="center"/>
    </xf>
    <xf numFmtId="0" fontId="29" fillId="0" borderId="1" xfId="0" applyFont="1" applyBorder="1" applyAlignment="1">
      <alignment horizontal="left" vertical="center"/>
    </xf>
    <xf numFmtId="164" fontId="5" fillId="2" borderId="1" xfId="1" applyNumberFormat="1" applyFont="1" applyFill="1" applyBorder="1" applyAlignment="1">
      <alignment vertical="center"/>
    </xf>
    <xf numFmtId="14" fontId="30" fillId="0" borderId="1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vertical="center"/>
    </xf>
    <xf numFmtId="164" fontId="5" fillId="0" borderId="1" xfId="0" applyNumberFormat="1" applyFont="1" applyBorder="1" applyAlignment="1">
      <alignment vertical="center"/>
    </xf>
    <xf numFmtId="0" fontId="8" fillId="0" borderId="1" xfId="0" applyFont="1" applyBorder="1" applyAlignment="1">
      <alignment horizontal="left" vertical="center"/>
    </xf>
    <xf numFmtId="0" fontId="32" fillId="0" borderId="0" xfId="0" pivotButton="1" applyFont="1"/>
    <xf numFmtId="0" fontId="32" fillId="0" borderId="0" xfId="0" applyFont="1" applyAlignment="1">
      <alignment horizontal="right"/>
    </xf>
    <xf numFmtId="0" fontId="32" fillId="0" borderId="0" xfId="0" applyFont="1"/>
    <xf numFmtId="0" fontId="32" fillId="0" borderId="0" xfId="0" applyFont="1" applyAlignment="1">
      <alignment horizontal="left"/>
    </xf>
    <xf numFmtId="164" fontId="32" fillId="0" borderId="0" xfId="0" applyNumberFormat="1" applyFont="1" applyAlignment="1">
      <alignment horizontal="right"/>
    </xf>
    <xf numFmtId="0" fontId="32" fillId="0" borderId="0" xfId="0" applyFont="1" applyAlignment="1">
      <alignment horizontal="left" indent="1"/>
    </xf>
    <xf numFmtId="164" fontId="32" fillId="7" borderId="0" xfId="0" applyNumberFormat="1" applyFont="1" applyFill="1" applyAlignment="1">
      <alignment horizontal="right"/>
    </xf>
    <xf numFmtId="0" fontId="32" fillId="7" borderId="0" xfId="0" applyFont="1" applyFill="1" applyAlignment="1">
      <alignment horizontal="left"/>
    </xf>
    <xf numFmtId="0" fontId="32" fillId="7" borderId="0" xfId="0" applyFont="1" applyFill="1" applyAlignment="1">
      <alignment horizontal="left" indent="1"/>
    </xf>
    <xf numFmtId="14" fontId="22" fillId="8" borderId="0" xfId="0" applyNumberFormat="1" applyFont="1" applyFill="1" applyAlignment="1">
      <alignment horizontal="center" vertical="center" wrapText="1"/>
    </xf>
    <xf numFmtId="14" fontId="22" fillId="8" borderId="0" xfId="0" applyNumberFormat="1" applyFont="1" applyFill="1" applyAlignment="1">
      <alignment horizontal="center" vertical="center"/>
    </xf>
    <xf numFmtId="0" fontId="23" fillId="7" borderId="0" xfId="1" applyFont="1" applyFill="1" applyAlignment="1">
      <alignment horizontal="center"/>
    </xf>
    <xf numFmtId="0" fontId="32" fillId="0" borderId="0" xfId="0" applyNumberFormat="1" applyFont="1"/>
    <xf numFmtId="0" fontId="32" fillId="0" borderId="0" xfId="0" applyFont="1" applyFill="1" applyAlignment="1">
      <alignment horizontal="left" indent="1"/>
    </xf>
    <xf numFmtId="164" fontId="32" fillId="0" borderId="0" xfId="0" applyNumberFormat="1" applyFont="1" applyFill="1" applyAlignment="1">
      <alignment horizontal="right"/>
    </xf>
    <xf numFmtId="0" fontId="32" fillId="0" borderId="0" xfId="0" applyNumberFormat="1" applyFont="1" applyFill="1"/>
    <xf numFmtId="0" fontId="32" fillId="7" borderId="0" xfId="0" applyNumberFormat="1" applyFont="1" applyFill="1"/>
  </cellXfs>
  <cellStyles count="3">
    <cellStyle name="Normal" xfId="0" builtinId="0"/>
    <cellStyle name="Normal 2" xfId="1" xr:uid="{5243489E-FCAE-4952-B69A-F3935F5AAA9E}"/>
    <cellStyle name="Normal 2 2" xfId="2" xr:uid="{2E63E259-5ADB-411E-BEA0-09F140B6CBAF}"/>
  </cellStyles>
  <dxfs count="195">
    <dxf>
      <alignment horizontal="right"/>
    </dxf>
    <dxf>
      <alignment horizontal="right"/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ill>
        <patternFill patternType="solid">
          <fgColor indexed="64"/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fgColor indexed="64"/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Gilroy Light"/>
        <charset val="16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Gilroy Light"/>
        <charset val="162"/>
        <scheme val="none"/>
      </font>
      <numFmt numFmtId="19" formatCode="d/mm/yyyy"/>
      <fill>
        <patternFill patternType="none">
          <fgColor indexed="64"/>
          <bgColor auto="1"/>
        </patternFill>
      </fill>
      <alignment horizontal="right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auto="1"/>
        <name val="Gilroy Light"/>
        <charset val="162"/>
        <scheme val="none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indexed="64"/>
          <bgColor rgb="FF92D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alignment horizontal="right"/>
    </dxf>
    <dxf>
      <alignment horizontal="right"/>
    </dxf>
    <dxf>
      <font>
        <b val="0"/>
        <i val="0"/>
        <sz val="12"/>
        <color theme="2" tint="-0.749961851863155"/>
        <name val="Gilroy Light"/>
        <charset val="162"/>
        <scheme val="none"/>
      </font>
      <fill>
        <patternFill>
          <bgColor rgb="FFF2F2F2"/>
        </patternFill>
      </fill>
    </dxf>
    <dxf>
      <font>
        <sz val="16"/>
        <name val="Gilroy Light"/>
        <charset val="162"/>
        <scheme val="none"/>
      </font>
      <fill>
        <patternFill patternType="solid">
          <bgColor rgb="FFF2F2F2"/>
        </patternFill>
      </fill>
      <border diagonalUp="0" diagonalDown="0">
        <left/>
        <right/>
        <top/>
        <bottom/>
        <vertical/>
        <horizontal/>
      </border>
    </dxf>
  </dxfs>
  <tableStyles count="1" defaultTableStyle="TableStyleMedium2" defaultPivotStyle="PivotStyleLight16">
    <tableStyle name="F2 Connect Style 2" pivot="0" table="0" count="10" xr9:uid="{5450EE59-97FA-469D-82AD-8B4B1B946290}">
      <tableStyleElement type="wholeTable" dxfId="194"/>
      <tableStyleElement type="headerRow" dxfId="193"/>
    </tableStyle>
  </tableStyles>
  <colors>
    <mruColors>
      <color rgb="FF3333FF"/>
      <color rgb="FF68A2B9"/>
    </mruColors>
  </colors>
  <extLst>
    <ext xmlns:x14="http://schemas.microsoft.com/office/spreadsheetml/2009/9/main" uri="{46F421CA-312F-682f-3DD2-61675219B42D}">
      <x14:dxfs count="8">
        <dxf>
          <font>
            <b/>
            <i val="0"/>
            <sz val="13"/>
            <color theme="0"/>
            <name val="Calibri"/>
            <family val="2"/>
            <charset val="162"/>
            <scheme val="minor"/>
          </font>
          <fill>
            <patternFill>
              <bgColor rgb="FF1C355E"/>
            </patternFill>
          </fill>
        </dxf>
        <dxf>
          <font>
            <b/>
            <i val="0"/>
            <sz val="13"/>
            <color theme="0"/>
            <name val="Calibri"/>
            <family val="2"/>
            <charset val="162"/>
            <scheme val="minor"/>
          </font>
          <fill>
            <patternFill>
              <bgColor rgb="FF1C355E"/>
            </patternFill>
          </fill>
        </dxf>
        <dxf>
          <font>
            <b/>
            <i val="0"/>
            <sz val="13"/>
            <color theme="0"/>
            <name val="Calibri"/>
            <family val="2"/>
            <charset val="162"/>
            <scheme val="minor"/>
          </font>
          <fill>
            <patternFill>
              <bgColor rgb="FF1C355E"/>
            </patternFill>
          </fill>
        </dxf>
        <dxf>
          <font>
            <b/>
            <i val="0"/>
            <sz val="13"/>
            <color theme="0"/>
            <name val="Calibri"/>
            <family val="2"/>
            <charset val="162"/>
            <scheme val="minor"/>
          </font>
          <fill>
            <patternFill>
              <bgColor rgb="FF1C355E"/>
            </patternFill>
          </fill>
        </dxf>
        <dxf>
          <font>
            <b/>
            <i val="0"/>
            <sz val="11"/>
            <color theme="2" tint="-0.499984740745262"/>
            <name val="Calibri"/>
            <family val="2"/>
            <charset val="162"/>
            <scheme val="minor"/>
          </font>
          <fill>
            <patternFill>
              <bgColor theme="0" tint="-0.14996795556505021"/>
            </patternFill>
          </fill>
        </dxf>
        <dxf>
          <font>
            <b/>
            <i val="0"/>
            <sz val="11"/>
            <color theme="0"/>
            <name val="Calibri"/>
            <family val="2"/>
            <charset val="162"/>
            <scheme val="minor"/>
          </font>
          <fill>
            <patternFill>
              <bgColor rgb="FF5193AD"/>
            </patternFill>
          </fill>
        </dxf>
        <dxf>
          <font>
            <b/>
            <i val="0"/>
            <sz val="11"/>
            <color theme="2" tint="-0.499984740745262"/>
            <name val="Calibri"/>
            <family val="2"/>
            <charset val="162"/>
            <scheme val="minor"/>
          </font>
          <fill>
            <patternFill>
              <bgColor theme="0" tint="-0.14996795556505021"/>
            </patternFill>
          </fill>
        </dxf>
        <dxf>
          <font>
            <b/>
            <i val="0"/>
            <sz val="11"/>
            <color theme="0"/>
            <name val="Calibri"/>
            <family val="2"/>
            <charset val="162"/>
            <scheme val="minor"/>
          </font>
          <fill>
            <patternFill>
              <bgColor rgb="FF97BECD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F2 Connect Style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2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Dashboard!$L$5</c:f>
              <c:strCache>
                <c:ptCount val="1"/>
                <c:pt idx="0">
                  <c:v>Miktar</c:v>
                </c:pt>
              </c:strCache>
            </c:strRef>
          </c:tx>
          <c:spPr>
            <a:ln w="50800" cap="rnd">
              <a:solidFill>
                <a:srgbClr val="68A2B9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Dashboard!$K$6:$K$109</c:f>
              <c:numCache>
                <c:formatCode>m/d/yyyy</c:formatCode>
                <c:ptCount val="104"/>
                <c:pt idx="0">
                  <c:v>46251</c:v>
                </c:pt>
                <c:pt idx="1">
                  <c:v>46244</c:v>
                </c:pt>
                <c:pt idx="2">
                  <c:v>46237</c:v>
                </c:pt>
                <c:pt idx="3">
                  <c:v>46223</c:v>
                </c:pt>
                <c:pt idx="4">
                  <c:v>46216</c:v>
                </c:pt>
                <c:pt idx="5">
                  <c:v>46209</c:v>
                </c:pt>
                <c:pt idx="6">
                  <c:v>46202</c:v>
                </c:pt>
                <c:pt idx="7">
                  <c:v>46195</c:v>
                </c:pt>
                <c:pt idx="8">
                  <c:v>46188</c:v>
                </c:pt>
                <c:pt idx="9">
                  <c:v>46181</c:v>
                </c:pt>
                <c:pt idx="10">
                  <c:v>46174</c:v>
                </c:pt>
                <c:pt idx="11">
                  <c:v>46160</c:v>
                </c:pt>
                <c:pt idx="12">
                  <c:v>46153</c:v>
                </c:pt>
                <c:pt idx="13">
                  <c:v>46146</c:v>
                </c:pt>
                <c:pt idx="14">
                  <c:v>46139</c:v>
                </c:pt>
                <c:pt idx="15">
                  <c:v>46132</c:v>
                </c:pt>
                <c:pt idx="16">
                  <c:v>46125</c:v>
                </c:pt>
                <c:pt idx="17">
                  <c:v>46118</c:v>
                </c:pt>
                <c:pt idx="18">
                  <c:v>46111</c:v>
                </c:pt>
                <c:pt idx="19">
                  <c:v>46104</c:v>
                </c:pt>
                <c:pt idx="20">
                  <c:v>46097</c:v>
                </c:pt>
                <c:pt idx="21">
                  <c:v>46090</c:v>
                </c:pt>
                <c:pt idx="22">
                  <c:v>46083</c:v>
                </c:pt>
                <c:pt idx="23">
                  <c:v>46076</c:v>
                </c:pt>
                <c:pt idx="24">
                  <c:v>46069</c:v>
                </c:pt>
                <c:pt idx="25">
                  <c:v>46062</c:v>
                </c:pt>
                <c:pt idx="26">
                  <c:v>46055</c:v>
                </c:pt>
                <c:pt idx="27">
                  <c:v>46048</c:v>
                </c:pt>
                <c:pt idx="28">
                  <c:v>46041</c:v>
                </c:pt>
                <c:pt idx="29">
                  <c:v>46034</c:v>
                </c:pt>
                <c:pt idx="30">
                  <c:v>46027</c:v>
                </c:pt>
                <c:pt idx="31">
                  <c:v>46020</c:v>
                </c:pt>
                <c:pt idx="32">
                  <c:v>46013</c:v>
                </c:pt>
                <c:pt idx="33">
                  <c:v>46006</c:v>
                </c:pt>
                <c:pt idx="34">
                  <c:v>45999</c:v>
                </c:pt>
                <c:pt idx="35">
                  <c:v>45992</c:v>
                </c:pt>
                <c:pt idx="36">
                  <c:v>45985</c:v>
                </c:pt>
                <c:pt idx="37">
                  <c:v>45978</c:v>
                </c:pt>
                <c:pt idx="38">
                  <c:v>45971</c:v>
                </c:pt>
                <c:pt idx="39">
                  <c:v>45964</c:v>
                </c:pt>
                <c:pt idx="40">
                  <c:v>45950</c:v>
                </c:pt>
                <c:pt idx="41">
                  <c:v>45943</c:v>
                </c:pt>
                <c:pt idx="42">
                  <c:v>45936</c:v>
                </c:pt>
                <c:pt idx="43">
                  <c:v>45929</c:v>
                </c:pt>
                <c:pt idx="44">
                  <c:v>45919</c:v>
                </c:pt>
                <c:pt idx="45">
                  <c:v>45908</c:v>
                </c:pt>
                <c:pt idx="46">
                  <c:v>45896</c:v>
                </c:pt>
                <c:pt idx="47">
                  <c:v>45866</c:v>
                </c:pt>
                <c:pt idx="48">
                  <c:v>45840</c:v>
                </c:pt>
                <c:pt idx="49">
                  <c:v>45824</c:v>
                </c:pt>
                <c:pt idx="50">
                  <c:v>45805</c:v>
                </c:pt>
                <c:pt idx="51">
                  <c:v>45797</c:v>
                </c:pt>
                <c:pt idx="52">
                  <c:v>45783</c:v>
                </c:pt>
                <c:pt idx="53">
                  <c:v>45769</c:v>
                </c:pt>
                <c:pt idx="54">
                  <c:v>45762</c:v>
                </c:pt>
                <c:pt idx="55">
                  <c:v>45750</c:v>
                </c:pt>
                <c:pt idx="56">
                  <c:v>45741</c:v>
                </c:pt>
                <c:pt idx="57">
                  <c:v>45736</c:v>
                </c:pt>
                <c:pt idx="58">
                  <c:v>45726</c:v>
                </c:pt>
                <c:pt idx="59">
                  <c:v>45723</c:v>
                </c:pt>
                <c:pt idx="60">
                  <c:v>45716</c:v>
                </c:pt>
                <c:pt idx="61">
                  <c:v>45712</c:v>
                </c:pt>
                <c:pt idx="62">
                  <c:v>45705</c:v>
                </c:pt>
                <c:pt idx="63">
                  <c:v>45702</c:v>
                </c:pt>
                <c:pt idx="64">
                  <c:v>45698</c:v>
                </c:pt>
                <c:pt idx="65">
                  <c:v>45691</c:v>
                </c:pt>
                <c:pt idx="66">
                  <c:v>45684</c:v>
                </c:pt>
                <c:pt idx="67">
                  <c:v>45677</c:v>
                </c:pt>
                <c:pt idx="68">
                  <c:v>45672</c:v>
                </c:pt>
                <c:pt idx="69">
                  <c:v>45656</c:v>
                </c:pt>
                <c:pt idx="70">
                  <c:v>45649</c:v>
                </c:pt>
                <c:pt idx="71">
                  <c:v>45642</c:v>
                </c:pt>
                <c:pt idx="72">
                  <c:v>45635</c:v>
                </c:pt>
                <c:pt idx="73">
                  <c:v>45630</c:v>
                </c:pt>
                <c:pt idx="74">
                  <c:v>45614</c:v>
                </c:pt>
                <c:pt idx="75">
                  <c:v>45608</c:v>
                </c:pt>
                <c:pt idx="76">
                  <c:v>45596</c:v>
                </c:pt>
                <c:pt idx="77">
                  <c:v>45580</c:v>
                </c:pt>
                <c:pt idx="78">
                  <c:v>45570</c:v>
                </c:pt>
                <c:pt idx="79">
                  <c:v>45563</c:v>
                </c:pt>
                <c:pt idx="80">
                  <c:v>45552</c:v>
                </c:pt>
                <c:pt idx="81">
                  <c:v>45539</c:v>
                </c:pt>
                <c:pt idx="82">
                  <c:v>45524</c:v>
                </c:pt>
                <c:pt idx="83">
                  <c:v>45511</c:v>
                </c:pt>
                <c:pt idx="84">
                  <c:v>45500</c:v>
                </c:pt>
                <c:pt idx="85">
                  <c:v>45490</c:v>
                </c:pt>
                <c:pt idx="86">
                  <c:v>45478</c:v>
                </c:pt>
                <c:pt idx="87">
                  <c:v>45467</c:v>
                </c:pt>
                <c:pt idx="88">
                  <c:v>45455</c:v>
                </c:pt>
                <c:pt idx="89">
                  <c:v>45442</c:v>
                </c:pt>
                <c:pt idx="90">
                  <c:v>45427</c:v>
                </c:pt>
                <c:pt idx="91">
                  <c:v>45427</c:v>
                </c:pt>
                <c:pt idx="92">
                  <c:v>45411</c:v>
                </c:pt>
                <c:pt idx="93">
                  <c:v>45397</c:v>
                </c:pt>
                <c:pt idx="94">
                  <c:v>45376</c:v>
                </c:pt>
                <c:pt idx="95">
                  <c:v>45364</c:v>
                </c:pt>
                <c:pt idx="96">
                  <c:v>45352</c:v>
                </c:pt>
                <c:pt idx="97">
                  <c:v>45334</c:v>
                </c:pt>
                <c:pt idx="98">
                  <c:v>45320</c:v>
                </c:pt>
                <c:pt idx="99">
                  <c:v>45313</c:v>
                </c:pt>
                <c:pt idx="100">
                  <c:v>45293</c:v>
                </c:pt>
                <c:pt idx="101">
                  <c:v>45285</c:v>
                </c:pt>
                <c:pt idx="102">
                  <c:v>45275</c:v>
                </c:pt>
                <c:pt idx="103">
                  <c:v>45173</c:v>
                </c:pt>
              </c:numCache>
            </c:numRef>
          </c:cat>
          <c:val>
            <c:numRef>
              <c:f>Dashboard!$L$6:$L$109</c:f>
              <c:numCache>
                <c:formatCode>General</c:formatCode>
                <c:ptCount val="10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896-4261-B2FE-B21CA73C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04044352"/>
        <c:axId val="704041472"/>
      </c:lineChart>
      <c:dateAx>
        <c:axId val="70404435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704041472"/>
        <c:crosses val="autoZero"/>
        <c:auto val="1"/>
        <c:lblOffset val="100"/>
        <c:baseTimeUnit val="days"/>
      </c:dateAx>
      <c:valAx>
        <c:axId val="70404147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704044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chart" Target="../charts/chart1.xml"/><Relationship Id="rId7" Type="http://schemas.openxmlformats.org/officeDocument/2006/relationships/image" Target="../media/image10.png"/><Relationship Id="rId2" Type="http://schemas.openxmlformats.org/officeDocument/2006/relationships/image" Target="../media/image6.svg"/><Relationship Id="rId1" Type="http://schemas.openxmlformats.org/officeDocument/2006/relationships/image" Target="../media/image5.png"/><Relationship Id="rId6" Type="http://schemas.openxmlformats.org/officeDocument/2006/relationships/image" Target="../media/image9.sv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png"/><Relationship Id="rId9" Type="http://schemas.openxmlformats.org/officeDocument/2006/relationships/image" Target="../media/image12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112409</xdr:colOff>
      <xdr:row>1</xdr:row>
      <xdr:rowOff>163669</xdr:rowOff>
    </xdr:from>
    <xdr:to>
      <xdr:col>5</xdr:col>
      <xdr:colOff>1331608</xdr:colOff>
      <xdr:row>2</xdr:row>
      <xdr:rowOff>56205</xdr:rowOff>
    </xdr:to>
    <xdr:grpSp>
      <xdr:nvGrpSpPr>
        <xdr:cNvPr id="10" name="Grup 9">
          <a:extLst>
            <a:ext uri="{FF2B5EF4-FFF2-40B4-BE49-F238E27FC236}">
              <a16:creationId xmlns:a16="http://schemas.microsoft.com/office/drawing/2014/main" id="{2A74F1C4-74F9-42D7-0805-930C26DF430A}"/>
            </a:ext>
          </a:extLst>
        </xdr:cNvPr>
        <xdr:cNvGrpSpPr/>
      </xdr:nvGrpSpPr>
      <xdr:grpSpPr>
        <a:xfrm>
          <a:off x="112409" y="751652"/>
          <a:ext cx="5248612" cy="480518"/>
          <a:chOff x="112409" y="751652"/>
          <a:chExt cx="5490713" cy="480518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5" name="TextBox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000-000001040000}"/>
                  </a:ext>
                </a:extLst>
              </xdr:cNvPr>
              <xdr:cNvSpPr/>
            </xdr:nvSpPr>
            <xdr:spPr bwMode="auto">
              <a:xfrm>
                <a:off x="680143" y="806962"/>
                <a:ext cx="4922979" cy="39769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>
        <xdr:nvPicPr>
          <xdr:cNvPr id="2" name="Grafik 1" descr="Büyüteç">
            <a:extLst>
              <a:ext uri="{FF2B5EF4-FFF2-40B4-BE49-F238E27FC236}">
                <a16:creationId xmlns:a16="http://schemas.microsoft.com/office/drawing/2014/main" id="{3697A2E3-FB78-453C-9894-FAB28C07084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2409" y="751652"/>
            <a:ext cx="492869" cy="480518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190229</xdr:colOff>
      <xdr:row>4</xdr:row>
      <xdr:rowOff>6948</xdr:rowOff>
    </xdr:from>
    <xdr:to>
      <xdr:col>31</xdr:col>
      <xdr:colOff>30494</xdr:colOff>
      <xdr:row>16</xdr:row>
      <xdr:rowOff>17291</xdr:rowOff>
    </xdr:to>
    <xdr:graphicFrame macro="">
      <xdr:nvGraphicFramePr>
        <xdr:cNvPr id="5" name="Grafik 4">
          <a:extLst>
            <a:ext uri="{FF2B5EF4-FFF2-40B4-BE49-F238E27FC236}">
              <a16:creationId xmlns:a16="http://schemas.microsoft.com/office/drawing/2014/main" id="{06DF62B3-EE6E-CBA6-7F6B-A4D7F9410CF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1</xdr:rowOff>
    </xdr:from>
    <xdr:to>
      <xdr:col>1</xdr:col>
      <xdr:colOff>608936</xdr:colOff>
      <xdr:row>0</xdr:row>
      <xdr:rowOff>568287</xdr:rowOff>
    </xdr:to>
    <xdr:pic>
      <xdr:nvPicPr>
        <xdr:cNvPr id="4" name="Resim 3">
          <a:extLst>
            <a:ext uri="{FF2B5EF4-FFF2-40B4-BE49-F238E27FC236}">
              <a16:creationId xmlns:a16="http://schemas.microsoft.com/office/drawing/2014/main" id="{F8F78C2B-5FFF-4C50-8BBE-AC8E64032B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842400" cy="568286"/>
        </a:xfrm>
        <a:prstGeom prst="rect">
          <a:avLst/>
        </a:prstGeom>
      </xdr:spPr>
    </xdr:pic>
    <xdr:clientData/>
  </xdr:twoCellAnchor>
  <xdr:twoCellAnchor editAs="absolute">
    <xdr:from>
      <xdr:col>0</xdr:col>
      <xdr:colOff>118508</xdr:colOff>
      <xdr:row>3</xdr:row>
      <xdr:rowOff>127380</xdr:rowOff>
    </xdr:from>
    <xdr:to>
      <xdr:col>3</xdr:col>
      <xdr:colOff>23624</xdr:colOff>
      <xdr:row>24</xdr:row>
      <xdr:rowOff>90972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Marka">
              <a:extLst>
                <a:ext uri="{FF2B5EF4-FFF2-40B4-BE49-F238E27FC236}">
                  <a16:creationId xmlns:a16="http://schemas.microsoft.com/office/drawing/2014/main" id="{7EDA3CD1-E376-2161-2412-C4637C3D3A0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ark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8508" y="1502223"/>
              <a:ext cx="1833355" cy="414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tr-TR" sz="1100"/>
                <a:t>Bu şekil bir dilimleyiciyi gösterir. Dilimleyiciler Excel 2010 ve sonraki sürümlerde desteklenir.
Şekil daha önceki bir Excel sürümünde değiştirildiyse veya çalışma kitabı Excel 2003 veya önceki sürümünde kaydedildiyse, dilimleyici kullanılamaz.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2161</xdr:colOff>
      <xdr:row>3</xdr:row>
      <xdr:rowOff>153480</xdr:rowOff>
    </xdr:from>
    <xdr:to>
      <xdr:col>3</xdr:col>
      <xdr:colOff>1830961</xdr:colOff>
      <xdr:row>24</xdr:row>
      <xdr:rowOff>117072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Ürün Grubu">
              <a:extLst>
                <a:ext uri="{FF2B5EF4-FFF2-40B4-BE49-F238E27FC236}">
                  <a16:creationId xmlns:a16="http://schemas.microsoft.com/office/drawing/2014/main" id="{467B29F3-081C-8B65-E61C-0008D1416BF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Ürün Grubu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30400" y="1528323"/>
              <a:ext cx="1828800" cy="414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tr-TR" sz="1100"/>
                <a:t>Bu şekil bir dilimleyiciyi gösterir. Dilimleyiciler Excel 2010 ve sonraki sürümlerde desteklenir.
Şekil daha önceki bir Excel sürümünde değiştirildiyse veya çalışma kitabı Excel 2003 veya önceki sürümünde kaydedildiyse, dilimleyici kullanılamaz.</a:t>
              </a:r>
            </a:p>
          </xdr:txBody>
        </xdr:sp>
      </mc:Fallback>
    </mc:AlternateContent>
    <xdr:clientData/>
  </xdr:twoCellAnchor>
  <xdr:twoCellAnchor>
    <xdr:from>
      <xdr:col>15</xdr:col>
      <xdr:colOff>190234</xdr:colOff>
      <xdr:row>18</xdr:row>
      <xdr:rowOff>121055</xdr:rowOff>
    </xdr:from>
    <xdr:to>
      <xdr:col>27</xdr:col>
      <xdr:colOff>121057</xdr:colOff>
      <xdr:row>19</xdr:row>
      <xdr:rowOff>166451</xdr:rowOff>
    </xdr:to>
    <xdr:grpSp>
      <xdr:nvGrpSpPr>
        <xdr:cNvPr id="14" name="Grup 13">
          <a:extLst>
            <a:ext uri="{FF2B5EF4-FFF2-40B4-BE49-F238E27FC236}">
              <a16:creationId xmlns:a16="http://schemas.microsoft.com/office/drawing/2014/main" id="{42794E63-A4FA-D986-96C3-932C2CFEBD0F}"/>
            </a:ext>
          </a:extLst>
        </xdr:cNvPr>
        <xdr:cNvGrpSpPr/>
      </xdr:nvGrpSpPr>
      <xdr:grpSpPr>
        <a:xfrm>
          <a:off x="12287119" y="4479047"/>
          <a:ext cx="2732389" cy="244272"/>
          <a:chOff x="12287119" y="4479047"/>
          <a:chExt cx="2732389" cy="244272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1" name="OnlyStockOptionButton" hidden="1">
                <a:extLst>
                  <a:ext uri="{63B3BB69-23CF-44E3-9099-C40C66FF867C}">
                    <a14:compatExt spid="_x0000_s1031"/>
                  </a:ext>
                  <a:ext uri="{FF2B5EF4-FFF2-40B4-BE49-F238E27FC236}">
                    <a16:creationId xmlns:a16="http://schemas.microsoft.com/office/drawing/2014/main" id="{00000000-0008-0000-0000-000007040000}"/>
                  </a:ext>
                </a:extLst>
              </xdr:cNvPr>
              <xdr:cNvSpPr/>
            </xdr:nvSpPr>
            <xdr:spPr bwMode="auto">
              <a:xfrm>
                <a:off x="12600564" y="4479047"/>
                <a:ext cx="2418944" cy="24427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>
        <xdr:nvPicPr>
          <xdr:cNvPr id="7" name="Grafik 6" descr="Onay işareti">
            <a:extLst>
              <a:ext uri="{FF2B5EF4-FFF2-40B4-BE49-F238E27FC236}">
                <a16:creationId xmlns:a16="http://schemas.microsoft.com/office/drawing/2014/main" id="{1B7BB36A-7452-4B41-7F32-01962D8B485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2287119" y="4520119"/>
            <a:ext cx="180000" cy="180000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201885</xdr:colOff>
      <xdr:row>20</xdr:row>
      <xdr:rowOff>118894</xdr:rowOff>
    </xdr:from>
    <xdr:to>
      <xdr:col>27</xdr:col>
      <xdr:colOff>62691</xdr:colOff>
      <xdr:row>21</xdr:row>
      <xdr:rowOff>164290</xdr:rowOff>
    </xdr:to>
    <xdr:grpSp>
      <xdr:nvGrpSpPr>
        <xdr:cNvPr id="15" name="Grup 14">
          <a:extLst>
            <a:ext uri="{FF2B5EF4-FFF2-40B4-BE49-F238E27FC236}">
              <a16:creationId xmlns:a16="http://schemas.microsoft.com/office/drawing/2014/main" id="{0DC54C3F-5340-65FD-77B9-A1893F73654C}"/>
            </a:ext>
          </a:extLst>
        </xdr:cNvPr>
        <xdr:cNvGrpSpPr/>
      </xdr:nvGrpSpPr>
      <xdr:grpSpPr>
        <a:xfrm>
          <a:off x="12298770" y="4874639"/>
          <a:ext cx="2662372" cy="244272"/>
          <a:chOff x="12298770" y="4874639"/>
          <a:chExt cx="2662372" cy="244272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2" name="ZeroStockOptionButton" hidden="1">
                <a:extLst>
                  <a:ext uri="{63B3BB69-23CF-44E3-9099-C40C66FF867C}">
                    <a14:compatExt spid="_x0000_s1032"/>
                  </a:ext>
                  <a:ext uri="{FF2B5EF4-FFF2-40B4-BE49-F238E27FC236}">
                    <a16:creationId xmlns:a16="http://schemas.microsoft.com/office/drawing/2014/main" id="{00000000-0008-0000-0000-000008040000}"/>
                  </a:ext>
                </a:extLst>
              </xdr:cNvPr>
              <xdr:cNvSpPr/>
            </xdr:nvSpPr>
            <xdr:spPr bwMode="auto">
              <a:xfrm>
                <a:off x="12600564" y="4874639"/>
                <a:ext cx="2360578" cy="24427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>
        <xdr:nvPicPr>
          <xdr:cNvPr id="11" name="Grafik 10" descr="Kapat">
            <a:extLst>
              <a:ext uri="{FF2B5EF4-FFF2-40B4-BE49-F238E27FC236}">
                <a16:creationId xmlns:a16="http://schemas.microsoft.com/office/drawing/2014/main" id="{CF5F4FB4-3B97-E12A-B113-D41402E650E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2298770" y="4897096"/>
            <a:ext cx="180000" cy="180000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95115</xdr:colOff>
      <xdr:row>22</xdr:row>
      <xdr:rowOff>77822</xdr:rowOff>
    </xdr:from>
    <xdr:to>
      <xdr:col>25</xdr:col>
      <xdr:colOff>82410</xdr:colOff>
      <xdr:row>23</xdr:row>
      <xdr:rowOff>90793</xdr:rowOff>
    </xdr:to>
    <xdr:grpSp>
      <xdr:nvGrpSpPr>
        <xdr:cNvPr id="16" name="Grup 15">
          <a:extLst>
            <a:ext uri="{FF2B5EF4-FFF2-40B4-BE49-F238E27FC236}">
              <a16:creationId xmlns:a16="http://schemas.microsoft.com/office/drawing/2014/main" id="{FDD8C315-4B24-CEEE-E95A-7A97F04BD0F7}"/>
            </a:ext>
          </a:extLst>
        </xdr:cNvPr>
        <xdr:cNvGrpSpPr/>
      </xdr:nvGrpSpPr>
      <xdr:grpSpPr>
        <a:xfrm>
          <a:off x="12658928" y="5231319"/>
          <a:ext cx="1855006" cy="211849"/>
          <a:chOff x="12658928" y="5231319"/>
          <a:chExt cx="1855006" cy="211849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9" name="AllProducts" hidden="1">
                <a:extLst>
                  <a:ext uri="{63B3BB69-23CF-44E3-9099-C40C66FF867C}">
                    <a14:compatExt spid="_x0000_s1029"/>
                  </a:ext>
                  <a:ext uri="{FF2B5EF4-FFF2-40B4-BE49-F238E27FC236}">
                    <a16:creationId xmlns:a16="http://schemas.microsoft.com/office/drawing/2014/main" id="{00000000-0008-0000-0000-000005040000}"/>
                  </a:ext>
                </a:extLst>
              </xdr:cNvPr>
              <xdr:cNvSpPr/>
            </xdr:nvSpPr>
            <xdr:spPr bwMode="auto">
              <a:xfrm>
                <a:off x="12916166" y="5231319"/>
                <a:ext cx="1597768" cy="211849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1240B29-F687-4F45-9708-019B960494DF}">
                  <a14:hiddenLine w="1">
                    <a:noFill/>
                    <a:miter lim="800000"/>
                    <a:headEnd/>
                    <a:tailEnd/>
                  </a14:hiddenLine>
                </a:ext>
                <a:ext uri="{AF507438-7753-43E0-B8FC-AC1667EBCBE1}">
                  <a14:hiddenEffects>
                    <a:effectLst>
                      <a:outerShdw dist="35921" dir="2700000" algn="ctr" rotWithShape="0">
                        <a:srgbClr val="000000"/>
                      </a:outerShdw>
                    </a:effectLst>
                  </a14:hiddenEffects>
                </a:ext>
                <a:ext uri="{53640926-AAD7-44D8-BBD7-CCE9431645EC}">
                  <a14:shadowObscured val="1"/>
                </a:ext>
              </a:extLst>
            </xdr:spPr>
          </xdr:sp>
        </mc:Choice>
        <mc:Fallback/>
      </mc:AlternateContent>
      <xdr:pic>
        <xdr:nvPicPr>
          <xdr:cNvPr id="13" name="Grafik 12" descr="Yinele">
            <a:extLst>
              <a:ext uri="{FF2B5EF4-FFF2-40B4-BE49-F238E27FC236}">
                <a16:creationId xmlns:a16="http://schemas.microsoft.com/office/drawing/2014/main" id="{E123507A-D19A-F11F-5D5A-469212F767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2658928" y="5248614"/>
            <a:ext cx="180000" cy="180000"/>
          </a:xfrm>
          <a:prstGeom prst="rect">
            <a:avLst/>
          </a:prstGeom>
        </xdr:spPr>
      </xdr:pic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Emrah ERBiL" refreshedDate="46251.66514016204" createdVersion="8" refreshedVersion="8" minRefreshableVersion="3" recordCount="445" xr:uid="{4BCD3802-4BE4-4B12-9241-E702C92AE168}">
  <cacheSource type="worksheet">
    <worksheetSource ref="A1:DM446" sheet="Stok"/>
  </cacheSource>
  <cacheFields count="117">
    <cacheField name="Hareket Grafiği" numFmtId="0">
      <sharedItems containsNonDate="0" containsString="0" containsBlank="1"/>
    </cacheField>
    <cacheField name="Ürün Kodu" numFmtId="0">
      <sharedItems containsMixedTypes="1" containsNumber="1" containsInteger="1" minValue="638213" maxValue="3310016001" count="442">
        <s v="AT-IE340-12GP"/>
        <s v="AT-MC101XL-60"/>
        <s v="JW023A"/>
        <s v="JL728A"/>
        <s v="JZ336A"/>
        <s v="Q9G71A"/>
        <s v="Q9H62A"/>
        <s v="R8N87A"/>
        <s v="J9734A"/>
        <s v="JL325A"/>
        <s v="R0M46A"/>
        <s v="JL087A"/>
        <s v="JL677A"/>
        <s v="IAP-205H-RW"/>
        <s v="7005-RW"/>
        <s v="APIN0505"/>
        <s v="P-Q9G71A"/>
        <s v="R3J18A"/>
        <s v="DCS7130LBR48S6QD-F"/>
        <s v="CAB-SFP-SFP-3M"/>
        <s v="CAB-SFP-SFP-5M"/>
        <s v="CAB-Q-Q-100G-3M"/>
        <s v="SFP-10G-SR-P"/>
        <s v="BN-GLC-10T"/>
        <s v="BC-FO-5LCSC-05/4"/>
        <s v="BC-U60025"/>
        <s v="BC-U60025Y"/>
        <s v="BC-U60025BL"/>
        <s v="BC-U6005Y"/>
        <s v="BC-DSP-HA-MM-05-1"/>
        <s v="BC-500-FU6-HF"/>
        <s v="BC-FO-I-924-O"/>
        <s v="BN-PP-M24S"/>
        <s v="BN-FP191U-QL"/>
        <s v="BC-FO-PT9SC-01"/>
        <s v="E4OG-QSFP-C-0101"/>
        <s v="AIR-AP1832I-E-K9"/>
        <s v="AIR-SAP2602I-E-K9"/>
        <s v="AİR CAP3502I-E-K9"/>
        <s v="CBS350-24T-4G-EU"/>
        <s v="CBW240AC-E"/>
        <s v="SFP-10G-SR-S"/>
        <s v="SFP-10G-LR-S"/>
        <s v="WS-C3560CX-12PC-S"/>
        <s v="C9200L-48PL-4G-E"/>
        <s v="C9200L-24P-4G-E"/>
        <s v="GLC-SX-MMD"/>
        <s v="GLC-LH-SMD"/>
        <s v="QSFP-40G-CSR4"/>
        <s v="9-1711163-1"/>
        <s v="1375055-1"/>
        <s v="1375055-2"/>
        <s v="1711276-1"/>
        <s v="1711306-1"/>
        <s v="1711349-1"/>
        <s v="P-1711349-1"/>
        <s v="2160046-2"/>
        <s v="6536501-2"/>
        <s v="884044214/10"/>
        <s v="CO199K2-08F003"/>
        <s v="NPC06UZDB-BK025C"/>
        <s v="NPC06UZDB-WT001M"/>
        <s v="NPC6ASZDB-WT001M"/>
        <s v="NPC6ASZDB-WT002M"/>
        <s v="NPC6ASZDB-WT003M"/>
        <s v="NPC6ASZDB-WT005M"/>
        <s v="NPC6ASZDB-WT010M"/>
        <s v="1-1116697-3"/>
        <s v="1725150-6"/>
        <s v="2-599625-2"/>
        <s v="2153449-1"/>
        <s v="2153449-2"/>
        <s v="2269025-1"/>
        <n v="760253419"/>
        <n v="760248523"/>
        <s v="1671000-8"/>
        <s v="1671281-1"/>
        <s v="657054-000"/>
        <s v="A14037-000"/>
        <s v="6536880-1"/>
        <s v="FFWLCLC42-JXF003"/>
        <n v="760253420"/>
        <s v="1725150-3"/>
        <s v="1673956-6"/>
        <n v="760254741"/>
        <n v="760248525"/>
        <n v="760248968"/>
        <s v="Null"/>
        <s v="210-BEQQ"/>
        <s v="210-BDZY"/>
        <s v="210-BGLV"/>
        <s v="407-BCGJ"/>
        <n v="6327900"/>
        <s v="AK-300301-002-E"/>
        <s v="AK-330107-020-S"/>
        <s v="AK-330107-030-S"/>
        <s v="AK-330107-050-S"/>
        <s v="AK-330107-100-S"/>
        <s v="AK-330118-200-S"/>
        <s v="AK-440201-018-S"/>
        <s v="DK-1617-010"/>
        <s v="DK-1617-100"/>
        <s v="DK-1623-A-VH-500 "/>
        <s v="DK-1644-A-0025/BL"/>
        <s v="DK-1644-A-020/BL"/>
        <s v="EKJC6AS-0180-D"/>
        <s v="HTR-PR-Z-00002"/>
        <s v="P-HTR-PR-Z-00002"/>
        <s v="MDER006500400100G"/>
        <s v="RG 6/U-6 Cu/Cu"/>
        <s v="F2-U/UTP-4/23-305"/>
        <s v="P-F2-U/UTP-4/23-305"/>
        <s v="F2-C6-BPP-U24P"/>
        <s v="P-F2-C6-BPP-U24P"/>
        <s v="F2-C6-BPP-U24P-2"/>
        <s v="F2-C6-BPP-U48P"/>
        <s v="F2-C6-PP-U24P"/>
        <s v="F2-C6-PP-U24P-TF"/>
        <s v="F2-C6/A-BPP-F24P-1"/>
        <s v="F2-C6/A-BPP-F24P-2"/>
        <s v="F2-C6-PC0020G"/>
        <s v="F2-C6-PC0025G"/>
        <s v="F2-C6-PC0050G"/>
        <s v="F2-C6-PC0100G"/>
        <s v="F2-C6-PC0200G"/>
        <s v="F2-C6-PC0300G"/>
        <s v="F2-C6-PC0500G"/>
        <s v="F2-C6-PC0700G"/>
        <s v="F2-C6-PC1000G"/>
        <s v="F2-C6-PC1500G"/>
        <s v="F2-C6-PC0020B"/>
        <s v="F2-C6-PC0025B"/>
        <s v="F2-C6-PC0050B"/>
        <s v="F2-C6-PC0100B"/>
        <s v="F2-C6-PC0200B"/>
        <s v="F2-C6-PC0300B"/>
        <s v="F2-C6-PC0500B"/>
        <s v="F2-C6-PC0700B"/>
        <s v="F2-C6-PC1000B"/>
        <s v="F2-C6-PC1500B"/>
        <s v="F2-C6-PC0020R"/>
        <s v="F2-C6-PC0025R"/>
        <s v="F2-C6-PC0050R"/>
        <s v="F2-C6-PC0100R"/>
        <s v="F2-C6-PC0200R"/>
        <s v="F2-C6-PC0300R"/>
        <s v="F2-C6-PC0500R"/>
        <s v="F2-C6-PC0700R"/>
        <s v="F2-C6-PC1000R"/>
        <s v="F2-C6-PC1500R"/>
        <s v="F2-C6-PC0025Y"/>
        <s v="F2-C6-PC0050Y"/>
        <s v="F2-C6-PC0100Y"/>
        <s v="F2-C6-PC0200Y"/>
        <s v="F2-C6-PC0300Y"/>
        <s v="F2-C6-PC0020BL"/>
        <s v="F2-C6-PC0025BL"/>
        <s v="F2-C6-PC0050BL"/>
        <s v="F2-C6-PC0100BL"/>
        <s v="F2-C6-PC0200BL"/>
        <s v="F2-C6-PC0300BL"/>
        <s v="F2-C6-PC0500BL"/>
        <s v="F2-C6-PC0700BL"/>
        <s v="F2-C6-PC1000BL"/>
        <s v="F2-C6-PC1500BL"/>
        <s v="F2-C6A-PC0025B"/>
        <s v="F2-C6A-PC0050B"/>
        <s v="F2-C6A-PC0100B"/>
        <s v="F2-C6A-PC0200B"/>
        <s v="F2-C6A-PC0300B"/>
        <s v="F2-C6-U-90KJ"/>
        <s v="F2-C6-U-KJL1"/>
        <s v="F2-C6-U-180KJ"/>
        <s v="P-F2-C6-U-180KJ"/>
        <s v="F2-C6-U-180KJ-W"/>
        <s v="F2-C6-U-180KJ-W2"/>
        <s v="F2-C6-U-180KJ-B3"/>
        <s v="F2-C6-U-180KJ-W3"/>
        <s v="F2-C6A-U-180KJ-B"/>
        <s v="F2-C6A-U-180KJ-W"/>
        <s v="F2-C6A-F-180KJ"/>
        <s v="F2-C6A-F-180KJ-2"/>
        <s v="F2-C6-U-PLG"/>
        <s v="F2-C6A-F-PGS"/>
        <s v="F2-FTFP-01"/>
        <s v="F2-ST-NC"/>
        <s v="F2-NT-001"/>
        <s v="F2-PPLC-24"/>
        <s v="F2-PPSC-24"/>
        <s v="F2-LCLC-OS2-0200"/>
        <s v="F2-LCLC-OS2-0300"/>
        <s v="F2-LCLC-OS2-0500"/>
        <s v="F2-LCLC-OS2-0700"/>
        <s v="F2-LCLC-OM3-0200"/>
        <s v="F2-LCLC-OM3-0300"/>
        <s v="F2-LCLC-OM3-0500"/>
        <s v="F2-LCLC-OM3-0700"/>
        <s v="F2-LCLC-OM4-0200"/>
        <s v="F2-LCLC-OM4-0300"/>
        <s v="F2-LCLC-OM4-0500"/>
        <s v="F2-LCLC-OM4-0700"/>
        <s v="F2-SCLC-OS2-0200"/>
        <s v="F2-SCLC-OS2-0300"/>
        <s v="F2-SCLC-OS2-0500"/>
        <s v="F2-SCLC-OS2-0700"/>
        <s v="F2-SCLC-OM3-0200"/>
        <s v="F2-SCLC-OM4-0200"/>
        <s v="F2-LCLC-OS2-DC"/>
        <s v="F2-LCLC-OM3-DC"/>
        <s v="F2-LCLC-OM4-DC"/>
        <s v="F2-SCSC-OS2-DC"/>
        <s v="F2-SCSC-OM3-DC"/>
        <s v="F2-SCSC-OM4-DC"/>
        <s v="F2-LC-OS2-PT"/>
        <s v="F2-LC-OM3-PT"/>
        <s v="F2-LC-OM4-PT"/>
        <s v="F2-SC-OS2-PT"/>
        <s v="F2-SC-OM3-PT"/>
        <s v="F2-SC-OM4-PT"/>
        <s v="F2-FOSP-60MM"/>
        <s v="F2-SP-12"/>
        <s v="F2-SX-MM-D"/>
        <s v="F2-SX-MM-D-H"/>
        <s v="F2-LX-SM-10-D"/>
        <s v="F2-LX-SM-10-D-H"/>
        <s v="F2-LX-SM-10-D-I"/>
        <s v="F2-C-RJ-10/100/1000"/>
        <s v="F2-C-RJ-10G"/>
        <s v="F2-RJ45-1G"/>
        <s v="F2-RJ45-10G"/>
        <s v="F2-SR-MM-D"/>
        <s v="F2-SR-MM-D-H"/>
        <s v="F2-LR-SM-10-D"/>
        <s v="F2-LR-SM-10-D-H"/>
        <s v="F2-LRM-MM-D-H"/>
        <s v="F2-BD10-12/13-10-D"/>
        <s v="F2-BD10-12/13-10-D-H"/>
        <s v="F2-BD10-13/12-10-D"/>
        <s v="F2-BD10-13/12-10-D-H"/>
        <s v="F2-S28-LR-D-H"/>
        <s v="F2-QSFP+MSR4"/>
        <s v="F2-Q+LC-LR4-D"/>
        <s v="F2-Q8-LC-LR4"/>
        <s v="F2-DCp-S+1M"/>
        <s v="F2-DCp-S+3M"/>
        <s v="F2-DCp-S+5M"/>
        <s v="F2-DCp-Q+1MT"/>
        <s v="F2-DCp-Q+3MT"/>
        <s v="F2-BRK-1XQ-4XS+A-5mt"/>
        <s v="F2-BRK-1XQ8-4XS8+A-5mt"/>
        <s v="F2-SFP+DAC-1M"/>
        <s v="F2-SFP+DAC-3M"/>
        <s v="F2-QSFP+DAC-1M"/>
        <s v="F2-Q8-M-SR4"/>
        <s v="F2-Q8-M-MSR4"/>
        <s v="F2-FMPO-120M4-10"/>
        <s v="F2-FMPO-120M4-15"/>
        <s v="F2-MPOMPO-OM4-1203"/>
        <s v="F2-GMC-SFP"/>
        <s v="F2FO1U"/>
        <s v="F2KP1U"/>
        <s v="P-F2KP1U"/>
        <s v="F2KP2U"/>
        <s v="P-F2KP2U"/>
        <s v="F2KP3U"/>
        <s v="F2O1U"/>
        <s v="F2SPR6SCH"/>
        <s v="800 lük Yan Kol"/>
        <s v="F2VSP"/>
        <s v="FORM-12U600"/>
        <s v="F024F2VT"/>
        <s v="F082PR9SA"/>
        <s v="FG-40F"/>
        <s v="FG-60F"/>
        <s v="FG-40F-BDL-950-36"/>
        <s v="FG-120G"/>
        <s v="FG-200F"/>
        <s v="FG-400F"/>
        <s v="SP-RACKTRAY-02"/>
        <s v="J6E-00873"/>
        <s v="P-J6E-00873"/>
        <s v="J6A-00826"/>
        <s v="P-J6A-00826"/>
        <s v="P-P00-02450-1U"/>
        <s v="DL380 G10"/>
        <s v="J9993A"/>
        <s v="28N20AA"/>
        <s v="65P58E9"/>
        <s v="X2550 M4"/>
        <s v="4657-924"/>
        <s v="4662-7H2"/>
        <s v="8969-F24"/>
        <s v="4999-823-109"/>
        <s v="MTS5800"/>
        <s v="JNP-SFP-25G-DAC-5M"/>
        <s v="EX4100-48T"/>
        <s v="JPSU-150AC-AFO"/>
        <n v="638213"/>
        <s v="032861"/>
        <s v="032777"/>
        <s v="66EE-GAC3TK"/>
        <s v="X2522-PLUS"/>
        <s v="11FJA0EPTX"/>
        <s v="86UL3Q-E"/>
        <s v="75UL3Q-E"/>
        <s v="43UL3Q-E"/>
        <s v="HTBOX 505-W"/>
        <s v="THS 120 G"/>
        <s v="001-020-140025-00-17"/>
        <s v="P-Spiral Boru"/>
        <s v="UPS-RAY"/>
        <s v="001 060 025016 20 00"/>
        <s v="P-OEM-C6-PCF0015"/>
        <s v="P-OEM-C6-PCF0020"/>
        <s v="P-OEM-C6-PCU0015"/>
        <s v="P-OEM-C6-PCU0020"/>
        <s v="P-OEM-SC-OS2-PT"/>
        <s v="P-OEM-LC-OS2-PT"/>
        <s v="P-OEM-SCSC-OS2-0500"/>
        <s v="P-OEM-SCSC-OS2-0300"/>
        <s v="P-OEM-SCLC-OS2-0200"/>
        <s v="P-Toz Kapağı"/>
        <s v="P-OEMKP1U"/>
        <s v="B-PDU-1105"/>
        <s v="P-B-PDU-1105"/>
        <s v="P-OEM-SCSC-OM3-1500"/>
        <s v="SVK 1020077"/>
        <s v="IS230-54TXP-AC"/>
        <s v="S3330-28GXF-AC"/>
        <s v="IS230-10TP-AC"/>
        <s v="IS230-28TF-AC"/>
        <s v="IS230-28TP-AC"/>
        <s v="FOPCLCLCOM420"/>
        <s v="FOPCLCLCOM401"/>
        <s v="FOPCLCLCOM415"/>
        <s v="FOPCLCLCOM425"/>
        <s v="WNAP-W2200UE"/>
        <s v="A-OMNI-0403-V1-O1"/>
        <s v="A-OMNI-0121-V3"/>
        <n v="20030658"/>
        <s v="TS-433"/>
        <s v="10G-SFPP-TWX-0101"/>
        <s v="10G-SFPP-TWX-P-0101"/>
        <s v="10G-SFPP-TWX-P-0301"/>
        <s v="E25G-SFP28-TWX-P-0101"/>
        <s v="E40G-QSFP-C-0101"/>
        <s v="60-1002910-02"/>
        <s v="60-1002910-03"/>
        <s v="XBR-R000295"/>
        <s v="RPS21-E"/>
        <s v="ICX-FAN12-E"/>
        <s v="902-I100-WW00"/>
        <s v="P01-S144-UN00"/>
        <s v="P01-S144-EU00"/>
        <s v="901-H350-WW00"/>
        <s v="901-H550-WW00"/>
        <s v="901-H550-WW02"/>
        <s v="901-P300-WW01"/>
        <s v="901-R310-WW02 "/>
        <s v="901-R320-WW02 "/>
        <s v="901-R350-WW02"/>
        <s v="901-R550-WW00"/>
        <s v="901-R560-WW00"/>
        <s v="901-R650-WW00"/>
        <s v="901-R710-WW00"/>
        <s v="901-R750-WW00"/>
        <s v="901-T310-WW20"/>
        <s v="901-T350-WW20"/>
        <s v="901-T350-WW40"/>
        <s v="901-T350-WW51"/>
        <s v="902-0120-0000"/>
        <s v="902-0136-0000"/>
        <s v="9U1-R320-WW02"/>
        <s v="9U1-R350-WW02"/>
        <s v="9U1-R350-WW03"/>
        <s v="9U1-R550-WW00"/>
        <s v="9U1-R650-WW00"/>
        <s v="9U1-T310-WW20"/>
        <s v="ICX6610-24F-E"/>
        <s v="ICX7150-C10ZP-2X10GR"/>
        <s v="ICX7150-24F-4X1G"/>
        <s v="ICX7150-24-4X1G"/>
        <s v="ICX7150-24P-4X1G"/>
        <s v="P-ICX7150-24P-4X1G"/>
        <s v="ICX7150-48-4X1G"/>
        <s v="ICX7150-48-4X10GR"/>
        <s v="ICX7150-48P-4X10GR"/>
        <s v="ICX7150-48P-4X1G"/>
        <s v="ICX7150-48PF-2X10G"/>
        <s v="ICX7150-48PF-4X1G"/>
        <s v="P-ICX7150-48PF-4X1G"/>
        <s v="ICX7150-48PF-4X10GR"/>
        <s v="ICX7150-48ZP-E2X10G"/>
        <s v="ICX7550-24F"/>
        <s v="ICX7550-24F-E2"/>
        <s v="ICX7550-48F"/>
        <s v="ICX7750-48F"/>
        <s v="P-ICX7750-48F"/>
        <s v="ICX7850-48F-E2"/>
        <s v="ICX8200-24"/>
        <s v="ICX8200-24F"/>
        <s v="ICX8200-24P"/>
        <s v="ICX8200-48"/>
        <s v="ICX8200-48P"/>
        <s v="ICX8200-48F"/>
        <s v="ICX8200-48PF"/>
        <s v="ICX8200-48PF2-E"/>
        <s v="ICX8200-48ZP2-E2"/>
        <s v="ICX7000-C12-RMK"/>
        <s v="PCEURO"/>
        <s v="RSP9E"/>
        <s v="40G-AOC-5M"/>
        <s v="RG-AP180"/>
        <s v="RG-AP180-MNT/10/1"/>
        <s v="RG-AP630(IODA)"/>
        <s v="RG-AP680-CD"/>
        <s v="P-RG-AP680-CD"/>
        <s v="RG-AP820-L(V2)"/>
        <s v="RG-AP820-L(V3)"/>
        <s v="RG-E-120(GE)"/>
        <s v="RG-E-130(GE)"/>
        <s v="RG-NBS3100-8GT2SFP-P"/>
        <s v="RG-NBS3200-24GT4XS-P"/>
        <s v="P-RG-NBS3200-24GT4XS-P"/>
        <s v="RG-NBS3200-48GT4XS-P"/>
        <s v="RG-NBS3200-24SFP/8GT4XS"/>
        <s v="RG-PA1000I-P-F"/>
        <s v="RG-PA150I-F"/>
        <s v="RG-PA600I-P-F"/>
        <s v="RG-S2910-24GT4XS-E"/>
        <s v="RG-S5300-48GT4XS-E"/>
        <s v="RG-S5310-24GT4XS-P-E"/>
        <s v="RG-S5310-48GT4XS-P-E"/>
        <s v="RG-WS6008"/>
        <s v="XG-SFP-AOC5M"/>
        <s v="XG-SFP-LR-SM1310"/>
        <s v="XG-SFP-SR-MM850"/>
        <s v="XS-S1960-24GT4SFP-H"/>
        <n v="3310016001"/>
        <s v="CBA-U21-S07ZAR"/>
        <s v="MCX512A-ACUT"/>
        <s v="A-X3522-P08G-PQ-G"/>
      </sharedItems>
    </cacheField>
    <cacheField name="Ürün/hizmet ismi" numFmtId="0">
      <sharedItems containsBlank="1"/>
    </cacheField>
    <cacheField name="Marka" numFmtId="0">
      <sharedItems count="38">
        <s v="Allied Telesis"/>
        <s v="Aruba"/>
        <s v="Arista"/>
        <s v="Beek"/>
        <s v="Brocade"/>
        <s v="Cisco"/>
        <s v="Commscope"/>
        <s v="Dell"/>
        <s v="Digitus"/>
        <s v="Erat"/>
        <s v="Erse"/>
        <s v="F2 Connect"/>
        <s v="Formrack"/>
        <s v="Fortinet"/>
        <s v="HCS"/>
        <s v="HP"/>
        <s v="IBM"/>
        <s v="Jabra"/>
        <s v="JDSU"/>
        <s v="Juniper"/>
        <s v="Legrand"/>
        <s v="Lenovo"/>
        <s v="LG"/>
        <s v="OEM"/>
        <s v="Mutlusan"/>
        <s v="Alphacool"/>
        <s v="Maipu"/>
        <s v="Netlink"/>
        <s v="Planet"/>
        <s v="Poynting"/>
        <s v="Prysmian"/>
        <s v="QNAP"/>
        <s v="Ruckus"/>
        <s v="Ruijie"/>
        <s v="Socomec"/>
        <s v="Zebra"/>
        <s v="Mellanox"/>
        <s v="Xilinx"/>
      </sharedItems>
    </cacheField>
    <cacheField name="Ürün Grubu" numFmtId="0">
      <sharedItems count="36">
        <s v="Switch"/>
        <s v="Converter"/>
        <s v="AP"/>
        <s v="Accessories"/>
        <s v="DAC"/>
        <s v="Controller"/>
        <s v="SFP"/>
        <s v="FO Patch Cable"/>
        <s v="Copper Patch Cable"/>
        <s v="HDMI Cable"/>
        <s v="LAN Cable"/>
        <s v="FO Cable"/>
        <s v="Copper Patch Panel"/>
        <s v="FO Patch Panel"/>
        <s v="Pigtail"/>
        <s v="Keystone Jack"/>
        <s v="Coupler"/>
        <s v="Server"/>
        <s v="Notebook"/>
        <s v="Other"/>
        <s v="Power Cord"/>
        <s v="LIHCH Cable"/>
        <s v="Coaxial Cable"/>
        <s v="Cabinet"/>
        <s v="Firewall"/>
        <s v="Monitor"/>
        <s v="Storage"/>
        <s v="Headset"/>
        <s v="Tester"/>
        <s v="DLP"/>
        <s v="Ethernet Adapter"/>
        <s v="PC"/>
        <s v="Antenna"/>
        <s v="Energy Cable"/>
        <s v="NAS"/>
        <s v="UPS"/>
      </sharedItems>
    </cacheField>
    <cacheField name="Grup Kodu" numFmtId="0">
      <sharedItems containsString="0" containsBlank="1" containsNumber="1" containsInteger="1" minValue="1002" maxValue="1105"/>
    </cacheField>
    <cacheField name="Depo" numFmtId="0">
      <sharedItems containsBlank="1"/>
    </cacheField>
    <cacheField name="Birim" numFmtId="0">
      <sharedItems containsBlank="1"/>
    </cacheField>
    <cacheField name="Stok Miktarı_x000a_04.09.2023" numFmtId="0">
      <sharedItems containsBlank="1" containsMixedTypes="1" containsNumber="1" containsInteger="1" minValue="0" maxValue="12648"/>
    </cacheField>
    <cacheField name="Konsinye" numFmtId="0">
      <sharedItems containsString="0" containsBlank="1" containsNumber="1" containsInteger="1" minValue="0" maxValue="305"/>
    </cacheField>
    <cacheField name="Durum" numFmtId="0">
      <sharedItems containsBlank="1"/>
    </cacheField>
    <cacheField name="Not" numFmtId="0">
      <sharedItems containsBlank="1"/>
    </cacheField>
    <cacheField name="Birim Maliyet" numFmtId="164">
      <sharedItems containsString="0" containsBlank="1" containsNumber="1" minValue="0" maxValue="7609.76"/>
    </cacheField>
    <cacheField name="Toplam Maliyet" numFmtId="164">
      <sharedItems containsSemiMixedTypes="0" containsString="0" containsNumber="1" minValue="0" maxValue="130862.79"/>
    </cacheField>
    <cacheField name="Stok Miktarı_x000a_15.12.2023" numFmtId="0">
      <sharedItems containsString="0" containsBlank="1" containsNumber="1" containsInteger="1" minValue="0" maxValue="30195"/>
    </cacheField>
    <cacheField name="Stok Miktarı_x000a_25.12.2023" numFmtId="0">
      <sharedItems containsString="0" containsBlank="1" containsNumber="1" containsInteger="1" minValue="0" maxValue="30195"/>
    </cacheField>
    <cacheField name="Stok Miktarı_x000a_02.01.2024" numFmtId="0">
      <sharedItems containsString="0" containsBlank="1" containsNumber="1" containsInteger="1" minValue="0" maxValue="30195"/>
    </cacheField>
    <cacheField name="Stok Miktarı_x000a_22.01.2024" numFmtId="0">
      <sharedItems containsString="0" containsBlank="1" containsNumber="1" containsInteger="1" minValue="0" maxValue="30195"/>
    </cacheField>
    <cacheField name="Stok Miktarı_x000a_29.01.2024" numFmtId="0">
      <sharedItems containsString="0" containsBlank="1" containsNumber="1" containsInteger="1" minValue="0" maxValue="29890"/>
    </cacheField>
    <cacheField name="Stok Miktarı_x000a_12.02.2024" numFmtId="0">
      <sharedItems containsString="0" containsBlank="1" containsNumber="1" containsInteger="1" minValue="0" maxValue="29585"/>
    </cacheField>
    <cacheField name="Stok Miktarı_x000a_01.03.2024" numFmtId="0">
      <sharedItems containsString="0" containsBlank="1" containsNumber="1" containsInteger="1" minValue="0" maxValue="29585"/>
    </cacheField>
    <cacheField name="Stok Miktarı_x000a_13.03.2024" numFmtId="0">
      <sharedItems containsString="0" containsBlank="1" containsNumber="1" containsInteger="1" minValue="0" maxValue="20435"/>
    </cacheField>
    <cacheField name="Stok Miktarı_x000a_25.03.2024" numFmtId="0">
      <sharedItems containsString="0" containsBlank="1" containsNumber="1" containsInteger="1" minValue="0" maxValue="20435"/>
    </cacheField>
    <cacheField name="Stok Miktarı_x000a_15.04.2024" numFmtId="0">
      <sharedItems containsString="0" containsBlank="1" containsNumber="1" containsInteger="1" minValue="0" maxValue="20435"/>
    </cacheField>
    <cacheField name="Stok Miktarı_x000a_29.04.2024" numFmtId="0">
      <sharedItems containsString="0" containsBlank="1" containsNumber="1" containsInteger="1" minValue="0" maxValue="20435"/>
    </cacheField>
    <cacheField name="Stok Miktarı_x000a_15.05.2024" numFmtId="0">
      <sharedItems containsString="0" containsBlank="1" containsNumber="1" containsInteger="1" minValue="0" maxValue="19215"/>
    </cacheField>
    <cacheField name="Stok Miktarı_x000a_15.05.20242" numFmtId="0">
      <sharedItems containsString="0" containsBlank="1" containsNumber="1" containsInteger="1" minValue="0" maxValue="19215"/>
    </cacheField>
    <cacheField name="Stok Miktarı_x000a_30.05.2024" numFmtId="0">
      <sharedItems containsString="0" containsBlank="1" containsNumber="1" containsInteger="1" minValue="0" maxValue="13504"/>
    </cacheField>
    <cacheField name="Stok Miktarı_x000a_12.06.2024" numFmtId="0">
      <sharedItems containsString="0" containsBlank="1" containsNumber="1" containsInteger="1" minValue="0" maxValue="13504"/>
    </cacheField>
    <cacheField name="Stok Miktarı_x000a_24.06.2024" numFmtId="0">
      <sharedItems containsString="0" containsBlank="1" containsNumber="1" containsInteger="1" minValue="0" maxValue="13504"/>
    </cacheField>
    <cacheField name="Stok Miktarı_x000a_05.07.2024" numFmtId="0">
      <sharedItems containsString="0" containsBlank="1" containsNumber="1" containsInteger="1" minValue="0" maxValue="13504"/>
    </cacheField>
    <cacheField name="Stok Miktarı_x000a_17.07.2024" numFmtId="0">
      <sharedItems containsString="0" containsBlank="1" containsNumber="1" containsInteger="1" minValue="0" maxValue="13504"/>
    </cacheField>
    <cacheField name="Stok Miktarı_x000a_27.07.2024" numFmtId="0">
      <sharedItems containsString="0" containsBlank="1" containsNumber="1" containsInteger="1" minValue="0" maxValue="13504"/>
    </cacheField>
    <cacheField name="Stok Miktarı_x000a_7.08.2024" numFmtId="0">
      <sharedItems containsString="0" containsBlank="1" containsNumber="1" containsInteger="1" minValue="0" maxValue="13504"/>
    </cacheField>
    <cacheField name="Stok Miktarı_x000a_20.08.2024" numFmtId="0">
      <sharedItems containsString="0" containsBlank="1" containsNumber="1" containsInteger="1" minValue="0" maxValue="13480"/>
    </cacheField>
    <cacheField name="Stok Miktarı_x000a_04.09.2024" numFmtId="0">
      <sharedItems containsBlank="1" containsMixedTypes="1" containsNumber="1" containsInteger="1" minValue="0" maxValue="12648"/>
    </cacheField>
    <cacheField name="Stok Miktarı_x000a_17.09.2024" numFmtId="0">
      <sharedItems containsString="0" containsBlank="1" containsNumber="1" containsInteger="1" minValue="0" maxValue="12648"/>
    </cacheField>
    <cacheField name="Stok Miktarı_x000a_28.09.2024" numFmtId="0">
      <sharedItems containsString="0" containsBlank="1" containsNumber="1" containsInteger="1" minValue="0" maxValue="12584"/>
    </cacheField>
    <cacheField name="Stok Miktarı_x000a_5.10.2024" numFmtId="0">
      <sharedItems containsString="0" containsBlank="1" containsNumber="1" containsInteger="1" minValue="0" maxValue="12584"/>
    </cacheField>
    <cacheField name="Stok Miktarı_x000a_15.10.2024" numFmtId="0">
      <sharedItems containsString="0" containsBlank="1" containsNumber="1" containsInteger="1" minValue="0" maxValue="12584"/>
    </cacheField>
    <cacheField name="Stok Miktarı_x000a_31.10.2024" numFmtId="0">
      <sharedItems containsString="0" containsBlank="1" containsNumber="1" containsInteger="1" minValue="0" maxValue="12584"/>
    </cacheField>
    <cacheField name="Stok Miktarı_x000a_12.11.2024" numFmtId="0">
      <sharedItems containsString="0" containsBlank="1" containsNumber="1" containsInteger="1" minValue="0" maxValue="12584"/>
    </cacheField>
    <cacheField name="Stok Miktarı_x000a_18.11.2024" numFmtId="0">
      <sharedItems containsString="0" containsBlank="1" containsNumber="1" containsInteger="1" minValue="0" maxValue="12584"/>
    </cacheField>
    <cacheField name="Stok Miktarı_x000a_04.12.2024" numFmtId="0">
      <sharedItems containsString="0" containsBlank="1" containsNumber="1" containsInteger="1" minValue="0" maxValue="12552"/>
    </cacheField>
    <cacheField name="Stok Miktarı_x000a_09.12.2024" numFmtId="0">
      <sharedItems containsString="0" containsBlank="1" containsNumber="1" containsInteger="1" minValue="0" maxValue="12216"/>
    </cacheField>
    <cacheField name="Stok Miktarı_x000a_16.12.2024" numFmtId="0">
      <sharedItems containsString="0" containsBlank="1" containsNumber="1" containsInteger="1" minValue="0" maxValue="12216"/>
    </cacheField>
    <cacheField name="Stok Miktarı_x000a_23.12.2024" numFmtId="0">
      <sharedItems containsString="0" containsBlank="1" containsNumber="1" containsInteger="1" minValue="0" maxValue="12216"/>
    </cacheField>
    <cacheField name="Stok Miktarı_x000a_30.12.2024" numFmtId="0">
      <sharedItems containsString="0" containsBlank="1" containsNumber="1" containsInteger="1" minValue="0" maxValue="12168"/>
    </cacheField>
    <cacheField name="Stok Miktarı_x000a_15.01.2025" numFmtId="0">
      <sharedItems containsString="0" containsBlank="1" containsNumber="1" containsInteger="1" minValue="0" maxValue="12144"/>
    </cacheField>
    <cacheField name="Stok Miktarı_x000a_20.01.2025" numFmtId="0">
      <sharedItems containsString="0" containsBlank="1" containsNumber="1" containsInteger="1" minValue="0" maxValue="12144"/>
    </cacheField>
    <cacheField name="Stok Miktarı_x000a_27.01.2025" numFmtId="0">
      <sharedItems containsString="0" containsBlank="1" containsNumber="1" containsInteger="1" minValue="0" maxValue="12144"/>
    </cacheField>
    <cacheField name="Stok Miktarı_x000a_03.02.2025" numFmtId="0">
      <sharedItems containsString="0" containsBlank="1" containsNumber="1" containsInteger="1" minValue="0" maxValue="12144"/>
    </cacheField>
    <cacheField name="Stok Miktarı_x000a_10.02.2025" numFmtId="0">
      <sharedItems containsString="0" containsBlank="1" containsNumber="1" containsInteger="1" minValue="0" maxValue="12048"/>
    </cacheField>
    <cacheField name="Stok Miktarı_x000a_14.02.2025" numFmtId="0">
      <sharedItems containsString="0" containsBlank="1" containsNumber="1" containsInteger="1" minValue="0" maxValue="12032"/>
    </cacheField>
    <cacheField name="Stok Miktarı_x000a_17.02.2025" numFmtId="0">
      <sharedItems containsString="0" containsBlank="1" containsNumber="1" containsInteger="1" minValue="0" maxValue="12032"/>
    </cacheField>
    <cacheField name="Stok Miktarı_x000a_24.02.2025" numFmtId="0">
      <sharedItems containsString="0" containsBlank="1" containsNumber="1" containsInteger="1" minValue="0" maxValue="11932"/>
    </cacheField>
    <cacheField name="Stok Miktarı_x000a_28.02.2025" numFmtId="0">
      <sharedItems containsString="0" containsBlank="1" containsNumber="1" containsInteger="1" minValue="0" maxValue="11932"/>
    </cacheField>
    <cacheField name="Stok Miktarı_x000a_07.03.2025" numFmtId="0">
      <sharedItems containsString="0" containsBlank="1" containsNumber="1" containsInteger="1" minValue="0" maxValue="11932"/>
    </cacheField>
    <cacheField name="Stok Miktarı_x000a_10.03.2025" numFmtId="0">
      <sharedItems containsString="0" containsBlank="1" containsNumber="1" containsInteger="1" minValue="0" maxValue="11932"/>
    </cacheField>
    <cacheField name="Stok Miktarı_x000a_20.03.2025" numFmtId="0">
      <sharedItems containsString="0" containsBlank="1" containsNumber="1" containsInteger="1" minValue="0" maxValue="11860"/>
    </cacheField>
    <cacheField name="Stok Miktarı_x000a_25.03.2025" numFmtId="0">
      <sharedItems containsString="0" containsBlank="1" containsNumber="1" containsInteger="1" minValue="0" maxValue="11812"/>
    </cacheField>
    <cacheField name="Stok Miktarı_x000a_03.04.2025" numFmtId="0">
      <sharedItems containsString="0" containsBlank="1" containsNumber="1" containsInteger="1" minValue="0" maxValue="11812"/>
    </cacheField>
    <cacheField name="Stok Miktarı_x000a_15.04.2025" numFmtId="0">
      <sharedItems containsString="0" containsBlank="1" containsNumber="1" containsInteger="1" minValue="0" maxValue="11812"/>
    </cacheField>
    <cacheField name="Stok Miktarı_x000a_22.04.2025" numFmtId="0">
      <sharedItems containsString="0" containsBlank="1" containsNumber="1" containsInteger="1" minValue="0" maxValue="11812"/>
    </cacheField>
    <cacheField name="Stok Miktarı_x000a_06.05.2025" numFmtId="0">
      <sharedItems containsString="0" containsBlank="1" containsNumber="1" containsInteger="1" minValue="0" maxValue="11812"/>
    </cacheField>
    <cacheField name="Stok Miktarı_x000a_20.05.2025" numFmtId="0">
      <sharedItems containsString="0" containsBlank="1" containsNumber="1" containsInteger="1" minValue="0" maxValue="11812"/>
    </cacheField>
    <cacheField name="Stok Miktarı_x000a_28.05.2025" numFmtId="0">
      <sharedItems containsString="0" containsBlank="1" containsNumber="1" containsInteger="1" minValue="0" maxValue="11829"/>
    </cacheField>
    <cacheField name="Stok Miktarı_x000a_16.06.2025" numFmtId="0">
      <sharedItems containsString="0" containsBlank="1" containsNumber="1" containsInteger="1" minValue="0" maxValue="11829"/>
    </cacheField>
    <cacheField name="Stok Miktarı_x000a_02.07.2025" numFmtId="0">
      <sharedItems containsString="0" containsBlank="1" containsNumber="1" containsInteger="1" minValue="0" maxValue="11855"/>
    </cacheField>
    <cacheField name="Stok Miktarı_x000a_28.07.2025" numFmtId="0">
      <sharedItems containsString="0" containsBlank="1" containsNumber="1" containsInteger="1" minValue="0" maxValue="11663"/>
    </cacheField>
    <cacheField name="Stok Miktarı_x000a_27.08.2025" numFmtId="0">
      <sharedItems containsString="0" containsBlank="1" containsNumber="1" containsInteger="1" minValue="0" maxValue="11639"/>
    </cacheField>
    <cacheField name="Stok Miktarı_x000a_08.09.2025" numFmtId="0">
      <sharedItems containsString="0" containsBlank="1" containsNumber="1" containsInteger="1" minValue="0" maxValue="11639"/>
    </cacheField>
    <cacheField name="Stok Miktarı_x000a_19.09.2025" numFmtId="0">
      <sharedItems containsString="0" containsBlank="1" containsNumber="1" containsInteger="1" minValue="0" maxValue="11639"/>
    </cacheField>
    <cacheField name="Stok Miktarı_x000a_29.09.2025" numFmtId="0">
      <sharedItems containsString="0" containsBlank="1" containsNumber="1" containsInteger="1" minValue="0" maxValue="11639"/>
    </cacheField>
    <cacheField name="Stok Miktarı_x000a_06.10.2025" numFmtId="0">
      <sharedItems containsString="0" containsBlank="1" containsNumber="1" containsInteger="1" minValue="0" maxValue="11439"/>
    </cacheField>
    <cacheField name="Stok Miktarı_x000a_13.10.2025" numFmtId="0">
      <sharedItems containsString="0" containsBlank="1" containsNumber="1" containsInteger="1" minValue="0" maxValue="11439"/>
    </cacheField>
    <cacheField name="Stok Miktarı_x000a_20.10.2025" numFmtId="0">
      <sharedItems containsString="0" containsBlank="1" containsNumber="1" containsInteger="1" minValue="0" maxValue="11439"/>
    </cacheField>
    <cacheField name="Stok Miktarı_x000a_03.11.2025" numFmtId="0">
      <sharedItems containsString="0" containsBlank="1" containsNumber="1" containsInteger="1" minValue="0" maxValue="11439"/>
    </cacheField>
    <cacheField name="Stok Miktarı_x000a_10.11.2025" numFmtId="0">
      <sharedItems containsString="0" containsBlank="1" containsNumber="1" containsInteger="1" minValue="0" maxValue="11439"/>
    </cacheField>
    <cacheField name="Stok Miktarı_x000a_17.11.2025" numFmtId="0">
      <sharedItems containsString="0" containsBlank="1" containsNumber="1" containsInteger="1" minValue="0" maxValue="11439"/>
    </cacheField>
    <cacheField name="Stok Miktarı_x000a_24.11.2025" numFmtId="0">
      <sharedItems containsString="0" containsBlank="1" containsNumber="1" containsInteger="1" minValue="0" maxValue="11439"/>
    </cacheField>
    <cacheField name="Stok Miktarı_x000a_01.12.2025" numFmtId="0">
      <sharedItems containsString="0" containsBlank="1" containsNumber="1" containsInteger="1" minValue="0" maxValue="11439"/>
    </cacheField>
    <cacheField name="Stok Miktarı_x000a_08.12.2025" numFmtId="0">
      <sharedItems containsString="0" containsBlank="1" containsNumber="1" containsInteger="1" minValue="0" maxValue="11439"/>
    </cacheField>
    <cacheField name="Stok Miktarı_x000a_15.12.2025" numFmtId="0">
      <sharedItems containsString="0" containsBlank="1" containsNumber="1" containsInteger="1" minValue="0" maxValue="11439"/>
    </cacheField>
    <cacheField name="Stok Miktarı_x000a_22.12.2025" numFmtId="0">
      <sharedItems containsString="0" containsBlank="1" containsNumber="1" containsInteger="1" minValue="0" maxValue="11439"/>
    </cacheField>
    <cacheField name="Stok Miktarı_x000a_29.12.2025" numFmtId="0">
      <sharedItems containsString="0" containsBlank="1" containsNumber="1" containsInteger="1" minValue="0" maxValue="11439"/>
    </cacheField>
    <cacheField name="Stok Miktarı_x000a_05.01.2026" numFmtId="0">
      <sharedItems containsString="0" containsBlank="1" containsNumber="1" containsInteger="1" minValue="0" maxValue="11439"/>
    </cacheField>
    <cacheField name="Stok Miktarı_x000a_12.01.2026" numFmtId="0">
      <sharedItems containsString="0" containsBlank="1" containsNumber="1" containsInteger="1" minValue="0" maxValue="11439"/>
    </cacheField>
    <cacheField name="Stok Miktarı_x000a_19.01.2026" numFmtId="0">
      <sharedItems containsString="0" containsBlank="1" containsNumber="1" containsInteger="1" minValue="0" maxValue="11439"/>
    </cacheField>
    <cacheField name="Stok Miktarı_x000a_26.01.2026" numFmtId="0">
      <sharedItems containsString="0" containsBlank="1" containsNumber="1" containsInteger="1" minValue="0" maxValue="11439"/>
    </cacheField>
    <cacheField name="Stok Miktarı_x000a_02.02.2026" numFmtId="0">
      <sharedItems containsString="0" containsBlank="1" containsNumber="1" containsInteger="1" minValue="0" maxValue="11439"/>
    </cacheField>
    <cacheField name="Stok Miktarı_x000a_09.02.2026" numFmtId="0">
      <sharedItems containsString="0" containsBlank="1" containsNumber="1" containsInteger="1" minValue="0" maxValue="11439"/>
    </cacheField>
    <cacheField name="Stok Miktarı_x000a_16.02.2026" numFmtId="0">
      <sharedItems containsString="0" containsBlank="1" containsNumber="1" containsInteger="1" minValue="0" maxValue="11439"/>
    </cacheField>
    <cacheField name="Stok Miktarı_x000a_23.02.2026" numFmtId="0">
      <sharedItems containsString="0" containsBlank="1" containsNumber="1" containsInteger="1" minValue="0" maxValue="11439"/>
    </cacheField>
    <cacheField name="Stok Miktarı_x000a_02.03.2026" numFmtId="0">
      <sharedItems containsString="0" containsBlank="1" containsNumber="1" containsInteger="1" minValue="0" maxValue="11439"/>
    </cacheField>
    <cacheField name="Stok Miktarı_x000a_09.03.2026" numFmtId="0">
      <sharedItems containsString="0" containsBlank="1" containsNumber="1" containsInteger="1" minValue="0" maxValue="11439"/>
    </cacheField>
    <cacheField name="Stok Miktarı_x000a_16.03.2026" numFmtId="0">
      <sharedItems containsString="0" containsBlank="1" containsNumber="1" containsInteger="1" minValue="0" maxValue="11439"/>
    </cacheField>
    <cacheField name="Stok Miktarı_x000a_23.03.2026" numFmtId="0">
      <sharedItems containsString="0" containsBlank="1" containsNumber="1" containsInteger="1" minValue="0" maxValue="11439"/>
    </cacheField>
    <cacheField name="Stok Miktarı_x000a_30.03.2026" numFmtId="0">
      <sharedItems containsString="0" containsBlank="1" containsNumber="1" containsInteger="1" minValue="0" maxValue="11439"/>
    </cacheField>
    <cacheField name="Stok Miktarı_x000a_06.04.2026" numFmtId="0">
      <sharedItems containsString="0" containsBlank="1" containsNumber="1" containsInteger="1" minValue="0" maxValue="11439"/>
    </cacheField>
    <cacheField name="Stok Miktarı_x000a_13.04.2026" numFmtId="0">
      <sharedItems containsString="0" containsBlank="1" containsNumber="1" containsInteger="1" minValue="0" maxValue="11439"/>
    </cacheField>
    <cacheField name="Stok Miktarı_x000a_20.04.2026" numFmtId="0">
      <sharedItems containsString="0" containsBlank="1" containsNumber="1" containsInteger="1" minValue="0" maxValue="11439"/>
    </cacheField>
    <cacheField name="Stok Miktarı_x000a_27.04.2026" numFmtId="0">
      <sharedItems containsString="0" containsBlank="1" containsNumber="1" containsInteger="1" minValue="0" maxValue="11439"/>
    </cacheField>
    <cacheField name="Stok Miktarı_x000a_04.05.2026" numFmtId="0">
      <sharedItems containsString="0" containsBlank="1" containsNumber="1" containsInteger="1" minValue="0" maxValue="11439"/>
    </cacheField>
    <cacheField name="Stok Miktarı_x000a_11.05.2026" numFmtId="0">
      <sharedItems containsString="0" containsBlank="1" containsNumber="1" containsInteger="1" minValue="0" maxValue="11439"/>
    </cacheField>
    <cacheField name="Stok Miktarı_x000a_18.05.2026" numFmtId="0">
      <sharedItems containsString="0" containsBlank="1" containsNumber="1" containsInteger="1" minValue="0" maxValue="11439"/>
    </cacheField>
    <cacheField name="Stok Miktarı_x000a_01.06.2026" numFmtId="0">
      <sharedItems containsString="0" containsBlank="1" containsNumber="1" containsInteger="1" minValue="0" maxValue="11439"/>
    </cacheField>
    <cacheField name="Stok Miktarı_x000a_08.06.2026" numFmtId="0">
      <sharedItems containsString="0" containsBlank="1" containsNumber="1" containsInteger="1" minValue="0" maxValue="11439"/>
    </cacheField>
    <cacheField name="Stok Miktarı_x000a_15.06.2026" numFmtId="0">
      <sharedItems containsString="0" containsBlank="1" containsNumber="1" containsInteger="1" minValue="0" maxValue="11439"/>
    </cacheField>
    <cacheField name="Stok Miktarı_x000a_22.06.2026" numFmtId="0">
      <sharedItems containsString="0" containsBlank="1" containsNumber="1" containsInteger="1" minValue="0" maxValue="11439"/>
    </cacheField>
    <cacheField name="Stok Miktarı_x000a_29.06.2026" numFmtId="0">
      <sharedItems containsString="0" containsBlank="1" containsNumber="1" containsInteger="1" minValue="0" maxValue="11439"/>
    </cacheField>
    <cacheField name="Stok Miktarı_x000a_06.07.2026" numFmtId="0">
      <sharedItems containsString="0" containsBlank="1" containsNumber="1" containsInteger="1" minValue="0" maxValue="11439"/>
    </cacheField>
    <cacheField name="Stok Miktarı_x000a_13.07.2026" numFmtId="0">
      <sharedItems containsString="0" containsBlank="1" containsNumber="1" containsInteger="1" minValue="0" maxValue="11439"/>
    </cacheField>
    <cacheField name="Stok Miktarı_x000a_20.07.2026" numFmtId="0">
      <sharedItems containsString="0" containsBlank="1" containsNumber="1" containsInteger="1" minValue="0" maxValue="11439"/>
    </cacheField>
    <cacheField name="Stok Miktarı_x000a_03.08.2026" numFmtId="0">
      <sharedItems containsString="0" containsBlank="1" containsNumber="1" containsInteger="1" minValue="0" maxValue="11439"/>
    </cacheField>
    <cacheField name="Stok Miktarı_x000a_10.08.2026" numFmtId="0">
      <sharedItems containsString="0" containsBlank="1" containsNumber="1" containsInteger="1" minValue="0" maxValue="11439"/>
    </cacheField>
    <cacheField name="Stok Miktarı_x000a_17.08.2026" numFmtId="0">
      <sharedItems containsString="0" containsBlank="1" containsNumber="1" containsInteger="1" minValue="0" maxValue="11439"/>
    </cacheField>
  </cacheFields>
  <extLst>
    <ext xmlns:x14="http://schemas.microsoft.com/office/spreadsheetml/2009/9/main" uri="{725AE2AE-9491-48be-B2B4-4EB974FC3084}">
      <x14:pivotCacheDefinition pivotCacheId="812493423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5">
  <r>
    <m/>
    <x v="0"/>
    <s v="8x 10/100/1000T,4xSFP,Ind. Ethernet, L3 SW, PoE+"/>
    <x v="0"/>
    <x v="0"/>
    <n v="1002"/>
    <s v="F2"/>
    <s v="Adet"/>
    <n v="5"/>
    <m/>
    <s v="Sıfır paketli"/>
    <s v="1 adeti kutusuz"/>
    <n v="1200"/>
    <n v="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"/>
    <s v="UTP to multi-mode ST (2km) fiber Media Converter"/>
    <x v="0"/>
    <x v="1"/>
    <n v="1002"/>
    <s v="F2"/>
    <s v="Adet"/>
    <n v="1"/>
    <m/>
    <s v="Sıfır paketli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"/>
    <s v="Outdoor MIMO Antenna ANT-2X2-2005"/>
    <x v="1"/>
    <x v="2"/>
    <n v="1002"/>
    <s v="F2"/>
    <s v="Adet"/>
    <n v="1"/>
    <m/>
    <s v="Kasa Hasarlı ürün"/>
    <s v="Acro' dan iade. Ahmet Bekçioğlu"/>
    <n v="265.14"/>
    <n v="265.1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"/>
    <s v="6200F 48G Class4 PoE 4SFP+ 740W Switch"/>
    <x v="1"/>
    <x v="0"/>
    <n v="1002"/>
    <s v="F2"/>
    <s v="Adet"/>
    <n v="6"/>
    <m/>
    <s v="Sıfır kutulu"/>
    <m/>
    <n v="2237.5"/>
    <n v="0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</r>
  <r>
    <m/>
    <x v="4"/>
    <s v="AP-535 (RW)  Dual Radio 4x4 802.11ax, ZigBee, Bluetooth"/>
    <x v="1"/>
    <x v="2"/>
    <n v="1002"/>
    <s v="F2"/>
    <s v="Adet"/>
    <n v="14"/>
    <m/>
    <m/>
    <m/>
    <n v="428.57"/>
    <n v="5999.98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</r>
  <r>
    <m/>
    <x v="5"/>
    <s v="AP-MNT-MP10-D Mount Bracket Kit"/>
    <x v="1"/>
    <x v="3"/>
    <n v="1006"/>
    <s v="F2"/>
    <s v="Adet"/>
    <n v="70"/>
    <m/>
    <m/>
    <m/>
    <n v="1"/>
    <n v="56"/>
    <n v="92"/>
    <n v="92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</r>
  <r>
    <m/>
    <x v="6"/>
    <s v="AP-515 (RW) Dual Radio 4x4/2x2 802.11ax"/>
    <x v="1"/>
    <x v="2"/>
    <n v="1002"/>
    <s v="F2"/>
    <s v="Adet"/>
    <n v="57"/>
    <n v="4"/>
    <m/>
    <s v="1 adet Melih Yaman' da_x000a_3 adet Mintyfi LBS"/>
    <n v="460"/>
    <n v="19780"/>
    <n v="82"/>
    <n v="82"/>
    <n v="60"/>
    <n v="60"/>
    <n v="60"/>
    <n v="60"/>
    <n v="60"/>
    <n v="60"/>
    <n v="60"/>
    <n v="60"/>
    <n v="60"/>
    <n v="60"/>
    <n v="60"/>
    <n v="60"/>
    <n v="60"/>
    <n v="60"/>
    <n v="60"/>
    <n v="60"/>
    <n v="60"/>
    <n v="60"/>
    <n v="60"/>
    <n v="57"/>
    <n v="57"/>
    <n v="57"/>
    <n v="57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</r>
  <r>
    <m/>
    <x v="7"/>
    <s v="6000 24G Class4 PoE 4SFP 370W Switch"/>
    <x v="1"/>
    <x v="0"/>
    <n v="1002"/>
    <s v="F2"/>
    <s v="Adet"/>
    <n v="1"/>
    <m/>
    <s v="Sıfır paketli"/>
    <m/>
    <n v="75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"/>
    <s v="2920/2930M 0.5m Stacking Cable "/>
    <x v="1"/>
    <x v="3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"/>
    <s v="2-port Stacking Module"/>
    <x v="1"/>
    <x v="3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0"/>
    <s v="50G SFP56 DAC 0.65m "/>
    <x v="1"/>
    <x v="4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"/>
    <s v="X372 54VDC 1050W 110-240VAC Power Supply "/>
    <x v="1"/>
    <x v="3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2"/>
    <s v="CX6100 24G Class4 PoE 4SFP+ 370W Switch"/>
    <x v="1"/>
    <x v="0"/>
    <n v="1002"/>
    <s v="F2"/>
    <s v="Adet"/>
    <m/>
    <m/>
    <m/>
    <s v="İFM Proje Ürünü"/>
    <n v="1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"/>
    <n v="8"/>
    <n v="8"/>
    <n v="0"/>
    <n v="0"/>
    <n v="0"/>
    <n v="0"/>
    <n v="0"/>
    <n v="0"/>
    <n v="0"/>
    <n v="0"/>
    <n v="0"/>
    <n v="0"/>
    <n v="0"/>
    <n v="0"/>
    <n v="0"/>
    <n v="0"/>
    <n v="0"/>
  </r>
  <r>
    <m/>
    <x v="13"/>
    <s v="Aruba Instant 802.11ac Dual 2x2:2 Radio Integrated Antenna AP"/>
    <x v="1"/>
    <x v="2"/>
    <n v="1002"/>
    <s v="F2"/>
    <s v="Adet"/>
    <n v="0"/>
    <m/>
    <s v="Kutusuz, kullanılmış"/>
    <s v="Dez Bilişim' den gelen konsinye ürünler"/>
    <m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14"/>
    <s v="4-port 10/100/1000BASE-T 16 AP and 1K Client Controller"/>
    <x v="1"/>
    <x v="5"/>
    <n v="1002"/>
    <s v="F2"/>
    <s v="Adet"/>
    <n v="0"/>
    <m/>
    <s v="Kutusuz, kullanılmış"/>
    <s v="Dez Bilişim' den gelen konsinye ürünler"/>
    <m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15"/>
    <s v="Dual Radio 2x2:2 802.11ax Internal Antennas Unified Campus AP"/>
    <x v="1"/>
    <x v="2"/>
    <n v="1002"/>
    <s v="F2"/>
    <s v="Adet"/>
    <n v="0"/>
    <m/>
    <s v="Kutusuz, kullanılmış"/>
    <s v="Dez Bilişim' den gelen konsinye ürünler"/>
    <m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</r>
  <r>
    <m/>
    <x v="16"/>
    <s v="AP Mount Bracket"/>
    <x v="1"/>
    <x v="3"/>
    <m/>
    <s v="F2"/>
    <s v="Adet"/>
    <n v="0"/>
    <m/>
    <s v="Kutusuz, kullanılmış"/>
    <s v="Dez Bilişim' den gelen konsinye ürünler"/>
    <m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17"/>
    <s v="AP Mount Bracket Individual Kit"/>
    <x v="1"/>
    <x v="3"/>
    <m/>
    <s v="F2"/>
    <s v="Adet"/>
    <n v="0"/>
    <m/>
    <s v="Kutusuz, kullanılmış"/>
    <s v="Dez Bilişim' den gelen konsinye ürünler"/>
    <n v="7.5"/>
    <n v="67.5"/>
    <n v="0"/>
    <n v="0"/>
    <n v="0"/>
    <n v="0"/>
    <n v="0"/>
    <n v="0"/>
    <n v="0"/>
    <n v="0"/>
    <n v="0"/>
    <n v="0"/>
    <n v="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9"/>
    <n v="9"/>
    <n v="9"/>
    <n v="9"/>
    <n v="9"/>
    <n v="9"/>
  </r>
  <r>
    <m/>
    <x v="18"/>
    <s v="Arista 7130 Series, w ith 48 SFP+, 6 QSFP"/>
    <x v="2"/>
    <x v="0"/>
    <n v="1002"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9"/>
    <s v="10GBASE-CR tw inax copper cable w ith SFP+"/>
    <x v="2"/>
    <x v="4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"/>
    <n v="20"/>
    <n v="20"/>
    <n v="20"/>
    <n v="20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0"/>
    <s v="Twinax Copper Networking Cable 5M"/>
    <x v="2"/>
    <x v="4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"/>
    <n v="20"/>
    <n v="20"/>
    <n v="20"/>
    <n v="20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1"/>
    <s v="10GBASE-SR SFP+ (Short Reach)"/>
    <x v="2"/>
    <x v="4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2"/>
    <s v="100GbE QSFP to QSFP twinax copper cable"/>
    <x v="2"/>
    <x v="6"/>
    <n v="1006"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2"/>
    <n v="52"/>
    <n v="52"/>
    <n v="52"/>
    <n v="52"/>
    <n v="52"/>
    <n v="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3"/>
    <s v="10Gbase SFP+ Bakır RJ45, 30m"/>
    <x v="3"/>
    <x v="6"/>
    <m/>
    <m/>
    <s v="Adet"/>
    <m/>
    <m/>
    <m/>
    <m/>
    <n v="78.48"/>
    <n v="156.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24"/>
    <s v="LC-SC Patch Kablo, MM OM4 Duplex, 3.0mm, 5 mt"/>
    <x v="3"/>
    <x v="7"/>
    <n v="1102"/>
    <s v="F2"/>
    <s v="Adet"/>
    <n v="1"/>
    <m/>
    <m/>
    <m/>
    <n v="6.36"/>
    <n v="6.3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5"/>
    <s v="CAT6 Patch Kablo, U/UTP, 0,25 metre, gri"/>
    <x v="3"/>
    <x v="8"/>
    <n v="1101"/>
    <s v="F2 Connect"/>
    <s v="Adet"/>
    <n v="28"/>
    <m/>
    <s v="Sıfır, paketli"/>
    <m/>
    <n v="0.41"/>
    <n v="11.479999999999999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</r>
  <r>
    <m/>
    <x v="26"/>
    <s v="CAT6 Patch Kablo, U/UTP, 0,25 metre, sarı"/>
    <x v="3"/>
    <x v="8"/>
    <m/>
    <m/>
    <m/>
    <m/>
    <m/>
    <s v="Sıfır, paketli"/>
    <m/>
    <n v="0.41"/>
    <n v="12.2999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"/>
  </r>
  <r>
    <m/>
    <x v="27"/>
    <s v="CAT6 Patch Kablo, U/UTP, 0,25 metre, siyah"/>
    <x v="3"/>
    <x v="8"/>
    <n v="1101"/>
    <s v="F2 Connect"/>
    <s v="Adet"/>
    <n v="28"/>
    <m/>
    <s v="Sıfır, paketli"/>
    <m/>
    <n v="0.41"/>
    <n v="11.479999999999999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</r>
  <r>
    <m/>
    <x v="28"/>
    <s v="CAT6 Patch Kablo, U/UTP, 0,5 metre, sarı"/>
    <x v="3"/>
    <x v="8"/>
    <m/>
    <m/>
    <m/>
    <m/>
    <m/>
    <s v="Sıfır paketli"/>
    <m/>
    <n v="0.51"/>
    <n v="5.099999999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</r>
  <r>
    <m/>
    <x v="29"/>
    <s v="HDMI High Speed with Ethernet Bağlantı Kablosu"/>
    <x v="3"/>
    <x v="9"/>
    <n v="1005"/>
    <s v="F2 Connect"/>
    <s v="Adet"/>
    <n v="0"/>
    <m/>
    <s v="Sıfır paketli"/>
    <m/>
    <m/>
    <n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"/>
    <s v="CAT6 F-UTP AWG23 LSZH jacket, 500M/drum"/>
    <x v="3"/>
    <x v="10"/>
    <n v="1101"/>
    <s v="F2 Connect"/>
    <s v="Metre"/>
    <n v="500"/>
    <m/>
    <m/>
    <m/>
    <n v="0.5"/>
    <n v="250"/>
    <n v="1500"/>
    <n v="1500"/>
    <n v="1500"/>
    <n v="1500"/>
    <n v="1500"/>
    <n v="1500"/>
    <n v="1500"/>
    <n v="1500"/>
    <n v="1500"/>
    <n v="1500"/>
    <n v="1500"/>
    <n v="1500"/>
    <n v="1500"/>
    <n v="1500"/>
    <n v="1500"/>
    <n v="1500"/>
    <n v="1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</r>
  <r>
    <m/>
    <x v="31"/>
    <s v="24 Core SM OS2, 9/125µ, 7mm, Unitube, Shielded"/>
    <x v="3"/>
    <x v="11"/>
    <n v="1101"/>
    <s v="F2"/>
    <s v="Metre"/>
    <n v="207"/>
    <m/>
    <m/>
    <s v="F2-FO24C-OS2  koduyla Haribo' da kullanılmayan parça kablo"/>
    <n v="0.48"/>
    <n v="99.36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</r>
  <r>
    <m/>
    <x v="32"/>
    <s v="24 Port Modüler Boş Patch Panel, Zırhlı"/>
    <x v="3"/>
    <x v="12"/>
    <n v="1101"/>
    <s v="F2 Connect"/>
    <s v="Adet"/>
    <n v="0"/>
    <m/>
    <m/>
    <m/>
    <n v="8.19"/>
    <n v="106.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0"/>
    <n v="0"/>
    <n v="9"/>
    <n v="9"/>
    <n v="10"/>
    <n v="10"/>
    <n v="10"/>
    <n v="10"/>
    <n v="10"/>
    <n v="10"/>
    <n v="10"/>
    <n v="10"/>
    <n v="10"/>
    <n v="10"/>
    <n v="10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</r>
  <r>
    <m/>
    <x v="33"/>
    <s v="1U 19” Fiber Patch Panel Şasi (Ön tepsi ayrıca alınmalı)"/>
    <x v="3"/>
    <x v="13"/>
    <n v="1102"/>
    <s v="F2"/>
    <s v="Adet"/>
    <n v="0"/>
    <m/>
    <m/>
    <m/>
    <n v="21.42"/>
    <n v="42.8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4"/>
    <s v="PigTail, 9/125, OS2, LSZH, 1 metre"/>
    <x v="3"/>
    <x v="14"/>
    <n v="1102"/>
    <s v="F2"/>
    <s v="Adet"/>
    <n v="0"/>
    <m/>
    <m/>
    <m/>
    <n v="0.57999999999999996"/>
    <n v="13.9199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</r>
  <r>
    <m/>
    <x v="35"/>
    <s v="40G QSFP DAC Cable"/>
    <x v="4"/>
    <x v="4"/>
    <n v="1006"/>
    <s v="F2"/>
    <s v="Adet"/>
    <n v="2"/>
    <m/>
    <m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6"/>
    <s v="802.11ac W2 AP, 3x3:2, Int Ant; Regulatory Domain"/>
    <x v="5"/>
    <x v="2"/>
    <n v="1002"/>
    <s v="F2"/>
    <s v="Adet"/>
    <n v="0"/>
    <n v="1"/>
    <m/>
    <s v="1 adet Trainy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7"/>
    <s v="Dual-band autonomous 802.11a/g/n"/>
    <x v="5"/>
    <x v="2"/>
    <n v="1002"/>
    <s v="F2"/>
    <s v="Adet"/>
    <n v="0"/>
    <n v="1"/>
    <m/>
    <s v="1 adet Trainy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"/>
    <s v="Aironet 3500 Series AP, 802.11n, 300Mbps"/>
    <x v="5"/>
    <x v="2"/>
    <n v="1002"/>
    <s v="F2"/>
    <s v="Adet"/>
    <n v="1"/>
    <m/>
    <m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9"/>
    <s v="CBS350 Managed 24-port GE, 4x1G SFP"/>
    <x v="5"/>
    <x v="0"/>
    <n v="1002"/>
    <s v="F2"/>
    <s v="Adet"/>
    <n v="1"/>
    <m/>
    <s v="Sıfır paketli"/>
    <m/>
    <n v="367.2"/>
    <n v="367.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0"/>
    <s v="802.11ac 4×4 Wave 2 Access Point Ceiling Mount AP"/>
    <x v="5"/>
    <x v="2"/>
    <n v="1002"/>
    <s v="F2"/>
    <s v="Adet"/>
    <n v="1"/>
    <m/>
    <m/>
    <m/>
    <m/>
    <n v="0"/>
    <n v="5"/>
    <n v="5"/>
    <n v="5"/>
    <n v="5"/>
    <n v="5"/>
    <n v="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</r>
  <r>
    <m/>
    <x v="41"/>
    <s v="10G SR SFP+ module MM,850nm,LC, duplex"/>
    <x v="5"/>
    <x v="6"/>
    <n v="1006"/>
    <s v="F2"/>
    <s v="Adet"/>
    <n v="7"/>
    <m/>
    <m/>
    <m/>
    <n v="254.37"/>
    <n v="1780.5900000000001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42"/>
    <s v="10G LR SFP+ module SM,1310nm,LC, duplex"/>
    <x v="5"/>
    <x v="6"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3"/>
    <s v="Catalyst 3560-CX 12 Port 10/100/1000 PoE+ 240W"/>
    <x v="5"/>
    <x v="0"/>
    <n v="1002"/>
    <s v="F2"/>
    <s v="Adet"/>
    <n v="0"/>
    <m/>
    <m/>
    <m/>
    <m/>
    <n v="0"/>
    <n v="0"/>
    <n v="0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4"/>
    <s v="Catalyst 9200L 48-port Partial PoE+, 4 x 1G, NW Essentials"/>
    <x v="5"/>
    <x v="0"/>
    <m/>
    <m/>
    <m/>
    <m/>
    <m/>
    <m/>
    <m/>
    <n v="1772.71"/>
    <n v="3545.4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</r>
  <r>
    <m/>
    <x v="45"/>
    <s v="Catalyst 9200L 24-port PoE+, 4 x 1G, Network Essentials"/>
    <x v="5"/>
    <x v="0"/>
    <m/>
    <m/>
    <m/>
    <m/>
    <m/>
    <m/>
    <m/>
    <n v="941.46"/>
    <n v="7531.6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"/>
    <n v="8"/>
    <n v="8"/>
    <n v="8"/>
    <n v="8"/>
    <n v="8"/>
    <n v="8"/>
    <n v="8"/>
    <n v="8"/>
    <n v="8"/>
    <n v="8"/>
  </r>
  <r>
    <m/>
    <x v="46"/>
    <s v="1000Base-SX SFP transceiver module, MMF, 850nm, DOM"/>
    <x v="5"/>
    <x v="6"/>
    <n v="1006"/>
    <s v="F2"/>
    <s v="Adet"/>
    <n v="2"/>
    <m/>
    <m/>
    <s v="Göçmen' den alınan ürünler"/>
    <n v="182.99"/>
    <n v="3293.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8"/>
    <n v="18"/>
    <n v="18"/>
    <n v="18"/>
    <n v="18"/>
    <n v="18"/>
    <n v="18"/>
    <n v="18"/>
    <n v="18"/>
    <n v="18"/>
    <n v="18"/>
  </r>
  <r>
    <m/>
    <x v="47"/>
    <s v="1000BASE-LX/LH SFP transceiver module, MMF/SMF, 1310nm, DOM"/>
    <x v="5"/>
    <x v="6"/>
    <m/>
    <m/>
    <m/>
    <m/>
    <m/>
    <m/>
    <m/>
    <n v="364.16"/>
    <n v="1456.6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  <n v="4"/>
    <n v="4"/>
    <n v="4"/>
    <n v="4"/>
    <n v="4"/>
    <n v="4"/>
    <n v="4"/>
    <n v="4"/>
  </r>
  <r>
    <m/>
    <x v="48"/>
    <s v="40GBase-CSR4, 4 şerit, 850 nm MMF"/>
    <x v="5"/>
    <x v="6"/>
    <n v="1006"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"/>
    <n v="8"/>
    <n v="8"/>
    <n v="8"/>
    <n v="8"/>
    <n v="8"/>
    <n v="8"/>
    <n v="8"/>
    <n v="8"/>
    <n v="8"/>
    <n v="8"/>
    <n v="8"/>
    <n v="8"/>
    <n v="8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9"/>
    <s v="Cat7 F/FTP Cable, LSZH, 23 AWG, 500m reel, White"/>
    <x v="6"/>
    <x v="10"/>
    <n v="1101"/>
    <s v="F2"/>
    <s v="Metre"/>
    <n v="8142"/>
    <m/>
    <m/>
    <s v="Farklı metrajlar içeren makaralar"/>
    <n v="0.6"/>
    <n v="0"/>
    <n v="15364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662"/>
    <n v="662"/>
    <n v="662"/>
    <n v="662"/>
    <n v="662"/>
    <n v="662"/>
    <n v="662"/>
    <n v="662"/>
    <n v="662"/>
    <n v="657"/>
    <n v="6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0"/>
    <s v="ModJack,RJ45,Cat6,unshielded,w/o dustcover,almond"/>
    <x v="6"/>
    <x v="15"/>
    <n v="1101"/>
    <s v="F2"/>
    <s v="Adet"/>
    <n v="0"/>
    <m/>
    <s v="Sıfır paketli"/>
    <m/>
    <m/>
    <n v="0"/>
    <n v="56"/>
    <n v="56"/>
    <n v="56"/>
    <n v="56"/>
    <n v="56"/>
    <n v="56"/>
    <n v="56"/>
    <n v="56"/>
    <n v="56"/>
    <n v="56"/>
    <n v="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1"/>
    <s v="ModJack,RJ45,Cat6,unshielded,w/o dustcover,black"/>
    <x v="6"/>
    <x v="15"/>
    <n v="1101"/>
    <s v="F2"/>
    <s v="Adet"/>
    <n v="0"/>
    <m/>
    <s v="Sıfır paketli"/>
    <m/>
    <m/>
    <n v="0"/>
    <n v="46"/>
    <n v="46"/>
    <n v="46"/>
    <n v="46"/>
    <n v="46"/>
    <n v="46"/>
    <n v="46"/>
    <n v="46"/>
    <n v="46"/>
    <n v="46"/>
    <n v="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2"/>
    <s v="Dual Outlet,shuttered flat,for 2SL jacks,45x45mm"/>
    <x v="6"/>
    <x v="3"/>
    <n v="1104"/>
    <s v="F2"/>
    <s v="Adet"/>
    <n v="24"/>
    <m/>
    <s v="Sıfır paketli"/>
    <m/>
    <n v="0.55000000000000004"/>
    <n v="13.200000000000001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</r>
  <r>
    <m/>
    <x v="53"/>
    <s v="Blank Module For Snap Inmodule 45 X 22.5,white"/>
    <x v="6"/>
    <x v="3"/>
    <n v="1101"/>
    <s v="F2"/>
    <s v="Adet"/>
    <n v="214"/>
    <m/>
    <s v="Sıfır paketli"/>
    <m/>
    <n v="0.3"/>
    <n v="48.3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194"/>
    <n v="194"/>
    <n v="174"/>
    <n v="174"/>
    <n v="174"/>
    <n v="174"/>
    <n v="174"/>
    <n v="174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</r>
  <r>
    <m/>
    <x v="54"/>
    <s v="Unloaded Faceplate Snap-In Module, 1 port, white"/>
    <x v="6"/>
    <x v="3"/>
    <n v="1101"/>
    <s v="F2"/>
    <s v="Adet"/>
    <n v="134"/>
    <m/>
    <s v="Sıfır paketli"/>
    <m/>
    <n v="0.56999999999999995"/>
    <n v="0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5"/>
    <s v="Unloaded Faceplate Snap-In Module, 1 port, white"/>
    <x v="6"/>
    <x v="3"/>
    <n v="1101"/>
    <s v="F2"/>
    <s v="Adet"/>
    <n v="18"/>
    <m/>
    <s v="Sıfır paketsiz"/>
    <m/>
    <n v="0.56999999999999995"/>
    <n v="0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6"/>
    <s v="FO Patch Cord,OM4,LC/LC,1.8 mm,LSZH&amp;OFNR,Aqua,2M"/>
    <x v="6"/>
    <x v="7"/>
    <n v="1102"/>
    <s v="F2"/>
    <s v="Adet"/>
    <n v="6"/>
    <m/>
    <s v="Sıfır paketli"/>
    <m/>
    <n v="20.55"/>
    <n v="123.30000000000001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</r>
  <r>
    <m/>
    <x v="57"/>
    <s v="FO Patch Cord,SM,1.8mm,LC/LC duplex tuned,2M"/>
    <x v="6"/>
    <x v="7"/>
    <n v="1102"/>
    <s v="F2"/>
    <s v="Adet"/>
    <n v="27"/>
    <m/>
    <s v="Sıfır paketli"/>
    <m/>
    <n v="22.45"/>
    <n v="606.15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</r>
  <r>
    <m/>
    <x v="58"/>
    <s v="CS34Z3 WHT C6 4/23 U/UTP CPK 305M"/>
    <x v="6"/>
    <x v="10"/>
    <n v="1101"/>
    <s v="F2"/>
    <s v="Metre"/>
    <n v="0"/>
    <m/>
    <s v="Sıfır paketli"/>
    <m/>
    <n v="0.37"/>
    <n v="0"/>
    <n v="6405"/>
    <n v="6405"/>
    <n v="6405"/>
    <n v="6405"/>
    <n v="6405"/>
    <n v="4880"/>
    <n v="4880"/>
    <n v="4880"/>
    <n v="4880"/>
    <n v="4880"/>
    <n v="4880"/>
    <n v="4880"/>
    <n v="4880"/>
    <n v="4880"/>
    <n v="4880"/>
    <n v="4880"/>
    <n v="488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9"/>
    <s v="CAT 6A, U/UTP, 28 AWG, 4 Pair, White, 1M"/>
    <x v="6"/>
    <x v="8"/>
    <n v="1101"/>
    <s v="F2"/>
    <s v="Adet"/>
    <n v="1"/>
    <m/>
    <m/>
    <m/>
    <n v="4.45"/>
    <n v="4.4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60"/>
    <s v="NPC RJ45 Patch Cord Cat6 U/UTP LSZH BK 25C"/>
    <x v="6"/>
    <x v="8"/>
    <n v="1101"/>
    <s v="F2"/>
    <s v="Adet"/>
    <n v="181"/>
    <m/>
    <s v="Sıfır paketli"/>
    <m/>
    <n v="2.9"/>
    <n v="408.9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</r>
  <r>
    <m/>
    <x v="61"/>
    <s v="NPC RJ45 Patch Cord Cat6 U/UTP LSZH WT 1M"/>
    <x v="6"/>
    <x v="8"/>
    <n v="1101"/>
    <s v="F2"/>
    <s v="Adet"/>
    <n v="29"/>
    <m/>
    <s v="Sıfır paketli"/>
    <m/>
    <n v="3.9"/>
    <n v="113.1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</r>
  <r>
    <m/>
    <x v="62"/>
    <s v="Cat 6A S/FTP RJ45 Patch Cord, LSZH, White, 1M"/>
    <x v="6"/>
    <x v="8"/>
    <n v="1101"/>
    <s v="F2"/>
    <s v="Adet"/>
    <m/>
    <m/>
    <m/>
    <m/>
    <n v="6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3"/>
    <s v="Cat 6A S/FTP RJ45 Patch Cord, LSZH, White, 2M"/>
    <x v="6"/>
    <x v="8"/>
    <n v="1101"/>
    <s v="F2"/>
    <s v="Adet"/>
    <m/>
    <m/>
    <m/>
    <m/>
    <n v="6.1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4"/>
    <s v="Cat 6A S/FTP RJ45 Patch Cord, LSZH, White, 3M"/>
    <x v="6"/>
    <x v="8"/>
    <n v="1101"/>
    <s v="F2"/>
    <s v="Adet"/>
    <m/>
    <m/>
    <m/>
    <m/>
    <n v="7.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5"/>
    <s v="Cat 6A S/FTP RJ45 Patch Cord, LSZH, White, 5M"/>
    <x v="6"/>
    <x v="8"/>
    <n v="1101"/>
    <s v="F2"/>
    <s v="Adet"/>
    <m/>
    <m/>
    <m/>
    <m/>
    <n v="11.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6"/>
    <s v="Cat 6A S/FTP RJ45 Patch Cord, LSZH, White, 10M"/>
    <x v="6"/>
    <x v="8"/>
    <n v="1101"/>
    <s v="F2"/>
    <s v="Adet"/>
    <m/>
    <m/>
    <m/>
    <m/>
    <n v="15.2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7"/>
    <s v="SL Series Surface Mount Modular Jack Box, 1 port, unloaded, white"/>
    <x v="6"/>
    <x v="3"/>
    <n v="1101"/>
    <s v="F2"/>
    <s v="Adet"/>
    <n v="37"/>
    <m/>
    <s v="Sıfır paketli"/>
    <m/>
    <n v="1.5"/>
    <n v="57"/>
    <m/>
    <m/>
    <m/>
    <m/>
    <m/>
    <m/>
    <m/>
    <m/>
    <m/>
    <m/>
    <m/>
    <m/>
    <m/>
    <m/>
    <m/>
    <m/>
    <m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0"/>
    <n v="0"/>
    <n v="0"/>
    <n v="0"/>
    <n v="0"/>
    <n v="0"/>
    <n v="0"/>
    <n v="0"/>
    <n v="0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</r>
  <r>
    <m/>
    <x v="68"/>
    <s v="Jack Termination Tool with Lacing Fixture "/>
    <x v="6"/>
    <x v="3"/>
    <n v="1101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9"/>
    <s v="Indoor/Outdoor FO Cable, 12Core, OM4, Aqua"/>
    <x v="6"/>
    <x v="11"/>
    <m/>
    <m/>
    <s v="Metre"/>
    <m/>
    <m/>
    <m/>
    <m/>
    <n v="2.75"/>
    <n v="35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</r>
  <r>
    <m/>
    <x v="70"/>
    <s v="SL-Series Modular Jack, RJ45, Cat6A Shielded, Light Almond"/>
    <x v="6"/>
    <x v="15"/>
    <m/>
    <m/>
    <s v="Adet"/>
    <n v="0"/>
    <m/>
    <m/>
    <m/>
    <n v="5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0"/>
    <n v="240"/>
    <n v="240"/>
    <n v="240"/>
    <n v="240"/>
    <n v="240"/>
    <n v="264"/>
    <n v="264"/>
    <n v="264"/>
    <n v="264"/>
    <n v="264"/>
    <n v="264"/>
    <n v="264"/>
    <n v="264"/>
    <n v="0"/>
    <n v="0"/>
    <n v="0"/>
    <n v="144"/>
    <n v="144"/>
    <n v="144"/>
    <n v="144"/>
    <n v="144"/>
    <n v="144"/>
    <n v="144"/>
    <n v="144"/>
    <n v="144"/>
    <n v="144"/>
    <n v="144"/>
    <n v="144"/>
    <n v="144"/>
    <n v="144"/>
    <n v="144"/>
    <n v="144"/>
    <n v="144"/>
    <n v="144"/>
    <n v="0"/>
    <n v="0"/>
    <n v="0"/>
    <n v="0"/>
    <n v="0"/>
    <n v="0"/>
    <n v="0"/>
    <n v="0"/>
  </r>
  <r>
    <m/>
    <x v="71"/>
    <s v="SL-Series Modular Jack, RJ45, Cat6A Shielded, Black"/>
    <x v="6"/>
    <x v="15"/>
    <m/>
    <m/>
    <s v="Adet"/>
    <n v="0"/>
    <m/>
    <m/>
    <m/>
    <n v="5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62"/>
    <n v="862"/>
    <n v="857"/>
    <n v="857"/>
    <n v="857"/>
    <n v="857"/>
    <n v="857"/>
    <n v="857"/>
    <n v="569"/>
    <n v="569"/>
    <n v="569"/>
    <n v="569"/>
    <n v="569"/>
    <n v="5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4"/>
    <n v="504"/>
    <n v="504"/>
    <n v="504"/>
    <n v="0"/>
    <n v="0"/>
    <n v="0"/>
    <n v="0"/>
  </r>
  <r>
    <m/>
    <x v="72"/>
    <s v="1U 24-Port STP E Series Patch Panel"/>
    <x v="6"/>
    <x v="12"/>
    <m/>
    <m/>
    <s v="Adet"/>
    <n v="0"/>
    <m/>
    <m/>
    <m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3"/>
    <s v="KJ Series Modular Jack, RJ45, Cat6A Shielded, Silver"/>
    <x v="6"/>
    <x v="15"/>
    <m/>
    <m/>
    <s v="Adet"/>
    <n v="0"/>
    <m/>
    <m/>
    <m/>
    <n v="5.55"/>
    <n v="405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6"/>
    <n v="156"/>
    <n v="156"/>
    <n v="156"/>
    <n v="156"/>
    <n v="156"/>
    <n v="156"/>
    <n v="72"/>
    <n v="72"/>
    <n v="72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73"/>
    <n v="73"/>
    <n v="73"/>
    <n v="73"/>
    <n v="73"/>
    <n v="73"/>
  </r>
  <r>
    <m/>
    <x v="74"/>
    <s v="Surface Mount Box, universal, one port, pro white"/>
    <x v="6"/>
    <x v="3"/>
    <m/>
    <m/>
    <s v="Adet"/>
    <n v="0"/>
    <m/>
    <m/>
    <m/>
    <n v="1.7"/>
    <n v="1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"/>
    <n v="50"/>
    <n v="50"/>
    <n v="50"/>
    <n v="50"/>
    <n v="50"/>
    <n v="50"/>
    <n v="0"/>
    <n v="0"/>
    <n v="0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8"/>
    <n v="8"/>
    <n v="8"/>
    <n v="8"/>
    <n v="8"/>
    <n v="8"/>
  </r>
  <r>
    <m/>
    <x v="75"/>
    <s v="FO Patch Panel, Unloaded for holding up to 24 LC/UPC duplex, black"/>
    <x v="6"/>
    <x v="13"/>
    <m/>
    <m/>
    <s v="Adet"/>
    <m/>
    <m/>
    <m/>
    <m/>
    <n v="52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6"/>
    <s v="Fiber Optic Splice Tray Kit"/>
    <x v="6"/>
    <x v="3"/>
    <m/>
    <m/>
    <s v="Adet"/>
    <m/>
    <m/>
    <m/>
    <m/>
    <n v="17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7"/>
    <s v="Protective Sleeve for Single Fusion"/>
    <x v="6"/>
    <x v="3"/>
    <m/>
    <m/>
    <s v="Adet"/>
    <m/>
    <m/>
    <m/>
    <m/>
    <n v="15.3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8"/>
    <s v="Duplex Adapter, Singlemode LC/UPC, blue"/>
    <x v="6"/>
    <x v="16"/>
    <m/>
    <m/>
    <s v="Adet"/>
    <m/>
    <m/>
    <m/>
    <m/>
    <n v="3.9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4"/>
    <n v="24"/>
    <n v="24"/>
    <n v="24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9"/>
    <s v="Pigtail, Simplex, Singlemode, LC/UPC to Stub, 1 m"/>
    <x v="6"/>
    <x v="14"/>
    <m/>
    <m/>
    <s v="Adet"/>
    <m/>
    <m/>
    <m/>
    <m/>
    <n v="3.9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8"/>
    <n v="48"/>
    <n v="48"/>
    <n v="48"/>
    <n v="48"/>
    <n v="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0"/>
    <s v="SM LC/UPC to LC/UPC, Fiber Patch Cord, 1.6 mm Duplex, LSZH"/>
    <x v="6"/>
    <x v="7"/>
    <m/>
    <m/>
    <s v="Adet"/>
    <m/>
    <m/>
    <m/>
    <m/>
    <n v="22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6"/>
    <n v="56"/>
    <n v="56"/>
    <n v="56"/>
    <n v="56"/>
    <n v="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1"/>
    <s v="Shielded Modular Panel, Keystone, 1U, 24 port, Black"/>
    <x v="6"/>
    <x v="12"/>
    <m/>
    <m/>
    <s v="Adet"/>
    <m/>
    <m/>
    <m/>
    <m/>
    <n v="2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2"/>
    <s v="Jack Termination Tool"/>
    <x v="6"/>
    <x v="3"/>
    <m/>
    <m/>
    <s v="Adet"/>
    <m/>
    <m/>
    <m/>
    <m/>
    <n v="55.1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4"/>
    <n v="4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3"/>
    <s v="Jack Termination Tool - Lacing Fixture (SL / KJ / UNJ)"/>
    <x v="6"/>
    <x v="3"/>
    <m/>
    <m/>
    <s v="Adet"/>
    <m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0"/>
    <n v="0"/>
    <n v="0"/>
    <n v="2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4"/>
    <s v="12 Core SM FO Cable"/>
    <x v="6"/>
    <x v="11"/>
    <m/>
    <m/>
    <s v="Metre"/>
    <m/>
    <m/>
    <m/>
    <m/>
    <n v="1.4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"/>
    <n v="650"/>
    <n v="650"/>
    <n v="650"/>
    <n v="6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5"/>
    <s v="Surface Mount Box, universal, two ports, white"/>
    <x v="6"/>
    <x v="3"/>
    <m/>
    <m/>
    <m/>
    <m/>
    <m/>
    <m/>
    <m/>
    <n v="2.7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26"/>
    <n v="526"/>
    <n v="376"/>
    <n v="376"/>
    <n v="376"/>
    <n v="376"/>
    <n v="376"/>
    <n v="376"/>
    <n v="376"/>
    <n v="376"/>
    <n v="371"/>
    <n v="371"/>
    <n v="371"/>
    <n v="371"/>
    <n v="371"/>
    <n v="371"/>
    <n v="371"/>
    <n v="371"/>
    <n v="371"/>
    <n v="371"/>
    <n v="371"/>
    <n v="371"/>
    <n v="0"/>
    <n v="0"/>
    <n v="0"/>
    <n v="0"/>
    <n v="0"/>
    <n v="0"/>
    <n v="0"/>
    <n v="0"/>
    <n v="0"/>
    <n v="0"/>
    <n v="0"/>
    <n v="0"/>
    <n v="0"/>
    <n v="0"/>
    <n v="0"/>
  </r>
  <r>
    <m/>
    <x v="86"/>
    <s v="imVision iPatch 96F-LC, Sliding Shelf 1PK imVision Upgrade Kit"/>
    <x v="6"/>
    <x v="3"/>
    <m/>
    <m/>
    <m/>
    <m/>
    <m/>
    <m/>
    <m/>
    <n v="390"/>
    <n v="39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10"/>
    <n v="10"/>
  </r>
  <r>
    <m/>
    <x v="87"/>
    <s v="PowerEdge R640 Server"/>
    <x v="7"/>
    <x v="17"/>
    <n v="1003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88"/>
    <s v="PowerEdge R660 Server"/>
    <x v="7"/>
    <x v="17"/>
    <n v="1003"/>
    <s v="F2"/>
    <s v="Adet"/>
    <n v="1"/>
    <m/>
    <s v="Sıfır, kutulu"/>
    <s v="Info Yatırım Yeni Datacenter Projesi için geldi"/>
    <m/>
    <n v="0"/>
    <m/>
    <m/>
    <m/>
    <m/>
    <m/>
    <m/>
    <m/>
    <m/>
    <m/>
    <m/>
    <m/>
    <m/>
    <m/>
    <m/>
    <m/>
    <m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9"/>
    <s v="PowerEdge R760 Server"/>
    <x v="7"/>
    <x v="17"/>
    <n v="1003"/>
    <s v="F2"/>
    <s v="Adet"/>
    <n v="7"/>
    <m/>
    <s v="Sıfır, kutulu"/>
    <s v="Info Yatırım Yeni Datacenter Projesi için geldi"/>
    <m/>
    <n v="0"/>
    <m/>
    <m/>
    <m/>
    <m/>
    <m/>
    <m/>
    <m/>
    <m/>
    <m/>
    <m/>
    <m/>
    <m/>
    <m/>
    <m/>
    <m/>
    <m/>
    <n v="7"/>
    <n v="7"/>
    <n v="7"/>
    <n v="7"/>
    <n v="7"/>
    <n v="7"/>
    <n v="7"/>
    <n v="7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0"/>
    <s v="PowerEdge R760XS Server"/>
    <x v="7"/>
    <x v="17"/>
    <m/>
    <m/>
    <s v="Adet"/>
    <m/>
    <m/>
    <s v="Sıfır, kutulu"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1"/>
    <s v="SFP28 SR Optic, 25GbE, 85C, for all SFP28 ports"/>
    <x v="7"/>
    <x v="6"/>
    <n v="1006"/>
    <s v="F2"/>
    <s v="Adet"/>
    <n v="32"/>
    <m/>
    <s v="Sıfır, kutulu"/>
    <s v="Info Yatırım Yeni Datacenter Projesi için geldi"/>
    <m/>
    <n v="0"/>
    <m/>
    <m/>
    <m/>
    <m/>
    <m/>
    <m/>
    <m/>
    <m/>
    <m/>
    <m/>
    <m/>
    <m/>
    <m/>
    <m/>
    <m/>
    <m/>
    <n v="32"/>
    <n v="32"/>
    <n v="32"/>
    <n v="32"/>
    <n v="32"/>
    <n v="32"/>
    <n v="32"/>
    <n v="32"/>
    <n v="26"/>
    <n v="2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</r>
  <r>
    <m/>
    <x v="92"/>
    <s v="Inspiron 3520 i5-1235U 8 GB 512GB SSD UHD 15.6''"/>
    <x v="7"/>
    <x v="18"/>
    <m/>
    <m/>
    <s v="Adet"/>
    <m/>
    <m/>
    <m/>
    <m/>
    <n v="319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3"/>
    <n v="3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3"/>
    <s v="2 x USB A Dişi 2 x 5 pin IDC Dişi, 0.25 mt, AWG 28"/>
    <x v="8"/>
    <x v="19"/>
    <m/>
    <s v="F2 Connect"/>
    <s v="Adet"/>
    <m/>
    <n v="37"/>
    <s v="Sıfır paketli"/>
    <s v="mEdge ürününe entegre edildi."/>
    <n v="2.73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4"/>
    <s v="HDMI 1.4 Kablo, 2160p,4K,3D, Tip A M-Tip A M, 2mt"/>
    <x v="8"/>
    <x v="9"/>
    <n v="1005"/>
    <s v="F2"/>
    <s v="Adet"/>
    <n v="0"/>
    <m/>
    <s v="Sıfır paketli"/>
    <m/>
    <n v="2.4700000000000002"/>
    <n v="0"/>
    <n v="0"/>
    <n v="0"/>
    <n v="0"/>
    <n v="0"/>
    <n v="0"/>
    <n v="0"/>
    <n v="0"/>
    <n v="0"/>
    <n v="0"/>
    <n v="5"/>
    <n v="5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5"/>
    <s v="HDMI 1.4 Kablo, 2160p,4K,3D, Tip A M-Tip A M, 3mt"/>
    <x v="8"/>
    <x v="9"/>
    <m/>
    <m/>
    <s v="Adet"/>
    <n v="0"/>
    <m/>
    <m/>
    <m/>
    <n v="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6"/>
    <s v="HDMI 1.4 Kablo, 2160p,4K,3D, Tip A M-Tip A M, 5mt"/>
    <x v="8"/>
    <x v="9"/>
    <n v="1005"/>
    <s v="F2"/>
    <s v="Adet"/>
    <n v="5"/>
    <m/>
    <s v="Sıfır paketli"/>
    <m/>
    <n v="4.38"/>
    <n v="0"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1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7"/>
    <s v="HDMI 1.4 Kablo, 2160p,4K,3D, Tip A M-Tip A M, 10mt"/>
    <x v="8"/>
    <x v="9"/>
    <m/>
    <m/>
    <s v="Adet"/>
    <n v="0"/>
    <m/>
    <m/>
    <m/>
    <n v="9.88000000000000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8"/>
    <s v="HDMI 1.4 Kablo, 2160p,4K,3D, Tip A M-Tip A M, 20mt"/>
    <x v="8"/>
    <x v="9"/>
    <n v="1005"/>
    <s v="F2"/>
    <s v="Adet"/>
    <n v="2"/>
    <m/>
    <s v="Sıfır paketli"/>
    <m/>
    <n v="45.18"/>
    <n v="0"/>
    <m/>
    <m/>
    <m/>
    <m/>
    <m/>
    <m/>
    <m/>
    <m/>
    <m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9"/>
    <s v="C13-C14 Power Cord"/>
    <x v="8"/>
    <x v="20"/>
    <m/>
    <m/>
    <s v="Adet"/>
    <m/>
    <m/>
    <m/>
    <m/>
    <n v="2.93"/>
    <n v="76.180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</r>
  <r>
    <m/>
    <x v="100"/>
    <s v="CAT6 Patch Kablo, U/UTP, 1 metre, gri"/>
    <x v="8"/>
    <x v="8"/>
    <n v="1101"/>
    <s v="F2 Connect"/>
    <s v="Adet"/>
    <n v="5"/>
    <m/>
    <m/>
    <m/>
    <n v="0.77"/>
    <n v="3.8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101"/>
    <s v="CAT6 Patch Kablo, U/UTP, 10 metre, gri"/>
    <x v="8"/>
    <x v="8"/>
    <n v="1101"/>
    <s v="F2 Connect"/>
    <s v="Adet"/>
    <n v="18"/>
    <m/>
    <m/>
    <m/>
    <n v="4.03"/>
    <n v="72.540000000000006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</r>
  <r>
    <m/>
    <x v="102"/>
    <s v="Cat 6A U-FTP Data Kablosu 500 MHz LSZH"/>
    <x v="8"/>
    <x v="10"/>
    <n v="1101"/>
    <s v="F2"/>
    <s v="Metre"/>
    <n v="116"/>
    <m/>
    <s v="Kullanılmış makara"/>
    <s v="F2-F/UTP6A-4/23-305 koduyla Haribo' da kullanılmayan parça kablo"/>
    <n v="0.68"/>
    <n v="78.88000000000001"/>
    <n v="64"/>
    <n v="64"/>
    <n v="64"/>
    <n v="64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</r>
  <r>
    <m/>
    <x v="103"/>
    <s v="Cat 6A SFTP Patch Cord 0.25m Black color LSZH"/>
    <x v="8"/>
    <x v="8"/>
    <n v="1101"/>
    <s v="F2"/>
    <s v="Adet"/>
    <n v="28"/>
    <m/>
    <s v="Sıfır paketli"/>
    <s v="F2-C6A-PCF0025B koduyla Haribo' da kullanılmayan patch kablo"/>
    <n v="1.0900000000000001"/>
    <n v="30.520000000000003"/>
    <n v="97"/>
    <n v="97"/>
    <n v="97"/>
    <n v="97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</r>
  <r>
    <m/>
    <x v="104"/>
    <s v="Cat 6A SFTP Patch Cord 2m Black color LSZH"/>
    <x v="8"/>
    <x v="8"/>
    <n v="1101"/>
    <s v="F2"/>
    <s v="Adet"/>
    <n v="16"/>
    <m/>
    <s v="Sıfır paketli"/>
    <s v="F2-C6A-PCF0200B koduyla Haribo' da kullanılmayan patch kablo"/>
    <n v="1.91"/>
    <n v="30.56"/>
    <n v="78"/>
    <n v="78"/>
    <n v="78"/>
    <n v="78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</r>
  <r>
    <m/>
    <x v="105"/>
    <s v="Cat6A FTP Keystone Jack 180 derece Shielded"/>
    <x v="9"/>
    <x v="15"/>
    <n v="1101"/>
    <s v="F2 Connect"/>
    <s v="Adet"/>
    <n v="64"/>
    <m/>
    <m/>
    <m/>
    <m/>
    <n v="0"/>
    <m/>
    <m/>
    <m/>
    <m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</r>
  <r>
    <m/>
    <x v="106"/>
    <s v="45x45 Face Plate Beyaz 2 portlu"/>
    <x v="9"/>
    <x v="3"/>
    <n v="1104"/>
    <s v="F2"/>
    <s v="Adet"/>
    <n v="97"/>
    <m/>
    <s v="Sıfır paketli"/>
    <m/>
    <m/>
    <n v="0"/>
    <m/>
    <m/>
    <m/>
    <m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</r>
  <r>
    <m/>
    <x v="107"/>
    <s v="45x45 Face Plate Beyaz 2 portlu"/>
    <x v="9"/>
    <x v="3"/>
    <n v="1104"/>
    <s v="F2"/>
    <s v="Adet"/>
    <n v="78"/>
    <m/>
    <s v="Sıfır paketsiz"/>
    <m/>
    <m/>
    <n v="0"/>
    <m/>
    <m/>
    <m/>
    <m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</r>
  <r>
    <m/>
    <x v="108"/>
    <s v="4*1 mm2 LIHCH Kablo"/>
    <x v="10"/>
    <x v="21"/>
    <n v="1105"/>
    <s v="F2"/>
    <s v="Metre"/>
    <n v="500"/>
    <m/>
    <s v="Sıfır paketli"/>
    <s v="Banksoft da kullanılacak"/>
    <m/>
    <n v="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</r>
  <r>
    <m/>
    <x v="109"/>
    <s v="RG6U6 Coaxial Anten Kablosu"/>
    <x v="10"/>
    <x v="22"/>
    <m/>
    <s v="F2"/>
    <s v="Metre"/>
    <m/>
    <m/>
    <s v="Sıfır paketli"/>
    <m/>
    <m/>
    <n v="0"/>
    <m/>
    <m/>
    <m/>
    <m/>
    <m/>
    <m/>
    <m/>
    <m/>
    <m/>
    <m/>
    <m/>
    <m/>
    <m/>
    <m/>
    <m/>
    <m/>
    <m/>
    <m/>
    <m/>
    <n v="12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</r>
  <r>
    <m/>
    <x v="110"/>
    <s v="UTP LAN Cable Cat.6 LSZH 305m/box 23AWG"/>
    <x v="11"/>
    <x v="10"/>
    <n v="1101"/>
    <s v="F2 Connect"/>
    <s v="Metre"/>
    <n v="0"/>
    <n v="305"/>
    <s v="Sıfır paketli"/>
    <s v="305m Antalya Showroom"/>
    <n v="0.31900000000000001"/>
    <n v="0"/>
    <n v="30195"/>
    <n v="30195"/>
    <n v="30195"/>
    <n v="30195"/>
    <n v="29890"/>
    <n v="29585"/>
    <n v="29585"/>
    <n v="20435"/>
    <n v="20435"/>
    <n v="20435"/>
    <n v="20435"/>
    <n v="19215"/>
    <n v="19215"/>
    <n v="7015"/>
    <n v="6405"/>
    <n v="64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1"/>
    <s v="UTP LAN Cable Cat.6 LSZH 305m/box 23AWG"/>
    <x v="11"/>
    <x v="10"/>
    <n v="1101"/>
    <s v="F2 Connect"/>
    <s v="Metre"/>
    <n v="234"/>
    <n v="150"/>
    <s v="Parça kablo"/>
    <s v="150m Fairmont"/>
    <n v="0.31900000000000001"/>
    <n v="0"/>
    <m/>
    <m/>
    <m/>
    <m/>
    <m/>
    <m/>
    <m/>
    <m/>
    <m/>
    <m/>
    <m/>
    <m/>
    <m/>
    <n v="1300"/>
    <n v="1300"/>
    <n v="1300"/>
    <n v="1300"/>
    <n v="234"/>
    <n v="234"/>
    <n v="234"/>
    <n v="234"/>
    <n v="234"/>
    <n v="234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2"/>
    <s v="UTP Blank PP 24Port with Back Bar (Matt Surface)"/>
    <x v="11"/>
    <x v="12"/>
    <n v="1101"/>
    <s v="F2 Connect"/>
    <s v="Adet"/>
    <n v="1"/>
    <n v="3"/>
    <s v="Sıfır paketli"/>
    <s v="Raha KKTC Konsinye_x000a_1 adet Antalya Showroom"/>
    <n v="5.6280000000000001"/>
    <n v="0"/>
    <n v="31"/>
    <n v="31"/>
    <n v="31"/>
    <n v="29"/>
    <n v="29"/>
    <n v="24"/>
    <n v="16"/>
    <n v="8"/>
    <n v="8"/>
    <n v="8"/>
    <n v="8"/>
    <n v="6"/>
    <n v="6"/>
    <n v="6"/>
    <n v="2"/>
    <n v="2"/>
    <n v="2"/>
    <n v="1"/>
    <n v="1"/>
    <n v="1"/>
    <n v="1"/>
    <n v="1"/>
    <n v="1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3"/>
    <s v="UTP Blank PP 24Port with Back Bar (Matt Surface)"/>
    <x v="11"/>
    <x v="12"/>
    <m/>
    <m/>
    <s v="Adet"/>
    <m/>
    <m/>
    <m/>
    <m/>
    <n v="5.6280000000000001"/>
    <n v="11.25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114"/>
    <s v="UTP Empty PP with Lock Latch Type Cable Manager"/>
    <x v="11"/>
    <x v="12"/>
    <n v="1101"/>
    <s v="F2 Connect"/>
    <s v="Adet"/>
    <n v="0"/>
    <m/>
    <s v="Sıfır paketli"/>
    <m/>
    <n v="7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5"/>
    <s v="UTP Cat.6 1U 48Port Empty PP with Back Bar"/>
    <x v="11"/>
    <x v="12"/>
    <n v="1101"/>
    <s v="F2 Connect"/>
    <s v="Adet"/>
    <n v="289"/>
    <m/>
    <s v="Sıfır paketli"/>
    <m/>
    <n v="11.88"/>
    <n v="3421.44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8"/>
    <n v="288"/>
    <n v="288"/>
    <n v="288"/>
    <n v="288"/>
    <n v="288"/>
    <n v="288"/>
    <n v="288"/>
    <n v="288"/>
    <n v="288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8"/>
    <n v="288"/>
    <n v="288"/>
    <n v="288"/>
  </r>
  <r>
    <m/>
    <x v="116"/>
    <s v="UTP Cat.6 PP, 24 Port Dual Use IDC with Back Bar"/>
    <x v="11"/>
    <x v="12"/>
    <n v="1101"/>
    <s v="F2 Connect"/>
    <s v="Adet"/>
    <n v="75"/>
    <n v="2"/>
    <s v="Sıfır paketli"/>
    <s v="Raha KKTC Konsinye"/>
    <n v="10.199999999999999"/>
    <n v="663"/>
    <n v="77"/>
    <n v="77"/>
    <n v="77"/>
    <n v="75"/>
    <n v="75"/>
    <n v="75"/>
    <n v="75"/>
    <n v="75"/>
    <n v="75"/>
    <n v="75"/>
    <n v="75"/>
    <n v="75"/>
    <n v="75"/>
    <n v="75"/>
    <n v="75"/>
    <n v="75"/>
    <n v="75"/>
    <n v="75"/>
    <n v="75"/>
    <n v="75"/>
    <n v="75"/>
    <n v="75"/>
    <n v="75"/>
    <n v="74"/>
    <n v="74"/>
    <n v="74"/>
    <n v="74"/>
    <n v="74"/>
    <n v="74"/>
    <n v="74"/>
    <n v="74"/>
    <n v="74"/>
    <n v="73"/>
    <n v="73"/>
    <n v="72"/>
    <n v="72"/>
    <n v="72"/>
    <n v="72"/>
    <n v="72"/>
    <n v="72"/>
    <n v="72"/>
    <n v="72"/>
    <n v="72"/>
    <n v="72"/>
    <n v="72"/>
    <n v="46"/>
    <n v="46"/>
    <n v="46"/>
    <n v="46"/>
    <n v="46"/>
    <n v="46"/>
    <n v="41"/>
    <n v="41"/>
    <n v="45"/>
    <n v="62"/>
    <n v="62"/>
    <n v="62"/>
    <n v="62"/>
    <n v="62"/>
    <n v="59"/>
    <n v="59"/>
    <n v="59"/>
    <n v="59"/>
    <n v="59"/>
    <n v="59"/>
    <n v="59"/>
    <n v="59"/>
    <n v="59"/>
    <n v="59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</r>
  <r>
    <m/>
    <x v="117"/>
    <s v="UTP Cat.6 Patch Panel 24 Port Tool Free"/>
    <x v="11"/>
    <x v="12"/>
    <n v="1101"/>
    <s v="F2 Connect"/>
    <s v="Adet"/>
    <n v="79"/>
    <n v="2"/>
    <s v="Sıfır paketli"/>
    <s v="Raha KKTC Konsinye"/>
    <n v="13.8"/>
    <n v="1104"/>
    <n v="81"/>
    <n v="81"/>
    <n v="81"/>
    <n v="79"/>
    <n v="79"/>
    <n v="79"/>
    <n v="79"/>
    <n v="79"/>
    <n v="79"/>
    <n v="79"/>
    <n v="79"/>
    <n v="79"/>
    <n v="79"/>
    <n v="79"/>
    <n v="79"/>
    <n v="79"/>
    <n v="79"/>
    <n v="79"/>
    <n v="79"/>
    <n v="79"/>
    <n v="79"/>
    <n v="79"/>
    <n v="79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</r>
  <r>
    <m/>
    <x v="118"/>
    <s v="FTP Blank Patch Panel 1U 24 Port"/>
    <x v="11"/>
    <x v="12"/>
    <n v="1101"/>
    <s v="F2 Connect"/>
    <s v="Adet"/>
    <n v="68"/>
    <n v="2"/>
    <s v="Sıfır paketli"/>
    <s v="Uygun keystone sipariş edilmeli._x000a_Raha KKTC Konsinye"/>
    <n v="6.66"/>
    <n v="0"/>
    <n v="74"/>
    <n v="74"/>
    <n v="74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6"/>
    <n v="58"/>
    <n v="36"/>
    <n v="36"/>
    <n v="36"/>
    <n v="36"/>
    <n v="36"/>
    <n v="36"/>
    <n v="36"/>
    <n v="36"/>
    <n v="31"/>
    <n v="31"/>
    <n v="31"/>
    <n v="31"/>
    <n v="31"/>
    <n v="31"/>
    <n v="31"/>
    <n v="31"/>
    <n v="15"/>
    <n v="12"/>
    <n v="6"/>
    <n v="6"/>
    <n v="6"/>
    <n v="4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9"/>
    <s v="FTP Empty PP with Lock Latch Type Cable Manager"/>
    <x v="11"/>
    <x v="12"/>
    <n v="1101"/>
    <s v="F2 Connect"/>
    <s v="Adet"/>
    <n v="0"/>
    <m/>
    <s v="Sıfır paketli"/>
    <m/>
    <n v="14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20"/>
    <s v="Cat 6 UTP Patch Cord 0.20m Grey color LSZH Jacket"/>
    <x v="11"/>
    <x v="8"/>
    <n v="1101"/>
    <s v="F2 Connect"/>
    <s v="Adet"/>
    <n v="1890"/>
    <m/>
    <m/>
    <m/>
    <n v="0.504"/>
    <n v="102.816"/>
    <n v="1988"/>
    <n v="1988"/>
    <n v="1988"/>
    <n v="1988"/>
    <n v="1987"/>
    <n v="1987"/>
    <n v="1935"/>
    <n v="1935"/>
    <n v="1935"/>
    <n v="1935"/>
    <n v="1935"/>
    <n v="1915"/>
    <n v="1915"/>
    <n v="1915"/>
    <n v="1915"/>
    <n v="1915"/>
    <n v="1915"/>
    <n v="1890"/>
    <n v="1890"/>
    <n v="1890"/>
    <n v="1890"/>
    <n v="1890"/>
    <n v="1890"/>
    <n v="1890"/>
    <n v="1890"/>
    <n v="1890"/>
    <n v="1890"/>
    <n v="1890"/>
    <n v="1890"/>
    <n v="1890"/>
    <n v="1890"/>
    <n v="1890"/>
    <n v="1890"/>
    <n v="1590"/>
    <n v="1574"/>
    <n v="1574"/>
    <n v="1574"/>
    <n v="1574"/>
    <n v="1574"/>
    <n v="1574"/>
    <n v="1574"/>
    <n v="1574"/>
    <n v="1574"/>
    <n v="1574"/>
    <n v="1574"/>
    <n v="1574"/>
    <n v="1574"/>
    <n v="1574"/>
    <n v="1544"/>
    <n v="1544"/>
    <n v="1544"/>
    <n v="1544"/>
    <n v="1545"/>
    <n v="1545"/>
    <n v="1045"/>
    <n v="995"/>
    <n v="995"/>
    <n v="995"/>
    <n v="875"/>
    <n v="575"/>
    <n v="575"/>
    <n v="575"/>
    <n v="575"/>
    <n v="290"/>
    <n v="290"/>
    <n v="290"/>
    <n v="290"/>
    <n v="205"/>
    <n v="205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</r>
  <r>
    <m/>
    <x v="121"/>
    <s v="Cat 6 UTP Patch Cord 0.25m Grey color LSZH Jacket"/>
    <x v="11"/>
    <x v="8"/>
    <n v="1101"/>
    <s v="F2 Connect"/>
    <s v="Adet"/>
    <n v="1512"/>
    <n v="1"/>
    <s v="Sıfır paketli"/>
    <s v="Raha KKTC Konsinye"/>
    <n v="0.53878423999999969"/>
    <n v="295.25376351999984"/>
    <n v="1550"/>
    <n v="1550"/>
    <n v="1550"/>
    <n v="1549"/>
    <n v="1549"/>
    <n v="1549"/>
    <n v="1549"/>
    <n v="1549"/>
    <n v="1549"/>
    <n v="1549"/>
    <n v="1549"/>
    <n v="1549"/>
    <n v="1549"/>
    <n v="1549"/>
    <n v="1512"/>
    <n v="1512"/>
    <n v="1512"/>
    <n v="1512"/>
    <n v="1512"/>
    <n v="1512"/>
    <n v="1512"/>
    <n v="1512"/>
    <n v="1512"/>
    <n v="1511"/>
    <n v="1311"/>
    <n v="1311"/>
    <n v="1311"/>
    <n v="1311"/>
    <n v="1311"/>
    <n v="1311"/>
    <n v="1311"/>
    <n v="1311"/>
    <n v="1311"/>
    <n v="1311"/>
    <n v="1311"/>
    <n v="1311"/>
    <n v="1311"/>
    <n v="1311"/>
    <n v="1311"/>
    <n v="1311"/>
    <n v="1311"/>
    <n v="1111"/>
    <n v="1111"/>
    <n v="1111"/>
    <n v="1111"/>
    <n v="1111"/>
    <n v="1111"/>
    <n v="1111"/>
    <n v="1081"/>
    <n v="1081"/>
    <n v="1081"/>
    <n v="1081"/>
    <n v="1081"/>
    <n v="1081"/>
    <n v="1018"/>
    <n v="988"/>
    <n v="988"/>
    <n v="988"/>
    <n v="988"/>
    <n v="982"/>
    <n v="982"/>
    <n v="982"/>
    <n v="982"/>
    <n v="682"/>
    <n v="682"/>
    <n v="682"/>
    <n v="682"/>
    <n v="682"/>
    <n v="682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529"/>
    <n v="548"/>
  </r>
  <r>
    <m/>
    <x v="122"/>
    <s v="Cat 6 UTP Patch Cord 0.5m Grey color LSZH Jacket"/>
    <x v="11"/>
    <x v="8"/>
    <n v="1101"/>
    <s v="F2 Connect"/>
    <s v="Adet"/>
    <n v="730"/>
    <n v="1"/>
    <s v="Sıfır paketli"/>
    <s v="Raha KKTC Konsinye"/>
    <n v="0.67247999999999997"/>
    <n v="270.33695999999998"/>
    <n v="995"/>
    <n v="995"/>
    <n v="995"/>
    <n v="964"/>
    <n v="964"/>
    <n v="964"/>
    <n v="964"/>
    <n v="838"/>
    <n v="838"/>
    <n v="838"/>
    <n v="838"/>
    <n v="810"/>
    <n v="810"/>
    <n v="810"/>
    <n v="78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642"/>
    <n v="642"/>
    <n v="642"/>
    <n v="424"/>
    <n v="424"/>
    <n v="424"/>
    <n v="565"/>
    <n v="416"/>
    <n v="386"/>
    <n v="427"/>
    <n v="371"/>
    <n v="371"/>
    <n v="371"/>
    <n v="354"/>
    <n v="348"/>
    <n v="338"/>
    <n v="339"/>
    <n v="339"/>
    <n v="339"/>
    <n v="339"/>
    <n v="339"/>
    <n v="339"/>
    <n v="334"/>
    <n v="334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399"/>
    <n v="402"/>
  </r>
  <r>
    <m/>
    <x v="123"/>
    <s v="Cat 6 UTP Patch Cord 1m Grey color LSZH Jacket"/>
    <x v="11"/>
    <x v="8"/>
    <n v="1101"/>
    <s v="F2 Connect"/>
    <s v="Adet"/>
    <n v="17"/>
    <n v="1"/>
    <s v="Sıfır paketli"/>
    <s v="Raha KKTC Konsinye"/>
    <n v="0.82379999999999998"/>
    <n v="0"/>
    <n v="285"/>
    <n v="285"/>
    <n v="285"/>
    <n v="264"/>
    <n v="264"/>
    <n v="264"/>
    <n v="264"/>
    <n v="264"/>
    <n v="214"/>
    <n v="214"/>
    <n v="214"/>
    <n v="214"/>
    <n v="214"/>
    <n v="214"/>
    <n v="212"/>
    <n v="112"/>
    <n v="97"/>
    <n v="97"/>
    <n v="97"/>
    <n v="67"/>
    <n v="67"/>
    <n v="17"/>
    <n v="17"/>
    <n v="17"/>
    <n v="17"/>
    <n v="17"/>
    <n v="17"/>
    <n v="17"/>
    <n v="17"/>
    <n v="17"/>
    <n v="17"/>
    <n v="17"/>
    <n v="2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24"/>
    <s v="Cat 6 UTP Patch Cord 2m Grey color LSZH Jacket"/>
    <x v="11"/>
    <x v="8"/>
    <n v="1101"/>
    <s v="F2 Connect"/>
    <s v="Adet"/>
    <n v="195"/>
    <n v="1"/>
    <s v="Sıfır paketli"/>
    <s v="Raha KKTC Konsinye"/>
    <n v="1.2661199999999999"/>
    <n v="0"/>
    <n v="312"/>
    <n v="312"/>
    <n v="312"/>
    <n v="311"/>
    <n v="311"/>
    <n v="311"/>
    <n v="311"/>
    <n v="311"/>
    <n v="311"/>
    <n v="310"/>
    <n v="310"/>
    <n v="310"/>
    <n v="310"/>
    <n v="310"/>
    <n v="310"/>
    <n v="310"/>
    <n v="295"/>
    <n v="295"/>
    <n v="295"/>
    <n v="195"/>
    <n v="195"/>
    <n v="195"/>
    <n v="195"/>
    <n v="19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30"/>
    <n v="130"/>
    <n v="130"/>
    <n v="80"/>
    <n v="30"/>
    <n v="30"/>
    <n v="76"/>
    <n v="77"/>
    <n v="77"/>
    <n v="67"/>
    <n v="9"/>
    <n v="9"/>
    <n v="9"/>
    <n v="9"/>
    <n v="6"/>
    <n v="6"/>
    <n v="6"/>
    <n v="6"/>
    <n v="6"/>
    <n v="6"/>
    <n v="6"/>
    <n v="6"/>
    <n v="6"/>
    <n v="6"/>
    <n v="20"/>
    <n v="20"/>
    <n v="20"/>
    <n v="20"/>
    <n v="20"/>
    <n v="20"/>
    <n v="20"/>
    <n v="20"/>
    <n v="20"/>
    <n v="20"/>
    <n v="20"/>
    <n v="20"/>
    <n v="20"/>
    <n v="20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25"/>
    <s v="Cat 6 UTP Patch Cord 3m Grey color LSZH Jacket"/>
    <x v="11"/>
    <x v="8"/>
    <n v="1101"/>
    <s v="F2 Connect"/>
    <s v="Adet"/>
    <n v="358"/>
    <n v="1"/>
    <s v="Sıfır paketli"/>
    <s v="Raha KKTC Konsinye"/>
    <n v="1.6967999999999999"/>
    <n v="110.29199999999999"/>
    <n v="399"/>
    <n v="399"/>
    <n v="399"/>
    <n v="398"/>
    <n v="398"/>
    <n v="398"/>
    <n v="398"/>
    <n v="398"/>
    <n v="398"/>
    <n v="398"/>
    <n v="398"/>
    <n v="398"/>
    <n v="398"/>
    <n v="398"/>
    <n v="373"/>
    <n v="373"/>
    <n v="358"/>
    <n v="358"/>
    <n v="358"/>
    <n v="358"/>
    <n v="358"/>
    <n v="358"/>
    <n v="358"/>
    <n v="3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178"/>
    <n v="128"/>
    <n v="128"/>
    <n v="128"/>
    <n v="128"/>
    <n v="128"/>
    <n v="128"/>
    <n v="126"/>
    <n v="126"/>
    <n v="126"/>
    <n v="126"/>
    <n v="126"/>
    <n v="126"/>
    <n v="126"/>
    <n v="126"/>
    <n v="126"/>
    <n v="126"/>
    <n v="126"/>
    <n v="126"/>
    <n v="126"/>
    <n v="126"/>
    <n v="67"/>
    <n v="67"/>
    <n v="67"/>
    <n v="67"/>
    <n v="67"/>
    <n v="67"/>
    <n v="67"/>
    <n v="67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</r>
  <r>
    <m/>
    <x v="126"/>
    <s v="Cat 6 UTP Patch Cord 5m Grey color LSZH Jacket"/>
    <x v="11"/>
    <x v="8"/>
    <n v="1101"/>
    <s v="F2 Connect"/>
    <s v="Adet"/>
    <n v="35"/>
    <n v="1"/>
    <m/>
    <s v="Raha KKTC Konsinye"/>
    <n v="2.5930799999999996"/>
    <n v="49.268519999999995"/>
    <n v="38"/>
    <n v="38"/>
    <n v="38"/>
    <n v="37"/>
    <n v="37"/>
    <n v="37"/>
    <n v="37"/>
    <n v="37"/>
    <n v="37"/>
    <n v="37"/>
    <n v="37"/>
    <n v="37"/>
    <n v="37"/>
    <n v="37"/>
    <n v="35"/>
    <n v="35"/>
    <n v="35"/>
    <n v="35"/>
    <n v="35"/>
    <n v="35"/>
    <n v="35"/>
    <n v="35"/>
    <n v="35"/>
    <n v="35"/>
    <n v="35"/>
    <n v="35"/>
    <n v="35"/>
    <n v="35"/>
    <n v="35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18"/>
    <n v="18"/>
    <n v="18"/>
    <n v="18"/>
    <n v="18"/>
    <n v="18"/>
    <n v="18"/>
    <n v="18"/>
    <n v="18"/>
    <n v="18"/>
    <n v="18"/>
    <n v="18"/>
    <n v="18"/>
    <n v="18"/>
    <n v="18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</r>
  <r>
    <m/>
    <x v="127"/>
    <s v="Cat 6 UTP Patch Cord 7m Grey color LSZH Jacket"/>
    <x v="11"/>
    <x v="8"/>
    <n v="1101"/>
    <s v="F2 Connect"/>
    <s v="Adet"/>
    <n v="47"/>
    <n v="1"/>
    <m/>
    <s v="Raha KKTC Konsinye"/>
    <n v="3.48936"/>
    <n v="167.48928000000001"/>
    <n v="48"/>
    <n v="48"/>
    <n v="48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</r>
  <r>
    <m/>
    <x v="128"/>
    <s v="Cat 6 UTP Patch Cord 10m Grey color LSZH Jacket"/>
    <x v="11"/>
    <x v="8"/>
    <n v="1101"/>
    <s v="F2 Connect"/>
    <s v="Adet"/>
    <n v="28"/>
    <n v="1"/>
    <m/>
    <s v="Raha KKTC Konsinye"/>
    <n v="4.82796"/>
    <n v="140.01084"/>
    <n v="29"/>
    <n v="29"/>
    <n v="29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6"/>
    <n v="26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</r>
  <r>
    <m/>
    <x v="129"/>
    <s v="Cat 6 UTP Patch Cord 15m Grey color LSZH Jacket"/>
    <x v="11"/>
    <x v="8"/>
    <n v="1101"/>
    <s v="F2 Connect"/>
    <s v="Adet"/>
    <n v="15"/>
    <n v="1"/>
    <m/>
    <s v="Raha KKTC Konsinye"/>
    <n v="7.1093999999999999"/>
    <n v="113.7504"/>
    <n v="18"/>
    <n v="18"/>
    <n v="18"/>
    <n v="17"/>
    <n v="17"/>
    <n v="17"/>
    <n v="17"/>
    <n v="17"/>
    <n v="17"/>
    <n v="17"/>
    <n v="17"/>
    <n v="17"/>
    <n v="17"/>
    <n v="17"/>
    <n v="17"/>
    <n v="17"/>
    <n v="17"/>
    <n v="17"/>
    <n v="16"/>
    <n v="16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</r>
  <r>
    <m/>
    <x v="130"/>
    <s v="Cat 6 UTP Patch Cord 0.20m Black color LSZH Jacket"/>
    <x v="11"/>
    <x v="8"/>
    <n v="1101"/>
    <s v="F2 Connect"/>
    <s v="Adet"/>
    <n v="1843"/>
    <n v="50"/>
    <m/>
    <s v="50 adet Antalya Showroom"/>
    <n v="0.504"/>
    <n v="612.86400000000003"/>
    <n v="1914"/>
    <n v="1914"/>
    <n v="1914"/>
    <n v="1914"/>
    <n v="1913"/>
    <n v="1463"/>
    <n v="1863"/>
    <n v="1863"/>
    <n v="1863"/>
    <n v="1863"/>
    <n v="1863"/>
    <n v="1843"/>
    <n v="1843"/>
    <n v="1843"/>
    <n v="1843"/>
    <n v="1843"/>
    <n v="1843"/>
    <n v="1843"/>
    <n v="1843"/>
    <n v="1843"/>
    <n v="1843"/>
    <n v="1843"/>
    <n v="1843"/>
    <n v="1482"/>
    <n v="1482"/>
    <n v="1482"/>
    <n v="1482"/>
    <n v="1482"/>
    <n v="1482"/>
    <n v="1482"/>
    <n v="1482"/>
    <n v="1482"/>
    <n v="1482"/>
    <n v="1482"/>
    <n v="1482"/>
    <n v="1462"/>
    <n v="1462"/>
    <n v="1462"/>
    <n v="1462"/>
    <n v="1462"/>
    <n v="1462"/>
    <n v="1462"/>
    <n v="1462"/>
    <n v="1462"/>
    <n v="1462"/>
    <n v="1462"/>
    <n v="1462"/>
    <n v="1462"/>
    <n v="1412"/>
    <n v="1412"/>
    <n v="1412"/>
    <n v="1412"/>
    <n v="1412"/>
    <n v="1184"/>
    <n v="1184"/>
    <n v="1184"/>
    <n v="1121"/>
    <n v="1096"/>
    <n v="1096"/>
    <n v="1084"/>
    <n v="1084"/>
    <n v="1084"/>
    <n v="1084"/>
    <n v="1084"/>
    <n v="1084"/>
    <n v="1084"/>
    <n v="1084"/>
    <n v="1084"/>
    <n v="1084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216"/>
    <n v="1216"/>
    <n v="1216"/>
    <n v="1216"/>
    <n v="1216"/>
    <n v="1216"/>
    <n v="1216"/>
    <n v="1216"/>
    <n v="1216"/>
    <n v="1216"/>
    <n v="1216"/>
    <n v="1216"/>
    <n v="1216"/>
  </r>
  <r>
    <m/>
    <x v="131"/>
    <s v="Cat 6 UTP Patch Cord 0.25m Black color LSZH Jacket"/>
    <x v="11"/>
    <x v="8"/>
    <n v="1101"/>
    <s v="F2 Connect"/>
    <s v="Adet"/>
    <n v="1828"/>
    <n v="1"/>
    <s v="Sıfır paketli"/>
    <s v="Raha KKTC Konsinye"/>
    <n v="0.53878423999999969"/>
    <n v="0"/>
    <n v="1981"/>
    <n v="1981"/>
    <n v="1981"/>
    <n v="1980"/>
    <n v="1980"/>
    <n v="1980"/>
    <n v="1980"/>
    <n v="1980"/>
    <n v="1980"/>
    <n v="1980"/>
    <n v="1980"/>
    <n v="1980"/>
    <n v="1980"/>
    <n v="1980"/>
    <n v="1980"/>
    <n v="1980"/>
    <n v="1978"/>
    <n v="1978"/>
    <n v="1828"/>
    <n v="1678"/>
    <n v="1678"/>
    <n v="1678"/>
    <n v="1678"/>
    <n v="1328"/>
    <n v="1278"/>
    <n v="1278"/>
    <n v="1238"/>
    <n v="1238"/>
    <n v="123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48"/>
    <n v="1148"/>
    <n v="1148"/>
    <n v="1148"/>
    <n v="1148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32"/>
    <s v="Cat 6 UTP Patch Cord 0.5m Black color LSZH Jacket"/>
    <x v="11"/>
    <x v="8"/>
    <n v="1101"/>
    <s v="F2 Connect"/>
    <s v="Adet"/>
    <n v="1468"/>
    <m/>
    <s v="Sıfır paketli"/>
    <m/>
    <n v="0.67247999999999997"/>
    <n v="614.64671999999996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18"/>
    <n v="1418"/>
    <n v="1355"/>
    <n v="1195"/>
    <n v="1195"/>
    <n v="1195"/>
    <n v="1195"/>
    <n v="1195"/>
    <n v="1195"/>
    <n v="1195"/>
    <n v="1195"/>
    <n v="1195"/>
    <n v="1195"/>
    <n v="1195"/>
    <n v="1195"/>
    <n v="1195"/>
    <n v="1195"/>
    <n v="1195"/>
    <n v="1195"/>
    <n v="1108"/>
    <n v="1108"/>
    <n v="1108"/>
    <n v="1058"/>
    <n v="1058"/>
    <n v="1058"/>
    <n v="971"/>
    <n v="971"/>
    <n v="1058"/>
    <n v="1058"/>
    <n v="1058"/>
    <n v="1035"/>
    <n v="980"/>
    <n v="997"/>
    <n v="927"/>
    <n v="877"/>
    <n v="877"/>
    <n v="877"/>
    <n v="877"/>
    <n v="877"/>
    <n v="877"/>
    <n v="877"/>
    <n v="872"/>
    <n v="872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</r>
  <r>
    <m/>
    <x v="133"/>
    <s v="Cat 6 UTP Patch Cord 1m Black color LSZH Jacket"/>
    <x v="11"/>
    <x v="8"/>
    <n v="1101"/>
    <s v="F2 Connect"/>
    <s v="Adet"/>
    <n v="678"/>
    <n v="15"/>
    <s v="Sıfır paketli"/>
    <s v="15 adet Antalya Showroom"/>
    <n v="0.82379999999999998"/>
    <n v="2.4714"/>
    <n v="1349"/>
    <n v="1349"/>
    <n v="1349"/>
    <n v="1349"/>
    <n v="1349"/>
    <n v="1299"/>
    <n v="1291"/>
    <n v="1316"/>
    <n v="1316"/>
    <n v="1316"/>
    <n v="1316"/>
    <n v="1298"/>
    <n v="1298"/>
    <n v="778"/>
    <n v="778"/>
    <n v="778"/>
    <n v="678"/>
    <n v="678"/>
    <n v="678"/>
    <n v="678"/>
    <n v="678"/>
    <n v="678"/>
    <n v="676"/>
    <n v="676"/>
    <n v="626"/>
    <n v="626"/>
    <n v="86"/>
    <n v="86"/>
    <n v="86"/>
    <n v="86"/>
    <n v="86"/>
    <n v="86"/>
    <n v="86"/>
    <n v="86"/>
    <n v="45"/>
    <n v="45"/>
    <n v="34"/>
    <n v="34"/>
    <n v="34"/>
    <n v="2"/>
    <n v="2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0"/>
    <n v="0"/>
    <n v="0"/>
    <n v="0"/>
    <n v="0"/>
    <n v="0"/>
    <n v="0"/>
    <n v="0"/>
    <n v="0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3"/>
    <n v="3"/>
    <n v="3"/>
  </r>
  <r>
    <m/>
    <x v="134"/>
    <s v="Cat 6 UTP Patch Cord 2m Black color LSZH Jacket "/>
    <x v="11"/>
    <x v="8"/>
    <n v="1101"/>
    <s v="F2 Connect"/>
    <s v="Adet"/>
    <n v="1656"/>
    <m/>
    <s v="Sıfır paketli"/>
    <m/>
    <n v="1.2661199999999999"/>
    <n v="0"/>
    <n v="1703"/>
    <n v="1703"/>
    <n v="1703"/>
    <n v="1692"/>
    <n v="1692"/>
    <n v="1682"/>
    <n v="1682"/>
    <n v="1692"/>
    <n v="1692"/>
    <n v="1677"/>
    <n v="1677"/>
    <n v="1657"/>
    <n v="1657"/>
    <n v="1657"/>
    <n v="1657"/>
    <n v="1657"/>
    <n v="1656"/>
    <n v="1656"/>
    <n v="1656"/>
    <n v="1656"/>
    <n v="1656"/>
    <n v="1656"/>
    <n v="1656"/>
    <n v="1636"/>
    <n v="1586"/>
    <n v="1586"/>
    <n v="1586"/>
    <n v="1586"/>
    <n v="1586"/>
    <n v="1566"/>
    <n v="1566"/>
    <n v="1566"/>
    <n v="1566"/>
    <n v="566"/>
    <n v="516"/>
    <n v="516"/>
    <n v="516"/>
    <n v="516"/>
    <n v="516"/>
    <n v="516"/>
    <n v="516"/>
    <n v="386"/>
    <n v="386"/>
    <n v="376"/>
    <n v="376"/>
    <n v="376"/>
    <n v="376"/>
    <n v="376"/>
    <n v="376"/>
    <n v="376"/>
    <n v="376"/>
    <n v="376"/>
    <n v="376"/>
    <n v="376"/>
    <n v="376"/>
    <n v="376"/>
    <n v="344"/>
    <n v="344"/>
    <n v="344"/>
    <n v="338"/>
    <n v="338"/>
    <n v="338"/>
    <n v="338"/>
    <n v="338"/>
    <n v="326"/>
    <n v="326"/>
    <n v="326"/>
    <n v="326"/>
    <n v="3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35"/>
    <s v="Cat 6 UTP Patch Cord 3m Black color LSZH Jacket"/>
    <x v="11"/>
    <x v="8"/>
    <n v="1101"/>
    <s v="F2 Connect"/>
    <s v="Adet"/>
    <n v="1276"/>
    <n v="1"/>
    <s v="Sıfır paketli"/>
    <s v="1 adet Antalya Showroom"/>
    <n v="1.6967999999999999"/>
    <n v="30.542399999999997"/>
    <n v="1311"/>
    <n v="1309"/>
    <n v="1309"/>
    <n v="1305"/>
    <n v="1305"/>
    <n v="1305"/>
    <n v="1305"/>
    <n v="1314"/>
    <n v="1314"/>
    <n v="1313"/>
    <n v="1313"/>
    <n v="1292"/>
    <n v="1292"/>
    <n v="1292"/>
    <n v="1292"/>
    <n v="1292"/>
    <n v="1292"/>
    <n v="1286"/>
    <n v="1276"/>
    <n v="1276"/>
    <n v="1276"/>
    <n v="1276"/>
    <n v="1276"/>
    <n v="1276"/>
    <n v="1265"/>
    <n v="1245"/>
    <n v="1245"/>
    <n v="1245"/>
    <n v="1245"/>
    <n v="1230"/>
    <n v="1230"/>
    <n v="1230"/>
    <n v="1230"/>
    <n v="730"/>
    <n v="730"/>
    <n v="730"/>
    <n v="719"/>
    <n v="719"/>
    <n v="719"/>
    <n v="689"/>
    <n v="689"/>
    <n v="700"/>
    <n v="700"/>
    <n v="690"/>
    <n v="690"/>
    <n v="690"/>
    <n v="690"/>
    <n v="690"/>
    <n v="690"/>
    <n v="690"/>
    <n v="690"/>
    <n v="690"/>
    <n v="690"/>
    <n v="680"/>
    <n v="680"/>
    <n v="680"/>
    <n v="680"/>
    <n v="680"/>
    <n v="674"/>
    <n v="674"/>
    <n v="674"/>
    <n v="674"/>
    <n v="674"/>
    <n v="674"/>
    <n v="674"/>
    <n v="674"/>
    <n v="674"/>
    <n v="674"/>
    <n v="674"/>
    <n v="668"/>
    <n v="668"/>
    <n v="668"/>
    <n v="4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</r>
  <r>
    <m/>
    <x v="136"/>
    <s v="Cat 6 UTP Patch Cord 5m Black color LSZH Jacket"/>
    <x v="11"/>
    <x v="8"/>
    <n v="1101"/>
    <s v="F2 Connect"/>
    <s v="Adet"/>
    <n v="18"/>
    <m/>
    <m/>
    <m/>
    <n v="2.5930799999999996"/>
    <n v="0"/>
    <n v="48"/>
    <n v="48"/>
    <n v="48"/>
    <n v="40"/>
    <n v="40"/>
    <n v="38"/>
    <n v="36"/>
    <n v="36"/>
    <n v="36"/>
    <n v="36"/>
    <n v="32"/>
    <n v="20"/>
    <n v="20"/>
    <n v="18"/>
    <n v="18"/>
    <n v="18"/>
    <n v="18"/>
    <n v="14"/>
    <n v="18"/>
    <n v="18"/>
    <n v="18"/>
    <n v="18"/>
    <n v="18"/>
    <n v="16"/>
    <n v="7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37"/>
    <s v="Cat 6 UTP Patch Cord 7m Black color LSZH Jacket"/>
    <x v="11"/>
    <x v="8"/>
    <n v="1101"/>
    <s v="F2 Connect"/>
    <s v="Adet"/>
    <n v="59"/>
    <m/>
    <m/>
    <m/>
    <n v="3.48936"/>
    <n v="188.42544000000001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39"/>
    <n v="3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</r>
  <r>
    <m/>
    <x v="138"/>
    <s v="Cat 6 UTP Patch Cord 10m Black color LSZH Jacket"/>
    <x v="11"/>
    <x v="8"/>
    <n v="1101"/>
    <s v="F2 Connect"/>
    <s v="Adet"/>
    <n v="27"/>
    <m/>
    <m/>
    <m/>
    <n v="4.82796"/>
    <n v="106.21512"/>
    <n v="30"/>
    <n v="30"/>
    <n v="30"/>
    <n v="30"/>
    <n v="30"/>
    <n v="30"/>
    <n v="28"/>
    <n v="28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5"/>
    <n v="23"/>
    <n v="37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</r>
  <r>
    <m/>
    <x v="139"/>
    <s v="Cat 6 UTP Patch Cord 15m Black color LSZH Jacket"/>
    <x v="11"/>
    <x v="8"/>
    <n v="1101"/>
    <s v="F2 Connect"/>
    <s v="Adet"/>
    <n v="20"/>
    <m/>
    <m/>
    <m/>
    <n v="7.1093999999999999"/>
    <n v="142.18799999999999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140"/>
    <s v="Cat 6 UTP Patch Cord 0.20m Red color LSZH Jacket"/>
    <x v="11"/>
    <x v="8"/>
    <n v="1101"/>
    <s v="F2 Connect"/>
    <s v="Adet"/>
    <n v="1813"/>
    <m/>
    <m/>
    <m/>
    <n v="0.504"/>
    <n v="381.52800000000002"/>
    <n v="2000"/>
    <n v="2000"/>
    <n v="2000"/>
    <n v="2000"/>
    <n v="1999"/>
    <n v="1999"/>
    <n v="1999"/>
    <n v="1999"/>
    <n v="1999"/>
    <n v="1999"/>
    <n v="1813"/>
    <n v="1813"/>
    <n v="1813"/>
    <n v="1813"/>
    <n v="1813"/>
    <n v="1813"/>
    <n v="1813"/>
    <n v="1813"/>
    <n v="1813"/>
    <n v="1813"/>
    <n v="1813"/>
    <n v="1813"/>
    <n v="1813"/>
    <n v="1799"/>
    <n v="1799"/>
    <n v="1799"/>
    <n v="1799"/>
    <n v="1799"/>
    <n v="1799"/>
    <n v="1799"/>
    <n v="1799"/>
    <n v="1799"/>
    <n v="1799"/>
    <n v="1799"/>
    <n v="1799"/>
    <n v="1799"/>
    <n v="1799"/>
    <n v="179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49"/>
    <n v="1749"/>
    <n v="1749"/>
    <n v="1749"/>
    <n v="1649"/>
    <n v="1629"/>
    <n v="1629"/>
    <n v="1629"/>
    <n v="1729"/>
    <n v="1709"/>
    <n v="1709"/>
    <n v="1707"/>
    <n v="1707"/>
    <n v="1707"/>
    <n v="1207"/>
    <n v="1007"/>
    <n v="1007"/>
    <n v="1007"/>
    <n v="1007"/>
    <n v="1007"/>
    <n v="1007"/>
    <n v="1007"/>
    <n v="1007"/>
    <n v="1007"/>
    <n v="1007"/>
    <n v="1007"/>
    <n v="1007"/>
    <n v="1007"/>
    <n v="1007"/>
    <n v="1007"/>
    <n v="1007"/>
    <n v="757"/>
    <n v="757"/>
    <n v="757"/>
    <n v="757"/>
    <n v="757"/>
    <n v="757"/>
    <n v="757"/>
    <n v="757"/>
    <n v="757"/>
    <n v="757"/>
    <n v="757"/>
    <n v="757"/>
    <n v="757"/>
    <n v="757"/>
  </r>
  <r>
    <m/>
    <x v="141"/>
    <s v="Cat 6 UTP Patch Cord 0.25m Red color LSZH Jacket"/>
    <x v="11"/>
    <x v="8"/>
    <n v="1101"/>
    <s v="F2 Connect"/>
    <s v="Adet"/>
    <n v="1659"/>
    <n v="1"/>
    <s v="Sıfır paketli"/>
    <s v="Raha KKTC Konsinye"/>
    <n v="0.53878423999999969"/>
    <n v="883.60615359999952"/>
    <n v="2020"/>
    <n v="2020"/>
    <n v="2020"/>
    <n v="2019"/>
    <n v="2019"/>
    <n v="2019"/>
    <n v="2019"/>
    <n v="2019"/>
    <n v="2019"/>
    <n v="2019"/>
    <n v="1669"/>
    <n v="1669"/>
    <n v="1669"/>
    <n v="1669"/>
    <n v="1669"/>
    <n v="1669"/>
    <n v="1669"/>
    <n v="1669"/>
    <n v="166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3"/>
    <n v="1633"/>
    <n v="1633"/>
    <n v="1633"/>
    <n v="1633"/>
    <n v="1621"/>
    <n v="1621"/>
    <n v="1621"/>
    <n v="1621"/>
    <n v="1621"/>
    <n v="1955"/>
    <n v="1955"/>
    <n v="1955"/>
    <n v="17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30"/>
    <n v="1640"/>
  </r>
  <r>
    <m/>
    <x v="142"/>
    <s v="Cat 6 UTP Patch Cord 0.5m Red color LSZH Jacket"/>
    <x v="11"/>
    <x v="8"/>
    <n v="1101"/>
    <s v="F2 Connect"/>
    <s v="Adet"/>
    <n v="1033"/>
    <m/>
    <s v="Sıfır paketli"/>
    <m/>
    <n v="0.67247999999999997"/>
    <n v="528.56927999999994"/>
    <n v="1068"/>
    <n v="1068"/>
    <n v="1068"/>
    <n v="1068"/>
    <n v="1068"/>
    <n v="1068"/>
    <n v="1068"/>
    <n v="1068"/>
    <n v="1068"/>
    <n v="1068"/>
    <n v="1068"/>
    <n v="1068"/>
    <n v="1068"/>
    <n v="1068"/>
    <n v="1068"/>
    <n v="1068"/>
    <n v="1063"/>
    <n v="1063"/>
    <n v="1033"/>
    <n v="1033"/>
    <n v="1033"/>
    <n v="1033"/>
    <n v="1033"/>
    <n v="1032"/>
    <n v="1032"/>
    <n v="1032"/>
    <n v="992"/>
    <n v="992"/>
    <n v="992"/>
    <n v="987"/>
    <n v="987"/>
    <n v="987"/>
    <n v="987"/>
    <n v="987"/>
    <n v="987"/>
    <n v="987"/>
    <n v="987"/>
    <n v="987"/>
    <n v="987"/>
    <n v="987"/>
    <n v="987"/>
    <n v="987"/>
    <n v="987"/>
    <n v="987"/>
    <n v="987"/>
    <n v="899"/>
    <n v="899"/>
    <n v="899"/>
    <n v="899"/>
    <n v="899"/>
    <n v="899"/>
    <n v="922"/>
    <n v="923"/>
    <n v="923"/>
    <n v="923"/>
    <n v="923"/>
    <n v="923"/>
    <n v="923"/>
    <n v="905"/>
    <n v="829"/>
    <n v="821"/>
    <n v="821"/>
    <n v="821"/>
    <n v="813"/>
    <n v="801"/>
    <n v="801"/>
    <n v="801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86"/>
    <n v="786"/>
  </r>
  <r>
    <m/>
    <x v="143"/>
    <s v="Cat 6 UTP Patch Cord 1m Red color LSZH Jacket"/>
    <x v="11"/>
    <x v="8"/>
    <n v="1101"/>
    <s v="F2 Connect"/>
    <s v="Adet"/>
    <n v="347"/>
    <m/>
    <s v="Sıfır paketli"/>
    <m/>
    <n v="0.82379999999999998"/>
    <n v="0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6"/>
    <n v="346"/>
    <n v="346"/>
    <n v="146"/>
    <n v="146"/>
    <n v="146"/>
    <n v="141"/>
    <n v="141"/>
    <n v="141"/>
    <n v="1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44"/>
    <s v="Cat 6 UTP Patch Cord 2m Red color LSZH Jacket"/>
    <x v="11"/>
    <x v="8"/>
    <n v="1101"/>
    <s v="F2 Connect"/>
    <s v="Adet"/>
    <n v="364"/>
    <m/>
    <s v="Sıfır paketli"/>
    <m/>
    <n v="1.2661199999999999"/>
    <n v="6.3305999999999996"/>
    <n v="369"/>
    <n v="369"/>
    <n v="369"/>
    <n v="369"/>
    <n v="369"/>
    <n v="369"/>
    <n v="369"/>
    <n v="369"/>
    <n v="369"/>
    <n v="369"/>
    <n v="364"/>
    <n v="364"/>
    <n v="364"/>
    <n v="364"/>
    <n v="364"/>
    <n v="364"/>
    <n v="364"/>
    <n v="364"/>
    <n v="364"/>
    <n v="364"/>
    <n v="364"/>
    <n v="364"/>
    <n v="364"/>
    <n v="364"/>
    <n v="164"/>
    <n v="164"/>
    <n v="164"/>
    <n v="164"/>
    <n v="164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19"/>
    <n v="119"/>
    <n v="119"/>
    <n v="119"/>
    <n v="119"/>
    <n v="119"/>
    <n v="119"/>
    <n v="119"/>
    <n v="105"/>
    <n v="105"/>
    <n v="105"/>
    <n v="105"/>
    <n v="10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145"/>
    <s v="Cat 6 UTP Patch Cord 3m Red color LSZH Jacket"/>
    <x v="11"/>
    <x v="8"/>
    <n v="1101"/>
    <s v="F2 Connect"/>
    <s v="Adet"/>
    <n v="434"/>
    <m/>
    <s v="Sıfır paketli"/>
    <m/>
    <n v="1.6967999999999999"/>
    <n v="363.11519999999996"/>
    <n v="443"/>
    <n v="443"/>
    <n v="443"/>
    <n v="443"/>
    <n v="443"/>
    <n v="443"/>
    <n v="439"/>
    <n v="439"/>
    <n v="439"/>
    <n v="439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3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</r>
  <r>
    <m/>
    <x v="146"/>
    <s v="Cat 6 UTP Patch Cord 5m Red color LSZH Jacket"/>
    <x v="11"/>
    <x v="8"/>
    <n v="1101"/>
    <s v="F2 Connect"/>
    <s v="Adet"/>
    <n v="50"/>
    <m/>
    <m/>
    <m/>
    <n v="2.5930799999999996"/>
    <n v="77.792399999999986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47"/>
    <s v="Cat 6 UTP Patch Cord 7m Red color LSZH Jacket"/>
    <x v="11"/>
    <x v="8"/>
    <n v="1101"/>
    <s v="F2 Connect"/>
    <s v="Adet"/>
    <n v="50"/>
    <m/>
    <m/>
    <m/>
    <n v="3.48936"/>
    <n v="174.46799999999999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</r>
  <r>
    <m/>
    <x v="148"/>
    <s v="Cat 6 UTP Patch Cord 10m Red color LSZH Jacket"/>
    <x v="11"/>
    <x v="8"/>
    <n v="1101"/>
    <s v="F2 Connect"/>
    <s v="Adet"/>
    <n v="30"/>
    <m/>
    <m/>
    <m/>
    <n v="4.82796"/>
    <n v="144.83879999999999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49"/>
    <s v="Cat 6 UTP Patch Cord 15m Red color LSZH Jacket"/>
    <x v="11"/>
    <x v="8"/>
    <n v="1101"/>
    <s v="F2 Connect"/>
    <s v="Adet"/>
    <n v="20"/>
    <m/>
    <m/>
    <m/>
    <n v="7.1093999999999999"/>
    <n v="142.18799999999999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150"/>
    <s v="Cat 6 UTP Patch Cord 0.25m Yellow color LSZHJacket"/>
    <x v="11"/>
    <x v="8"/>
    <n v="1101"/>
    <s v="F2 Connect"/>
    <s v="Adet"/>
    <n v="0"/>
    <n v="1"/>
    <s v="Sıfır paketli"/>
    <s v="Raha KKTC Konsinye"/>
    <n v="0.538784239999999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51"/>
    <s v="Cat 6 UTP Patch Cord 0.5m Yellow color LSZH Jacket"/>
    <x v="11"/>
    <x v="8"/>
    <n v="1101"/>
    <s v="F2 Connect"/>
    <s v="Adet"/>
    <n v="76"/>
    <m/>
    <s v="Sıfır paketli"/>
    <m/>
    <n v="0.67247999999999997"/>
    <n v="0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52"/>
    <s v="Cat 6 UTP Patch Cord  1m Yellow color LSZH Jacket "/>
    <x v="11"/>
    <x v="8"/>
    <n v="1101"/>
    <s v="F2 Connect"/>
    <s v="Adet"/>
    <n v="219"/>
    <m/>
    <s v="Sıfır paketli"/>
    <m/>
    <n v="0.82379999999999998"/>
    <n v="0"/>
    <n v="221"/>
    <n v="221"/>
    <n v="221"/>
    <n v="221"/>
    <n v="221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53"/>
    <s v="Cat 6 UTP Patch Cord 2m Yellow color LSZH Jacket"/>
    <x v="11"/>
    <x v="8"/>
    <n v="1101"/>
    <s v="F2 Connect"/>
    <s v="Adet"/>
    <n v="311"/>
    <m/>
    <s v="Sıfır paketli"/>
    <m/>
    <n v="1.2661199999999999"/>
    <n v="24.056279999999997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0"/>
    <n v="310"/>
    <n v="310"/>
    <n v="310"/>
    <n v="310"/>
    <n v="310"/>
    <n v="310"/>
    <n v="310"/>
    <n v="310"/>
    <n v="310"/>
    <n v="310"/>
    <n v="310"/>
    <n v="310"/>
    <n v="310"/>
    <n v="310"/>
    <n v="310"/>
    <n v="310"/>
    <n v="310"/>
    <n v="160"/>
    <n v="160"/>
    <n v="160"/>
    <n v="160"/>
    <n v="160"/>
    <n v="160"/>
    <n v="160"/>
    <n v="160"/>
    <n v="160"/>
    <n v="160"/>
    <n v="160"/>
    <n v="160"/>
    <n v="160"/>
    <n v="160"/>
    <n v="160"/>
    <n v="160"/>
    <n v="160"/>
    <n v="160"/>
    <n v="154"/>
    <n v="120"/>
    <n v="120"/>
    <n v="120"/>
    <n v="120"/>
    <n v="120"/>
    <n v="120"/>
    <n v="120"/>
    <n v="120"/>
    <n v="120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</r>
  <r>
    <m/>
    <x v="154"/>
    <s v="Cat 6 UTP Patch Cord 3m Yellow color LSZH Jacket"/>
    <x v="11"/>
    <x v="8"/>
    <n v="1101"/>
    <s v="F2 Connect"/>
    <s v="Adet"/>
    <n v="390"/>
    <m/>
    <s v="Sıfır paketli"/>
    <m/>
    <n v="1.6967999999999999"/>
    <n v="118.776"/>
    <n v="395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2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</r>
  <r>
    <m/>
    <x v="155"/>
    <s v="Cat 6 UTP Patch Cord 0.20m Blue color LSZH Jacket"/>
    <x v="11"/>
    <x v="8"/>
    <n v="1101"/>
    <s v="F2 Connect"/>
    <s v="Adet"/>
    <n v="1432"/>
    <m/>
    <m/>
    <m/>
    <n v="0.504"/>
    <n v="27.216000000000001"/>
    <n v="1423"/>
    <n v="1423"/>
    <n v="1423"/>
    <n v="1423"/>
    <n v="1423"/>
    <n v="1472"/>
    <n v="1452"/>
    <n v="1452"/>
    <n v="1452"/>
    <n v="1452"/>
    <n v="1452"/>
    <n v="1432"/>
    <n v="1432"/>
    <n v="1432"/>
    <n v="1432"/>
    <n v="1432"/>
    <n v="1432"/>
    <n v="1432"/>
    <n v="1432"/>
    <n v="1432"/>
    <n v="1432"/>
    <n v="1432"/>
    <n v="1432"/>
    <n v="1450"/>
    <n v="1450"/>
    <n v="1450"/>
    <n v="1444"/>
    <n v="1444"/>
    <n v="1444"/>
    <n v="1444"/>
    <n v="1444"/>
    <n v="1444"/>
    <n v="444"/>
    <n v="444"/>
    <n v="444"/>
    <n v="444"/>
    <n v="444"/>
    <n v="444"/>
    <n v="444"/>
    <n v="444"/>
    <n v="444"/>
    <n v="444"/>
    <n v="444"/>
    <n v="444"/>
    <n v="444"/>
    <n v="444"/>
    <n v="444"/>
    <n v="444"/>
    <n v="414"/>
    <n v="414"/>
    <n v="414"/>
    <n v="414"/>
    <n v="414"/>
    <n v="186"/>
    <n v="186"/>
    <n v="186"/>
    <n v="187"/>
    <n v="187"/>
    <n v="167"/>
    <n v="167"/>
    <n v="167"/>
    <n v="167"/>
    <n v="167"/>
    <n v="85"/>
    <n v="85"/>
    <n v="85"/>
    <n v="85"/>
    <n v="73"/>
    <n v="73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</r>
  <r>
    <m/>
    <x v="156"/>
    <s v="Cat 6 UTP Patch Cord 0.25m Blue color LSZH Jacket"/>
    <x v="11"/>
    <x v="8"/>
    <n v="1101"/>
    <s v="F2 Connect"/>
    <s v="Adet"/>
    <n v="1308"/>
    <m/>
    <m/>
    <m/>
    <n v="0.53878423999999969"/>
    <n v="626.60607111999968"/>
    <n v="1498"/>
    <n v="1498"/>
    <n v="1498"/>
    <n v="1498"/>
    <n v="1488"/>
    <n v="1488"/>
    <n v="1458"/>
    <n v="1458"/>
    <n v="1458"/>
    <n v="1458"/>
    <n v="1458"/>
    <n v="1458"/>
    <n v="1458"/>
    <n v="1458"/>
    <n v="1458"/>
    <n v="1458"/>
    <n v="1458"/>
    <n v="1458"/>
    <n v="145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288"/>
    <n v="1288"/>
    <n v="1288"/>
    <n v="1372"/>
    <n v="1372"/>
    <n v="1372"/>
    <n v="1372"/>
    <n v="1372"/>
    <n v="1372"/>
    <n v="1372"/>
    <n v="1372"/>
    <n v="1372"/>
    <n v="1372"/>
    <n v="1272"/>
    <n v="1272"/>
    <n v="1172"/>
    <n v="1172"/>
    <n v="1172"/>
    <n v="1172"/>
    <n v="1172"/>
    <n v="1172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63"/>
    <n v="1163"/>
  </r>
  <r>
    <m/>
    <x v="157"/>
    <s v="Cat 6 UTP Patch Cord 0.5m Blue color LSZH Jacket"/>
    <x v="11"/>
    <x v="8"/>
    <n v="1101"/>
    <s v="F2 Connect"/>
    <s v="Adet"/>
    <n v="963"/>
    <n v="1"/>
    <m/>
    <s v="Raha KKTC Konsinye"/>
    <n v="0.67247999999999997"/>
    <n v="445.18176"/>
    <n v="1000"/>
    <n v="1000"/>
    <n v="1000"/>
    <n v="999"/>
    <n v="979"/>
    <n v="999"/>
    <n v="969"/>
    <n v="969"/>
    <n v="969"/>
    <n v="969"/>
    <n v="969"/>
    <n v="969"/>
    <n v="969"/>
    <n v="969"/>
    <n v="969"/>
    <n v="969"/>
    <n v="969"/>
    <n v="963"/>
    <n v="963"/>
    <n v="963"/>
    <n v="963"/>
    <n v="963"/>
    <n v="963"/>
    <n v="962"/>
    <n v="962"/>
    <n v="962"/>
    <n v="962"/>
    <n v="962"/>
    <n v="962"/>
    <n v="957"/>
    <n v="957"/>
    <n v="957"/>
    <n v="957"/>
    <n v="957"/>
    <n v="907"/>
    <n v="907"/>
    <n v="907"/>
    <n v="907"/>
    <n v="907"/>
    <n v="907"/>
    <n v="907"/>
    <n v="907"/>
    <n v="907"/>
    <n v="907"/>
    <n v="907"/>
    <n v="820"/>
    <n v="820"/>
    <n v="820"/>
    <n v="800"/>
    <n v="800"/>
    <n v="800"/>
    <n v="563"/>
    <n v="563"/>
    <n v="650"/>
    <n v="650"/>
    <n v="650"/>
    <n v="650"/>
    <n v="650"/>
    <n v="642"/>
    <n v="642"/>
    <n v="634"/>
    <n v="584"/>
    <n v="584"/>
    <n v="568"/>
    <n v="568"/>
    <n v="568"/>
    <n v="568"/>
    <n v="568"/>
    <n v="568"/>
    <n v="862"/>
    <n v="862"/>
    <n v="862"/>
    <n v="862"/>
    <n v="8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</r>
  <r>
    <m/>
    <x v="158"/>
    <s v="Cat 6 UTP Patch Cord 1m Blue color LSZH Jacket"/>
    <x v="11"/>
    <x v="8"/>
    <n v="1101"/>
    <s v="F2 Connect"/>
    <s v="Adet"/>
    <n v="481"/>
    <m/>
    <m/>
    <m/>
    <n v="0.82379999999999998"/>
    <n v="0"/>
    <n v="479"/>
    <n v="479"/>
    <n v="479"/>
    <n v="479"/>
    <n v="454"/>
    <n v="481"/>
    <n v="481"/>
    <n v="481"/>
    <n v="481"/>
    <n v="481"/>
    <n v="481"/>
    <n v="481"/>
    <n v="481"/>
    <n v="481"/>
    <n v="481"/>
    <n v="481"/>
    <n v="481"/>
    <n v="481"/>
    <n v="481"/>
    <n v="481"/>
    <n v="481"/>
    <n v="481"/>
    <n v="481"/>
    <n v="461"/>
    <n v="461"/>
    <n v="461"/>
    <n v="461"/>
    <n v="461"/>
    <n v="461"/>
    <n v="451"/>
    <n v="113"/>
    <n v="113"/>
    <n v="1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59"/>
    <s v="Cat 6 UTP Patch Cord 2m Blue color LSZH Jacket"/>
    <x v="11"/>
    <x v="8"/>
    <n v="1101"/>
    <s v="F2 Connect"/>
    <s v="Adet"/>
    <n v="186"/>
    <m/>
    <m/>
    <m/>
    <n v="1.2661199999999999"/>
    <n v="6.3305999999999996"/>
    <n v="185"/>
    <n v="185"/>
    <n v="185"/>
    <n v="185"/>
    <n v="175"/>
    <n v="194"/>
    <n v="186"/>
    <n v="186"/>
    <n v="186"/>
    <n v="186"/>
    <n v="186"/>
    <n v="186"/>
    <n v="186"/>
    <n v="186"/>
    <n v="186"/>
    <n v="186"/>
    <n v="186"/>
    <n v="186"/>
    <n v="186"/>
    <n v="186"/>
    <n v="186"/>
    <n v="186"/>
    <n v="186"/>
    <n v="193"/>
    <n v="193"/>
    <n v="193"/>
    <n v="193"/>
    <n v="193"/>
    <n v="193"/>
    <n v="183"/>
    <n v="183"/>
    <n v="183"/>
    <n v="183"/>
    <n v="183"/>
    <n v="183"/>
    <n v="183"/>
    <n v="183"/>
    <n v="183"/>
    <n v="183"/>
    <n v="183"/>
    <n v="183"/>
    <n v="53"/>
    <n v="53"/>
    <n v="53"/>
    <n v="53"/>
    <n v="53"/>
    <n v="53"/>
    <n v="53"/>
    <n v="53"/>
    <n v="53"/>
    <n v="53"/>
    <n v="53"/>
    <n v="53"/>
    <n v="53"/>
    <n v="53"/>
    <n v="52"/>
    <n v="12"/>
    <n v="12"/>
    <n v="12"/>
    <n v="12"/>
    <n v="12"/>
    <n v="12"/>
    <n v="12"/>
    <n v="12"/>
    <n v="12"/>
    <n v="12"/>
    <n v="12"/>
    <n v="12"/>
    <n v="12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5"/>
    <n v="5"/>
    <n v="5"/>
    <n v="5"/>
    <n v="5"/>
    <n v="5"/>
  </r>
  <r>
    <m/>
    <x v="160"/>
    <s v="Cat 6 UTP Patch Cord 3m Blue color LSZH Jacket"/>
    <x v="11"/>
    <x v="8"/>
    <n v="1101"/>
    <s v="F2 Connect"/>
    <s v="Adet"/>
    <n v="199"/>
    <m/>
    <m/>
    <m/>
    <n v="1.6967999999999999"/>
    <n v="174.7704"/>
    <n v="195"/>
    <n v="195"/>
    <n v="195"/>
    <n v="195"/>
    <n v="195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3"/>
    <n v="103"/>
    <n v="103"/>
    <n v="103"/>
    <n v="103"/>
    <n v="103"/>
  </r>
  <r>
    <m/>
    <x v="161"/>
    <s v="Cat 6 UTP Patch Cord 5m Blue color LSZH Jacket"/>
    <x v="11"/>
    <x v="8"/>
    <n v="1101"/>
    <s v="F2 Connect"/>
    <s v="Adet"/>
    <n v="30"/>
    <m/>
    <m/>
    <m/>
    <n v="2.5930799999999996"/>
    <n v="77.792399999999986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62"/>
    <s v="Cat 6 UTP Patch Cord 7m Blue color LSZH Jacket"/>
    <x v="11"/>
    <x v="8"/>
    <n v="1101"/>
    <s v="F2 Connect"/>
    <s v="Adet"/>
    <n v="30"/>
    <m/>
    <m/>
    <m/>
    <n v="3.48936"/>
    <n v="104.6808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63"/>
    <s v="Cat 6 UTP Patch Cord 10m Blue color LSZH Jacket"/>
    <x v="11"/>
    <x v="8"/>
    <n v="1101"/>
    <s v="F2 Connect"/>
    <s v="Adet"/>
    <n v="10"/>
    <m/>
    <m/>
    <m/>
    <n v="4.82796"/>
    <n v="48.279600000000002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164"/>
    <s v="Cat 6 UTP Patch Cord 15m Blue color LSZH Jacket"/>
    <x v="11"/>
    <x v="8"/>
    <n v="1101"/>
    <s v="F2 Connect"/>
    <s v="Adet"/>
    <n v="10"/>
    <m/>
    <m/>
    <m/>
    <n v="7.1093999999999999"/>
    <n v="71.093999999999994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165"/>
    <s v="Cat 6A UTP Patch Cord 0.25m Black color LSZHJacket"/>
    <x v="11"/>
    <x v="8"/>
    <n v="1101"/>
    <s v="F2 Connect"/>
    <s v="Adet"/>
    <n v="0"/>
    <n v="1"/>
    <s v="Sıfır paketli"/>
    <s v="Raha KKTC Konsinye"/>
    <n v="0.53878423999999969"/>
    <n v="2.15513695999999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166"/>
    <s v="Cat 6A UTP Patch Cord 0.,5m Black color LSZHJacket"/>
    <x v="11"/>
    <x v="8"/>
    <n v="1101"/>
    <s v="F2 Connect"/>
    <s v="Adet"/>
    <n v="14"/>
    <m/>
    <s v="Sıfır paketli"/>
    <m/>
    <n v="0.67247999999999997"/>
    <n v="9.4147199999999991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</r>
  <r>
    <m/>
    <x v="167"/>
    <s v="Cat 6A UTP Patch Cord 1m Black color LSZH Jacket"/>
    <x v="11"/>
    <x v="8"/>
    <n v="1101"/>
    <s v="F2 Connect"/>
    <s v="Adet"/>
    <n v="568"/>
    <n v="1"/>
    <s v="Sıfır paketli"/>
    <s v="Raha KKTC Konsinye"/>
    <n v="0.82379999999999998"/>
    <n v="404.48579999999998"/>
    <n v="569"/>
    <n v="569"/>
    <n v="569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6"/>
    <n v="526"/>
    <n v="526"/>
    <n v="526"/>
    <n v="526"/>
    <n v="526"/>
    <n v="526"/>
    <n v="513"/>
    <n v="463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</r>
  <r>
    <m/>
    <x v="168"/>
    <s v="Cat 6A UTP Patch Cord 2m Black color LSZH Jacket"/>
    <x v="11"/>
    <x v="8"/>
    <n v="1101"/>
    <s v="F2 Connect"/>
    <s v="Adet"/>
    <n v="167"/>
    <n v="1"/>
    <s v="Sıfır paketli"/>
    <s v="Raha KKTC Konsinye"/>
    <n v="1.2661199999999999"/>
    <n v="88.628399999999999"/>
    <n v="168"/>
    <n v="168"/>
    <n v="168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17"/>
    <n v="117"/>
    <n v="75"/>
    <n v="75"/>
    <n v="75"/>
    <n v="75"/>
    <n v="75"/>
    <n v="75"/>
    <n v="75"/>
    <n v="75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</r>
  <r>
    <m/>
    <x v="169"/>
    <s v="Cat 6A UTP Patch Cord 3m Black color LSZH Jacket"/>
    <x v="11"/>
    <x v="8"/>
    <n v="1101"/>
    <s v="F2 Connect"/>
    <s v="Adet"/>
    <n v="150"/>
    <n v="1"/>
    <s v="Sıfır paketli"/>
    <s v="Raha KKTC Konsinye"/>
    <n v="1.6967999999999999"/>
    <n v="251.12639999999999"/>
    <n v="152"/>
    <n v="152"/>
    <n v="152"/>
    <n v="151"/>
    <n v="151"/>
    <n v="151"/>
    <n v="151"/>
    <n v="151"/>
    <n v="151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</r>
  <r>
    <m/>
    <x v="170"/>
    <s v="UTP Cat.6 Keystone Jack 90 degree"/>
    <x v="11"/>
    <x v="15"/>
    <n v="1101"/>
    <s v="F2 Connect"/>
    <s v="Adet"/>
    <n v="3120"/>
    <n v="4"/>
    <s v="Sıfır paketli"/>
    <s v="Systimax tipi_x000a_Raha KKTC Konsinye"/>
    <n v="0.54"/>
    <n v="1680.48"/>
    <n v="3124"/>
    <n v="3124"/>
    <n v="3124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3"/>
    <n v="3113"/>
    <n v="3113"/>
    <n v="3113"/>
    <n v="3113"/>
    <n v="3113"/>
    <n v="3113"/>
    <n v="3113"/>
    <n v="3113"/>
    <n v="3113"/>
    <n v="3113"/>
    <n v="3113"/>
    <n v="3113"/>
    <n v="3113"/>
    <n v="3113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</r>
  <r>
    <m/>
    <x v="171"/>
    <s v="UTP Cat.6 Keystone Jack Toolless"/>
    <x v="11"/>
    <x v="15"/>
    <n v="1101"/>
    <s v="F2 Connect"/>
    <s v="Adet"/>
    <n v="3988"/>
    <n v="4"/>
    <s v="Sıfır paketli"/>
    <s v="Legrand tipi_x000a_Raha KKTC Konsinye"/>
    <n v="0.70799999999999996"/>
    <n v="2504.904"/>
    <n v="4640"/>
    <n v="4640"/>
    <n v="4640"/>
    <n v="4640"/>
    <n v="4640"/>
    <n v="4640"/>
    <n v="4640"/>
    <n v="4640"/>
    <n v="4640"/>
    <n v="4640"/>
    <n v="4640"/>
    <n v="4640"/>
    <n v="4640"/>
    <n v="4076"/>
    <n v="3988"/>
    <n v="3988"/>
    <n v="3988"/>
    <n v="3988"/>
    <n v="3988"/>
    <n v="3988"/>
    <n v="3988"/>
    <n v="3988"/>
    <n v="3988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15"/>
    <n v="3915"/>
    <n v="3815"/>
    <n v="3815"/>
    <n v="3815"/>
    <n v="3815"/>
    <n v="3816"/>
    <n v="3816"/>
    <n v="3841"/>
    <n v="3841"/>
    <n v="3841"/>
    <n v="3841"/>
    <n v="3841"/>
    <n v="3841"/>
    <n v="3841"/>
    <n v="3841"/>
    <n v="3841"/>
    <n v="3841"/>
    <n v="3841"/>
    <n v="3841"/>
    <n v="3841"/>
    <n v="3841"/>
    <n v="3841"/>
    <n v="3539"/>
    <n v="3539"/>
    <n v="3539"/>
    <n v="3539"/>
    <n v="3539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</r>
  <r>
    <m/>
    <x v="172"/>
    <s v="UTP Cat.6 Keystone Jack 180 degree"/>
    <x v="11"/>
    <x v="15"/>
    <n v="1101"/>
    <s v="F2 Connect"/>
    <s v="Adet"/>
    <n v="124"/>
    <n v="34"/>
    <s v="Sıfır paketli"/>
    <s v="Commscope tipi_x000a_34 adet Antalya Showroom"/>
    <n v="0.51600000000000001"/>
    <n v="516"/>
    <n v="199"/>
    <n v="199"/>
    <n v="199"/>
    <n v="199"/>
    <n v="149"/>
    <n v="120"/>
    <n v="120"/>
    <n v="136"/>
    <n v="136"/>
    <n v="136"/>
    <n v="136"/>
    <n v="136"/>
    <n v="136"/>
    <n v="136"/>
    <n v="136"/>
    <n v="136"/>
    <n v="136"/>
    <n v="124"/>
    <n v="124"/>
    <n v="124"/>
    <n v="124"/>
    <n v="124"/>
    <n v="124"/>
    <n v="1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0"/>
    <n v="0"/>
    <n v="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</r>
  <r>
    <m/>
    <x v="173"/>
    <s v="UTP Cat.6 Keystone Jack 180 degree"/>
    <x v="11"/>
    <x v="15"/>
    <m/>
    <m/>
    <s v="Adet"/>
    <m/>
    <m/>
    <m/>
    <m/>
    <n v="0.51600000000000001"/>
    <n v="4.12800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"/>
    <n v="0"/>
    <n v="0"/>
    <n v="0"/>
    <n v="0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</r>
  <r>
    <m/>
    <x v="174"/>
    <s v="UTP Cat.6 Keystone Jack 180 degree white color"/>
    <x v="11"/>
    <x v="15"/>
    <n v="1101"/>
    <s v="F2 Connect"/>
    <s v="Adet"/>
    <n v="39"/>
    <n v="4"/>
    <s v="Sıfır paketli"/>
    <s v="Raha KKTC Konsinye"/>
    <n v="0.51600000000000001"/>
    <n v="6.1920000000000002"/>
    <n v="1447"/>
    <n v="1447"/>
    <n v="1447"/>
    <n v="943"/>
    <n v="943"/>
    <n v="845"/>
    <n v="737"/>
    <n v="737"/>
    <n v="737"/>
    <n v="739"/>
    <n v="39"/>
    <n v="39"/>
    <n v="39"/>
    <n v="39"/>
    <n v="39"/>
    <n v="39"/>
    <n v="39"/>
    <n v="39"/>
    <n v="39"/>
    <n v="39"/>
    <n v="39"/>
    <n v="39"/>
    <n v="39"/>
    <n v="38"/>
    <n v="38"/>
    <n v="38"/>
    <n v="38"/>
    <n v="38"/>
    <n v="38"/>
    <n v="38"/>
    <n v="38"/>
    <n v="38"/>
    <n v="38"/>
    <n v="38"/>
    <n v="38"/>
    <n v="38"/>
    <n v="38"/>
    <n v="38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0"/>
    <n v="0"/>
    <n v="0"/>
    <n v="0"/>
    <n v="13"/>
    <n v="13"/>
    <n v="13"/>
    <n v="13"/>
    <n v="13"/>
    <n v="13"/>
    <n v="13"/>
    <n v="13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</r>
  <r>
    <m/>
    <x v="175"/>
    <s v="UTP Cat.6 Keystone Jack 180 degree white color"/>
    <x v="11"/>
    <x v="15"/>
    <n v="1101"/>
    <s v="F2 Connect"/>
    <s v="Adet"/>
    <n v="3819"/>
    <m/>
    <s v="Sıfır paketli"/>
    <m/>
    <n v="0.432"/>
    <n v="184.464"/>
    <n v="4827"/>
    <n v="4827"/>
    <n v="4827"/>
    <n v="4827"/>
    <n v="4827"/>
    <n v="4827"/>
    <n v="4827"/>
    <n v="4701"/>
    <n v="4701"/>
    <n v="4701"/>
    <n v="4701"/>
    <n v="4673"/>
    <n v="4673"/>
    <n v="4673"/>
    <n v="4633"/>
    <n v="4633"/>
    <n v="4633"/>
    <n v="4633"/>
    <n v="4633"/>
    <n v="4633"/>
    <n v="4249"/>
    <n v="3819"/>
    <n v="3819"/>
    <n v="3945"/>
    <n v="3945"/>
    <n v="3945"/>
    <n v="3897"/>
    <n v="3779"/>
    <n v="3331"/>
    <n v="3129"/>
    <n v="2791"/>
    <n v="2791"/>
    <n v="2791"/>
    <n v="2791"/>
    <n v="2791"/>
    <n v="2791"/>
    <n v="2791"/>
    <n v="2791"/>
    <n v="2741"/>
    <n v="2673"/>
    <n v="2673"/>
    <n v="2663"/>
    <n v="2663"/>
    <n v="2663"/>
    <n v="2663"/>
    <n v="2563"/>
    <n v="2107"/>
    <n v="2107"/>
    <n v="2107"/>
    <n v="2107"/>
    <n v="2007"/>
    <n v="1939"/>
    <n v="1889"/>
    <n v="750"/>
    <n v="808"/>
    <n v="779"/>
    <n v="649"/>
    <n v="649"/>
    <n v="649"/>
    <n v="643"/>
    <n v="643"/>
    <n v="643"/>
    <n v="642"/>
    <n v="642"/>
    <n v="66"/>
    <n v="66"/>
    <n v="67"/>
    <n v="67"/>
    <n v="67"/>
    <n v="277"/>
    <n v="277"/>
    <n v="277"/>
    <n v="277"/>
    <n v="277"/>
    <n v="277"/>
    <n v="277"/>
    <n v="27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</r>
  <r>
    <m/>
    <x v="176"/>
    <s v="UTP Cat.6 Keystone jack 180 degree black color"/>
    <x v="11"/>
    <x v="15"/>
    <n v="1101"/>
    <s v="F2 Connect"/>
    <s v="Adet"/>
    <n v="0"/>
    <m/>
    <s v="Sıfır paketli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77"/>
    <s v="UTP Cat.6 Keystone jack 180 degree white color"/>
    <x v="11"/>
    <x v="15"/>
    <n v="1101"/>
    <s v="F2 Connect"/>
    <s v="Adet"/>
    <n v="0"/>
    <m/>
    <s v="Sıfır paketli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78"/>
    <s v="UTP Cat.6A Keystone jack 180 degree black color"/>
    <x v="11"/>
    <x v="15"/>
    <n v="1101"/>
    <s v="F2 Connect"/>
    <s v="Adet"/>
    <n v="632"/>
    <n v="4"/>
    <s v="Sıfır paketli"/>
    <s v="Raha KKTC Konsinye"/>
    <n v="0.72"/>
    <n v="293.03999999999996"/>
    <n v="636"/>
    <n v="636"/>
    <n v="636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1"/>
    <n v="631"/>
    <n v="631"/>
    <n v="631"/>
    <n v="631"/>
    <n v="631"/>
    <n v="63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05"/>
    <n v="405"/>
    <n v="405"/>
    <n v="405"/>
    <n v="405"/>
    <n v="405"/>
    <n v="405"/>
    <n v="405"/>
    <n v="405"/>
    <n v="405"/>
    <n v="408"/>
    <n v="408"/>
    <n v="408"/>
    <n v="408"/>
    <n v="408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</r>
  <r>
    <m/>
    <x v="179"/>
    <s v="UTP Cat.6A Keystone jack 180 degree white color"/>
    <x v="11"/>
    <x v="15"/>
    <n v="1101"/>
    <s v="F2 Connect"/>
    <s v="Adet"/>
    <n v="0"/>
    <m/>
    <s v="Sıfır paketli"/>
    <m/>
    <n v="0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80"/>
    <s v="FTP Cat.6A Keystone Jack 180 degree toolless"/>
    <x v="11"/>
    <x v="15"/>
    <n v="1101"/>
    <s v="F2 Connect"/>
    <s v="Adet"/>
    <n v="54"/>
    <n v="4"/>
    <s v="Sıfır paketli"/>
    <s v="Raha KKTC Konsinye"/>
    <n v="1.26"/>
    <n v="37.799999999999997"/>
    <n v="178"/>
    <n v="178"/>
    <n v="178"/>
    <n v="26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47"/>
    <n v="27"/>
    <n v="27"/>
    <n v="27"/>
    <n v="27"/>
    <n v="27"/>
    <n v="27"/>
    <n v="27"/>
    <n v="27"/>
    <n v="27"/>
    <n v="31"/>
    <n v="31"/>
    <n v="31"/>
    <n v="31"/>
    <n v="31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81"/>
    <s v="FTP Cat.6A Keystone Jack 180 degree toolless-2"/>
    <x v="11"/>
    <x v="15"/>
    <n v="1101"/>
    <s v="F2 Connect"/>
    <s v="Adet"/>
    <n v="0"/>
    <m/>
    <s v="Sıfır paketli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82"/>
    <s v="Cat.6 UTP Plug"/>
    <x v="11"/>
    <x v="3"/>
    <n v="1101"/>
    <s v="F2 Connect"/>
    <s v="Adet"/>
    <n v="1434"/>
    <m/>
    <s v="Sıfır paketli"/>
    <m/>
    <n v="6.3600000000000004E-2"/>
    <n v="0"/>
    <n v="3498"/>
    <n v="3498"/>
    <n v="3498"/>
    <n v="3498"/>
    <n v="3498"/>
    <n v="3364"/>
    <n v="3316"/>
    <n v="3190"/>
    <n v="3190"/>
    <n v="3187"/>
    <n v="3187"/>
    <n v="3157"/>
    <n v="3157"/>
    <n v="2142"/>
    <n v="1142"/>
    <n v="1142"/>
    <n v="1142"/>
    <n v="942"/>
    <n v="942"/>
    <n v="942"/>
    <n v="942"/>
    <n v="942"/>
    <n v="942"/>
    <n v="871"/>
    <n v="871"/>
    <n v="871"/>
    <n v="871"/>
    <n v="844"/>
    <n v="844"/>
    <n v="744"/>
    <n v="744"/>
    <n v="744"/>
    <n v="229"/>
    <n v="229"/>
    <n v="213"/>
    <n v="163"/>
    <n v="163"/>
    <n v="163"/>
    <n v="163"/>
    <n v="139"/>
    <n v="139"/>
    <n v="139"/>
    <n v="139"/>
    <n v="139"/>
    <n v="139"/>
    <n v="139"/>
    <n v="139"/>
    <n v="139"/>
    <n v="139"/>
    <n v="139"/>
    <n v="267"/>
    <n v="267"/>
    <n v="267"/>
    <n v="237"/>
    <n v="137"/>
    <n v="100"/>
    <n v="30"/>
    <n v="30"/>
    <n v="30"/>
    <n v="30"/>
    <n v="30"/>
    <n v="30"/>
    <n v="30"/>
    <n v="30"/>
    <n v="30"/>
    <n v="30"/>
    <n v="30"/>
    <n v="30"/>
    <n v="30"/>
    <n v="30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83"/>
    <s v="FTP Cat.6A Plug for stranded patch cord"/>
    <x v="11"/>
    <x v="3"/>
    <n v="1101"/>
    <s v="F2 Connect"/>
    <s v="Adet"/>
    <n v="2966"/>
    <m/>
    <s v="Sıfır paketli"/>
    <m/>
    <n v="0.3"/>
    <n v="575.4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2966"/>
    <n v="2966"/>
    <n v="2965"/>
    <n v="2965"/>
    <n v="2965"/>
    <n v="2965"/>
    <n v="2965"/>
    <n v="2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865"/>
    <n v="1865"/>
    <n v="1865"/>
    <n v="1865"/>
    <n v="1865"/>
    <n v="1865"/>
    <n v="1865"/>
    <n v="1865"/>
    <n v="1865"/>
    <n v="1865"/>
    <n v="1865"/>
    <n v="1865"/>
    <n v="1865"/>
    <n v="1958"/>
    <n v="1958"/>
    <n v="1958"/>
    <n v="1958"/>
    <n v="1958"/>
    <n v="1958"/>
    <n v="1958"/>
    <n v="1958"/>
    <n v="1958"/>
    <n v="1958"/>
    <n v="1958"/>
    <n v="1958"/>
    <n v="1958"/>
    <n v="1958"/>
    <n v="1958"/>
    <n v="1958"/>
    <n v="1928"/>
    <n v="1928"/>
    <n v="1928"/>
    <n v="1928"/>
    <n v="1918"/>
    <n v="1918"/>
    <n v="1918"/>
    <n v="1918"/>
    <n v="1918"/>
    <n v="1918"/>
  </r>
  <r>
    <m/>
    <x v="184"/>
    <s v="French Type Faceplate 1 Port"/>
    <x v="11"/>
    <x v="3"/>
    <n v="1104"/>
    <s v="F2 Connect"/>
    <s v="Adet"/>
    <n v="8042"/>
    <m/>
    <s v="Sıfır paketli"/>
    <m/>
    <n v="0.3"/>
    <n v="2170.7999999999997"/>
    <n v="8389"/>
    <n v="8389"/>
    <n v="8389"/>
    <n v="8089"/>
    <n v="8089"/>
    <n v="8089"/>
    <n v="8081"/>
    <n v="8081"/>
    <n v="8081"/>
    <n v="8081"/>
    <n v="8081"/>
    <n v="8081"/>
    <n v="8081"/>
    <n v="8081"/>
    <n v="8042"/>
    <n v="8042"/>
    <n v="8042"/>
    <n v="8042"/>
    <n v="8042"/>
    <n v="8042"/>
    <n v="8042"/>
    <n v="8042"/>
    <n v="8042"/>
    <n v="8041"/>
    <n v="8041"/>
    <n v="8041"/>
    <n v="8041"/>
    <n v="8041"/>
    <n v="8041"/>
    <n v="8041"/>
    <n v="8041"/>
    <n v="8041"/>
    <n v="8741"/>
    <n v="8741"/>
    <n v="8741"/>
    <n v="8741"/>
    <n v="8741"/>
    <n v="8741"/>
    <n v="8741"/>
    <n v="8741"/>
    <n v="8741"/>
    <n v="8741"/>
    <n v="8741"/>
    <n v="8741"/>
    <n v="8741"/>
    <n v="8641"/>
    <n v="8641"/>
    <n v="8641"/>
    <n v="8633"/>
    <n v="8633"/>
    <n v="8633"/>
    <n v="8633"/>
    <n v="8513"/>
    <n v="8410"/>
    <n v="8453"/>
    <n v="8503"/>
    <n v="8503"/>
    <n v="8503"/>
    <n v="8503"/>
    <n v="8503"/>
    <n v="8503"/>
    <n v="8523"/>
    <n v="8523"/>
    <n v="8523"/>
    <n v="8523"/>
    <n v="8523"/>
    <n v="8523"/>
    <n v="8523"/>
    <n v="8523"/>
    <n v="8523"/>
    <n v="8323"/>
    <n v="8323"/>
    <n v="7323"/>
    <n v="7323"/>
    <n v="7322"/>
    <n v="7322"/>
    <n v="7322"/>
    <n v="7322"/>
    <n v="7322"/>
    <n v="7322"/>
    <n v="7322"/>
    <n v="7322"/>
    <n v="7322"/>
    <n v="7322"/>
    <n v="7322"/>
    <n v="7316"/>
    <n v="7316"/>
    <n v="7316"/>
    <n v="7316"/>
    <n v="7316"/>
    <n v="7316"/>
    <n v="7316"/>
    <n v="7316"/>
    <n v="7316"/>
    <n v="7316"/>
    <n v="7316"/>
    <n v="7316"/>
    <n v="7316"/>
    <n v="7316"/>
    <n v="7316"/>
    <n v="7316"/>
    <n v="7316"/>
    <n v="7236"/>
  </r>
  <r>
    <m/>
    <x v="185"/>
    <s v="Screw Tool For Network Cabinet"/>
    <x v="11"/>
    <x v="3"/>
    <n v="1104"/>
    <s v="F2 Connect"/>
    <s v="Adet"/>
    <n v="89"/>
    <m/>
    <s v="Sıfır paketli"/>
    <m/>
    <n v="3"/>
    <n v="261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</r>
  <r>
    <m/>
    <x v="186"/>
    <s v="Network Crimp Tool for Keystone Jack"/>
    <x v="11"/>
    <x v="3"/>
    <n v="1104"/>
    <s v="F2 Connect"/>
    <s v="Adet"/>
    <n v="10"/>
    <m/>
    <s v="Sıfır paketli"/>
    <m/>
    <n v="31.8"/>
    <n v="318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187"/>
    <s v="FO PP LC 24P 19 Sliding type empty, with Casette"/>
    <x v="11"/>
    <x v="13"/>
    <n v="1102"/>
    <s v="F2 Connect"/>
    <s v="Adet"/>
    <n v="39"/>
    <n v="2"/>
    <s v="Sıfır paketli"/>
    <s v="Raha KKTC Konsinye"/>
    <n v="22.2"/>
    <n v="0"/>
    <n v="94"/>
    <n v="94"/>
    <n v="94"/>
    <n v="86"/>
    <n v="86"/>
    <n v="86"/>
    <n v="82"/>
    <n v="82"/>
    <n v="82"/>
    <n v="82"/>
    <n v="82"/>
    <n v="82"/>
    <n v="82"/>
    <n v="82"/>
    <n v="82"/>
    <n v="82"/>
    <n v="82"/>
    <n v="82"/>
    <n v="82"/>
    <n v="82"/>
    <n v="81"/>
    <n v="39"/>
    <n v="38"/>
    <n v="37"/>
    <n v="37"/>
    <n v="37"/>
    <n v="27"/>
    <n v="29"/>
    <n v="29"/>
    <n v="25"/>
    <n v="11"/>
    <n v="9"/>
    <n v="34"/>
    <n v="30"/>
    <n v="28"/>
    <n v="28"/>
    <n v="28"/>
    <n v="28"/>
    <n v="24"/>
    <n v="22"/>
    <n v="22"/>
    <n v="23"/>
    <n v="23"/>
    <n v="23"/>
    <n v="23"/>
    <n v="11"/>
    <n v="8"/>
    <n v="8"/>
    <n v="8"/>
    <n v="8"/>
    <n v="8"/>
    <n v="8"/>
    <n v="8"/>
    <n v="8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88"/>
    <s v="FO PP SC 24P 19 Sliding type empty, with Casette"/>
    <x v="11"/>
    <x v="13"/>
    <n v="1102"/>
    <s v="F2 Connect"/>
    <s v="Adet"/>
    <n v="12"/>
    <n v="2"/>
    <s v="Sıfır paketli"/>
    <s v="Raha KKTC Konsinye"/>
    <n v="22.2"/>
    <n v="0"/>
    <n v="40"/>
    <n v="40"/>
    <n v="40"/>
    <n v="38"/>
    <n v="38"/>
    <n v="38"/>
    <n v="38"/>
    <n v="38"/>
    <n v="38"/>
    <n v="38"/>
    <n v="20"/>
    <n v="20"/>
    <n v="20"/>
    <n v="20"/>
    <n v="20"/>
    <n v="20"/>
    <n v="20"/>
    <n v="20"/>
    <n v="20"/>
    <n v="20"/>
    <n v="20"/>
    <n v="12"/>
    <n v="12"/>
    <n v="6"/>
    <n v="6"/>
    <n v="6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89"/>
    <s v="LC-LC patch cord( duplex) OS2 2meters  2.0mm LSZH"/>
    <x v="11"/>
    <x v="7"/>
    <n v="1102"/>
    <s v="F2 Connect"/>
    <s v="Adet"/>
    <n v="238"/>
    <n v="2"/>
    <s v="Sıfır paketli"/>
    <s v="Raha KKTC Konsinye"/>
    <n v="1.9296000000000002"/>
    <n v="1.9296000000000002"/>
    <n v="718"/>
    <n v="720"/>
    <n v="720"/>
    <n v="698"/>
    <n v="697"/>
    <n v="697"/>
    <n v="695"/>
    <n v="695"/>
    <n v="685"/>
    <n v="685"/>
    <n v="675"/>
    <n v="675"/>
    <n v="675"/>
    <n v="429"/>
    <n v="429"/>
    <n v="329"/>
    <n v="329"/>
    <n v="329"/>
    <n v="329"/>
    <n v="329"/>
    <n v="329"/>
    <n v="238"/>
    <n v="238"/>
    <n v="236"/>
    <n v="236"/>
    <n v="230"/>
    <n v="230"/>
    <n v="230"/>
    <n v="230"/>
    <n v="145"/>
    <n v="81"/>
    <n v="77"/>
    <n v="57"/>
    <n v="57"/>
    <n v="61"/>
    <n v="61"/>
    <n v="61"/>
    <n v="61"/>
    <n v="61"/>
    <n v="57"/>
    <n v="57"/>
    <n v="57"/>
    <n v="57"/>
    <n v="57"/>
    <n v="57"/>
    <n v="57"/>
    <n v="57"/>
    <n v="57"/>
    <n v="57"/>
    <n v="57"/>
    <n v="57"/>
    <n v="44"/>
    <n v="34"/>
    <n v="34"/>
    <n v="17"/>
    <n v="9"/>
    <n v="13"/>
    <n v="11"/>
    <n v="13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</r>
  <r>
    <m/>
    <x v="190"/>
    <s v="LC-LC Patch Cord (duplex) OS2 3meters 2.0mm LSZH"/>
    <x v="11"/>
    <x v="7"/>
    <n v="1102"/>
    <s v="F2 Connect"/>
    <s v="Adet"/>
    <n v="492"/>
    <m/>
    <m/>
    <m/>
    <n v="2.0227200000000001"/>
    <n v="6.0681600000000007"/>
    <n v="500"/>
    <n v="500"/>
    <n v="500"/>
    <n v="500"/>
    <n v="500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19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24"/>
    <n v="10"/>
    <n v="1"/>
    <n v="10"/>
    <n v="8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0"/>
    <n v="0"/>
    <n v="0"/>
    <n v="0"/>
    <n v="0"/>
    <n v="0"/>
    <n v="0"/>
    <n v="0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191"/>
    <s v="LC-LC Patch Cord (duplex) OS2 5meters 2.0mm LSZH"/>
    <x v="11"/>
    <x v="7"/>
    <n v="1102"/>
    <s v="F2 Connect"/>
    <s v="Adet"/>
    <n v="300"/>
    <m/>
    <m/>
    <m/>
    <n v="2.2089600000000003"/>
    <n v="583.1654400000001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299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3"/>
    <n v="293"/>
    <n v="293"/>
    <n v="293"/>
    <n v="293"/>
    <n v="293"/>
    <n v="293"/>
    <n v="277"/>
    <n v="286"/>
    <n v="286"/>
    <n v="271"/>
    <n v="271"/>
    <n v="271"/>
    <n v="271"/>
    <n v="270"/>
    <n v="271"/>
    <n v="271"/>
    <n v="271"/>
    <n v="271"/>
    <n v="271"/>
    <n v="271"/>
    <n v="271"/>
    <n v="271"/>
    <n v="246"/>
    <n v="264"/>
  </r>
  <r>
    <m/>
    <x v="192"/>
    <s v="LC-LC Patch Cord (duplex) OS2 7meters 2.0mm LSZH"/>
    <x v="11"/>
    <x v="7"/>
    <n v="1102"/>
    <s v="F2 Connect"/>
    <s v="Adet"/>
    <n v="100"/>
    <m/>
    <m/>
    <m/>
    <n v="2.3835600000000001"/>
    <n v="197.83548000000002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97"/>
    <n v="95"/>
    <n v="100"/>
    <n v="95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85"/>
    <n v="85"/>
    <n v="85"/>
    <n v="85"/>
    <n v="85"/>
    <n v="85"/>
    <n v="85"/>
    <n v="85"/>
    <n v="85"/>
    <n v="85"/>
    <n v="85"/>
    <n v="85"/>
    <n v="85"/>
    <n v="85"/>
    <n v="80"/>
    <n v="83"/>
  </r>
  <r>
    <m/>
    <x v="193"/>
    <s v="LC-LC patch cord (duplex) OM3 2meters  2.0mm LSZH"/>
    <x v="11"/>
    <x v="7"/>
    <n v="1102"/>
    <s v="F2 Connect"/>
    <s v="Adet"/>
    <n v="816"/>
    <n v="2"/>
    <s v="Sıfır paketli"/>
    <s v="Raha KKTC Konsinye"/>
    <n v="2.0809199999999999"/>
    <n v="1587.7419599999998"/>
    <n v="932"/>
    <n v="932"/>
    <n v="932"/>
    <n v="930"/>
    <n v="930"/>
    <n v="930"/>
    <n v="930"/>
    <n v="930"/>
    <n v="930"/>
    <n v="930"/>
    <n v="930"/>
    <n v="930"/>
    <n v="930"/>
    <n v="930"/>
    <n v="930"/>
    <n v="930"/>
    <n v="878"/>
    <n v="878"/>
    <n v="878"/>
    <n v="878"/>
    <n v="854"/>
    <n v="816"/>
    <n v="816"/>
    <n v="832"/>
    <n v="832"/>
    <n v="832"/>
    <n v="832"/>
    <n v="832"/>
    <n v="832"/>
    <n v="832"/>
    <n v="832"/>
    <n v="832"/>
    <n v="824"/>
    <n v="811"/>
    <n v="803"/>
    <n v="803"/>
    <n v="803"/>
    <n v="803"/>
    <n v="799"/>
    <n v="799"/>
    <n v="799"/>
    <n v="799"/>
    <n v="799"/>
    <n v="799"/>
    <n v="799"/>
    <n v="799"/>
    <n v="799"/>
    <n v="799"/>
    <n v="799"/>
    <n v="799"/>
    <n v="799"/>
    <n v="799"/>
    <n v="799"/>
    <n v="799"/>
    <n v="799"/>
    <n v="799"/>
    <n v="787"/>
    <n v="785"/>
    <n v="769"/>
    <n v="764"/>
    <n v="756"/>
    <n v="769"/>
    <n v="769"/>
    <n v="769"/>
    <n v="769"/>
    <n v="769"/>
    <n v="769"/>
    <n v="769"/>
    <n v="769"/>
    <n v="769"/>
    <n v="769"/>
    <n v="769"/>
    <n v="769"/>
    <n v="769"/>
    <n v="768"/>
    <n v="768"/>
    <n v="768"/>
    <n v="768"/>
    <n v="768"/>
    <n v="768"/>
    <n v="768"/>
    <n v="768"/>
    <n v="768"/>
    <n v="768"/>
    <n v="768"/>
    <n v="766"/>
    <n v="766"/>
    <n v="768"/>
    <n v="768"/>
    <n v="768"/>
    <n v="768"/>
    <n v="768"/>
    <n v="768"/>
    <n v="768"/>
    <n v="768"/>
    <n v="768"/>
    <n v="768"/>
    <n v="768"/>
    <n v="768"/>
    <n v="768"/>
    <n v="763"/>
    <n v="763"/>
    <n v="763"/>
  </r>
  <r>
    <m/>
    <x v="194"/>
    <s v="LC-LC Patch Cord (duplex) OM3 3meters 2.0mm LSZH"/>
    <x v="11"/>
    <x v="7"/>
    <n v="1102"/>
    <s v="F2 Connect"/>
    <s v="Adet"/>
    <n v="492"/>
    <m/>
    <m/>
    <m/>
    <n v="2.2555199999999997"/>
    <n v="1073.6275199999998"/>
    <n v="500"/>
    <n v="500"/>
    <n v="500"/>
    <n v="500"/>
    <n v="500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4"/>
    <n v="486"/>
    <n v="486"/>
    <n v="486"/>
    <n v="486"/>
    <n v="486"/>
    <n v="486"/>
    <n v="486"/>
    <n v="476"/>
    <n v="476"/>
    <n v="476"/>
  </r>
  <r>
    <m/>
    <x v="195"/>
    <s v="LC-LC Patch Cord (duplex) OM3 5meters 2.0mm LSZH"/>
    <x v="11"/>
    <x v="7"/>
    <n v="1102"/>
    <s v="F2 Connect"/>
    <s v="Adet"/>
    <n v="492"/>
    <m/>
    <m/>
    <m/>
    <n v="2.5930799999999996"/>
    <n v="1275.7953599999998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0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</r>
  <r>
    <m/>
    <x v="196"/>
    <s v="LC-LC Patch Cord (duplex) OM3 7meters 2.0mm LSZH"/>
    <x v="11"/>
    <x v="7"/>
    <n v="1102"/>
    <s v="F2 Connect"/>
    <s v="Adet"/>
    <n v="100"/>
    <m/>
    <m/>
    <m/>
    <n v="2.9306400000000004"/>
    <n v="293.06400000000002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</r>
  <r>
    <m/>
    <x v="197"/>
    <s v="LC-LC patch cord (duplex) OM4 2meters  2.0mm LSZH"/>
    <x v="11"/>
    <x v="7"/>
    <n v="1102"/>
    <s v="F2 Connect"/>
    <s v="Adet"/>
    <n v="657"/>
    <n v="2"/>
    <s v="Sıfır paketli"/>
    <s v="Raha KKTC Konsinye"/>
    <n v="2.4417599999999995"/>
    <n v="1191.5788799999998"/>
    <n v="872"/>
    <n v="872"/>
    <n v="862"/>
    <n v="848"/>
    <n v="848"/>
    <n v="847"/>
    <n v="827"/>
    <n v="827"/>
    <n v="827"/>
    <n v="823"/>
    <n v="817"/>
    <n v="818"/>
    <n v="818"/>
    <n v="818"/>
    <n v="813"/>
    <n v="813"/>
    <n v="757"/>
    <n v="757"/>
    <n v="757"/>
    <n v="757"/>
    <n v="757"/>
    <n v="657"/>
    <n v="657"/>
    <n v="656"/>
    <n v="656"/>
    <n v="656"/>
    <n v="656"/>
    <n v="656"/>
    <n v="651"/>
    <n v="611"/>
    <n v="599"/>
    <n v="599"/>
    <n v="599"/>
    <n v="599"/>
    <n v="599"/>
    <n v="599"/>
    <n v="575"/>
    <n v="575"/>
    <n v="523"/>
    <n v="493"/>
    <n v="493"/>
    <n v="494"/>
    <n v="494"/>
    <n v="494"/>
    <n v="494"/>
    <n v="488"/>
    <n v="488"/>
    <n v="488"/>
    <n v="488"/>
    <n v="488"/>
    <n v="488"/>
    <n v="488"/>
    <n v="488"/>
    <n v="488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88"/>
    <n v="488"/>
    <n v="488"/>
  </r>
  <r>
    <m/>
    <x v="198"/>
    <s v="LC-LC patch cord (duplex) OM4 3meters  2.0mm LSZH"/>
    <x v="11"/>
    <x v="7"/>
    <n v="1102"/>
    <s v="F2 Connect"/>
    <s v="Adet"/>
    <n v="424"/>
    <m/>
    <m/>
    <m/>
    <n v="2.7909599999999997"/>
    <n v="842.86991999999987"/>
    <n v="489"/>
    <n v="483"/>
    <n v="483"/>
    <n v="483"/>
    <n v="483"/>
    <n v="483"/>
    <n v="483"/>
    <n v="483"/>
    <n v="483"/>
    <n v="483"/>
    <n v="483"/>
    <n v="481"/>
    <n v="481"/>
    <n v="477"/>
    <n v="464"/>
    <n v="464"/>
    <n v="444"/>
    <n v="444"/>
    <n v="444"/>
    <n v="424"/>
    <n v="424"/>
    <n v="424"/>
    <n v="424"/>
    <n v="422"/>
    <n v="424"/>
    <n v="419"/>
    <n v="419"/>
    <n v="419"/>
    <n v="419"/>
    <n v="399"/>
    <n v="399"/>
    <n v="399"/>
    <n v="399"/>
    <n v="399"/>
    <n v="399"/>
    <n v="399"/>
    <n v="388"/>
    <n v="388"/>
    <n v="388"/>
    <n v="358"/>
    <n v="358"/>
    <n v="377"/>
    <n v="377"/>
    <n v="377"/>
    <n v="377"/>
    <n v="377"/>
    <n v="374"/>
    <n v="374"/>
    <n v="318"/>
    <n v="318"/>
    <n v="318"/>
    <n v="318"/>
    <n v="318"/>
    <n v="318"/>
    <n v="318"/>
    <n v="318"/>
    <n v="318"/>
    <n v="318"/>
    <n v="318"/>
    <n v="318"/>
    <n v="318"/>
    <n v="318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0"/>
    <n v="312"/>
    <n v="312"/>
    <n v="312"/>
    <n v="312"/>
    <n v="312"/>
    <n v="312"/>
    <n v="312"/>
    <n v="302"/>
    <n v="302"/>
    <n v="302"/>
  </r>
  <r>
    <m/>
    <x v="199"/>
    <s v="LC-LC patch cord (duplex) OM4 5meters  2.0mm LSZH"/>
    <x v="11"/>
    <x v="7"/>
    <n v="1102"/>
    <s v="F2 Connect"/>
    <s v="Adet"/>
    <n v="134"/>
    <m/>
    <m/>
    <m/>
    <n v="3.1401599999999998"/>
    <n v="320.29631999999998"/>
    <n v="265"/>
    <n v="256"/>
    <n v="256"/>
    <n v="247"/>
    <n v="247"/>
    <n v="213"/>
    <n v="213"/>
    <n v="213"/>
    <n v="213"/>
    <n v="209"/>
    <n v="187"/>
    <n v="160"/>
    <n v="160"/>
    <n v="156"/>
    <n v="156"/>
    <n v="156"/>
    <n v="154"/>
    <n v="154"/>
    <n v="156"/>
    <n v="134"/>
    <n v="134"/>
    <n v="134"/>
    <n v="134"/>
    <n v="134"/>
    <n v="134"/>
    <n v="134"/>
    <n v="134"/>
    <n v="134"/>
    <n v="129"/>
    <n v="109"/>
    <n v="109"/>
    <n v="109"/>
    <n v="109"/>
    <n v="109"/>
    <n v="109"/>
    <n v="109"/>
    <n v="104"/>
    <n v="104"/>
    <n v="104"/>
    <n v="84"/>
    <n v="84"/>
    <n v="104"/>
    <n v="104"/>
    <n v="102"/>
    <n v="102"/>
    <n v="104"/>
    <n v="104"/>
    <n v="104"/>
    <n v="104"/>
    <n v="104"/>
    <n v="104"/>
    <n v="104"/>
    <n v="104"/>
    <n v="104"/>
    <n v="104"/>
    <n v="104"/>
    <n v="104"/>
    <n v="104"/>
    <n v="104"/>
    <n v="104"/>
    <n v="104"/>
    <n v="104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</r>
  <r>
    <m/>
    <x v="200"/>
    <s v="LC-LC patch cord (duplex) OM4 7meters  2.0mm LSZH"/>
    <x v="11"/>
    <x v="7"/>
    <n v="1102"/>
    <s v="F2 Connect"/>
    <s v="Adet"/>
    <n v="81"/>
    <m/>
    <m/>
    <m/>
    <n v="3.8385600000000002"/>
    <n v="291.73056000000003"/>
    <n v="85"/>
    <n v="85"/>
    <n v="85"/>
    <n v="85"/>
    <n v="85"/>
    <n v="85"/>
    <n v="85"/>
    <n v="85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</r>
  <r>
    <m/>
    <x v="201"/>
    <s v="SC-LC patch cord( duplex) OS2 2meters  2.0mm LSZH"/>
    <x v="11"/>
    <x v="7"/>
    <n v="1102"/>
    <s v="F2 Connect"/>
    <s v="Adet"/>
    <n v="268"/>
    <n v="2"/>
    <s v="Sıfır paketli"/>
    <s v="Raha KKTC Konsinye"/>
    <n v="1.9296000000000002"/>
    <n v="0"/>
    <n v="675"/>
    <n v="675"/>
    <n v="675"/>
    <n v="663"/>
    <n v="673"/>
    <n v="673"/>
    <n v="673"/>
    <n v="673"/>
    <n v="663"/>
    <n v="663"/>
    <n v="643"/>
    <n v="643"/>
    <n v="643"/>
    <n v="643"/>
    <n v="643"/>
    <n v="643"/>
    <n v="643"/>
    <n v="643"/>
    <n v="643"/>
    <n v="643"/>
    <n v="643"/>
    <n v="268"/>
    <n v="268"/>
    <n v="267"/>
    <n v="247"/>
    <n v="247"/>
    <n v="243"/>
    <n v="243"/>
    <n v="243"/>
    <n v="233"/>
    <n v="233"/>
    <n v="233"/>
    <n v="233"/>
    <n v="233"/>
    <n v="233"/>
    <n v="233"/>
    <n v="233"/>
    <n v="233"/>
    <n v="233"/>
    <n v="233"/>
    <n v="233"/>
    <n v="203"/>
    <n v="203"/>
    <n v="203"/>
    <n v="203"/>
    <n v="203"/>
    <n v="203"/>
    <n v="203"/>
    <n v="203"/>
    <n v="203"/>
    <n v="203"/>
    <n v="203"/>
    <n v="202"/>
    <n v="197"/>
    <n v="193"/>
    <n v="193"/>
    <n v="177"/>
    <n v="175"/>
    <n v="177"/>
    <n v="173"/>
    <n v="173"/>
    <n v="173"/>
    <n v="173"/>
    <n v="173"/>
    <n v="157"/>
    <n v="157"/>
    <n v="157"/>
    <n v="157"/>
    <n v="157"/>
    <n v="117"/>
    <n v="117"/>
    <n v="117"/>
    <n v="77"/>
    <n v="27"/>
    <n v="27"/>
    <n v="27"/>
    <n v="27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</r>
  <r>
    <m/>
    <x v="202"/>
    <s v="SC-LC patch cord (duplex) OS2 3meters 2.0mm LSZH"/>
    <x v="11"/>
    <x v="7"/>
    <n v="1102"/>
    <s v="F2 Connect"/>
    <s v="Adet"/>
    <n v="200"/>
    <m/>
    <m/>
    <m/>
    <n v="2.0227200000000001"/>
    <n v="141.59040000000002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190"/>
    <n v="190"/>
    <n v="208"/>
    <n v="208"/>
    <n v="208"/>
    <n v="206"/>
    <n v="206"/>
    <n v="206"/>
    <n v="206"/>
    <n v="206"/>
    <n v="206"/>
    <n v="206"/>
    <n v="206"/>
    <n v="206"/>
    <n v="206"/>
    <n v="206"/>
    <n v="206"/>
    <n v="206"/>
    <n v="166"/>
    <n v="116"/>
    <n v="116"/>
    <n v="116"/>
    <n v="116"/>
    <n v="91"/>
    <n v="91"/>
    <n v="91"/>
    <n v="91"/>
    <n v="91"/>
    <n v="91"/>
    <n v="91"/>
    <n v="91"/>
    <n v="91"/>
    <n v="91"/>
    <n v="91"/>
    <n v="91"/>
    <n v="91"/>
    <n v="71"/>
    <n v="71"/>
    <n v="71"/>
    <n v="71"/>
    <n v="71"/>
    <n v="71"/>
    <n v="71"/>
    <n v="71"/>
    <n v="71"/>
    <n v="71"/>
    <n v="71"/>
    <n v="56"/>
    <n v="70"/>
  </r>
  <r>
    <m/>
    <x v="203"/>
    <s v="SC-LC patch cord (duplex) OS2 5meters 2.0mm LSZH"/>
    <x v="11"/>
    <x v="7"/>
    <n v="1102"/>
    <s v="F2 Connect"/>
    <s v="Adet"/>
    <n v="61"/>
    <m/>
    <m/>
    <m/>
    <n v="2.2089600000000003"/>
    <n v="125.9107200000000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57"/>
    <n v="57"/>
    <n v="55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49"/>
    <n v="57"/>
  </r>
  <r>
    <m/>
    <x v="204"/>
    <s v="SC-LC patch cord (duplex) OS2 7meters 2.0mm LSZH"/>
    <x v="11"/>
    <x v="7"/>
    <n v="1102"/>
    <s v="F2 Connect"/>
    <s v="Adet"/>
    <n v="50"/>
    <m/>
    <m/>
    <m/>
    <n v="2.3835600000000001"/>
    <n v="33.369840000000003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9"/>
    <n v="14"/>
  </r>
  <r>
    <m/>
    <x v="205"/>
    <s v="SC-LC patch cord (duplex) OM3 2meters  2.0mm LSZH"/>
    <x v="11"/>
    <x v="7"/>
    <n v="1102"/>
    <s v="F2 Connect"/>
    <s v="Adet"/>
    <n v="338"/>
    <n v="2"/>
    <s v="Sıfır paketli"/>
    <s v="Raha KKTC Konsinye"/>
    <n v="2.2320000000000002"/>
    <n v="658.44"/>
    <n v="378"/>
    <n v="372"/>
    <n v="372"/>
    <n v="372"/>
    <n v="372"/>
    <n v="372"/>
    <n v="372"/>
    <n v="372"/>
    <n v="340"/>
    <n v="340"/>
    <n v="340"/>
    <n v="340"/>
    <n v="340"/>
    <n v="340"/>
    <n v="340"/>
    <n v="340"/>
    <n v="340"/>
    <n v="340"/>
    <n v="340"/>
    <n v="340"/>
    <n v="340"/>
    <n v="338"/>
    <n v="338"/>
    <n v="315"/>
    <n v="313"/>
    <n v="313"/>
    <n v="313"/>
    <n v="313"/>
    <n v="313"/>
    <n v="313"/>
    <n v="313"/>
    <n v="313"/>
    <n v="321"/>
    <n v="321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5"/>
    <n v="311"/>
    <n v="315"/>
    <n v="296"/>
    <n v="296"/>
    <n v="296"/>
    <n v="296"/>
    <n v="296"/>
    <n v="296"/>
    <n v="296"/>
    <n v="296"/>
    <n v="296"/>
    <n v="296"/>
    <n v="296"/>
    <n v="296"/>
    <n v="296"/>
    <n v="296"/>
    <n v="296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</r>
  <r>
    <m/>
    <x v="206"/>
    <s v="SC-LC patch cord (duplex) OM4 2meters  2.0mm LSZH"/>
    <x v="11"/>
    <x v="7"/>
    <n v="1102"/>
    <s v="F2 Connect"/>
    <s v="Adet"/>
    <n v="482"/>
    <n v="2"/>
    <s v="Sıfır paketli"/>
    <s v="Raha KKTC Konsinye"/>
    <n v="2.472"/>
    <n v="803.4"/>
    <n v="484"/>
    <n v="484"/>
    <n v="484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1"/>
    <n v="481"/>
    <n v="481"/>
    <n v="481"/>
    <n v="481"/>
    <n v="481"/>
    <n v="481"/>
    <n v="481"/>
    <n v="481"/>
    <n v="481"/>
    <n v="48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29"/>
    <n v="329"/>
    <n v="329"/>
    <n v="329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</r>
  <r>
    <m/>
    <x v="207"/>
    <s v="LC-LC Duplex Coupler OS2"/>
    <x v="11"/>
    <x v="16"/>
    <n v="1102"/>
    <s v="F2 Connect"/>
    <s v="Adet"/>
    <n v="837"/>
    <n v="8"/>
    <s v="Sıfır paketli"/>
    <s v="Raha KKTC Konsinye"/>
    <n v="0.27600000000000002"/>
    <n v="91.632000000000005"/>
    <n v="1565"/>
    <n v="1565"/>
    <n v="1565"/>
    <n v="1485"/>
    <n v="1485"/>
    <n v="1485"/>
    <n v="1451"/>
    <n v="1451"/>
    <n v="1451"/>
    <n v="1451"/>
    <n v="1427"/>
    <n v="1427"/>
    <n v="1427"/>
    <n v="1277"/>
    <n v="1277"/>
    <n v="1277"/>
    <n v="1277"/>
    <n v="1277"/>
    <n v="1277"/>
    <n v="1277"/>
    <n v="1277"/>
    <n v="837"/>
    <n v="837"/>
    <n v="832"/>
    <n v="832"/>
    <n v="832"/>
    <n v="832"/>
    <n v="832"/>
    <n v="832"/>
    <n v="816"/>
    <n v="654"/>
    <n v="638"/>
    <n v="638"/>
    <n v="614"/>
    <n v="602"/>
    <n v="602"/>
    <n v="602"/>
    <n v="602"/>
    <n v="602"/>
    <n v="594"/>
    <n v="594"/>
    <n v="594"/>
    <n v="594"/>
    <n v="594"/>
    <n v="594"/>
    <n v="530"/>
    <n v="506"/>
    <n v="506"/>
    <n v="506"/>
    <n v="506"/>
    <n v="506"/>
    <n v="506"/>
    <n v="506"/>
    <n v="506"/>
    <n v="498"/>
    <n v="408"/>
    <n v="372"/>
    <n v="372"/>
    <n v="372"/>
    <n v="372"/>
    <n v="372"/>
    <n v="372"/>
    <n v="372"/>
    <n v="372"/>
    <n v="372"/>
    <n v="372"/>
    <n v="372"/>
    <n v="372"/>
    <n v="372"/>
    <n v="372"/>
    <n v="372"/>
    <n v="372"/>
    <n v="372"/>
    <n v="372"/>
    <n v="342"/>
    <n v="342"/>
    <n v="34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</r>
  <r>
    <m/>
    <x v="208"/>
    <s v="LC-LC Duplex Coupler OM3"/>
    <x v="11"/>
    <x v="16"/>
    <n v="1102"/>
    <s v="F2 Connect"/>
    <s v="Adet"/>
    <n v="1361"/>
    <n v="8"/>
    <s v="Sıfır paketli"/>
    <s v="Raha KKTC Konsinye"/>
    <n v="0.28799999999999998"/>
    <n v="367.2"/>
    <n v="1368"/>
    <n v="1368"/>
    <n v="1368"/>
    <n v="1360"/>
    <n v="1360"/>
    <n v="1360"/>
    <n v="1360"/>
    <n v="1360"/>
    <n v="1360"/>
    <n v="1360"/>
    <n v="1373"/>
    <n v="1373"/>
    <n v="1373"/>
    <n v="1373"/>
    <n v="1373"/>
    <n v="1373"/>
    <n v="1373"/>
    <n v="1373"/>
    <n v="1373"/>
    <n v="1373"/>
    <n v="1361"/>
    <n v="1361"/>
    <n v="1357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32"/>
    <n v="1332"/>
    <n v="1332"/>
    <n v="1332"/>
    <n v="1332"/>
    <n v="1332"/>
    <n v="1332"/>
    <n v="1332"/>
    <n v="1332"/>
    <n v="1332"/>
    <n v="1332"/>
    <n v="1331"/>
    <n v="1331"/>
    <n v="1331"/>
    <n v="1331"/>
    <n v="1331"/>
    <n v="1331"/>
    <n v="1331"/>
    <n v="1331"/>
    <n v="1331"/>
    <n v="1331"/>
    <n v="1331"/>
    <n v="1331"/>
    <n v="1331"/>
    <n v="1331"/>
    <n v="1331"/>
    <n v="1331"/>
    <n v="1331"/>
    <n v="1331"/>
    <n v="1281"/>
    <n v="1281"/>
    <n v="1281"/>
    <n v="1281"/>
    <n v="1281"/>
    <n v="1281"/>
    <n v="1281"/>
    <n v="1281"/>
    <n v="1281"/>
    <n v="1275"/>
    <n v="1275"/>
  </r>
  <r>
    <m/>
    <x v="209"/>
    <s v="LC-LC Duplex Coupler OM4"/>
    <x v="11"/>
    <x v="16"/>
    <n v="1102"/>
    <s v="F2 Connect"/>
    <s v="Adet"/>
    <n v="915"/>
    <n v="8"/>
    <s v="Sıfır paketli"/>
    <s v="Raha KKTC Konsinye"/>
    <n v="0.312"/>
    <n v="275.80799999999999"/>
    <n v="923"/>
    <n v="923"/>
    <n v="923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4"/>
    <n v="914"/>
    <n v="914"/>
    <n v="914"/>
    <n v="914"/>
    <n v="914"/>
    <n v="914"/>
    <n v="908"/>
    <n v="908"/>
    <n v="908"/>
    <n v="908"/>
    <n v="908"/>
    <n v="908"/>
    <n v="908"/>
    <n v="908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</r>
  <r>
    <m/>
    <x v="210"/>
    <s v="SC-SC Duplex Coupler OS2"/>
    <x v="11"/>
    <x v="16"/>
    <n v="1102"/>
    <s v="F2 Connect"/>
    <s v="Adet"/>
    <n v="286"/>
    <n v="8"/>
    <s v="Sıfır paketli"/>
    <s v="Raha KKTC Konsinye"/>
    <n v="0.14399999999999999"/>
    <n v="23.471999999999998"/>
    <n v="666"/>
    <n v="666"/>
    <n v="666"/>
    <n v="658"/>
    <n v="658"/>
    <n v="658"/>
    <n v="658"/>
    <n v="658"/>
    <n v="658"/>
    <n v="658"/>
    <n v="586"/>
    <n v="586"/>
    <n v="586"/>
    <n v="586"/>
    <n v="586"/>
    <n v="586"/>
    <n v="586"/>
    <n v="586"/>
    <n v="586"/>
    <n v="586"/>
    <n v="586"/>
    <n v="286"/>
    <n v="286"/>
    <n v="285"/>
    <n v="285"/>
    <n v="285"/>
    <n v="285"/>
    <n v="285"/>
    <n v="285"/>
    <n v="285"/>
    <n v="285"/>
    <n v="285"/>
    <n v="285"/>
    <n v="285"/>
    <n v="285"/>
    <n v="285"/>
    <n v="285"/>
    <n v="285"/>
    <n v="285"/>
    <n v="285"/>
    <n v="285"/>
    <n v="235"/>
    <n v="235"/>
    <n v="235"/>
    <n v="235"/>
    <n v="235"/>
    <n v="235"/>
    <n v="235"/>
    <n v="235"/>
    <n v="235"/>
    <n v="235"/>
    <n v="235"/>
    <n v="235"/>
    <n v="235"/>
    <n v="235"/>
    <n v="235"/>
    <n v="235"/>
    <n v="235"/>
    <n v="235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163"/>
  </r>
  <r>
    <m/>
    <x v="211"/>
    <s v="SC-SC Duplex Coupler OM3"/>
    <x v="11"/>
    <x v="16"/>
    <n v="1102"/>
    <s v="F2 Connect"/>
    <s v="Adet"/>
    <n v="892"/>
    <n v="8"/>
    <s v="Sıfır paketli"/>
    <s v="Raha KKTC Konsinye"/>
    <n v="0.156"/>
    <n v="125.42400000000001"/>
    <n v="900"/>
    <n v="900"/>
    <n v="900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5"/>
    <n v="855"/>
    <n v="855"/>
    <n v="855"/>
    <n v="855"/>
    <n v="855"/>
    <n v="855"/>
    <n v="855"/>
    <n v="855"/>
    <n v="855"/>
    <n v="855"/>
    <n v="855"/>
    <n v="855"/>
    <n v="855"/>
    <n v="855"/>
    <n v="854"/>
    <n v="854"/>
    <n v="854"/>
    <n v="854"/>
    <n v="854"/>
    <n v="854"/>
    <n v="854"/>
    <n v="854"/>
    <n v="854"/>
    <n v="854"/>
    <n v="854"/>
    <n v="854"/>
    <n v="854"/>
    <n v="854"/>
    <n v="854"/>
    <n v="854"/>
    <n v="854"/>
    <n v="854"/>
    <n v="804"/>
    <n v="804"/>
    <n v="804"/>
    <n v="804"/>
    <n v="804"/>
    <n v="804"/>
    <n v="804"/>
    <n v="804"/>
    <n v="804"/>
    <n v="804"/>
    <n v="804"/>
  </r>
  <r>
    <m/>
    <x v="212"/>
    <s v="SC-SC Duplex Coupler OM4"/>
    <x v="11"/>
    <x v="16"/>
    <n v="1102"/>
    <s v="F2 Connect"/>
    <s v="Adet"/>
    <n v="972"/>
    <n v="8"/>
    <s v="Sıfır paketli"/>
    <s v="Raha KKTC Konsinye"/>
    <n v="0.18"/>
    <n v="174.42"/>
    <n v="980"/>
    <n v="980"/>
    <n v="980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</r>
  <r>
    <m/>
    <x v="213"/>
    <s v="LC Simplex Pigtail OS2 0.9mm 1m LSZH"/>
    <x v="11"/>
    <x v="14"/>
    <n v="1102"/>
    <s v="F2 Connect"/>
    <s v="Adet"/>
    <n v="1186"/>
    <n v="16"/>
    <s v="Sıfır paketli"/>
    <s v="Raha KKTC Konsinye"/>
    <n v="0.49199999999999999"/>
    <n v="7.8719999999999999"/>
    <n v="2546"/>
    <n v="2546"/>
    <n v="2546"/>
    <n v="2382"/>
    <n v="2386"/>
    <n v="2386"/>
    <n v="2318"/>
    <n v="2318"/>
    <n v="2318"/>
    <n v="2318"/>
    <n v="2318"/>
    <n v="2318"/>
    <n v="2318"/>
    <n v="2018"/>
    <n v="2018"/>
    <n v="2018"/>
    <n v="2018"/>
    <n v="2018"/>
    <n v="2018"/>
    <n v="2018"/>
    <n v="2018"/>
    <n v="1186"/>
    <n v="1186"/>
    <n v="1177"/>
    <n v="1177"/>
    <n v="1177"/>
    <n v="1093"/>
    <n v="1093"/>
    <n v="1093"/>
    <n v="961"/>
    <n v="637"/>
    <n v="413"/>
    <n v="413"/>
    <n v="95"/>
    <n v="71"/>
    <n v="71"/>
    <n v="71"/>
    <n v="71"/>
    <n v="71"/>
    <n v="55"/>
    <n v="55"/>
    <n v="132"/>
    <n v="132"/>
    <n v="132"/>
    <n v="132"/>
    <n v="4"/>
    <n v="4"/>
    <n v="4"/>
    <n v="4"/>
    <n v="4"/>
    <n v="4"/>
    <n v="1"/>
    <n v="1"/>
    <n v="1"/>
    <n v="0"/>
    <n v="12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</r>
  <r>
    <m/>
    <x v="214"/>
    <s v="LC Simplex Pigtail OM3 0.9mm 1m LSZH"/>
    <x v="11"/>
    <x v="14"/>
    <n v="1102"/>
    <s v="F2 Connect"/>
    <s v="Adet"/>
    <n v="1774"/>
    <n v="16"/>
    <s v="Sıfır paketli"/>
    <s v="Raha KKTC Konsinye"/>
    <n v="0.58799999999999997"/>
    <n v="876.12"/>
    <n v="1814"/>
    <n v="1814"/>
    <n v="1814"/>
    <n v="1798"/>
    <n v="1798"/>
    <n v="1798"/>
    <n v="1798"/>
    <n v="1798"/>
    <n v="1798"/>
    <n v="1798"/>
    <n v="1798"/>
    <n v="1798"/>
    <n v="1798"/>
    <n v="1798"/>
    <n v="1798"/>
    <n v="1798"/>
    <n v="1798"/>
    <n v="1798"/>
    <n v="1798"/>
    <n v="1798"/>
    <n v="1774"/>
    <n v="1774"/>
    <n v="1766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515"/>
    <n v="1515"/>
    <n v="1515"/>
    <n v="1515"/>
    <n v="1515"/>
    <n v="1515"/>
    <n v="1515"/>
    <n v="1515"/>
    <n v="1515"/>
    <n v="1515"/>
    <n v="1491"/>
    <n v="1491"/>
    <n v="1491"/>
    <n v="1491"/>
    <n v="1491"/>
    <n v="1491"/>
    <n v="1491"/>
    <n v="1491"/>
    <n v="1491"/>
    <n v="1491"/>
    <n v="1491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</r>
  <r>
    <m/>
    <x v="215"/>
    <s v="LC Simplex Pigtail OM4 0.9mm 1m LSZH"/>
    <x v="11"/>
    <x v="14"/>
    <n v="1102"/>
    <s v="F2 Connect"/>
    <s v="Adet"/>
    <n v="1332"/>
    <n v="16"/>
    <s v="Sıfır paketli"/>
    <s v="Raha KKTC Konsinye"/>
    <n v="0.63600000000000001"/>
    <n v="777.82799999999997"/>
    <n v="1348"/>
    <n v="1348"/>
    <n v="1348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1"/>
    <n v="1331"/>
    <n v="1331"/>
    <n v="1331"/>
    <n v="1331"/>
    <n v="1331"/>
    <n v="1331"/>
    <n v="1319"/>
    <n v="1319"/>
    <n v="1319"/>
    <n v="1319"/>
    <n v="1319"/>
    <n v="1319"/>
    <n v="1319"/>
    <n v="1319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</r>
  <r>
    <m/>
    <x v="216"/>
    <s v="SC Simplex Pigtail OS2 0.9mm 1m LSZH"/>
    <x v="11"/>
    <x v="14"/>
    <n v="1102"/>
    <s v="F2 Connect"/>
    <s v="Adet"/>
    <s v="?"/>
    <n v="16"/>
    <s v="Sıfır paketli"/>
    <s v="Raha KKTC konsinye  (Sayım yapılacak)"/>
    <n v="0.49199999999999999"/>
    <n v="0"/>
    <n v="609"/>
    <n v="609"/>
    <n v="609"/>
    <n v="593"/>
    <n v="593"/>
    <n v="593"/>
    <n v="593"/>
    <n v="593"/>
    <n v="593"/>
    <n v="593"/>
    <n v="443"/>
    <n v="443"/>
    <n v="443"/>
    <n v="443"/>
    <n v="443"/>
    <n v="443"/>
    <n v="443"/>
    <n v="443"/>
    <n v="443"/>
    <n v="443"/>
    <n v="443"/>
    <s v="?"/>
    <n v="103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17"/>
    <s v="SC Simplex Pigtail OM3 0.9mm 1m LSZH"/>
    <x v="11"/>
    <x v="14"/>
    <n v="1102"/>
    <s v="F2 Connect"/>
    <s v="Adet"/>
    <n v="1228"/>
    <n v="16"/>
    <s v="Sıfır paketli"/>
    <s v="Raha KKTC Konsinye"/>
    <n v="0.54"/>
    <n v="623.16000000000008"/>
    <n v="1256"/>
    <n v="1244"/>
    <n v="1244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55"/>
    <n v="1155"/>
    <n v="1155"/>
    <n v="1155"/>
    <n v="1155"/>
    <n v="1155"/>
    <n v="1155"/>
    <n v="1155"/>
    <n v="1155"/>
    <n v="1155"/>
    <n v="1155"/>
    <n v="1155"/>
    <n v="1155"/>
    <n v="1155"/>
    <n v="1155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</r>
  <r>
    <m/>
    <x v="218"/>
    <s v="SC Simplex Pigtail OM4 0.9mm 1m LSZH"/>
    <x v="11"/>
    <x v="14"/>
    <n v="1102"/>
    <s v="F2 Connect"/>
    <s v="Adet"/>
    <n v="1427"/>
    <n v="16"/>
    <s v="Sıfır paketli"/>
    <s v="Raha KKTC Konsinye"/>
    <n v="0.63600000000000001"/>
    <n v="840.79200000000003"/>
    <n v="1443"/>
    <n v="1443"/>
    <n v="1443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6"/>
    <n v="1426"/>
    <n v="1426"/>
    <n v="1426"/>
    <n v="1426"/>
    <n v="1426"/>
    <n v="1426"/>
    <n v="1426"/>
    <n v="1426"/>
    <n v="1426"/>
    <n v="1426"/>
    <n v="1426"/>
    <n v="1426"/>
    <n v="1426"/>
    <n v="1426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</r>
  <r>
    <m/>
    <x v="219"/>
    <s v="Protector Sleeve 60mm"/>
    <x v="11"/>
    <x v="3"/>
    <n v="1102"/>
    <s v="F2 Connect"/>
    <s v="Adet"/>
    <n v="12648"/>
    <m/>
    <s v="Sıfır paketli"/>
    <m/>
    <n v="4.8000000000000001E-2"/>
    <n v="549.072"/>
    <n v="14016"/>
    <n v="14016"/>
    <n v="14016"/>
    <n v="13872"/>
    <n v="13872"/>
    <n v="13872"/>
    <n v="13804"/>
    <n v="13804"/>
    <n v="13804"/>
    <n v="13804"/>
    <n v="13804"/>
    <n v="13804"/>
    <n v="13804"/>
    <n v="13504"/>
    <n v="13504"/>
    <n v="13504"/>
    <n v="13504"/>
    <n v="13504"/>
    <n v="13504"/>
    <n v="13504"/>
    <n v="13480"/>
    <n v="12648"/>
    <n v="12648"/>
    <n v="12584"/>
    <n v="12584"/>
    <n v="12584"/>
    <n v="12584"/>
    <n v="12584"/>
    <n v="12584"/>
    <n v="12552"/>
    <n v="12216"/>
    <n v="12216"/>
    <n v="12216"/>
    <n v="12168"/>
    <n v="12144"/>
    <n v="12144"/>
    <n v="12144"/>
    <n v="12144"/>
    <n v="12048"/>
    <n v="12032"/>
    <n v="12032"/>
    <n v="11932"/>
    <n v="11932"/>
    <n v="11932"/>
    <n v="11932"/>
    <n v="11860"/>
    <n v="11812"/>
    <n v="11812"/>
    <n v="11812"/>
    <n v="11812"/>
    <n v="11812"/>
    <n v="11812"/>
    <n v="11829"/>
    <n v="11829"/>
    <n v="11855"/>
    <n v="11663"/>
    <n v="11639"/>
    <n v="11639"/>
    <n v="11639"/>
    <n v="116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</r>
  <r>
    <m/>
    <x v="220"/>
    <s v="Splice Casette - for 12 splices"/>
    <x v="11"/>
    <x v="3"/>
    <n v="1102"/>
    <s v="F2 Connect"/>
    <s v="Adet"/>
    <n v="975"/>
    <m/>
    <s v="Sıfır paketli"/>
    <m/>
    <n v="0.86399999999999999"/>
    <n v="816.48"/>
    <n v="992"/>
    <n v="992"/>
    <n v="992"/>
    <n v="992"/>
    <n v="992"/>
    <n v="992"/>
    <n v="990"/>
    <n v="990"/>
    <n v="990"/>
    <n v="990"/>
    <n v="990"/>
    <n v="990"/>
    <n v="990"/>
    <n v="990"/>
    <n v="990"/>
    <n v="990"/>
    <n v="990"/>
    <n v="990"/>
    <n v="990"/>
    <n v="990"/>
    <n v="990"/>
    <n v="975"/>
    <n v="975"/>
    <n v="974"/>
    <n v="974"/>
    <n v="974"/>
    <n v="974"/>
    <n v="970"/>
    <n v="970"/>
    <n v="970"/>
    <n v="970"/>
    <n v="970"/>
    <n v="970"/>
    <n v="970"/>
    <n v="970"/>
    <n v="970"/>
    <n v="970"/>
    <n v="970"/>
    <n v="970"/>
    <n v="970"/>
    <n v="970"/>
    <n v="970"/>
    <n v="970"/>
    <n v="970"/>
    <n v="970"/>
    <n v="966"/>
    <n v="966"/>
    <n v="966"/>
    <n v="966"/>
    <n v="966"/>
    <n v="966"/>
    <n v="966"/>
    <n v="966"/>
    <n v="966"/>
    <n v="966"/>
    <n v="966"/>
    <n v="966"/>
    <n v="966"/>
    <n v="963"/>
    <n v="963"/>
    <n v="950"/>
    <n v="950"/>
    <n v="950"/>
    <n v="950"/>
    <n v="950"/>
    <n v="950"/>
    <n v="950"/>
    <n v="950"/>
    <n v="950"/>
    <n v="950"/>
    <n v="950"/>
    <n v="950"/>
    <n v="950"/>
    <n v="950"/>
    <n v="946"/>
    <n v="946"/>
    <n v="946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</r>
  <r>
    <m/>
    <x v="221"/>
    <s v="1.25G SFP,550m,850nm,0-70C,DDM,LC"/>
    <x v="11"/>
    <x v="6"/>
    <n v="1006"/>
    <s v="F2 Connect"/>
    <s v="Adet"/>
    <n v="911"/>
    <m/>
    <s v="Sıfır paketli"/>
    <m/>
    <n v="4.8125"/>
    <n v="3306.1875"/>
    <n v="896"/>
    <n v="896"/>
    <n v="896"/>
    <n v="891"/>
    <n v="891"/>
    <n v="891"/>
    <n v="891"/>
    <n v="906"/>
    <n v="906"/>
    <n v="906"/>
    <n v="906"/>
    <n v="911"/>
    <n v="911"/>
    <n v="911"/>
    <n v="911"/>
    <n v="911"/>
    <n v="911"/>
    <n v="911"/>
    <n v="911"/>
    <n v="911"/>
    <n v="911"/>
    <n v="911"/>
    <n v="911"/>
    <n v="906"/>
    <n v="906"/>
    <n v="906"/>
    <n v="906"/>
    <n v="906"/>
    <n v="906"/>
    <n v="906"/>
    <n v="906"/>
    <n v="906"/>
    <n v="906"/>
    <n v="906"/>
    <n v="740"/>
    <n v="740"/>
    <n v="740"/>
    <n v="720"/>
    <n v="718"/>
    <n v="718"/>
    <n v="718"/>
    <n v="718"/>
    <n v="718"/>
    <n v="718"/>
    <n v="718"/>
    <n v="718"/>
    <n v="718"/>
    <n v="718"/>
    <n v="706"/>
    <n v="706"/>
    <n v="706"/>
    <n v="706"/>
    <n v="706"/>
    <n v="706"/>
    <n v="706"/>
    <n v="707"/>
    <n v="707"/>
    <n v="705"/>
    <n v="706"/>
    <n v="702"/>
    <n v="702"/>
    <n v="702"/>
    <n v="702"/>
    <n v="702"/>
    <n v="702"/>
    <n v="702"/>
    <n v="702"/>
    <n v="702"/>
    <n v="694"/>
    <n v="694"/>
    <n v="694"/>
    <n v="694"/>
    <n v="694"/>
    <n v="694"/>
    <n v="693"/>
    <n v="693"/>
    <n v="693"/>
    <n v="693"/>
    <n v="693"/>
    <n v="693"/>
    <n v="693"/>
    <n v="693"/>
    <n v="693"/>
    <n v="693"/>
    <n v="693"/>
    <n v="691"/>
    <n v="691"/>
    <n v="693"/>
    <n v="693"/>
    <n v="687"/>
    <n v="687"/>
    <n v="687"/>
    <n v="683"/>
    <n v="687"/>
    <n v="687"/>
    <n v="687"/>
    <n v="687"/>
    <n v="687"/>
    <n v="687"/>
    <n v="687"/>
    <n v="687"/>
    <n v="687"/>
    <n v="687"/>
  </r>
  <r>
    <m/>
    <x v="222"/>
    <s v="1.25G SFP,550m,850nm,0-70C,DDM,LC"/>
    <x v="11"/>
    <x v="6"/>
    <n v="1006"/>
    <s v="F2 Connect"/>
    <s v="Adet"/>
    <n v="116"/>
    <m/>
    <s v="Sıfır paketli"/>
    <m/>
    <n v="4.8125"/>
    <n v="486.0625"/>
    <n v="125"/>
    <n v="121"/>
    <n v="121"/>
    <n v="121"/>
    <n v="121"/>
    <n v="121"/>
    <n v="121"/>
    <n v="121"/>
    <n v="116"/>
    <n v="116"/>
    <n v="116"/>
    <n v="116"/>
    <n v="116"/>
    <n v="116"/>
    <n v="116"/>
    <n v="116"/>
    <n v="116"/>
    <n v="116"/>
    <n v="116"/>
    <n v="116"/>
    <n v="116"/>
    <n v="116"/>
    <n v="116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</r>
  <r>
    <m/>
    <x v="223"/>
    <s v="1.25G SFP,10km,1310nm,0-70C,DDM,LC"/>
    <x v="11"/>
    <x v="6"/>
    <n v="1006"/>
    <s v="F2 Connect"/>
    <s v="Adet"/>
    <n v="652"/>
    <m/>
    <s v="Sıfır paketli"/>
    <m/>
    <n v="4.8125"/>
    <n v="1597.75"/>
    <n v="705"/>
    <n v="705"/>
    <n v="705"/>
    <n v="704"/>
    <n v="702"/>
    <n v="702"/>
    <n v="702"/>
    <n v="702"/>
    <n v="697"/>
    <n v="697"/>
    <n v="667"/>
    <n v="667"/>
    <n v="667"/>
    <n v="667"/>
    <n v="664"/>
    <n v="664"/>
    <n v="664"/>
    <n v="664"/>
    <n v="652"/>
    <n v="652"/>
    <n v="652"/>
    <n v="652"/>
    <n v="652"/>
    <n v="652"/>
    <n v="652"/>
    <n v="652"/>
    <n v="652"/>
    <n v="652"/>
    <n v="652"/>
    <n v="632"/>
    <n v="632"/>
    <n v="632"/>
    <n v="632"/>
    <n v="632"/>
    <n v="652"/>
    <n v="652"/>
    <n v="652"/>
    <n v="652"/>
    <n v="652"/>
    <n v="652"/>
    <n v="652"/>
    <n v="652"/>
    <n v="652"/>
    <n v="652"/>
    <n v="652"/>
    <n v="652"/>
    <n v="652"/>
    <n v="652"/>
    <n v="627"/>
    <n v="627"/>
    <n v="619"/>
    <n v="587"/>
    <n v="586"/>
    <n v="586"/>
    <n v="572"/>
    <n v="559"/>
    <n v="533"/>
    <n v="525"/>
    <n v="532"/>
    <n v="532"/>
    <n v="532"/>
    <n v="532"/>
    <n v="532"/>
    <n v="532"/>
    <n v="532"/>
    <n v="532"/>
    <n v="532"/>
    <n v="532"/>
    <n v="532"/>
    <n v="532"/>
    <n v="482"/>
    <n v="476"/>
    <n v="476"/>
    <n v="476"/>
    <n v="425"/>
    <n v="425"/>
    <n v="425"/>
    <n v="425"/>
    <n v="425"/>
    <n v="375"/>
    <n v="375"/>
    <n v="375"/>
    <n v="347"/>
    <n v="347"/>
    <n v="347"/>
    <n v="345"/>
    <n v="345"/>
    <n v="347"/>
    <n v="347"/>
    <n v="347"/>
    <n v="344"/>
    <n v="334"/>
    <n v="330"/>
    <n v="334"/>
    <n v="334"/>
    <n v="334"/>
    <n v="334"/>
    <n v="334"/>
    <n v="332"/>
    <n v="332"/>
    <n v="332"/>
    <n v="332"/>
    <n v="332"/>
  </r>
  <r>
    <m/>
    <x v="224"/>
    <s v="1.25G SFP,10km,1310nm,0-70C,DDM,LC"/>
    <x v="11"/>
    <x v="6"/>
    <n v="1006"/>
    <s v="F2 Connect"/>
    <s v="Adet"/>
    <n v="109"/>
    <m/>
    <s v="Sıfır paketli"/>
    <m/>
    <n v="4.8125"/>
    <n v="423.5"/>
    <n v="148"/>
    <n v="148"/>
    <n v="148"/>
    <n v="148"/>
    <n v="148"/>
    <n v="148"/>
    <n v="148"/>
    <n v="148"/>
    <n v="148"/>
    <n v="148"/>
    <n v="148"/>
    <n v="146"/>
    <n v="146"/>
    <n v="145"/>
    <n v="145"/>
    <n v="145"/>
    <n v="145"/>
    <n v="145"/>
    <n v="145"/>
    <n v="109"/>
    <n v="73"/>
    <n v="109"/>
    <n v="109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14"/>
    <n v="114"/>
    <n v="109"/>
    <n v="109"/>
    <n v="109"/>
    <n v="109"/>
    <n v="107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89"/>
    <n v="89"/>
    <n v="89"/>
    <n v="89"/>
    <n v="89"/>
    <n v="89"/>
    <n v="89"/>
    <n v="89"/>
    <n v="89"/>
    <n v="89"/>
    <n v="89"/>
    <n v="89"/>
    <n v="89"/>
    <n v="89"/>
    <n v="89"/>
    <n v="88"/>
    <n v="88"/>
    <n v="88"/>
    <n v="88"/>
    <n v="88"/>
    <n v="88"/>
    <n v="88"/>
    <n v="88"/>
    <n v="88"/>
    <n v="88"/>
  </r>
  <r>
    <m/>
    <x v="225"/>
    <s v="1.25G SFP,10km,1310nm,-40+85C,DDM,LC"/>
    <x v="11"/>
    <x v="6"/>
    <n v="1006"/>
    <s v="F2 Connect"/>
    <s v="Adet"/>
    <n v="114"/>
    <m/>
    <s v="Sıfır paketli"/>
    <m/>
    <n v="6.25"/>
    <n v="712.5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</r>
  <r>
    <m/>
    <x v="226"/>
    <s v="10/100/1000, Cat6/6A, 100M, 0-70C, RJ45"/>
    <x v="11"/>
    <x v="6"/>
    <n v="1006"/>
    <s v="F2 Connect"/>
    <s v="Adet"/>
    <n v="23"/>
    <n v="1"/>
    <m/>
    <s v="1 adet Mintyfi Belis Otel Demo"/>
    <n v="16.25"/>
    <n v="0"/>
    <n v="65"/>
    <n v="65"/>
    <n v="65"/>
    <n v="62"/>
    <n v="58"/>
    <n v="49"/>
    <n v="49"/>
    <n v="50"/>
    <n v="50"/>
    <n v="48"/>
    <n v="48"/>
    <n v="48"/>
    <n v="48"/>
    <n v="48"/>
    <n v="48"/>
    <n v="48"/>
    <n v="28"/>
    <n v="28"/>
    <n v="23"/>
    <n v="23"/>
    <n v="23"/>
    <n v="23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18"/>
    <n v="18"/>
    <n v="16"/>
    <n v="16"/>
    <n v="16"/>
    <n v="16"/>
    <n v="22"/>
    <n v="22"/>
    <n v="22"/>
    <n v="22"/>
    <n v="22"/>
    <n v="12"/>
    <n v="12"/>
    <n v="12"/>
    <n v="12"/>
    <n v="12"/>
    <n v="6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27"/>
    <s v="10G, Cat6:55m / 6A:100M&quot;, 0-70C, RJ45 (30m)"/>
    <x v="11"/>
    <x v="6"/>
    <n v="1006"/>
    <s v="F2 Connect"/>
    <s v="Adet"/>
    <n v="24"/>
    <m/>
    <m/>
    <m/>
    <n v="60"/>
    <n v="600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3"/>
    <n v="23"/>
    <n v="23"/>
    <n v="23"/>
    <n v="37"/>
    <n v="35"/>
    <n v="35"/>
    <n v="35"/>
    <n v="35"/>
    <n v="35"/>
    <n v="35"/>
    <n v="33"/>
    <n v="33"/>
    <n v="33"/>
    <n v="33"/>
    <n v="33"/>
    <n v="27"/>
    <n v="27"/>
    <n v="27"/>
    <n v="27"/>
    <n v="27"/>
    <n v="27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1"/>
    <n v="28"/>
    <n v="31"/>
    <n v="31"/>
    <n v="29"/>
    <n v="25"/>
    <n v="25"/>
    <n v="25"/>
    <n v="25"/>
    <n v="25"/>
    <n v="25"/>
    <n v="25"/>
    <n v="25"/>
    <n v="25"/>
    <n v="25"/>
    <n v="25"/>
    <n v="9"/>
    <n v="15"/>
    <n v="15"/>
    <n v="15"/>
    <n v="15"/>
    <n v="15"/>
    <n v="15"/>
    <n v="15"/>
    <n v="15"/>
    <n v="15"/>
    <n v="10"/>
    <n v="10"/>
    <n v="10"/>
    <n v="10"/>
    <n v="10"/>
  </r>
  <r>
    <m/>
    <x v="228"/>
    <s v="1G, Cat6/6A, 100M, 0-70C, RJ45 Connector"/>
    <x v="11"/>
    <x v="6"/>
    <n v="1006"/>
    <s v="F2 Connect"/>
    <s v="Adet"/>
    <n v="0"/>
    <m/>
    <s v="Sıfır paketli"/>
    <m/>
    <m/>
    <n v="0"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29"/>
    <s v="10G, Cat6:55m/6A:100M, 0-70C,RJ45 Connector"/>
    <x v="11"/>
    <x v="6"/>
    <n v="1006"/>
    <s v="F2 Connect"/>
    <s v="Adet"/>
    <n v="0"/>
    <m/>
    <s v="Sıfır kutusuz"/>
    <m/>
    <m/>
    <n v="0"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30"/>
    <s v="10G SFP+, 300m/OM3,850nm,DDM,LC"/>
    <x v="11"/>
    <x v="6"/>
    <n v="1006"/>
    <s v="F2 Connect"/>
    <s v="Adet"/>
    <n v="63"/>
    <m/>
    <s v="Sıfır paketli"/>
    <s v="1 adet arızalı"/>
    <n v="8.75"/>
    <n v="227.5"/>
    <n v="54"/>
    <n v="30"/>
    <n v="26"/>
    <n v="12"/>
    <n v="12"/>
    <n v="6"/>
    <n v="4"/>
    <n v="8"/>
    <n v="8"/>
    <n v="6"/>
    <n v="2"/>
    <n v="1"/>
    <n v="1"/>
    <n v="165"/>
    <n v="136"/>
    <n v="136"/>
    <n v="110"/>
    <n v="108"/>
    <n v="101"/>
    <n v="69"/>
    <n v="65"/>
    <n v="63"/>
    <n v="66"/>
    <n v="65"/>
    <n v="69"/>
    <n v="69"/>
    <n v="65"/>
    <n v="65"/>
    <n v="65"/>
    <n v="60"/>
    <n v="60"/>
    <n v="54"/>
    <n v="54"/>
    <n v="52"/>
    <n v="5"/>
    <n v="5"/>
    <n v="100"/>
    <n v="96"/>
    <n v="88"/>
    <n v="32"/>
    <n v="32"/>
    <n v="44"/>
    <n v="44"/>
    <n v="240"/>
    <n v="100"/>
    <n v="94"/>
    <n v="94"/>
    <n v="94"/>
    <n v="5"/>
    <n v="5"/>
    <n v="5"/>
    <n v="11"/>
    <n v="11"/>
    <n v="111"/>
    <n v="67"/>
    <n v="67"/>
    <n v="39"/>
    <n v="31"/>
    <n v="38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3"/>
    <n v="33"/>
    <n v="32"/>
    <n v="28"/>
    <n v="32"/>
    <n v="32"/>
    <n v="32"/>
    <n v="32"/>
    <n v="32"/>
    <n v="32"/>
    <n v="32"/>
    <n v="26"/>
    <n v="26"/>
    <n v="26"/>
  </r>
  <r>
    <m/>
    <x v="231"/>
    <s v="10G SFP+, 300m/OM3,850nm,DDM,LC"/>
    <x v="11"/>
    <x v="6"/>
    <n v="1006"/>
    <s v="F2 Connect"/>
    <s v="Adet"/>
    <n v="1"/>
    <m/>
    <m/>
    <m/>
    <n v="15.625"/>
    <n v="156.25"/>
    <n v="50"/>
    <n v="50"/>
    <n v="50"/>
    <n v="50"/>
    <n v="50"/>
    <n v="22"/>
    <n v="22"/>
    <n v="22"/>
    <n v="22"/>
    <n v="17"/>
    <n v="17"/>
    <n v="17"/>
    <n v="17"/>
    <n v="67"/>
    <n v="63"/>
    <n v="63"/>
    <n v="57"/>
    <n v="5"/>
    <n v="5"/>
    <n v="5"/>
    <n v="5"/>
    <n v="1"/>
    <n v="1"/>
    <n v="0"/>
    <n v="0"/>
    <n v="0"/>
    <n v="0"/>
    <n v="0"/>
    <n v="0"/>
    <n v="0"/>
    <n v="0"/>
    <n v="0"/>
    <n v="0"/>
    <n v="0"/>
    <n v="0"/>
    <n v="0"/>
    <n v="50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12"/>
    <n v="12"/>
    <n v="12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232"/>
    <s v="10G SFP+, 10km, 1310nm,DDM, LC"/>
    <x v="11"/>
    <x v="6"/>
    <n v="1006"/>
    <s v="F2 Connect"/>
    <s v="Adet"/>
    <n v="110"/>
    <m/>
    <s v="Sıfır paketli"/>
    <m/>
    <n v="15"/>
    <n v="315"/>
    <n v="198"/>
    <n v="198"/>
    <n v="198"/>
    <n v="172"/>
    <n v="176"/>
    <n v="162"/>
    <n v="162"/>
    <n v="162"/>
    <n v="162"/>
    <n v="162"/>
    <n v="152"/>
    <n v="152"/>
    <n v="152"/>
    <n v="152"/>
    <n v="152"/>
    <n v="152"/>
    <n v="152"/>
    <n v="108"/>
    <n v="108"/>
    <n v="108"/>
    <n v="110"/>
    <n v="110"/>
    <n v="110"/>
    <n v="110"/>
    <n v="110"/>
    <n v="98"/>
    <n v="98"/>
    <n v="98"/>
    <n v="98"/>
    <n v="98"/>
    <n v="98"/>
    <n v="98"/>
    <n v="78"/>
    <n v="78"/>
    <n v="68"/>
    <n v="68"/>
    <n v="68"/>
    <n v="68"/>
    <n v="68"/>
    <n v="64"/>
    <n v="64"/>
    <n v="64"/>
    <n v="64"/>
    <n v="114"/>
    <n v="114"/>
    <n v="114"/>
    <n v="114"/>
    <n v="114"/>
    <n v="50"/>
    <n v="50"/>
    <n v="50"/>
    <n v="14"/>
    <n v="1"/>
    <n v="1"/>
    <n v="179"/>
    <n v="175"/>
    <n v="175"/>
    <n v="143"/>
    <n v="148"/>
    <n v="144"/>
    <n v="144"/>
    <n v="144"/>
    <n v="144"/>
    <n v="144"/>
    <n v="142"/>
    <n v="142"/>
    <n v="142"/>
    <n v="142"/>
    <n v="142"/>
    <n v="142"/>
    <n v="92"/>
    <n v="92"/>
    <n v="85"/>
    <n v="85"/>
    <n v="85"/>
    <n v="85"/>
    <n v="85"/>
    <n v="85"/>
    <n v="77"/>
    <n v="77"/>
    <n v="77"/>
    <n v="77"/>
    <n v="77"/>
    <n v="77"/>
    <n v="77"/>
    <n v="65"/>
    <n v="65"/>
    <n v="55"/>
    <n v="35"/>
    <n v="35"/>
    <n v="35"/>
    <n v="35"/>
    <n v="31"/>
    <n v="35"/>
    <n v="35"/>
    <n v="35"/>
    <n v="35"/>
    <n v="31"/>
    <n v="31"/>
    <n v="31"/>
    <n v="21"/>
    <n v="21"/>
    <n v="21"/>
  </r>
  <r>
    <m/>
    <x v="233"/>
    <s v="10G SFP+, 10km, 1310nm,DDM, LC"/>
    <x v="11"/>
    <x v="6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"/>
    <n v="50"/>
    <n v="50"/>
    <n v="50"/>
    <n v="50"/>
    <n v="50"/>
    <n v="30"/>
    <n v="30"/>
    <n v="30"/>
    <n v="30"/>
    <n v="30"/>
    <n v="30"/>
    <n v="30"/>
    <n v="30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34"/>
    <s v="10G SFP+, 220m, MM, 1310nm, 0-70C, DDM,LC"/>
    <x v="11"/>
    <x v="6"/>
    <n v="1006"/>
    <s v="F2 Connect"/>
    <s v="Adet"/>
    <n v="50"/>
    <m/>
    <m/>
    <m/>
    <n v="30"/>
    <n v="147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49"/>
    <n v="49"/>
    <n v="49"/>
    <n v="49"/>
    <n v="49"/>
    <n v="49"/>
    <n v="49"/>
    <n v="49"/>
    <n v="49"/>
    <n v="49"/>
  </r>
  <r>
    <m/>
    <x v="235"/>
    <s v="Bi-Di,10G,SFP+,10KM,1270/1330,0-70C,DDM,Simplex LC"/>
    <x v="11"/>
    <x v="6"/>
    <n v="1006"/>
    <s v="F2 Connect"/>
    <s v="Adet"/>
    <n v="21"/>
    <m/>
    <s v="Sıfır paketli"/>
    <m/>
    <n v="23.75"/>
    <n v="498.75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</r>
  <r>
    <m/>
    <x v="236"/>
    <s v="Bi-Di,10G,SFP+,10KM,1270/1330,0-70C,DDM,Simplex LC"/>
    <x v="11"/>
    <x v="6"/>
    <n v="1006"/>
    <s v="F2 Connect"/>
    <s v="Adet"/>
    <n v="4"/>
    <m/>
    <m/>
    <m/>
    <n v="43.75"/>
    <n v="17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64"/>
    <n v="4"/>
    <n v="4"/>
    <n v="4"/>
    <n v="4"/>
    <n v="4"/>
    <n v="4"/>
    <n v="4"/>
    <n v="4"/>
    <n v="4"/>
    <n v="4"/>
    <n v="4"/>
    <n v="4"/>
    <n v="4"/>
    <n v="4"/>
    <n v="4"/>
  </r>
  <r>
    <m/>
    <x v="237"/>
    <s v="Bi-Di,10G,SFP+,10KM,1330/1270,0-70C,DDM,Simplex LC"/>
    <x v="11"/>
    <x v="6"/>
    <n v="1006"/>
    <s v="F2 Connect"/>
    <s v="Adet"/>
    <n v="30"/>
    <m/>
    <s v="Sıfır paketli"/>
    <m/>
    <n v="23.75"/>
    <n v="712.5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238"/>
    <s v="Bi-Di,10G,SFP+,10KM,1330/1270,0-70C,DDM,Simplex LC"/>
    <x v="11"/>
    <x v="6"/>
    <n v="1006"/>
    <s v="F2 Connect"/>
    <s v="Adet"/>
    <n v="4"/>
    <m/>
    <m/>
    <m/>
    <n v="43.75"/>
    <n v="17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64"/>
    <n v="4"/>
    <n v="4"/>
    <n v="4"/>
    <n v="4"/>
    <n v="4"/>
    <n v="4"/>
    <n v="4"/>
    <n v="4"/>
    <n v="4"/>
    <n v="4"/>
    <n v="4"/>
    <n v="4"/>
    <n v="4"/>
    <n v="4"/>
    <n v="4"/>
  </r>
  <r>
    <m/>
    <x v="239"/>
    <s v="25G SFP28, 10KM 1310nm 0-70C,DDM, Duplex,LC"/>
    <x v="11"/>
    <x v="6"/>
    <m/>
    <m/>
    <s v="Adet"/>
    <m/>
    <m/>
    <m/>
    <m/>
    <n v="22.95"/>
    <n v="45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240"/>
    <s v="40G QSFP+, MM,OM3:100M/OM4:150m,850nm,MPO/MTP"/>
    <x v="11"/>
    <x v="6"/>
    <n v="1006"/>
    <s v="F2 Connect"/>
    <s v="Adet"/>
    <n v="39"/>
    <m/>
    <s v="Sıfır paketli"/>
    <m/>
    <n v="42.5"/>
    <n v="1657.5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</r>
  <r>
    <m/>
    <x v="241"/>
    <s v="40G QSFP+, SM, 10km/20km, 0-70C, DDM, Duplex,LC"/>
    <x v="11"/>
    <x v="6"/>
    <n v="1006"/>
    <s v="F2 Connect"/>
    <s v="Adet"/>
    <n v="2"/>
    <m/>
    <m/>
    <m/>
    <n v="152.5"/>
    <n v="18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</r>
  <r>
    <m/>
    <x v="242"/>
    <s v="100G QSFP28, 10km,1310nm,WDM,LC"/>
    <x v="11"/>
    <x v="6"/>
    <n v="1006"/>
    <s v="F2 Connect"/>
    <s v="Adet"/>
    <n v="2"/>
    <m/>
    <s v="Sıfır paketli"/>
    <m/>
    <n v="88.29"/>
    <n v="353.16"/>
    <m/>
    <m/>
    <m/>
    <m/>
    <m/>
    <m/>
    <m/>
    <m/>
    <m/>
    <m/>
    <m/>
    <m/>
    <m/>
    <m/>
    <m/>
    <m/>
    <m/>
    <m/>
    <n v="4"/>
    <n v="4"/>
    <n v="4"/>
    <n v="2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243"/>
    <s v="DAC,10G, SFP+ to SFP+,Copper Passive DAC,1m,AWG30"/>
    <x v="11"/>
    <x v="4"/>
    <n v="1006"/>
    <s v="F2 Connect"/>
    <s v="Adet"/>
    <n v="29"/>
    <m/>
    <m/>
    <m/>
    <n v="6.0625"/>
    <n v="72.75"/>
    <n v="20"/>
    <n v="20"/>
    <n v="20"/>
    <n v="20"/>
    <n v="20"/>
    <n v="20"/>
    <n v="20"/>
    <n v="20"/>
    <n v="20"/>
    <n v="22"/>
    <n v="22"/>
    <n v="22"/>
    <n v="22"/>
    <n v="22"/>
    <n v="22"/>
    <n v="22"/>
    <n v="22"/>
    <n v="22"/>
    <n v="22"/>
    <n v="19"/>
    <n v="19"/>
    <n v="29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24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12"/>
    <n v="12"/>
    <n v="12"/>
    <n v="12"/>
    <n v="12"/>
    <n v="12"/>
    <n v="12"/>
    <n v="12"/>
    <n v="12"/>
    <n v="12"/>
    <n v="12"/>
    <n v="12"/>
    <n v="12"/>
    <n v="12"/>
  </r>
  <r>
    <m/>
    <x v="244"/>
    <s v="DAC,10G, SFP+ to SFP+,Copper Passive DAC,3m,AWG30"/>
    <x v="11"/>
    <x v="4"/>
    <n v="1006"/>
    <s v="F2 Connect"/>
    <s v="Adet"/>
    <n v="29"/>
    <m/>
    <m/>
    <m/>
    <n v="9.375"/>
    <n v="0"/>
    <n v="8"/>
    <n v="8"/>
    <n v="8"/>
    <n v="4"/>
    <n v="4"/>
    <n v="4"/>
    <n v="4"/>
    <n v="4"/>
    <n v="4"/>
    <n v="4"/>
    <n v="4"/>
    <n v="4"/>
    <n v="4"/>
    <n v="4"/>
    <n v="4"/>
    <n v="4"/>
    <n v="4"/>
    <n v="0"/>
    <n v="0"/>
    <n v="0"/>
    <n v="0"/>
    <n v="29"/>
    <n v="29"/>
    <n v="29"/>
    <n v="29"/>
    <n v="29"/>
    <n v="29"/>
    <n v="29"/>
    <n v="29"/>
    <n v="29"/>
    <n v="29"/>
    <n v="29"/>
    <n v="29"/>
    <n v="28"/>
    <n v="28"/>
    <n v="28"/>
    <n v="28"/>
    <n v="28"/>
    <n v="28"/>
    <n v="28"/>
    <n v="28"/>
    <n v="28"/>
    <n v="25"/>
    <n v="25"/>
    <n v="25"/>
    <n v="28"/>
    <n v="28"/>
    <n v="28"/>
    <n v="24"/>
    <n v="27"/>
    <n v="28"/>
    <n v="26"/>
    <n v="26"/>
    <n v="20"/>
    <n v="26"/>
    <n v="26"/>
    <n v="26"/>
    <n v="22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0"/>
    <n v="0"/>
    <n v="0"/>
    <n v="0"/>
    <n v="0"/>
    <n v="0"/>
    <n v="0"/>
    <n v="0"/>
    <n v="0"/>
    <n v="0"/>
    <n v="0"/>
    <n v="0"/>
    <n v="0"/>
    <n v="0"/>
    <n v="0"/>
  </r>
  <r>
    <m/>
    <x v="245"/>
    <s v="DAC,10G, SFP+ to SFP+,Copper Passive DAC,5m,AWG30"/>
    <x v="11"/>
    <x v="4"/>
    <m/>
    <m/>
    <s v="Adet"/>
    <m/>
    <m/>
    <m/>
    <m/>
    <n v="12.69"/>
    <n v="101.5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10"/>
    <n v="10"/>
    <n v="10"/>
    <n v="10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</r>
  <r>
    <m/>
    <x v="246"/>
    <s v="DAC,40G,QSFP+ to QSFP+,Copper Passive,1mt,AWG30"/>
    <x v="11"/>
    <x v="4"/>
    <n v="1006"/>
    <s v="F2 Connect"/>
    <s v="Adet"/>
    <n v="9"/>
    <n v="1"/>
    <s v="Sıfır paketli"/>
    <s v="1 adet arızalı yerine teslim edildi. (Info Yatırım)"/>
    <n v="16.25"/>
    <n v="113.75"/>
    <n v="12"/>
    <n v="12"/>
    <n v="12"/>
    <n v="12"/>
    <n v="12"/>
    <n v="12"/>
    <n v="12"/>
    <n v="12"/>
    <n v="12"/>
    <n v="12"/>
    <n v="12"/>
    <n v="12"/>
    <n v="12"/>
    <n v="12"/>
    <n v="12"/>
    <n v="12"/>
    <n v="10"/>
    <n v="10"/>
    <n v="10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247"/>
    <s v="DAC,40G,QSFP+ to QSFP+,Copper Passive,3mt,AWG30"/>
    <x v="11"/>
    <x v="4"/>
    <n v="1006"/>
    <s v="F2 Connect"/>
    <s v="Adet"/>
    <n v="5"/>
    <m/>
    <s v="Sıfır paketli"/>
    <m/>
    <n v="23.75"/>
    <n v="23.75"/>
    <n v="7"/>
    <n v="7"/>
    <n v="7"/>
    <n v="7"/>
    <n v="7"/>
    <n v="7"/>
    <n v="7"/>
    <n v="7"/>
    <n v="7"/>
    <n v="7"/>
    <n v="7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0"/>
    <n v="1"/>
  </r>
  <r>
    <m/>
    <x v="248"/>
    <s v="Breakout Cable, 40G QSFP+ to 4x 10G SFP+, AOC, 5mt"/>
    <x v="11"/>
    <x v="4"/>
    <n v="1006"/>
    <s v="F2 Connect"/>
    <s v="Adet"/>
    <n v="9"/>
    <m/>
    <m/>
    <m/>
    <n v="96.875"/>
    <n v="77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8"/>
  </r>
  <r>
    <m/>
    <x v="249"/>
    <s v="Breakout Cable,100G QSFP28 to 4x25G SFP28, AOC, 5mt"/>
    <x v="11"/>
    <x v="4"/>
    <n v="1006"/>
    <s v="F2 Connect"/>
    <s v="Adet"/>
    <n v="5"/>
    <m/>
    <m/>
    <m/>
    <n v="200"/>
    <n v="60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250"/>
    <s v="DAC, 10G, SFP+ to SFP+, Copper Passive, 1mt, AWG30"/>
    <x v="11"/>
    <x v="4"/>
    <n v="1006"/>
    <s v="F2 Connect"/>
    <s v="Adet"/>
    <n v="19"/>
    <m/>
    <s v="Sıfır paketli"/>
    <m/>
    <n v="6.0625"/>
    <n v="30.3125"/>
    <n v="30"/>
    <n v="30"/>
    <n v="30"/>
    <n v="30"/>
    <n v="30"/>
    <n v="30"/>
    <n v="30"/>
    <n v="30"/>
    <n v="30"/>
    <n v="31"/>
    <n v="31"/>
    <n v="31"/>
    <n v="31"/>
    <n v="31"/>
    <n v="31"/>
    <n v="31"/>
    <n v="31"/>
    <n v="31"/>
    <n v="31"/>
    <n v="27"/>
    <n v="19"/>
    <n v="19"/>
    <n v="19"/>
    <n v="18"/>
    <n v="18"/>
    <n v="18"/>
    <n v="18"/>
    <n v="18"/>
    <n v="18"/>
    <n v="18"/>
    <n v="18"/>
    <n v="18"/>
    <n v="18"/>
    <n v="18"/>
    <n v="18"/>
    <n v="18"/>
    <n v="18"/>
    <n v="18"/>
    <n v="18"/>
    <n v="15"/>
    <n v="15"/>
    <n v="15"/>
    <n v="15"/>
    <n v="15"/>
    <n v="15"/>
    <n v="10"/>
    <n v="10"/>
    <n v="10"/>
    <n v="10"/>
    <n v="17"/>
    <n v="17"/>
    <n v="17"/>
    <n v="17"/>
    <n v="17"/>
    <n v="17"/>
    <n v="17"/>
    <n v="15"/>
    <n v="15"/>
    <n v="15"/>
    <n v="15"/>
    <n v="15"/>
    <n v="15"/>
    <n v="15"/>
    <n v="15"/>
    <n v="15"/>
    <n v="15"/>
    <n v="15"/>
    <n v="15"/>
    <n v="15"/>
    <n v="15"/>
    <n v="15"/>
    <n v="15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5"/>
    <n v="5"/>
    <n v="5"/>
    <n v="5"/>
    <n v="3"/>
    <n v="5"/>
  </r>
  <r>
    <m/>
    <x v="251"/>
    <s v="DAC, 10G, SFP+ to SFP+, Copper Passive, 3mt, AWG30"/>
    <x v="11"/>
    <x v="4"/>
    <n v="1006"/>
    <s v="F2 Connect"/>
    <s v="Adet"/>
    <n v="0"/>
    <m/>
    <s v="Sıfır paketli"/>
    <m/>
    <n v="9.375"/>
    <n v="0"/>
    <n v="3"/>
    <n v="3"/>
    <n v="3"/>
    <n v="3"/>
    <n v="3"/>
    <n v="3"/>
    <n v="3"/>
    <n v="3"/>
    <n v="3"/>
    <n v="3"/>
    <n v="3"/>
    <n v="3"/>
    <n v="3"/>
    <n v="3"/>
    <n v="3"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2"/>
    <s v="DAC, 40G, QSFP+ to QSFP+, Copper Passive, 1mt, AWG30"/>
    <x v="11"/>
    <x v="4"/>
    <n v="1006"/>
    <s v="F2 Connect"/>
    <s v="Adet"/>
    <n v="5"/>
    <m/>
    <m/>
    <m/>
    <n v="16.25"/>
    <n v="81.2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253"/>
    <s v="100Gbps QSFP28,MM,100m/OM4 MPO/MTP"/>
    <x v="11"/>
    <x v="6"/>
    <n v="1006"/>
    <s v="F2 Connect"/>
    <s v="Adet"/>
    <n v="0"/>
    <m/>
    <m/>
    <s v="Başakşehir Belediyesi"/>
    <m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4"/>
    <s v="100Gbps, QSFP28, Multimode,100m,OM4,MPO/MTP Connector"/>
    <x v="11"/>
    <x v="6"/>
    <n v="1006"/>
    <s v="F2 Connect"/>
    <s v="Adet"/>
    <n v="8"/>
    <m/>
    <m/>
    <s v="Başakşehir Belediyesi"/>
    <m/>
    <n v="0"/>
    <m/>
    <m/>
    <m/>
    <m/>
    <m/>
    <m/>
    <m/>
    <m/>
    <m/>
    <m/>
    <m/>
    <m/>
    <m/>
    <m/>
    <m/>
    <m/>
    <m/>
    <m/>
    <m/>
    <m/>
    <m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5"/>
    <s v="12Core MPO/MPO OM4 B-Type,3mm,10m Patch Cable"/>
    <x v="11"/>
    <x v="7"/>
    <n v="1006"/>
    <s v="F2 Connect"/>
    <s v="Adet"/>
    <n v="0"/>
    <m/>
    <m/>
    <s v="Başakşehir Belediyesi"/>
    <m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6"/>
    <s v="12Core MPO/MPO OM4 B-Type,3mm,15m Patch Cable"/>
    <x v="11"/>
    <x v="7"/>
    <n v="1006"/>
    <s v="F2 Connect"/>
    <s v="Adet"/>
    <n v="0"/>
    <m/>
    <m/>
    <s v="Başakşehir Belediyesi"/>
    <m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7"/>
    <s v="MPO/MPO Patch Cord 12 Cores OM4 B Type 3.0mm 3M LSZH"/>
    <x v="11"/>
    <x v="7"/>
    <n v="1006"/>
    <s v="F2 Connect"/>
    <s v="Adet"/>
    <n v="8"/>
    <m/>
    <m/>
    <s v="Başakşehir Belediyesi"/>
    <m/>
    <n v="0"/>
    <m/>
    <m/>
    <m/>
    <m/>
    <m/>
    <m/>
    <m/>
    <m/>
    <m/>
    <m/>
    <m/>
    <m/>
    <m/>
    <m/>
    <m/>
    <m/>
    <m/>
    <m/>
    <m/>
    <m/>
    <m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8"/>
    <s v="Media Con.1 Fiber,1 UTP Port 10/100/1000M SFP Port"/>
    <x v="11"/>
    <x v="1"/>
    <n v="1002"/>
    <s v="F2 Connect"/>
    <s v="Adet"/>
    <n v="5"/>
    <m/>
    <s v="Sıfır paketli"/>
    <m/>
    <n v="17.64"/>
    <n v="52.92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259"/>
    <s v="1U Fırçalı organizer"/>
    <x v="11"/>
    <x v="3"/>
    <n v="1103"/>
    <s v="F2 Connect"/>
    <s v="Adet"/>
    <n v="32"/>
    <n v="2"/>
    <s v="Sıfır paketsiz"/>
    <s v="2 adet Antalya Showroom"/>
    <n v="4.95"/>
    <n v="0"/>
    <n v="100"/>
    <n v="60"/>
    <n v="60"/>
    <n v="60"/>
    <n v="60"/>
    <n v="62"/>
    <n v="62"/>
    <n v="62"/>
    <n v="62"/>
    <n v="62"/>
    <n v="37"/>
    <n v="34"/>
    <n v="34"/>
    <n v="34"/>
    <n v="34"/>
    <n v="34"/>
    <n v="34"/>
    <n v="34"/>
    <n v="34"/>
    <n v="32"/>
    <n v="32"/>
    <n v="32"/>
    <n v="32"/>
    <n v="32"/>
    <n v="32"/>
    <n v="32"/>
    <n v="32"/>
    <n v="32"/>
    <n v="32"/>
    <n v="24"/>
    <n v="24"/>
    <n v="4"/>
    <n v="4"/>
    <n v="4"/>
    <n v="0"/>
    <n v="0"/>
    <n v="0"/>
    <n v="0"/>
    <n v="0"/>
    <n v="0"/>
    <n v="0"/>
    <n v="50"/>
    <n v="40"/>
    <n v="8"/>
    <n v="8"/>
    <n v="38"/>
    <n v="38"/>
    <n v="38"/>
    <n v="28"/>
    <n v="28"/>
    <n v="28"/>
    <n v="28"/>
    <n v="25"/>
    <n v="25"/>
    <n v="19"/>
    <n v="16"/>
    <n v="15"/>
    <n v="15"/>
    <n v="14"/>
    <n v="4"/>
    <n v="0"/>
    <n v="0"/>
    <n v="40"/>
    <n v="20"/>
    <n v="10"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60"/>
    <s v="1U Kapama Paneli"/>
    <x v="11"/>
    <x v="3"/>
    <n v="1103"/>
    <s v="F2 Connect"/>
    <s v="Adet"/>
    <n v="8"/>
    <n v="1"/>
    <s v="Sıfır paketsiz"/>
    <s v="1 adet Antalya Showroom"/>
    <n v="2.48"/>
    <n v="57.04"/>
    <n v="0"/>
    <n v="0"/>
    <n v="0"/>
    <n v="0"/>
    <n v="6"/>
    <n v="7"/>
    <n v="7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28"/>
    <n v="28"/>
    <n v="28"/>
    <n v="28"/>
    <n v="28"/>
    <n v="28"/>
    <n v="28"/>
    <n v="28"/>
    <n v="28"/>
    <n v="28"/>
    <n v="28"/>
    <n v="28"/>
    <n v="28"/>
    <n v="28"/>
    <n v="28"/>
    <n v="26"/>
    <n v="26"/>
    <n v="26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</r>
  <r>
    <m/>
    <x v="261"/>
    <s v="1U Kapama Paneli"/>
    <x v="11"/>
    <x v="3"/>
    <m/>
    <m/>
    <s v="Adet"/>
    <m/>
    <m/>
    <m/>
    <m/>
    <n v="2.48"/>
    <n v="2.4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62"/>
    <s v="2U Kapama Paneli"/>
    <x v="11"/>
    <x v="3"/>
    <n v="1103"/>
    <s v="F2 Connect"/>
    <s v="Adet"/>
    <n v="42"/>
    <m/>
    <s v="Sıfır paketsiz"/>
    <m/>
    <n v="2.97"/>
    <n v="118.80000000000001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</r>
  <r>
    <m/>
    <x v="263"/>
    <s v="2U Kapama Paneli"/>
    <x v="11"/>
    <x v="3"/>
    <m/>
    <m/>
    <s v="Adet"/>
    <m/>
    <m/>
    <m/>
    <m/>
    <n v="2.97"/>
    <n v="2.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64"/>
    <s v="3U Kapama Paneli"/>
    <x v="11"/>
    <x v="3"/>
    <n v="1103"/>
    <s v="F2 Connect"/>
    <s v="Adet"/>
    <n v="42"/>
    <m/>
    <s v="Sıfır paketsiz"/>
    <m/>
    <n v="3.47"/>
    <n v="145.74"/>
    <n v="39"/>
    <n v="39"/>
    <n v="39"/>
    <n v="39"/>
    <n v="39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</r>
  <r>
    <m/>
    <x v="265"/>
    <s v="1U Organizer"/>
    <x v="11"/>
    <x v="3"/>
    <n v="1103"/>
    <s v="F2 Connect"/>
    <s v="Adet"/>
    <n v="4"/>
    <m/>
    <m/>
    <m/>
    <n v="3.96"/>
    <n v="0"/>
    <n v="8"/>
    <n v="8"/>
    <n v="8"/>
    <n v="8"/>
    <n v="8"/>
    <n v="8"/>
    <n v="8"/>
    <n v="8"/>
    <n v="8"/>
    <n v="8"/>
    <n v="8"/>
    <n v="6"/>
    <n v="6"/>
    <n v="6"/>
    <n v="6"/>
    <n v="6"/>
    <n v="6"/>
    <n v="6"/>
    <n v="6"/>
    <n v="4"/>
    <n v="4"/>
    <n v="4"/>
    <n v="4"/>
    <n v="4"/>
    <n v="4"/>
    <n v="4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66"/>
    <s v="Sigortalı 6 lı 19&quot; Alüminyum Priz"/>
    <x v="11"/>
    <x v="3"/>
    <n v="1103"/>
    <s v="F2 Connect"/>
    <s v="Adet"/>
    <n v="4"/>
    <m/>
    <m/>
    <m/>
    <n v="19.8"/>
    <n v="59.400000000000006"/>
    <n v="5"/>
    <n v="5"/>
    <n v="5"/>
    <n v="5"/>
    <n v="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3"/>
    <n v="3"/>
  </r>
  <r>
    <m/>
    <x v="267"/>
    <s v="Dikey organizer montaj aparatı (Set)"/>
    <x v="11"/>
    <x v="3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268"/>
    <s v="M6 Kafes Somun-Vida-Pul"/>
    <x v="11"/>
    <x v="3"/>
    <n v="1103"/>
    <s v="F2 Connect"/>
    <s v="Adet"/>
    <n v="1500"/>
    <m/>
    <m/>
    <m/>
    <n v="16.34"/>
    <n v="7712.48"/>
    <n v="2000"/>
    <n v="2000"/>
    <n v="2000"/>
    <n v="2000"/>
    <n v="2000"/>
    <n v="2000"/>
    <n v="1950"/>
    <n v="1950"/>
    <n v="1950"/>
    <n v="1950"/>
    <n v="1750"/>
    <n v="1630"/>
    <n v="1630"/>
    <n v="1630"/>
    <n v="1630"/>
    <n v="1630"/>
    <n v="1630"/>
    <n v="1630"/>
    <n v="1530"/>
    <n v="1500"/>
    <n v="1500"/>
    <n v="1500"/>
    <n v="1500"/>
    <n v="1500"/>
    <n v="1400"/>
    <n v="1400"/>
    <n v="1400"/>
    <n v="1300"/>
    <n v="1300"/>
    <n v="940"/>
    <n v="940"/>
    <n v="940"/>
    <n v="940"/>
    <n v="940"/>
    <n v="940"/>
    <n v="940"/>
    <n v="940"/>
    <n v="840"/>
    <n v="640"/>
    <n v="640"/>
    <n v="640"/>
    <n v="2140"/>
    <n v="2140"/>
    <n v="1840"/>
    <n v="1840"/>
    <n v="1740"/>
    <n v="1740"/>
    <n v="1740"/>
    <n v="1740"/>
    <n v="1740"/>
    <n v="1740"/>
    <n v="1640"/>
    <n v="1640"/>
    <n v="1640"/>
    <n v="1640"/>
    <n v="1640"/>
    <n v="1440"/>
    <n v="1440"/>
    <n v="1424"/>
    <n v="1376"/>
    <n v="1376"/>
    <n v="1376"/>
    <n v="1376"/>
    <n v="1376"/>
    <n v="1376"/>
    <n v="1376"/>
    <n v="1376"/>
    <n v="1376"/>
    <n v="1376"/>
    <n v="1376"/>
    <n v="1376"/>
    <n v="1376"/>
    <n v="1276"/>
    <n v="1276"/>
    <n v="476"/>
    <n v="476"/>
    <n v="476"/>
    <n v="476"/>
    <n v="476"/>
    <n v="476"/>
    <n v="476"/>
    <n v="476"/>
    <n v="476"/>
    <n v="476"/>
    <n v="476"/>
    <n v="472"/>
    <n v="472"/>
    <n v="472"/>
    <n v="472"/>
    <n v="472"/>
    <n v="472"/>
    <n v="472"/>
    <n v="472"/>
    <n v="472"/>
    <n v="472"/>
    <n v="472"/>
    <n v="472"/>
    <n v="472"/>
    <n v="472"/>
    <n v="472"/>
    <n v="472"/>
    <n v="472"/>
    <n v="472"/>
  </r>
  <r>
    <m/>
    <x v="269"/>
    <s v="12U 600  Duvar Tipi Kabinet"/>
    <x v="12"/>
    <x v="23"/>
    <n v="1103"/>
    <s v="F2"/>
    <s v="Adet"/>
    <n v="1"/>
    <m/>
    <m/>
    <m/>
    <n v="98.50500000000001"/>
    <n v="98.5050000000000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70"/>
    <s v="2 li Fan modülü termostatlı duvar tipi"/>
    <x v="12"/>
    <x v="3"/>
    <n v="1103"/>
    <s v="F2"/>
    <s v="Adet"/>
    <n v="1"/>
    <m/>
    <m/>
    <m/>
    <n v="30.195000000000004"/>
    <n v="30.19500000000000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71"/>
    <s v="Sigortalı 9 lu Alüminyum Priz"/>
    <x v="12"/>
    <x v="3"/>
    <n v="1103"/>
    <s v="F2"/>
    <s v="Adet"/>
    <n v="1"/>
    <m/>
    <m/>
    <m/>
    <n v="23.76"/>
    <n v="23.7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72"/>
    <s v="FortiGate 40F"/>
    <x v="13"/>
    <x v="24"/>
    <n v="1002"/>
    <s v="F2"/>
    <s v="Adet"/>
    <n v="0"/>
    <n v="2"/>
    <m/>
    <s v="1 adet Sistem Odası iç kullanım_x000a_1 adet Bellis Otel-Emren Turan"/>
    <n v="281.25"/>
    <n v="281.25"/>
    <n v="3"/>
    <n v="3"/>
    <n v="2"/>
    <n v="1"/>
    <n v="1"/>
    <n v="0"/>
    <n v="0"/>
    <n v="1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73"/>
    <s v="FortiGate 60F"/>
    <x v="13"/>
    <x v="24"/>
    <n v="1002"/>
    <s v="Mintyfi"/>
    <s v="Adet"/>
    <n v="1"/>
    <n v="1"/>
    <m/>
    <s v="1 adet Antalya Showroom"/>
    <n v="404.93"/>
    <n v="0"/>
    <m/>
    <m/>
    <m/>
    <m/>
    <n v="2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74"/>
    <s v="FortiGate 40F + 3yr 24x7 FCare&amp;FGuard"/>
    <x v="13"/>
    <x v="24"/>
    <n v="1002"/>
    <s v="F2"/>
    <s v="Adet"/>
    <n v="0"/>
    <m/>
    <s v="Sıfır paketli"/>
    <m/>
    <m/>
    <n v="0"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75"/>
    <s v="FortiGate-120G"/>
    <x v="13"/>
    <x v="24"/>
    <n v="1002"/>
    <s v="F2"/>
    <s v="Adet"/>
    <n v="0"/>
    <m/>
    <s v="Sıfır, kutulu"/>
    <m/>
    <n v="1350"/>
    <n v="0"/>
    <m/>
    <m/>
    <m/>
    <m/>
    <m/>
    <m/>
    <m/>
    <m/>
    <m/>
    <m/>
    <m/>
    <m/>
    <m/>
    <m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76"/>
    <s v="FortiGate 200F"/>
    <x v="13"/>
    <x v="24"/>
    <n v="1002"/>
    <s v="F2"/>
    <s v="Adet"/>
    <n v="0"/>
    <m/>
    <m/>
    <m/>
    <m/>
    <n v="0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77"/>
    <s v="FortiGate 400F"/>
    <x v="13"/>
    <x v="24"/>
    <m/>
    <s v="F2"/>
    <s v="Adet"/>
    <m/>
    <m/>
    <m/>
    <m/>
    <n v="7609.76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1"/>
    <n v="1"/>
    <n v="1"/>
    <n v="0"/>
    <n v="0"/>
    <n v="0"/>
    <n v="0"/>
    <n v="0"/>
    <n v="0"/>
    <n v="0"/>
    <n v="0"/>
    <n v="0"/>
    <n v="0"/>
  </r>
  <r>
    <m/>
    <x v="278"/>
    <s v="Fortinet Rack Mount Tray"/>
    <x v="13"/>
    <x v="3"/>
    <m/>
    <s v="F2"/>
    <s v="Adet"/>
    <n v="1"/>
    <m/>
    <s v="Sıfır, kutulu"/>
    <m/>
    <m/>
    <n v="0"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79"/>
    <s v="UTP Keystone Jack CAT6 180 Derece"/>
    <x v="14"/>
    <x v="15"/>
    <m/>
    <m/>
    <m/>
    <m/>
    <m/>
    <s v="Sıfır, paketli"/>
    <m/>
    <n v="2"/>
    <n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</r>
  <r>
    <m/>
    <x v="280"/>
    <s v="UTP Keystone Jack CAT6 180 Derece"/>
    <x v="14"/>
    <x v="15"/>
    <m/>
    <m/>
    <m/>
    <m/>
    <m/>
    <s v="Paketsiz"/>
    <m/>
    <n v="2"/>
    <n v="1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</r>
  <r>
    <m/>
    <x v="281"/>
    <s v="FTP Toolless Keystone Jack CAT 6A 180°"/>
    <x v="14"/>
    <x v="15"/>
    <m/>
    <m/>
    <m/>
    <m/>
    <m/>
    <s v="Sıfır, paketli"/>
    <m/>
    <n v="4"/>
    <n v="7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9"/>
  </r>
  <r>
    <m/>
    <x v="282"/>
    <s v="FTP Toolless Keystone Jack CAT 6A 180°"/>
    <x v="14"/>
    <x v="15"/>
    <m/>
    <m/>
    <m/>
    <m/>
    <m/>
    <s v="Paketsiz"/>
    <m/>
    <n v="4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</r>
  <r>
    <m/>
    <x v="283"/>
    <s v="24 Port Keystone Jack FTP Panel Boş"/>
    <x v="14"/>
    <x v="12"/>
    <m/>
    <m/>
    <m/>
    <m/>
    <m/>
    <s v="Kutu hasarlı"/>
    <s v="Tamer' in teslim ettiği ürün. Resmi girişi olmadığı için maliyet bilinmiyor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</r>
  <r>
    <m/>
    <x v="284"/>
    <s v="HPE ProLiant DL380 Gen10 Server"/>
    <x v="15"/>
    <x v="17"/>
    <n v="1003"/>
    <s v="F2"/>
    <s v="Adet"/>
    <m/>
    <m/>
    <s v="Göçmen'den alınan ürün"/>
    <s v="Alper Güden Mars DC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5"/>
    <s v="8p 1G/10GbE SFP+ v3 zl2 Module"/>
    <x v="15"/>
    <x v="3"/>
    <n v="1002"/>
    <s v="F2"/>
    <s v="Adet"/>
    <n v="2"/>
    <m/>
    <m/>
    <m/>
    <n v="1300"/>
    <n v="260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286"/>
    <s v="HP 27&quot; Monitör"/>
    <x v="15"/>
    <x v="25"/>
    <n v="1005"/>
    <s v="F2"/>
    <s v="Adet"/>
    <n v="0"/>
    <m/>
    <s v="Sıfır, kutulu"/>
    <m/>
    <m/>
    <n v="0"/>
    <m/>
    <m/>
    <n v="7"/>
    <n v="7"/>
    <n v="7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7"/>
    <s v="HP 24&quot; Monitör"/>
    <x v="15"/>
    <x v="25"/>
    <n v="1005"/>
    <s v="F2"/>
    <s v="Adet"/>
    <n v="0"/>
    <m/>
    <s v="Sıfır, kutulu"/>
    <m/>
    <m/>
    <n v="0"/>
    <m/>
    <m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8"/>
    <s v="IBM System x2550 M2"/>
    <x v="16"/>
    <x v="17"/>
    <n v="1003"/>
    <s v="F2"/>
    <s v="Adet"/>
    <m/>
    <n v="1"/>
    <s v="Kullanılmış kutusuz"/>
    <s v="Midas' a sevk edildi.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9"/>
    <s v="IBM FlashSystem 7300 NVMe Control Enclosure"/>
    <x v="16"/>
    <x v="26"/>
    <n v="1003"/>
    <s v="F2"/>
    <s v="Adet"/>
    <n v="4"/>
    <m/>
    <m/>
    <m/>
    <m/>
    <n v="0"/>
    <m/>
    <m/>
    <m/>
    <m/>
    <m/>
    <m/>
    <m/>
    <m/>
    <m/>
    <m/>
    <m/>
    <m/>
    <m/>
    <m/>
    <m/>
    <m/>
    <m/>
    <m/>
    <n v="4"/>
    <n v="4"/>
    <n v="4"/>
    <n v="4"/>
    <n v="4"/>
    <n v="4"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0"/>
    <s v="IBM FlashSystem 5300 Control Enclosure"/>
    <x v="16"/>
    <x v="26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1"/>
    <s v="IBM Storage Networking SAN24B-6"/>
    <x v="16"/>
    <x v="26"/>
    <n v="1003"/>
    <s v="F2"/>
    <s v="Adet"/>
    <n v="4"/>
    <m/>
    <m/>
    <m/>
    <m/>
    <n v="0"/>
    <m/>
    <m/>
    <m/>
    <m/>
    <m/>
    <m/>
    <m/>
    <m/>
    <m/>
    <m/>
    <m/>
    <m/>
    <m/>
    <m/>
    <m/>
    <m/>
    <m/>
    <m/>
    <n v="4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2"/>
    <s v="Jabra Evolve 20 Duo MS Kablolu Çağrı Merkezi Kulaklığı"/>
    <x v="17"/>
    <x v="27"/>
    <m/>
    <s v="F2"/>
    <s v="Adet"/>
    <n v="1"/>
    <m/>
    <m/>
    <m/>
    <n v="26"/>
    <n v="26"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93"/>
    <s v="Handheld Network Tester"/>
    <x v="18"/>
    <x v="28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94"/>
    <s v="SFP28, 25GE Direct Attach Copper Cable"/>
    <x v="19"/>
    <x v="4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5"/>
    <s v="48-Port 10/100/1000BaseT, 4x 10G SFP+,4x25G SFP28 "/>
    <x v="19"/>
    <x v="0"/>
    <n v="1002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6"/>
    <s v="EX3400 150W DC Power Supply, front-to-back airflow"/>
    <x v="19"/>
    <x v="3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7"/>
    <s v="Legrand Kanal 25x16"/>
    <x v="20"/>
    <x v="29"/>
    <n v="1104"/>
    <s v="F2"/>
    <s v="Metre"/>
    <n v="0"/>
    <m/>
    <m/>
    <m/>
    <m/>
    <n v="0"/>
    <n v="66"/>
    <n v="66"/>
    <n v="66"/>
    <n v="56"/>
    <n v="56"/>
    <n v="48"/>
    <n v="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8"/>
    <s v="Legrand U/UTP Cat6 LSZH Lan Cable 4P Mavi Makara"/>
    <x v="20"/>
    <x v="10"/>
    <m/>
    <m/>
    <s v="Metre"/>
    <n v="0"/>
    <m/>
    <m/>
    <m/>
    <n v="0.42"/>
    <n v="105.83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00"/>
    <n v="500"/>
    <n v="500"/>
    <n v="500"/>
    <n v="500"/>
    <n v="500"/>
    <n v="500"/>
    <n v="500"/>
    <n v="500"/>
    <n v="500"/>
    <n v="500"/>
    <n v="500"/>
    <n v="500"/>
    <n v="5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00"/>
    <n v="2500"/>
    <n v="2500"/>
    <n v="2252"/>
    <n v="2252"/>
    <n v="252"/>
    <n v="252"/>
    <n v="252"/>
    <n v="252"/>
  </r>
  <r>
    <m/>
    <x v="299"/>
    <s v="Legrand S/FTP Cat7 LSZH Lan Cable, 4P Kırmızı Makara"/>
    <x v="20"/>
    <x v="10"/>
    <n v="1101"/>
    <s v="F2"/>
    <s v="Metre"/>
    <m/>
    <m/>
    <m/>
    <m/>
    <n v="0.74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40"/>
    <n v="240"/>
    <n v="240"/>
    <n v="240"/>
    <n v="240"/>
    <n v="240"/>
    <n v="240"/>
    <n v="240"/>
    <n v="0"/>
    <n v="0"/>
    <n v="0"/>
    <n v="0"/>
    <n v="0"/>
    <n v="0"/>
    <n v="0"/>
    <n v="0"/>
    <n v="0"/>
    <n v="0"/>
  </r>
  <r>
    <m/>
    <x v="300"/>
    <s v="Q24i-20 23.8&quot; 4 ms Full HD IPS 75Hz Monitör"/>
    <x v="21"/>
    <x v="25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1"/>
    <s v="ThinkSystem Solarflare X2522-Plus 10/25GbE SFP28 Ethernet Adapter"/>
    <x v="21"/>
    <x v="30"/>
    <m/>
    <s v="F2"/>
    <s v="Adet"/>
    <n v="2"/>
    <m/>
    <m/>
    <m/>
    <m/>
    <n v="0"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2"/>
    <s v="V50A-24 Intel Core i5-10400T 32GB 1TB SSD "/>
    <x v="21"/>
    <x v="31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3"/>
    <s v="86 inch LED 3840 x 2160 Endüstriyel Monitör"/>
    <x v="22"/>
    <x v="25"/>
    <n v="1005"/>
    <s v="F2"/>
    <s v="Adet"/>
    <n v="0"/>
    <m/>
    <s v="Sıfır, kutulu"/>
    <m/>
    <n v="1600"/>
    <n v="48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3"/>
    <n v="3"/>
    <n v="3"/>
    <n v="3"/>
    <n v="3"/>
    <n v="3"/>
    <n v="3"/>
    <n v="3"/>
    <n v="3"/>
    <n v="3"/>
    <n v="3"/>
    <n v="3"/>
    <n v="3"/>
  </r>
  <r>
    <m/>
    <x v="304"/>
    <s v="75 inch LED 3840 x 2160 Endüstriyel Monitör"/>
    <x v="22"/>
    <x v="25"/>
    <n v="1005"/>
    <s v="F2"/>
    <s v="Adet"/>
    <n v="0"/>
    <m/>
    <s v="Sıfır, kutulu"/>
    <m/>
    <n v="1380"/>
    <n v="41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3"/>
    <n v="3"/>
    <n v="3"/>
    <n v="3"/>
    <n v="3"/>
    <n v="3"/>
    <n v="3"/>
    <n v="3"/>
    <n v="3"/>
    <n v="3"/>
    <n v="3"/>
    <n v="3"/>
    <n v="3"/>
  </r>
  <r>
    <m/>
    <x v="305"/>
    <s v="43 inch LED 3840 x 2160 Endüstriyel Monitör"/>
    <x v="22"/>
    <x v="25"/>
    <n v="1005"/>
    <s v="F2"/>
    <s v="Adet"/>
    <n v="0"/>
    <m/>
    <s v="Sıfır, kutulu"/>
    <m/>
    <n v="520"/>
    <n v="5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06"/>
    <s v="HFT Sunucu Kasası"/>
    <x v="23"/>
    <x v="19"/>
    <m/>
    <s v="F2"/>
    <s v="Adet"/>
    <n v="6"/>
    <n v="1"/>
    <s v="Sıfır kutulu"/>
    <s v="1 adet Network katında Alper Güden' de."/>
    <n v="3800"/>
    <n v="0"/>
    <m/>
    <m/>
    <m/>
    <m/>
    <m/>
    <m/>
    <m/>
    <m/>
    <m/>
    <m/>
    <m/>
    <m/>
    <m/>
    <m/>
    <m/>
    <m/>
    <m/>
    <m/>
    <m/>
    <m/>
    <n v="6"/>
    <n v="6"/>
    <n v="6"/>
    <n v="6"/>
    <n v="6"/>
    <n v="5"/>
    <n v="5"/>
    <n v="5"/>
    <n v="5"/>
    <n v="5"/>
    <n v="5"/>
    <n v="5"/>
    <n v="5"/>
    <n v="5"/>
    <n v="5"/>
    <n v="5"/>
    <n v="5"/>
    <n v="5"/>
    <n v="5"/>
    <n v="5"/>
    <n v="5"/>
    <n v="4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7"/>
    <s v="20mm PVC Sprial Boru"/>
    <x v="23"/>
    <x v="19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8"/>
    <s v="25mm PVC Spiral Boru"/>
    <x v="23"/>
    <x v="19"/>
    <n v="1104"/>
    <s v="F2 Connect"/>
    <s v="Metre"/>
    <n v="100"/>
    <m/>
    <m/>
    <m/>
    <m/>
    <n v="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9"/>
    <s v="16mm PVC Spiral Boru"/>
    <x v="23"/>
    <x v="19"/>
    <m/>
    <s v="F2 Connect"/>
    <s v="Metre"/>
    <n v="50"/>
    <m/>
    <s v="Paketsiz"/>
    <m/>
    <m/>
    <n v="0"/>
    <m/>
    <m/>
    <m/>
    <m/>
    <m/>
    <m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10"/>
    <m/>
    <x v="23"/>
    <x v="19"/>
    <n v="1104"/>
    <s v="F2"/>
    <s v="Adet"/>
    <n v="1"/>
    <m/>
    <m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11"/>
    <s v="25x16 Yapışkanlı Kanal"/>
    <x v="24"/>
    <x v="29"/>
    <m/>
    <m/>
    <m/>
    <m/>
    <m/>
    <m/>
    <m/>
    <n v="0.64319999999999999"/>
    <n v="38.5919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0"/>
    <n v="60"/>
    <n v="60"/>
    <n v="60"/>
    <n v="60"/>
    <n v="60"/>
  </r>
  <r>
    <m/>
    <x v="87"/>
    <s v="WT32-ETH01"/>
    <x v="23"/>
    <x v="19"/>
    <n v="1002"/>
    <s v="Mintyfi"/>
    <s v="Adet"/>
    <n v="1"/>
    <m/>
    <s v="Kullanılmış, paketsiz"/>
    <m/>
    <m/>
    <n v="0"/>
    <n v="4"/>
    <n v="4"/>
    <n v="4"/>
    <n v="4"/>
    <n v="4"/>
    <n v="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87"/>
    <s v="WT32-ETH01-ANTEN"/>
    <x v="23"/>
    <x v="19"/>
    <n v="1006"/>
    <s v="Mintyfi"/>
    <s v="Adet"/>
    <n v="3"/>
    <m/>
    <s v="Kullanılmış, paketsiz"/>
    <m/>
    <m/>
    <n v="0"/>
    <n v="14"/>
    <n v="14"/>
    <n v="14"/>
    <n v="14"/>
    <n v="10"/>
    <n v="10"/>
    <n v="6"/>
    <n v="6"/>
    <n v="6"/>
    <n v="6"/>
    <n v="6"/>
    <n v="6"/>
    <n v="6"/>
    <n v="6"/>
    <n v="6"/>
    <n v="6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312"/>
    <s v="Cat6 FTP Pach Cord-15cm"/>
    <x v="23"/>
    <x v="8"/>
    <n v="1101"/>
    <s v="F2"/>
    <s v="Adet"/>
    <n v="61"/>
    <m/>
    <s v="Kullanılmış, paketsiz"/>
    <m/>
    <m/>
    <n v="0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</r>
  <r>
    <m/>
    <x v="313"/>
    <s v="Cat6 FTP Pach Cord-20cm"/>
    <x v="23"/>
    <x v="8"/>
    <n v="1101"/>
    <s v="F2"/>
    <s v="Adet"/>
    <n v="53"/>
    <m/>
    <s v="Kullanılmış, paketsiz"/>
    <m/>
    <m/>
    <n v="0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</r>
  <r>
    <m/>
    <x v="314"/>
    <s v="Cat6 UTP Pach Cord-15cm"/>
    <x v="23"/>
    <x v="8"/>
    <n v="1101"/>
    <s v="F2"/>
    <s v="Adet"/>
    <n v="28"/>
    <m/>
    <s v="Kullanılmış, paketsiz"/>
    <m/>
    <m/>
    <n v="0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</r>
  <r>
    <m/>
    <x v="315"/>
    <s v="Cat6 UTP Pach Cord-20cm"/>
    <x v="23"/>
    <x v="8"/>
    <n v="1101"/>
    <s v="F2"/>
    <s v="Adet"/>
    <n v="267"/>
    <m/>
    <s v="Kullanılmış, paketsiz"/>
    <m/>
    <m/>
    <n v="0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</r>
  <r>
    <m/>
    <x v="316"/>
    <s v="SC Pigtail SM 1M"/>
    <x v="23"/>
    <x v="14"/>
    <n v="1102"/>
    <s v="F2"/>
    <s v="Adet"/>
    <n v="2"/>
    <m/>
    <s v="Kullanılmamış, paketsiz"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317"/>
    <s v="LC Pigtail SM 1M"/>
    <x v="23"/>
    <x v="14"/>
    <n v="1102"/>
    <s v="F2"/>
    <s v="Adet"/>
    <n v="2"/>
    <m/>
    <s v="Kullanılmamış, paketsiz"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18"/>
    <s v="SC-SC OS2 5m Patch Cable"/>
    <x v="23"/>
    <x v="7"/>
    <n v="1102"/>
    <s v="F2"/>
    <s v="Adet"/>
    <n v="7"/>
    <m/>
    <s v="Sıfır, paketli"/>
    <m/>
    <m/>
    <n v="0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319"/>
    <s v="SC-SC OS2 3m Patch Cable"/>
    <x v="23"/>
    <x v="7"/>
    <n v="1102"/>
    <s v="F2"/>
    <s v="Adet"/>
    <n v="5"/>
    <m/>
    <s v="Sıfır, paketli"/>
    <m/>
    <m/>
    <n v="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320"/>
    <s v="SC-LC OS2 2m Patch Cable"/>
    <x v="23"/>
    <x v="7"/>
    <n v="1102"/>
    <s v="F2"/>
    <s v="Adet"/>
    <n v="10"/>
    <m/>
    <m/>
    <m/>
    <m/>
    <n v="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321"/>
    <s v="Toz Kapağı"/>
    <x v="23"/>
    <x v="19"/>
    <n v="1104"/>
    <s v="F2"/>
    <s v="Adet"/>
    <n v="223"/>
    <m/>
    <s v="Kullanılmış, paketsiz"/>
    <m/>
    <m/>
    <n v="0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</r>
  <r>
    <m/>
    <x v="322"/>
    <s v="1U Kapama Paneli (Perfore)"/>
    <x v="23"/>
    <x v="19"/>
    <n v="1103"/>
    <s v="F2"/>
    <s v="Adet"/>
    <n v="7"/>
    <m/>
    <s v="Kullanılmış, paketsiz"/>
    <m/>
    <m/>
    <n v="0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323"/>
    <s v="6' lı Sigortalı Priz (Çet) "/>
    <x v="23"/>
    <x v="19"/>
    <n v="1103"/>
    <s v="F2"/>
    <s v="Adet"/>
    <n v="1"/>
    <m/>
    <s v="Sıfır, kutulu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24"/>
    <s v="6' lı Sigortalı Priz (Çet) Kablo ucunda fiş yok)"/>
    <x v="23"/>
    <x v="19"/>
    <n v="1103"/>
    <s v="F2"/>
    <s v="Adet"/>
    <n v="1"/>
    <m/>
    <s v="Kullanılmış, paketsiz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25"/>
    <s v="SC-SC MM-OM3 Patch Cable 15m patch kablo"/>
    <x v="23"/>
    <x v="7"/>
    <n v="1102"/>
    <s v="F2"/>
    <s v="Adet"/>
    <n v="1"/>
    <m/>
    <s v="Kullanılmış, paketsiz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87"/>
    <s v="9 Pin 2 USB 20 Cm Dişi Panel Tipi Kablo"/>
    <x v="23"/>
    <x v="19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26"/>
    <s v="Server Soğutma Sistemi"/>
    <x v="25"/>
    <x v="19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n v="7"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27"/>
    <s v="48-Port 100/1000M electric interfaces, 4-Port 1/10G SFP+ interfaces, 380W PoE&amp;PoE+, Single AC Power"/>
    <x v="26"/>
    <x v="0"/>
    <m/>
    <m/>
    <m/>
    <m/>
    <m/>
    <m/>
    <m/>
    <n v="457.52"/>
    <n v="44379.43999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7"/>
    <n v="97"/>
    <n v="97"/>
    <n v="97"/>
    <n v="97"/>
    <n v="97"/>
  </r>
  <r>
    <m/>
    <x v="328"/>
    <s v="24-Port 1000M SFP fiber interfaces, 4-Port 10G SFP+ interfaces, Dual AC Power"/>
    <x v="26"/>
    <x v="0"/>
    <m/>
    <m/>
    <m/>
    <m/>
    <m/>
    <m/>
    <m/>
    <n v="291.60000000000002"/>
    <n v="14288.4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9"/>
    <n v="49"/>
    <n v="49"/>
    <n v="49"/>
    <n v="49"/>
    <n v="49"/>
  </r>
  <r>
    <m/>
    <x v="329"/>
    <s v="8-Port 100/1000M electric interfaces, 2-Port 1G SFP interfaces, 150W PoE&amp;PoE+, Single AC Power"/>
    <x v="26"/>
    <x v="0"/>
    <m/>
    <m/>
    <m/>
    <m/>
    <m/>
    <m/>
    <m/>
    <n v="102.06"/>
    <n v="28678.8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93"/>
    <n v="293"/>
    <n v="293"/>
    <n v="281"/>
    <n v="281"/>
    <n v="281"/>
  </r>
  <r>
    <m/>
    <x v="330"/>
    <s v="24-Port 100/1000M electric interfaces, 4-Port 1G SFP interfaces, Single AC Power"/>
    <x v="26"/>
    <x v="0"/>
    <m/>
    <m/>
    <m/>
    <m/>
    <m/>
    <m/>
    <m/>
    <n v="109.06"/>
    <n v="20939.5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92"/>
    <n v="192"/>
    <n v="192"/>
    <n v="192"/>
    <n v="192"/>
    <n v="192"/>
  </r>
  <r>
    <m/>
    <x v="331"/>
    <s v="24-Port 100/1000M electric interfaces, 4-Port 1G SFP interfaces, 380W PoE&amp;PoE+, Single AC Power"/>
    <x v="26"/>
    <x v="0"/>
    <m/>
    <m/>
    <m/>
    <m/>
    <m/>
    <m/>
    <m/>
    <n v="211.41"/>
    <n v="130862.7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22"/>
    <n v="621"/>
    <n v="621"/>
    <n v="619"/>
    <n v="619"/>
    <n v="619"/>
  </r>
  <r>
    <m/>
    <x v="332"/>
    <s v="LC-LC fiber patch cord, OM4 20m"/>
    <x v="27"/>
    <x v="7"/>
    <n v="1102"/>
    <s v="F2"/>
    <s v="Adet"/>
    <n v="0"/>
    <m/>
    <s v="Sıfır paketli"/>
    <m/>
    <m/>
    <n v="0"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33"/>
    <s v="LC-LC fiber patch cord, OM4 1m"/>
    <x v="27"/>
    <x v="7"/>
    <n v="1102"/>
    <s v="F2"/>
    <s v="Adet"/>
    <n v="4"/>
    <m/>
    <s v="Sıfır paketli"/>
    <m/>
    <m/>
    <n v="0"/>
    <m/>
    <m/>
    <m/>
    <m/>
    <m/>
    <m/>
    <m/>
    <m/>
    <m/>
    <m/>
    <m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334"/>
    <s v="LC-LC fiber patch cord, OM4 15m"/>
    <x v="27"/>
    <x v="7"/>
    <n v="1102"/>
    <s v="F2"/>
    <s v="Adet"/>
    <m/>
    <n v="4"/>
    <s v="Sıfır paketli"/>
    <s v="Banksoft' a sevk edildi.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35"/>
    <s v="LC-LC fiber patch cord, OM4 25m"/>
    <x v="27"/>
    <x v="7"/>
    <n v="1102"/>
    <s v="F2"/>
    <s v="Adet"/>
    <m/>
    <n v="4"/>
    <s v="Sıfır paketli"/>
    <s v="Banksoft' a sevk edildi.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36"/>
    <s v="300 Mbps 802.11n In wall AP with with USB Charger"/>
    <x v="28"/>
    <x v="2"/>
    <n v="1002"/>
    <s v="F2"/>
    <s v="Adet"/>
    <n v="4"/>
    <m/>
    <s v="Sıfır paketli"/>
    <m/>
    <n v="30"/>
    <n v="12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337"/>
    <s v="Çok Yönlü, Deniz ve Kıyı LTE Anteni"/>
    <x v="29"/>
    <x v="32"/>
    <m/>
    <s v="F2"/>
    <s v="Adet"/>
    <m/>
    <m/>
    <m/>
    <m/>
    <n v="135.08437369837105"/>
    <n v="135.084373698371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38"/>
    <s v="Çok Yönlü, Geniş Bant LTE Anteni"/>
    <x v="29"/>
    <x v="32"/>
    <m/>
    <s v="F2"/>
    <s v="Adet"/>
    <m/>
    <m/>
    <m/>
    <m/>
    <n v="125.84795848296203"/>
    <n v="125.847958482962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39"/>
    <s v="Afumex LSOH 3*2,5 mm2 NHXMH-J 300/500V Kablo"/>
    <x v="30"/>
    <x v="33"/>
    <n v="1105"/>
    <s v="F2"/>
    <s v="Metre"/>
    <n v="3000"/>
    <m/>
    <s v="Sıfır"/>
    <s v="Banksoft da kullanılacak"/>
    <m/>
    <n v="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2893"/>
    <n v="2893"/>
    <n v="2893"/>
    <n v="2893"/>
    <n v="2893"/>
    <n v="2893"/>
    <n v="2893"/>
    <n v="2893"/>
    <n v="2893"/>
    <n v="2893"/>
  </r>
  <r>
    <m/>
    <x v="340"/>
    <s v="4 Slotlu NAS Depolama Ünitesi"/>
    <x v="31"/>
    <x v="34"/>
    <m/>
    <m/>
    <s v="Adet"/>
    <m/>
    <m/>
    <m/>
    <m/>
    <n v="47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</r>
  <r>
    <m/>
    <x v="341"/>
    <s v="10GbE Direct Attach SFP+ to SFP+ AOC, 1m"/>
    <x v="32"/>
    <x v="4"/>
    <n v="1006"/>
    <s v="F2"/>
    <s v="Adet"/>
    <n v="2"/>
    <m/>
    <m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42"/>
    <s v="10GbE DAC SFP+ to SFP+ Passive copper cable, 1m"/>
    <x v="32"/>
    <x v="4"/>
    <n v="1006"/>
    <s v="F2"/>
    <s v="Adet"/>
    <n v="20"/>
    <m/>
    <s v="Sıfır paketli"/>
    <m/>
    <n v="25.89"/>
    <n v="517.79999999999995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343"/>
    <s v="10GbE DAC SFP+ to SFP+ Passive copper cable, 3m"/>
    <x v="32"/>
    <x v="4"/>
    <n v="1006"/>
    <s v="F2"/>
    <s v="Adet"/>
    <n v="1"/>
    <m/>
    <s v="Sıfır paketli"/>
    <m/>
    <n v="39.15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44"/>
    <s v="25GbE DAC SFP28 Passive, 1m "/>
    <x v="32"/>
    <x v="4"/>
    <m/>
    <m/>
    <s v="Adet"/>
    <m/>
    <m/>
    <m/>
    <m/>
    <n v="80.739999999999995"/>
    <n v="161.479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45"/>
    <s v="40GbE DAC QSFP Passive, 1m"/>
    <x v="32"/>
    <x v="4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46"/>
    <s v="Universal mounting ears XBR-R000295 for Brocade Switches"/>
    <x v="32"/>
    <x v="3"/>
    <n v="1006"/>
    <s v="F2"/>
    <s v="Adet"/>
    <n v="4"/>
    <m/>
    <m/>
    <m/>
    <n v="205"/>
    <n v="1230"/>
    <n v="6"/>
    <n v="6"/>
    <n v="6"/>
    <n v="6"/>
    <n v="6"/>
    <n v="6"/>
    <n v="6"/>
    <n v="6"/>
    <n v="6"/>
    <n v="6"/>
    <n v="6"/>
    <n v="6"/>
    <n v="6"/>
    <n v="6"/>
    <n v="6"/>
    <n v="6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</r>
  <r>
    <m/>
    <x v="347"/>
    <s v="Universal mounting ears XBR-R000295 for Brocade Switches Screw Set"/>
    <x v="32"/>
    <x v="3"/>
    <n v="1006"/>
    <s v="F2"/>
    <s v="Adet"/>
    <n v="6"/>
    <m/>
    <m/>
    <m/>
    <m/>
    <n v="0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48"/>
    <s v="FRU, Rackmount Kit, 4 Post 24-32 Depth RCK"/>
    <x v="32"/>
    <x v="3"/>
    <n v="1006"/>
    <s v="F2"/>
    <s v="Adet"/>
    <n v="1"/>
    <m/>
    <s v="Sıfır kutulu"/>
    <s v="2 adet Redstar için ayrılmış ürün var"/>
    <n v="205"/>
    <n v="0"/>
    <m/>
    <m/>
    <n v="4"/>
    <n v="4"/>
    <n v="4"/>
    <n v="4"/>
    <n v="4"/>
    <n v="4"/>
    <n v="4"/>
    <n v="4"/>
    <n v="4"/>
    <n v="4"/>
    <n v="4"/>
    <n v="4"/>
    <n v="4"/>
    <n v="4"/>
    <n v="5"/>
    <n v="5"/>
    <n v="5"/>
    <n v="1"/>
    <n v="1"/>
    <n v="1"/>
    <n v="1"/>
    <n v="1"/>
    <n v="1"/>
    <n v="1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49"/>
    <s v="Power Supply, 400W AC exhaust front to back airflow"/>
    <x v="32"/>
    <x v="3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50"/>
    <s v="ICX 7650 and ICX 7850 exhaust airflow fan, front to back airflow"/>
    <x v="32"/>
    <x v="3"/>
    <m/>
    <s v="F2"/>
    <s v="Adet"/>
    <m/>
    <m/>
    <m/>
    <m/>
    <n v="122.16"/>
    <n v="244.32"/>
    <m/>
    <m/>
    <m/>
    <m/>
    <m/>
    <m/>
    <m/>
    <m/>
    <m/>
    <m/>
    <m/>
    <m/>
    <m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51"/>
    <s v="Ruckus IoT Module, Zigbee, BLE"/>
    <x v="32"/>
    <x v="3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352"/>
    <s v="SmartZone 144 - 4x10GE &amp; 4xGE"/>
    <x v="32"/>
    <x v="5"/>
    <n v="1002"/>
    <s v="F2"/>
    <s v="Adet"/>
    <n v="1"/>
    <m/>
    <s v="Sıfır paketli"/>
    <m/>
    <m/>
    <n v="0"/>
    <n v="1"/>
    <n v="1"/>
    <n v="1"/>
    <n v="1"/>
    <n v="1"/>
    <m/>
    <m/>
    <n v="1"/>
    <n v="1"/>
    <n v="1"/>
    <n v="1"/>
    <n v="1"/>
    <m/>
    <m/>
    <m/>
    <m/>
    <m/>
    <m/>
    <m/>
    <m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53"/>
    <s v="SmartZone 144 - 4x10GE &amp; 4xGE"/>
    <x v="32"/>
    <x v="5"/>
    <n v="1002"/>
    <s v="F2"/>
    <s v="Adet"/>
    <m/>
    <m/>
    <m/>
    <m/>
    <n v="5680.5839999999998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54"/>
    <s v="H350 WW dual band Wi-Fi 6"/>
    <x v="32"/>
    <x v="2"/>
    <m/>
    <m/>
    <s v="Adet"/>
    <m/>
    <m/>
    <m/>
    <m/>
    <n v="190.36"/>
    <n v="17893.8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4"/>
    <n v="204"/>
    <n v="204"/>
    <n v="203"/>
    <n v="203"/>
    <n v="204"/>
    <n v="204"/>
    <n v="204"/>
    <n v="204"/>
    <n v="184"/>
    <n v="184"/>
    <n v="184"/>
    <n v="184"/>
    <n v="184"/>
    <n v="184"/>
    <n v="184"/>
    <n v="184"/>
    <n v="163"/>
    <n v="163"/>
    <n v="162"/>
    <n v="162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0"/>
    <n v="160"/>
    <n v="160"/>
    <n v="150"/>
    <n v="145"/>
    <n v="145"/>
    <n v="109"/>
    <n v="109"/>
    <n v="109"/>
    <n v="109"/>
    <n v="109"/>
    <n v="109"/>
    <n v="109"/>
    <n v="109"/>
    <n v="109"/>
    <n v="109"/>
    <n v="109"/>
    <n v="104"/>
    <n v="104"/>
    <n v="94"/>
    <n v="94"/>
    <n v="94"/>
    <n v="94"/>
    <n v="94"/>
    <n v="94"/>
  </r>
  <r>
    <m/>
    <x v="355"/>
    <s v="H550 WW dual band Wi-Fi 6 "/>
    <x v="32"/>
    <x v="2"/>
    <n v="1002"/>
    <s v="F2"/>
    <s v="Adet"/>
    <n v="47"/>
    <m/>
    <m/>
    <m/>
    <n v="324.52999999999997"/>
    <n v="324.52999999999997"/>
    <n v="259"/>
    <n v="259"/>
    <n v="259"/>
    <n v="259"/>
    <n v="259"/>
    <n v="259"/>
    <n v="52"/>
    <n v="52"/>
    <n v="52"/>
    <n v="52"/>
    <n v="52"/>
    <n v="47"/>
    <n v="47"/>
    <n v="47"/>
    <n v="47"/>
    <n v="47"/>
    <n v="47"/>
    <n v="46"/>
    <n v="47"/>
    <n v="47"/>
    <n v="47"/>
    <n v="47"/>
    <n v="47"/>
    <n v="47"/>
    <n v="47"/>
    <n v="46"/>
    <n v="47"/>
    <n v="47"/>
    <n v="47"/>
    <n v="47"/>
    <n v="46"/>
    <n v="46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4"/>
    <n v="5"/>
    <n v="5"/>
    <n v="5"/>
    <n v="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56"/>
    <s v="H550 WW dual band Wi-Fi 6 "/>
    <x v="32"/>
    <x v="2"/>
    <n v="1002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25"/>
    <n v="2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57"/>
    <s v="P300 WW 11ac outdoor bridge (single)"/>
    <x v="32"/>
    <x v="2"/>
    <n v="1002"/>
    <s v="F2"/>
    <s v="Adet"/>
    <n v="1"/>
    <m/>
    <m/>
    <m/>
    <n v="559.26"/>
    <n v="559.2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58"/>
    <s v="R310 WW dual band 11ac indoor AP 2x2:2"/>
    <x v="32"/>
    <x v="2"/>
    <n v="1002"/>
    <s v="F2"/>
    <s v="Adet"/>
    <n v="1"/>
    <m/>
    <m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59"/>
    <s v="R320 Dual band .11ac indoor AP 2x2:2"/>
    <x v="32"/>
    <x v="2"/>
    <n v="1002"/>
    <s v="F2"/>
    <s v="Adet"/>
    <n v="2"/>
    <m/>
    <m/>
    <m/>
    <n v="249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60"/>
    <s v="R350 WW dual band 11ax indoor AP 2x2:2"/>
    <x v="32"/>
    <x v="2"/>
    <n v="1002"/>
    <s v="F2"/>
    <s v="Adet"/>
    <n v="100"/>
    <m/>
    <m/>
    <m/>
    <n v="264.27"/>
    <n v="2114.16"/>
    <n v="25"/>
    <n v="25"/>
    <n v="25"/>
    <n v="25"/>
    <n v="25"/>
    <n v="0"/>
    <n v="0"/>
    <n v="0"/>
    <n v="0"/>
    <n v="0"/>
    <n v="0"/>
    <n v="0"/>
    <n v="0"/>
    <n v="150"/>
    <n v="148"/>
    <n v="148"/>
    <n v="118"/>
    <n v="117"/>
    <n v="118"/>
    <n v="118"/>
    <n v="118"/>
    <n v="100"/>
    <n v="100"/>
    <n v="100"/>
    <n v="100"/>
    <n v="97"/>
    <n v="197"/>
    <n v="193"/>
    <n v="183"/>
    <n v="183"/>
    <n v="183"/>
    <n v="183"/>
    <n v="183"/>
    <n v="183"/>
    <n v="157"/>
    <n v="157"/>
    <n v="157"/>
    <n v="157"/>
    <n v="157"/>
    <n v="157"/>
    <n v="157"/>
    <n v="155"/>
    <n v="139"/>
    <n v="132"/>
    <n v="132"/>
    <n v="112"/>
    <n v="112"/>
    <n v="112"/>
    <n v="112"/>
    <n v="112"/>
    <n v="112"/>
    <n v="112"/>
    <n v="102"/>
    <n v="102"/>
    <n v="98"/>
    <n v="93"/>
    <n v="77"/>
    <n v="77"/>
    <n v="77"/>
    <n v="77"/>
    <n v="77"/>
    <n v="77"/>
    <n v="77"/>
    <n v="77"/>
    <n v="77"/>
    <n v="77"/>
    <n v="77"/>
    <n v="77"/>
    <n v="56"/>
    <n v="56"/>
    <n v="56"/>
    <n v="56"/>
    <n v="56"/>
    <n v="32"/>
    <n v="32"/>
    <n v="28"/>
    <n v="28"/>
    <n v="28"/>
    <n v="26"/>
    <n v="26"/>
    <n v="26"/>
    <n v="26"/>
    <n v="26"/>
    <n v="26"/>
    <n v="26"/>
    <n v="27"/>
    <n v="27"/>
    <n v="27"/>
    <n v="27"/>
    <n v="27"/>
    <n v="27"/>
    <n v="26"/>
    <n v="26"/>
    <n v="25"/>
    <n v="23"/>
    <n v="23"/>
    <n v="23"/>
    <n v="23"/>
    <n v="8"/>
    <n v="8"/>
    <n v="8"/>
    <n v="8"/>
    <n v="8"/>
  </r>
  <r>
    <m/>
    <x v="361"/>
    <s v="R550 WW 11ax indoor 2x2:2 AP Plenum"/>
    <x v="32"/>
    <x v="2"/>
    <n v="1002"/>
    <s v="F2"/>
    <s v="Adet"/>
    <n v="4"/>
    <n v="3"/>
    <s v="Sıfır kutulu"/>
    <s v="3 Adet Antalya Showroom"/>
    <n v="392.16"/>
    <n v="34117.920000000006"/>
    <n v="39"/>
    <n v="39"/>
    <n v="69"/>
    <n v="68"/>
    <n v="68"/>
    <n v="62"/>
    <n v="30"/>
    <n v="33"/>
    <n v="1"/>
    <n v="1"/>
    <n v="1"/>
    <n v="6"/>
    <n v="6"/>
    <n v="6"/>
    <n v="6"/>
    <n v="6"/>
    <n v="3"/>
    <n v="2"/>
    <n v="3"/>
    <n v="3"/>
    <n v="4"/>
    <n v="4"/>
    <n v="4"/>
    <n v="3"/>
    <n v="3"/>
    <n v="2"/>
    <n v="3"/>
    <n v="3"/>
    <n v="3"/>
    <n v="21"/>
    <n v="4"/>
    <n v="1"/>
    <n v="1"/>
    <n v="1"/>
    <n v="61"/>
    <n v="61"/>
    <n v="29"/>
    <n v="29"/>
    <n v="28"/>
    <n v="28"/>
    <n v="28"/>
    <n v="28"/>
    <n v="28"/>
    <n v="28"/>
    <n v="28"/>
    <n v="28"/>
    <n v="28"/>
    <n v="28"/>
    <n v="28"/>
    <n v="28"/>
    <n v="27"/>
    <n v="28"/>
    <n v="58"/>
    <n v="21"/>
    <n v="21"/>
    <n v="6"/>
    <n v="2"/>
    <n v="2"/>
    <n v="2"/>
    <n v="2"/>
    <n v="2"/>
    <n v="2"/>
    <n v="2"/>
    <n v="2"/>
    <n v="2"/>
    <n v="2"/>
    <n v="2"/>
    <n v="2"/>
    <n v="2"/>
    <n v="2"/>
    <n v="2"/>
    <n v="2"/>
    <n v="2"/>
    <n v="34"/>
    <n v="24"/>
    <n v="57"/>
    <n v="44"/>
    <n v="44"/>
    <n v="43"/>
    <n v="43"/>
    <n v="43"/>
    <n v="88"/>
    <n v="48"/>
    <n v="48"/>
    <n v="31"/>
    <n v="31"/>
    <n v="29"/>
    <n v="29"/>
    <n v="134"/>
    <n v="134"/>
    <n v="130"/>
    <n v="130"/>
    <n v="129"/>
    <n v="129"/>
    <n v="129"/>
    <n v="107"/>
    <n v="107"/>
    <n v="75"/>
    <n v="75"/>
    <n v="75"/>
    <n v="75"/>
    <n v="87"/>
    <n v="87"/>
  </r>
  <r>
    <m/>
    <x v="362"/>
    <s v="R560 WW tri band Wifi 6E indoor AP 2x2:2"/>
    <x v="32"/>
    <x v="2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63"/>
    <s v="R650 WW dual band 11ax indoor AP 4+2strm"/>
    <x v="32"/>
    <x v="2"/>
    <n v="1002"/>
    <s v="F2"/>
    <s v="Adet"/>
    <n v="27"/>
    <m/>
    <m/>
    <s v="1 adet Midas' tan çizik geldi."/>
    <n v="350"/>
    <n v="0"/>
    <n v="62"/>
    <n v="62"/>
    <n v="62"/>
    <n v="62"/>
    <n v="62"/>
    <n v="62"/>
    <n v="0"/>
    <n v="1"/>
    <n v="4"/>
    <n v="4"/>
    <n v="4"/>
    <n v="4"/>
    <n v="4"/>
    <n v="42"/>
    <n v="42"/>
    <n v="52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64"/>
    <n v="64"/>
    <n v="64"/>
    <n v="64"/>
    <n v="64"/>
    <n v="61"/>
    <n v="61"/>
    <n v="61"/>
    <n v="58"/>
    <n v="58"/>
    <n v="58"/>
    <n v="46"/>
    <n v="46"/>
    <n v="46"/>
    <n v="48"/>
    <n v="48"/>
    <n v="40"/>
    <n v="38"/>
    <n v="40"/>
    <n v="4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64"/>
    <s v="R710 WW dual band 11ac indoor AP 4x4:4"/>
    <x v="32"/>
    <x v="2"/>
    <n v="1002"/>
    <s v="F2"/>
    <s v="Adet"/>
    <n v="1"/>
    <m/>
    <s v="Sıfır paketli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65"/>
    <s v="R750 WW dual band 11ax indoor AP 4x4:4"/>
    <x v="32"/>
    <x v="2"/>
    <n v="1002"/>
    <s v="F2"/>
    <s v="Adet"/>
    <n v="4"/>
    <m/>
    <m/>
    <m/>
    <n v="724.8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66"/>
    <s v="T310c  .11ac W2 Outdoor AP 2x2:2"/>
    <x v="32"/>
    <x v="2"/>
    <n v="1002"/>
    <s v="F2"/>
    <s v="Adet"/>
    <n v="4"/>
    <m/>
    <m/>
    <m/>
    <n v="525"/>
    <n v="525"/>
    <n v="1"/>
    <n v="1"/>
    <n v="1"/>
    <n v="1"/>
    <n v="1"/>
    <n v="1"/>
    <n v="1"/>
    <n v="1"/>
    <n v="1"/>
    <n v="1"/>
    <n v="1"/>
    <n v="1"/>
    <n v="1"/>
    <n v="1"/>
    <n v="6"/>
    <n v="6"/>
    <n v="6"/>
    <n v="6"/>
    <n v="6"/>
    <n v="6"/>
    <n v="6"/>
    <n v="4"/>
    <n v="4"/>
    <n v="4"/>
    <n v="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67"/>
    <s v="T350c, Outdoor, 11ax, AP 2x2:2"/>
    <x v="32"/>
    <x v="2"/>
    <n v="1002"/>
    <s v="F2"/>
    <s v="Adet"/>
    <n v="18"/>
    <m/>
    <m/>
    <s v="1 adet Praksis arızalı karşılığı gelen ürün"/>
    <n v="433.49"/>
    <n v="26876.38"/>
    <n v="33"/>
    <n v="33"/>
    <n v="38"/>
    <n v="38"/>
    <n v="38"/>
    <n v="35"/>
    <n v="24"/>
    <n v="29"/>
    <n v="29"/>
    <n v="22"/>
    <n v="7"/>
    <n v="12"/>
    <n v="12"/>
    <n v="22"/>
    <n v="22"/>
    <n v="10"/>
    <n v="10"/>
    <n v="22"/>
    <n v="22"/>
    <n v="17"/>
    <n v="17"/>
    <n v="18"/>
    <n v="18"/>
    <n v="18"/>
    <n v="18"/>
    <n v="17"/>
    <n v="100"/>
    <n v="100"/>
    <n v="99"/>
    <n v="94"/>
    <n v="93"/>
    <n v="93"/>
    <n v="93"/>
    <n v="93"/>
    <n v="51"/>
    <n v="51"/>
    <n v="51"/>
    <n v="50"/>
    <n v="47"/>
    <n v="43"/>
    <n v="42"/>
    <n v="33"/>
    <n v="24"/>
    <n v="17"/>
    <n v="17"/>
    <n v="13"/>
    <n v="13"/>
    <n v="6"/>
    <n v="13"/>
    <n v="13"/>
    <n v="12"/>
    <n v="9"/>
    <n v="28"/>
    <n v="20"/>
    <n v="8"/>
    <n v="8"/>
    <n v="8"/>
    <n v="8"/>
    <n v="8"/>
    <n v="8"/>
    <n v="8"/>
    <n v="8"/>
    <n v="7"/>
    <n v="2"/>
    <n v="1"/>
    <n v="0"/>
    <n v="0"/>
    <n v="0"/>
    <n v="0"/>
    <n v="0"/>
    <n v="0"/>
    <n v="0"/>
    <n v="0"/>
    <n v="32"/>
    <n v="32"/>
    <n v="23"/>
    <n v="23"/>
    <n v="22"/>
    <n v="21"/>
    <n v="17"/>
    <n v="17"/>
    <n v="35"/>
    <n v="32"/>
    <n v="32"/>
    <n v="32"/>
    <n v="51"/>
    <n v="49"/>
    <n v="48"/>
    <n v="88"/>
    <n v="88"/>
    <n v="88"/>
    <n v="88"/>
    <n v="88"/>
    <n v="82"/>
    <n v="80"/>
    <n v="78"/>
    <n v="78"/>
    <n v="74"/>
    <n v="73"/>
    <n v="73"/>
    <n v="72"/>
    <n v="72"/>
    <n v="62"/>
  </r>
  <r>
    <m/>
    <x v="368"/>
    <s v="T350d WW ax dual band outdor AP 2x2:2"/>
    <x v="32"/>
    <x v="2"/>
    <n v="1002"/>
    <s v="F2"/>
    <s v="Adet"/>
    <n v="1"/>
    <m/>
    <m/>
    <s v="Tosyalı Holding' den Demo iadesi. (Kendi orijinal kutusunda değil)"/>
    <m/>
    <n v="0"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69"/>
    <s v="T350se, Outdoor 11ax AP 2x2:2"/>
    <x v="32"/>
    <x v="2"/>
    <n v="1002"/>
    <s v="F2"/>
    <s v="Adet"/>
    <n v="5"/>
    <m/>
    <m/>
    <m/>
    <n v="813.96"/>
    <n v="0"/>
    <n v="5"/>
    <n v="5"/>
    <n v="5"/>
    <n v="5"/>
    <n v="5"/>
    <n v="5"/>
    <n v="5"/>
    <n v="0"/>
    <n v="0"/>
    <n v="0"/>
    <n v="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0"/>
    <s v="Secure Mounting Bracket for R-series"/>
    <x v="32"/>
    <x v="3"/>
    <n v="1006"/>
    <s v="F2"/>
    <s v="Adet"/>
    <n v="0"/>
    <m/>
    <m/>
    <m/>
    <m/>
    <n v="0"/>
    <n v="32"/>
    <n v="32"/>
    <n v="32"/>
    <n v="32"/>
    <n v="32"/>
    <n v="32"/>
    <n v="32"/>
    <n v="32"/>
    <n v="32"/>
    <n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2"/>
    <n v="52"/>
    <n v="52"/>
  </r>
  <r>
    <m/>
    <x v="371"/>
    <s v="Surface Mount Bracket for H550"/>
    <x v="32"/>
    <x v="3"/>
    <n v="1006"/>
    <s v="F2"/>
    <s v="Adet"/>
    <n v="2"/>
    <m/>
    <s v="Sıfır paketli"/>
    <m/>
    <n v="17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2"/>
    <s v="R320 WW Unleashed 11ac AP 2x2:2"/>
    <x v="32"/>
    <x v="2"/>
    <m/>
    <m/>
    <s v="Adet"/>
    <m/>
    <m/>
    <m/>
    <m/>
    <n v="200"/>
    <n v="4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"/>
    <n v="4"/>
    <n v="4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73"/>
    <s v="R350 WW Unleashed 11ax AP 2x2:2"/>
    <x v="32"/>
    <x v="2"/>
    <n v="1006"/>
    <s v="F2"/>
    <s v="Adet"/>
    <m/>
    <m/>
    <s v="Sıfır, kutulu"/>
    <m/>
    <n v="207.53"/>
    <n v="0"/>
    <m/>
    <m/>
    <m/>
    <m/>
    <m/>
    <m/>
    <m/>
    <m/>
    <m/>
    <m/>
    <m/>
    <m/>
    <m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</r>
  <r>
    <m/>
    <x v="374"/>
    <s v="R350 WW Unleashed 11ax AP 2x2:2"/>
    <x v="32"/>
    <x v="2"/>
    <n v="1006"/>
    <s v="F2"/>
    <s v="Adet"/>
    <m/>
    <m/>
    <m/>
    <m/>
    <n v="131.33000000000001"/>
    <n v="34145.80000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29"/>
    <n v="329"/>
    <n v="329"/>
    <n v="329"/>
    <n v="313"/>
    <n v="313"/>
    <n v="312"/>
    <n v="312"/>
    <n v="312"/>
    <n v="252"/>
    <n v="252"/>
    <n v="252"/>
    <n v="440"/>
    <n v="440"/>
    <n v="436"/>
    <n v="436"/>
    <n v="436"/>
    <n v="436"/>
    <n v="426"/>
    <n v="426"/>
    <n v="426"/>
    <n v="426"/>
    <n v="426"/>
    <n v="276"/>
    <n v="276"/>
    <n v="268"/>
    <n v="268"/>
    <n v="260"/>
    <n v="260"/>
    <n v="260"/>
  </r>
  <r>
    <m/>
    <x v="375"/>
    <s v="R550 WW Unleashed 11ax AP 2x2:2"/>
    <x v="32"/>
    <x v="2"/>
    <n v="1002"/>
    <s v="F2"/>
    <s v="Adet"/>
    <n v="1"/>
    <m/>
    <m/>
    <m/>
    <n v="460"/>
    <n v="46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76"/>
    <s v="R650 WW Unleashed 11ax AP 4+2strm"/>
    <x v="32"/>
    <x v="2"/>
    <n v="1002"/>
    <s v="F2"/>
    <s v="Adet"/>
    <m/>
    <m/>
    <m/>
    <m/>
    <n v="395"/>
    <n v="395"/>
    <m/>
    <m/>
    <m/>
    <m/>
    <m/>
    <m/>
    <m/>
    <m/>
    <m/>
    <m/>
    <m/>
    <m/>
    <m/>
    <m/>
    <m/>
    <m/>
    <m/>
    <m/>
    <m/>
    <m/>
    <m/>
    <m/>
    <m/>
    <m/>
    <m/>
    <m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29"/>
    <n v="29"/>
    <n v="29"/>
    <n v="29"/>
    <n v="29"/>
    <n v="29"/>
    <n v="29"/>
    <n v="29"/>
    <n v="26"/>
    <n v="24"/>
    <n v="24"/>
    <n v="24"/>
    <n v="24"/>
    <n v="24"/>
    <n v="24"/>
    <n v="23"/>
    <n v="23"/>
    <n v="13"/>
    <n v="13"/>
    <n v="13"/>
    <n v="13"/>
    <n v="13"/>
    <n v="13"/>
    <n v="13"/>
    <n v="12"/>
    <n v="12"/>
    <n v="12"/>
    <n v="12"/>
    <n v="12"/>
    <n v="12"/>
    <n v="9"/>
    <n v="9"/>
    <n v="9"/>
    <n v="9"/>
    <n v="9"/>
    <n v="9"/>
    <n v="9"/>
    <n v="9"/>
    <n v="9"/>
    <n v="9"/>
    <n v="9"/>
    <n v="9"/>
    <n v="9"/>
    <n v="9"/>
    <n v="9"/>
    <n v="9"/>
    <n v="6"/>
    <n v="6"/>
    <n v="6"/>
    <n v="6"/>
    <n v="6"/>
    <n v="6"/>
    <n v="2"/>
    <n v="2"/>
    <n v="1"/>
    <n v="1"/>
    <n v="1"/>
    <n v="1"/>
  </r>
  <r>
    <m/>
    <x v="377"/>
    <s v="Unleashed T310c  .11ac W2 Outdoor AP 2x2:2"/>
    <x v="32"/>
    <x v="2"/>
    <n v="1002"/>
    <s v="F2"/>
    <s v="Adet"/>
    <n v="0"/>
    <m/>
    <m/>
    <m/>
    <m/>
    <n v="0"/>
    <n v="3"/>
    <n v="3"/>
    <n v="3"/>
    <n v="3"/>
    <n v="3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8"/>
    <s v="24 Port 1GbE SFP Switch with 8x1GbE SFPP Ports"/>
    <x v="32"/>
    <x v="0"/>
    <n v="1002"/>
    <s v="F2"/>
    <s v="Adet"/>
    <n v="1"/>
    <m/>
    <s v="Sıfır, kutulu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79"/>
    <s v="10 Port POH MG 2X10G SFP+ L3 Prem"/>
    <x v="32"/>
    <x v="0"/>
    <n v="1002"/>
    <s v="F2"/>
    <s v="Adet"/>
    <m/>
    <m/>
    <m/>
    <m/>
    <n v="1094.81"/>
    <n v="0"/>
    <m/>
    <m/>
    <m/>
    <m/>
    <m/>
    <m/>
    <m/>
    <m/>
    <m/>
    <m/>
    <m/>
    <m/>
    <m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0"/>
    <s v="24 Port SFP 4x1G SFP+ Switch"/>
    <x v="32"/>
    <x v="0"/>
    <n v="1002"/>
    <s v="F2"/>
    <s v="Adet"/>
    <n v="1"/>
    <m/>
    <s v="Sıfır paketli"/>
    <s v="Rackmount kiti yok."/>
    <n v="1775"/>
    <n v="177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81"/>
    <s v="24 Port 4X1G SFP+"/>
    <x v="32"/>
    <x v="0"/>
    <n v="1002"/>
    <s v="F2"/>
    <s v="Adet"/>
    <n v="5"/>
    <m/>
    <s v="Sıfır paketli"/>
    <m/>
    <n v="530"/>
    <n v="0"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2"/>
    <s v="24 Port POE+ 4X1G SFP+ Max Poe Budget 370W"/>
    <x v="32"/>
    <x v="0"/>
    <n v="1002"/>
    <s v="F2"/>
    <s v="Adet"/>
    <n v="1"/>
    <n v="2"/>
    <s v="Sıfır, kutulu"/>
    <s v="Test amacıyla 1 adet Kadir Şar' da._x000a_1 adet Antalya Showroom_x000a_1 adet çizik ürün"/>
    <n v="875.72"/>
    <n v="0"/>
    <n v="16"/>
    <n v="16"/>
    <n v="15"/>
    <n v="15"/>
    <n v="15"/>
    <n v="13"/>
    <n v="0"/>
    <n v="0"/>
    <n v="0"/>
    <n v="0"/>
    <n v="0"/>
    <n v="0"/>
    <n v="0"/>
    <n v="20"/>
    <n v="20"/>
    <n v="20"/>
    <n v="1"/>
    <n v="1"/>
    <n v="1"/>
    <n v="1"/>
    <n v="1"/>
    <n v="1"/>
    <n v="1"/>
    <n v="1"/>
    <n v="1"/>
    <n v="1"/>
    <n v="7"/>
    <n v="7"/>
    <n v="0"/>
    <n v="1"/>
    <n v="1"/>
    <n v="1"/>
    <n v="10"/>
    <n v="10"/>
    <n v="25"/>
    <n v="25"/>
    <n v="25"/>
    <n v="25"/>
    <n v="25"/>
    <n v="25"/>
    <n v="25"/>
    <n v="24"/>
    <n v="24"/>
    <n v="24"/>
    <n v="24"/>
    <n v="24"/>
    <n v="24"/>
    <n v="24"/>
    <n v="21"/>
    <n v="21"/>
    <n v="21"/>
    <n v="0"/>
    <n v="0"/>
    <n v="0"/>
    <n v="0"/>
    <n v="0"/>
    <n v="1"/>
    <n v="1"/>
    <n v="1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3"/>
    <s v="24 Port POE+ 4X1G SFP+ Max Poe Budget 370W"/>
    <x v="32"/>
    <x v="0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4"/>
    <s v="48 Port 4X1G SFP+"/>
    <x v="32"/>
    <x v="0"/>
    <n v="1002"/>
    <s v="F2"/>
    <s v="Adet"/>
    <n v="1"/>
    <n v="0"/>
    <s v="Sıfır, kutulu"/>
    <s v="1 adet Kadir Şar-Info Yatırım' dan iade geldi. Çizik için onay bekleniyor._x000a_5 adet Redstar rafında ürün var."/>
    <n v="975"/>
    <n v="0"/>
    <m/>
    <m/>
    <n v="6"/>
    <n v="6"/>
    <n v="6"/>
    <n v="6"/>
    <n v="6"/>
    <n v="6"/>
    <n v="6"/>
    <n v="5"/>
    <n v="5"/>
    <n v="5"/>
    <n v="5"/>
    <n v="6"/>
    <n v="6"/>
    <n v="6"/>
    <n v="6"/>
    <n v="6"/>
    <n v="6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5"/>
    <s v="48 Port 4x10G SFP+ L3 Premium"/>
    <x v="32"/>
    <x v="0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6"/>
    <s v="48 Port POE+ 4x10G SFP+ Max Poe Budget 370W"/>
    <x v="32"/>
    <x v="0"/>
    <n v="1002"/>
    <s v="F2"/>
    <s v="Adet"/>
    <n v="1"/>
    <m/>
    <s v="Sıfır paketli"/>
    <s v="1 adet Başakşehir Belediyesi arızalı karşılığı gelen ürün"/>
    <m/>
    <n v="0"/>
    <n v="6"/>
    <n v="6"/>
    <n v="6"/>
    <n v="6"/>
    <n v="6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7"/>
    <s v="48-Port POE+ 370W 4X1G SFP+"/>
    <x v="32"/>
    <x v="0"/>
    <n v="1002"/>
    <s v="F2"/>
    <s v="Adet"/>
    <n v="11"/>
    <m/>
    <s v="Sıfır paketli"/>
    <s v="Praxis Rezerve"/>
    <n v="1323"/>
    <n v="0"/>
    <m/>
    <m/>
    <n v="30"/>
    <m/>
    <m/>
    <m/>
    <m/>
    <m/>
    <m/>
    <m/>
    <m/>
    <m/>
    <m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0"/>
    <n v="10"/>
    <n v="10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14"/>
    <n v="14"/>
    <n v="13"/>
    <n v="1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8"/>
    <s v="48 Port POE+ 2X10G SFP+ Max Poe Budget 740W"/>
    <x v="32"/>
    <x v="0"/>
    <m/>
    <m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9"/>
    <s v="48 Port POE+ 4X1G SFP+ Max Poe Budget 740W"/>
    <x v="32"/>
    <x v="0"/>
    <n v="1002"/>
    <s v="F2"/>
    <s v="Adet"/>
    <n v="20"/>
    <m/>
    <s v="Sıfır, kutulu"/>
    <m/>
    <n v="1348"/>
    <n v="0"/>
    <n v="25"/>
    <n v="25"/>
    <n v="30"/>
    <n v="30"/>
    <n v="30"/>
    <n v="30"/>
    <n v="22"/>
    <n v="22"/>
    <n v="22"/>
    <n v="22"/>
    <n v="22"/>
    <n v="22"/>
    <n v="22"/>
    <n v="23"/>
    <n v="23"/>
    <n v="23"/>
    <n v="22"/>
    <n v="22"/>
    <n v="22"/>
    <n v="22"/>
    <n v="20"/>
    <n v="20"/>
    <n v="20"/>
    <n v="20"/>
    <n v="20"/>
    <n v="20"/>
    <n v="23"/>
    <n v="21"/>
    <n v="21"/>
    <n v="21"/>
    <n v="21"/>
    <n v="21"/>
    <n v="21"/>
    <n v="21"/>
    <n v="36"/>
    <n v="36"/>
    <n v="29"/>
    <n v="29"/>
    <n v="29"/>
    <n v="28"/>
    <n v="28"/>
    <n v="28"/>
    <n v="28"/>
    <n v="28"/>
    <n v="28"/>
    <n v="28"/>
    <n v="28"/>
    <n v="28"/>
    <n v="28"/>
    <n v="28"/>
    <n v="28"/>
    <n v="16"/>
    <n v="16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0"/>
    <s v="48 Port POE+ 4X1G SFP+ Max Poe Budget 740W"/>
    <x v="32"/>
    <x v="0"/>
    <n v="1002"/>
    <s v="F2"/>
    <s v="Adet"/>
    <n v="0"/>
    <n v="1"/>
    <s v="Kutulu"/>
    <s v="Kullanılmış ürün. Mintyfi Belis Otel Demo"/>
    <m/>
    <n v="0"/>
    <n v="0"/>
    <n v="0"/>
    <m/>
    <n v="0"/>
    <n v="0"/>
    <n v="0"/>
    <n v="0"/>
    <n v="0"/>
    <n v="0"/>
    <n v="0"/>
    <n v="0"/>
    <n v="0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1"/>
    <s v="48 Port POE+ 4X10G SFP+ Max Poe Budget 740W"/>
    <x v="32"/>
    <x v="0"/>
    <n v="1002"/>
    <s v="F2"/>
    <s v="Adet"/>
    <n v="1"/>
    <m/>
    <s v="Sıfır, kutulu"/>
    <s v="1 adet KTÜ arızalı karşılığı gelen ürün"/>
    <m/>
    <n v="0"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2"/>
    <s v="16 Port 2.5 POH 32x1G POE+ 6x1G 2x10G 1PS Max Poe:1480W"/>
    <x v="32"/>
    <x v="0"/>
    <n v="1002"/>
    <s v="F2"/>
    <s v="Adet"/>
    <n v="4"/>
    <n v="1"/>
    <s v="Sıfır, kutulu"/>
    <s v="1 adet Kadir Şar-Info Yatırım"/>
    <n v="3000"/>
    <n v="12000"/>
    <n v="5"/>
    <n v="5"/>
    <n v="5"/>
    <n v="5"/>
    <n v="5"/>
    <n v="5"/>
    <n v="5"/>
    <n v="5"/>
    <n v="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393"/>
    <s v="24 Port 1/10G SFP NO PSU/FAN"/>
    <x v="32"/>
    <x v="0"/>
    <n v="1002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4"/>
    <s v="24 Port 1/10G SFP Bundle 2PSU-E R3"/>
    <x v="32"/>
    <x v="0"/>
    <n v="1002"/>
    <s v="F2"/>
    <s v="Adet"/>
    <n v="0"/>
    <m/>
    <s v="Sıfır, kutulu"/>
    <m/>
    <n v="5138.74"/>
    <n v="0"/>
    <m/>
    <m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5"/>
    <s v="48 Port 12x 1/10G SFP NO PSU/FAN"/>
    <x v="32"/>
    <x v="0"/>
    <n v="1002"/>
    <s v="F2"/>
    <s v="Adet"/>
    <m/>
    <m/>
    <m/>
    <m/>
    <n v="3961.71"/>
    <n v="7923.42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96"/>
    <s v="48 PRT 10G SFPP, 6 PRT QSFP, 1 MOD SLT"/>
    <x v="32"/>
    <x v="0"/>
    <n v="1002"/>
    <s v="F2"/>
    <s v="Adet"/>
    <n v="1"/>
    <m/>
    <s v="Nabi'de gelen PSU yok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7"/>
    <s v="48 PRT 10G SFPP, 6 PRT QSFP, 1 MOD SLT"/>
    <x v="32"/>
    <x v="0"/>
    <n v="1002"/>
    <s v="F2"/>
    <s v="Adet"/>
    <n v="1"/>
    <m/>
    <s v="Sıfır paketli"/>
    <m/>
    <n v="5125.82"/>
    <n v="10251.6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98"/>
    <s v="48 Port SFP28 Bundle 2PSU"/>
    <x v="32"/>
    <x v="0"/>
    <n v="1002"/>
    <s v="F2"/>
    <s v="Adet"/>
    <n v="0"/>
    <m/>
    <s v="Sıfır, kutulu"/>
    <m/>
    <m/>
    <n v="0"/>
    <m/>
    <m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9"/>
    <s v="24 Port 1G 4x25G SFP28"/>
    <x v="32"/>
    <x v="0"/>
    <n v="1002"/>
    <s v="F2"/>
    <s v="Adet"/>
    <m/>
    <m/>
    <m/>
    <m/>
    <n v="711.31"/>
    <n v="711.31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00"/>
    <s v="24 Port 100/1000 SFP, 4×25 GbE SFP28"/>
    <x v="32"/>
    <x v="0"/>
    <m/>
    <m/>
    <s v="Adet"/>
    <m/>
    <m/>
    <m/>
    <m/>
    <n v="1692.44"/>
    <n v="5077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401"/>
    <s v="24 Port POE 4x25G SFP28 Max Poe Budget 370W"/>
    <x v="32"/>
    <x v="0"/>
    <n v="1002"/>
    <s v="F2"/>
    <s v="Adet"/>
    <n v="1"/>
    <n v="0"/>
    <s v="Sıfır, kutulu"/>
    <s v="1 adet Başakşehir Belediyesi arızalı karşılığı gelen ürün"/>
    <m/>
    <n v="0"/>
    <n v="3"/>
    <n v="3"/>
    <n v="3"/>
    <n v="3"/>
    <n v="3"/>
    <n v="3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02"/>
    <s v="48 Port 1G 4x25G SFP28"/>
    <x v="32"/>
    <x v="0"/>
    <n v="1002"/>
    <s v="F2"/>
    <s v="Adet"/>
    <m/>
    <m/>
    <m/>
    <m/>
    <n v="1030.18"/>
    <n v="0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</r>
  <r>
    <m/>
    <x v="403"/>
    <s v="48 Port POE 4x25G SFP28 Max Poe Budget 370W"/>
    <x v="32"/>
    <x v="0"/>
    <n v="1002"/>
    <s v="F2"/>
    <s v="Adet"/>
    <n v="4"/>
    <n v="0"/>
    <s v="Sıfır, kutulu"/>
    <m/>
    <n v="1843.48"/>
    <n v="0"/>
    <n v="10"/>
    <n v="10"/>
    <n v="10"/>
    <n v="10"/>
    <n v="10"/>
    <n v="1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0"/>
  </r>
  <r>
    <m/>
    <x v="404"/>
    <s v="48 Port 1G SFP + 4 1/10/25 SFP28 Fiber Switch"/>
    <x v="32"/>
    <x v="0"/>
    <n v="1002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05"/>
    <s v="48 Port POE 4x25G SFP28 Max Poe Budget 740W"/>
    <x v="32"/>
    <x v="0"/>
    <n v="1002"/>
    <s v="F2"/>
    <s v="Adet"/>
    <n v="42"/>
    <n v="1"/>
    <s v="Sıfır, kutulu"/>
    <s v="Test amacıyla 1 adet Kadir Şar' da."/>
    <n v="1833"/>
    <n v="10998"/>
    <n v="6"/>
    <n v="6"/>
    <n v="18"/>
    <n v="43"/>
    <n v="43"/>
    <n v="43"/>
    <n v="43"/>
    <n v="43"/>
    <n v="43"/>
    <n v="43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0"/>
    <n v="40"/>
    <n v="40"/>
    <n v="40"/>
    <n v="40"/>
    <n v="40"/>
    <n v="40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7"/>
    <n v="37"/>
    <n v="37"/>
    <n v="37"/>
    <n v="37"/>
    <n v="37"/>
    <n v="37"/>
    <n v="37"/>
    <n v="36"/>
    <n v="36"/>
    <n v="36"/>
    <n v="13"/>
    <n v="13"/>
    <n v="13"/>
    <n v="13"/>
    <n v="13"/>
    <n v="13"/>
    <n v="13"/>
    <n v="13"/>
    <n v="13"/>
    <n v="13"/>
    <n v="14"/>
    <n v="14"/>
    <n v="14"/>
    <n v="12"/>
    <n v="12"/>
    <n v="12"/>
    <n v="10"/>
    <n v="8"/>
    <n v="6"/>
  </r>
  <r>
    <m/>
    <x v="406"/>
    <s v="48 Port POE FRU Bundle 1PSU Poe Budget 740W"/>
    <x v="32"/>
    <x v="0"/>
    <n v="1002"/>
    <s v="F2"/>
    <s v="Adet"/>
    <n v="5"/>
    <m/>
    <s v="Sıfır, kutulu"/>
    <m/>
    <n v="2782.61"/>
    <n v="19478.27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407"/>
    <s v="48 Port POE 4x25G SFP28 2PSU Poe Budget 1480W"/>
    <x v="32"/>
    <x v="0"/>
    <n v="1002"/>
    <s v="F2"/>
    <s v="Adet"/>
    <n v="0"/>
    <m/>
    <s v="Sıfır, kutulu"/>
    <m/>
    <m/>
    <n v="0"/>
    <m/>
    <m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08"/>
    <s v="ICX7150-C12P Rack Mount Kit"/>
    <x v="32"/>
    <x v="3"/>
    <n v="1006"/>
    <s v="F2"/>
    <s v="Adet"/>
    <n v="0"/>
    <m/>
    <s v="Sıfır paketli"/>
    <m/>
    <m/>
    <n v="0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09"/>
    <s v="Power Cord for VIIG to C13, Europe, 250V 10A"/>
    <x v="32"/>
    <x v="3"/>
    <n v="1006"/>
    <s v="F2"/>
    <s v="Adet"/>
    <n v="60"/>
    <n v="0"/>
    <s v="Sıfır, paketsiz"/>
    <m/>
    <n v="12.78"/>
    <n v="63.9"/>
    <n v="86"/>
    <n v="86"/>
    <n v="119"/>
    <n v="144"/>
    <n v="144"/>
    <n v="144"/>
    <n v="100"/>
    <n v="100"/>
    <n v="100"/>
    <n v="100"/>
    <n v="100"/>
    <n v="90"/>
    <n v="90"/>
    <n v="75"/>
    <n v="75"/>
    <n v="75"/>
    <n v="70"/>
    <n v="70"/>
    <n v="70"/>
    <n v="70"/>
    <n v="60"/>
    <n v="60"/>
    <n v="60"/>
    <n v="58"/>
    <n v="54"/>
    <n v="46"/>
    <n v="47"/>
    <n v="47"/>
    <n v="47"/>
    <n v="47"/>
    <n v="47"/>
    <n v="47"/>
    <n v="47"/>
    <n v="47"/>
    <n v="47"/>
    <n v="47"/>
    <n v="47"/>
    <n v="47"/>
    <n v="47"/>
    <n v="44"/>
    <n v="44"/>
    <n v="44"/>
    <n v="44"/>
    <n v="44"/>
    <n v="44"/>
    <n v="44"/>
    <n v="44"/>
    <n v="44"/>
    <n v="28"/>
    <n v="28"/>
    <n v="28"/>
    <n v="1"/>
    <n v="1"/>
    <n v="1"/>
    <n v="1"/>
    <n v="0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"/>
    <n v="50"/>
    <n v="27"/>
    <n v="27"/>
    <n v="27"/>
    <n v="27"/>
    <n v="27"/>
    <n v="27"/>
    <n v="27"/>
    <n v="27"/>
    <n v="27"/>
    <n v="23"/>
    <n v="23"/>
    <n v="23"/>
    <n v="21"/>
    <n v="17"/>
    <n v="5"/>
  </r>
  <r>
    <m/>
    <x v="410"/>
    <s v="FRU,500WACPS,EXHAUST,ICX7750,SIDEWINDER"/>
    <x v="32"/>
    <x v="3"/>
    <n v="1006"/>
    <s v="F2"/>
    <s v="Adet"/>
    <n v="2"/>
    <m/>
    <m/>
    <m/>
    <n v="458.22"/>
    <n v="916.44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411"/>
    <s v="40G QSFP+ Optical Stack Cable, 5m"/>
    <x v="33"/>
    <x v="3"/>
    <n v="1006"/>
    <s v="F2"/>
    <s v="Adet"/>
    <n v="1"/>
    <m/>
    <m/>
    <m/>
    <n v="236"/>
    <n v="23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12"/>
    <s v="Wi-Fi 6 Dual Radio 1775 Mbps Indoor Wall Plate AP"/>
    <x v="33"/>
    <x v="2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"/>
    <n v="9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13"/>
    <s v="Mounting bracket for the US standard junction box"/>
    <x v="33"/>
    <x v="3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"/>
    <n v="9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14"/>
    <s v="Outdoor AP,IP67,omni 3×3:3, 802.11a/b/g/n/ac"/>
    <x v="33"/>
    <x v="2"/>
    <n v="1002"/>
    <s v="F2"/>
    <s v="Adet"/>
    <n v="6"/>
    <m/>
    <s v="Sıfır paketli"/>
    <m/>
    <n v="462.33"/>
    <n v="2311.65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415"/>
    <s v="Dual Band 11ax Outdoor Wireless AP"/>
    <x v="33"/>
    <x v="2"/>
    <n v="1002"/>
    <s v="F2"/>
    <s v="Adet"/>
    <n v="18"/>
    <m/>
    <m/>
    <m/>
    <n v="263"/>
    <n v="789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9"/>
    <n v="9"/>
    <n v="6"/>
    <n v="4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416"/>
    <s v="Dual Band 11ax Outdoor Wireless AP"/>
    <x v="33"/>
    <x v="2"/>
    <m/>
    <m/>
    <s v="Adet"/>
    <m/>
    <m/>
    <m/>
    <m/>
    <n v="263"/>
    <n v="26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17"/>
    <s v="Wi-Fi 6 Selectable Dual-band Indoor AP"/>
    <x v="33"/>
    <x v="2"/>
    <n v="1002"/>
    <s v="F2"/>
    <s v="Adet"/>
    <n v="7"/>
    <m/>
    <s v="Sıfır paketli"/>
    <m/>
    <n v="96.1"/>
    <n v="0"/>
    <n v="25"/>
    <n v="25"/>
    <n v="25"/>
    <n v="25"/>
    <n v="25"/>
    <n v="25"/>
    <n v="25"/>
    <n v="25"/>
    <n v="25"/>
    <n v="10"/>
    <n v="10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18"/>
    <s v="AX3000 Wi-Fi 6 Multi-Gigabit Indoor AP"/>
    <x v="33"/>
    <x v="2"/>
    <n v="1002"/>
    <s v="F2"/>
    <s v="Adet"/>
    <n v="190"/>
    <m/>
    <s v="Sıfır paketli"/>
    <m/>
    <n v="96"/>
    <n v="96"/>
    <n v="188"/>
    <n v="188"/>
    <n v="188"/>
    <n v="188"/>
    <n v="188"/>
    <n v="188"/>
    <n v="188"/>
    <n v="188"/>
    <n v="188"/>
    <n v="188"/>
    <n v="188"/>
    <n v="188"/>
    <n v="188"/>
    <n v="188"/>
    <n v="190"/>
    <n v="190"/>
    <n v="190"/>
    <n v="190"/>
    <n v="190"/>
    <n v="190"/>
    <n v="190"/>
    <n v="190"/>
    <n v="190"/>
    <n v="190"/>
    <n v="190"/>
    <n v="190"/>
    <n v="190"/>
    <n v="189"/>
    <n v="189"/>
    <n v="189"/>
    <n v="189"/>
    <n v="189"/>
    <n v="189"/>
    <n v="189"/>
    <n v="189"/>
    <n v="188"/>
    <n v="188"/>
    <n v="188"/>
    <n v="188"/>
    <n v="188"/>
    <n v="188"/>
    <n v="188"/>
    <n v="188"/>
    <n v="188"/>
    <n v="188"/>
    <n v="179"/>
    <n v="179"/>
    <n v="179"/>
    <n v="179"/>
    <n v="179"/>
    <n v="167"/>
    <n v="161"/>
    <n v="110"/>
    <n v="103"/>
    <n v="97"/>
    <n v="66"/>
    <n v="66"/>
    <n v="66"/>
    <n v="65"/>
    <n v="65"/>
    <n v="65"/>
    <n v="65"/>
    <n v="65"/>
    <n v="62"/>
    <n v="43"/>
    <n v="43"/>
    <n v="43"/>
    <n v="41"/>
    <n v="41"/>
    <n v="41"/>
    <n v="41"/>
    <n v="35"/>
    <n v="34"/>
    <n v="27"/>
    <n v="23"/>
    <n v="23"/>
    <n v="20"/>
    <n v="14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19"/>
    <s v="1-port PoE Adapter (1000Base-T, 802.3af)"/>
    <x v="33"/>
    <x v="3"/>
    <n v="1006"/>
    <s v="F2"/>
    <s v="Adet"/>
    <n v="2"/>
    <m/>
    <s v="Sıfır paketli"/>
    <m/>
    <n v="18"/>
    <n v="18"/>
    <n v="6"/>
    <n v="6"/>
    <n v="6"/>
    <n v="5"/>
    <n v="5"/>
    <n v="3"/>
    <n v="3"/>
    <n v="3"/>
    <n v="3"/>
    <n v="3"/>
    <n v="3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1"/>
    <n v="0"/>
    <n v="0"/>
    <n v="0"/>
    <n v="0"/>
    <n v="0"/>
    <n v="2"/>
    <n v="2"/>
    <n v="2"/>
    <n v="2"/>
    <n v="2"/>
    <n v="2"/>
    <n v="2"/>
    <n v="2"/>
    <n v="2"/>
    <n v="2"/>
    <n v="2"/>
    <n v="2"/>
    <n v="1"/>
    <n v="1"/>
    <n v="1"/>
    <n v="1"/>
  </r>
  <r>
    <m/>
    <x v="420"/>
    <s v="1-port PoE Adapter (1000Base-T PoE+/ 802.3at)"/>
    <x v="33"/>
    <x v="3"/>
    <n v="1006"/>
    <s v="F2"/>
    <s v="Adet"/>
    <n v="23"/>
    <n v="3"/>
    <s v="Sıfır paketli"/>
    <s v="1 adet Kadir Şar' a teslim edildi._x000a_2 adet Alper Güden araclığıyla Emre Kök"/>
    <n v="30"/>
    <n v="120"/>
    <n v="24"/>
    <n v="24"/>
    <n v="24"/>
    <n v="20"/>
    <n v="20"/>
    <n v="20"/>
    <n v="20"/>
    <n v="20"/>
    <n v="23"/>
    <n v="23"/>
    <n v="23"/>
    <n v="23"/>
    <n v="23"/>
    <n v="23"/>
    <n v="23"/>
    <n v="23"/>
    <n v="23"/>
    <n v="21"/>
    <n v="23"/>
    <n v="23"/>
    <n v="23"/>
    <n v="23"/>
    <n v="23"/>
    <n v="23"/>
    <n v="23"/>
    <n v="19"/>
    <n v="23"/>
    <n v="23"/>
    <n v="23"/>
    <n v="23"/>
    <n v="23"/>
    <n v="23"/>
    <n v="23"/>
    <n v="23"/>
    <n v="23"/>
    <n v="23"/>
    <n v="23"/>
    <n v="21"/>
    <n v="21"/>
    <n v="5"/>
    <n v="5"/>
    <n v="5"/>
    <n v="4"/>
    <n v="4"/>
    <n v="4"/>
    <n v="2"/>
    <n v="2"/>
    <n v="2"/>
    <n v="2"/>
    <n v="2"/>
    <n v="0"/>
    <n v="2"/>
    <n v="2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421"/>
    <s v="8 port 1G Poe, 2x SFP Poe budget: 192W switch"/>
    <x v="33"/>
    <x v="0"/>
    <n v="1002"/>
    <s v="F2"/>
    <s v="Adet"/>
    <n v="1"/>
    <m/>
    <m/>
    <m/>
    <n v="149.16999999999999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22"/>
    <s v="24 port 1G POE, 4 x SFP+, Poe budget: 370W Switch"/>
    <x v="33"/>
    <x v="0"/>
    <n v="1002"/>
    <s v="F2"/>
    <s v="Adet"/>
    <n v="17"/>
    <m/>
    <m/>
    <m/>
    <m/>
    <n v="0"/>
    <n v="28"/>
    <n v="28"/>
    <n v="28"/>
    <n v="28"/>
    <n v="28"/>
    <n v="28"/>
    <n v="28"/>
    <n v="28"/>
    <n v="28"/>
    <n v="28"/>
    <n v="28"/>
    <n v="27"/>
    <n v="27"/>
    <n v="27"/>
    <n v="27"/>
    <n v="27"/>
    <n v="2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8"/>
    <n v="9"/>
    <n v="9"/>
    <n v="9"/>
    <n v="9"/>
    <n v="9"/>
    <n v="3"/>
    <n v="2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23"/>
    <s v="24 port 1G POE, 4 x SFP+, Poe budget: 370W Switch"/>
    <x v="33"/>
    <x v="0"/>
    <m/>
    <m/>
    <s v="Adet"/>
    <n v="0"/>
    <m/>
    <m/>
    <m/>
    <n v="4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</r>
  <r>
    <m/>
    <x v="424"/>
    <s v="48 port 1G POE, 4x SFP, Poe budget: 370W Switch"/>
    <x v="33"/>
    <x v="0"/>
    <n v="1002"/>
    <s v="F2"/>
    <s v="Adet"/>
    <n v="0"/>
    <m/>
    <m/>
    <m/>
    <n v="625"/>
    <n v="0"/>
    <n v="6"/>
    <n v="6"/>
    <n v="6"/>
    <n v="6"/>
    <n v="6"/>
    <n v="6"/>
    <n v="6"/>
    <n v="5"/>
    <n v="5"/>
    <n v="3"/>
    <n v="3"/>
    <n v="3"/>
    <n v="3"/>
    <n v="3"/>
    <n v="3"/>
    <n v="3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25"/>
    <s v="24 port 1G SFP, 8x1G combo, 4x10G SFP+ Switch"/>
    <x v="33"/>
    <x v="0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26"/>
    <s v="AC PSU, 740W PoE for S5310-24/  S5310-48"/>
    <x v="33"/>
    <x v="3"/>
    <n v="1006"/>
    <s v="F2"/>
    <s v="Adet"/>
    <n v="20"/>
    <m/>
    <m/>
    <m/>
    <n v="490"/>
    <n v="980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427"/>
    <s v="150W AC power module for RG-S6120-20XS4VS2QXS"/>
    <x v="33"/>
    <x v="3"/>
    <n v="1006"/>
    <s v="F2"/>
    <s v="Adet"/>
    <n v="2"/>
    <m/>
    <s v="Sıfır paketli"/>
    <s v="4xÖztuğ, 2xYalıkavak"/>
    <n v="184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28"/>
    <s v="AC Power Module, 370W Power Budget for PoE"/>
    <x v="33"/>
    <x v="3"/>
    <n v="1006"/>
    <s v="F2"/>
    <s v="Adet"/>
    <n v="8"/>
    <m/>
    <s v="Sıfır paketli"/>
    <m/>
    <n v="227"/>
    <n v="1135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7"/>
    <n v="7"/>
    <n v="7"/>
    <n v="7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429"/>
    <s v="24 Port 1G, 4x 1G/10G SFP+ (non-combo) switch"/>
    <x v="33"/>
    <x v="0"/>
    <n v="1002"/>
    <s v="F2"/>
    <s v="Adet"/>
    <n v="3"/>
    <m/>
    <m/>
    <m/>
    <n v="400"/>
    <n v="120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430"/>
    <s v="48 port 1G 4x 1G/10G SFP+ Switch"/>
    <x v="33"/>
    <x v="0"/>
    <n v="1002"/>
    <s v="F2"/>
    <s v="Adet"/>
    <n v="4"/>
    <m/>
    <m/>
    <m/>
    <n v="883"/>
    <n v="3532"/>
    <n v="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431"/>
    <s v="24-PORT 10/100/1000BASE-T,4x1G/10G SFP+ PORTS"/>
    <x v="33"/>
    <x v="0"/>
    <n v="1002"/>
    <s v="F2"/>
    <s v="Adet"/>
    <n v="11"/>
    <m/>
    <s v="Sıfır paketli"/>
    <m/>
    <n v="805"/>
    <n v="7245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0"/>
    <n v="10"/>
    <n v="10"/>
    <n v="10"/>
    <n v="10"/>
    <n v="10"/>
    <n v="10"/>
    <n v="10"/>
    <n v="10"/>
    <n v="10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</r>
  <r>
    <m/>
    <x v="432"/>
    <s v="48-PORT 10/100/1000BASE-T,4x1G/10G SFP+ PORTS"/>
    <x v="33"/>
    <x v="0"/>
    <n v="1002"/>
    <s v="F2"/>
    <s v="Adet"/>
    <n v="12"/>
    <m/>
    <s v="Sıfır paketli"/>
    <m/>
    <n v="1108"/>
    <n v="12188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</r>
  <r>
    <m/>
    <x v="433"/>
    <s v="Wireless Controller 6x 1G 2x 1G/SFP combo Max:200AP"/>
    <x v="33"/>
    <x v="5"/>
    <n v="1002"/>
    <s v="F2"/>
    <s v="Adet"/>
    <n v="0"/>
    <m/>
    <m/>
    <m/>
    <n v="930"/>
    <n v="93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34"/>
    <s v="10G SFP+ Optical Stack Cable, 5m"/>
    <x v="33"/>
    <x v="3"/>
    <n v="1006"/>
    <s v="F2"/>
    <s v="Adet"/>
    <n v="16"/>
    <m/>
    <m/>
    <m/>
    <n v="98"/>
    <n v="1568"/>
    <n v="20"/>
    <n v="20"/>
    <n v="20"/>
    <n v="20"/>
    <n v="20"/>
    <n v="20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</r>
  <r>
    <m/>
    <x v="435"/>
    <s v="10GBase-LR, SFP+ transceiver (1310nm, 10km, LC)"/>
    <x v="33"/>
    <x v="6"/>
    <n v="1006"/>
    <s v="F2"/>
    <s v="Adet"/>
    <n v="54"/>
    <m/>
    <s v="Kullanılmış kutusuz"/>
    <m/>
    <n v="71.38"/>
    <n v="3854.5199999999995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</r>
  <r>
    <m/>
    <x v="436"/>
    <s v="10GBase-SR SFP+ transceiver (850nm 300m LC)"/>
    <x v="33"/>
    <x v="6"/>
    <m/>
    <m/>
    <s v="Adet"/>
    <m/>
    <m/>
    <m/>
    <m/>
    <n v="46"/>
    <n v="46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437"/>
    <s v="Layer 2+ Switch,24x1G BASE-T ports, 4x1G SFP"/>
    <x v="33"/>
    <x v="0"/>
    <n v="1002"/>
    <s v="F2"/>
    <s v="Adet"/>
    <n v="2"/>
    <m/>
    <s v="Sıfır paketli"/>
    <m/>
    <n v="213.5"/>
    <n v="213.5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38"/>
    <s v="STATYS XS 16A 230V Single Phase 2 Wires 2 Pole Switching 19&quot; Rack"/>
    <x v="34"/>
    <x v="35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39"/>
    <s v="Barkod okuyucu kablosu"/>
    <x v="35"/>
    <x v="3"/>
    <n v="1005"/>
    <s v="F2"/>
    <s v="Adet"/>
    <n v="2"/>
    <m/>
    <s v="Sıfır, paketli"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440"/>
    <s v="Ethernet Kartı 25G Dual Port"/>
    <x v="36"/>
    <x v="30"/>
    <m/>
    <s v="F2"/>
    <s v="Adet"/>
    <n v="4"/>
    <n v="2"/>
    <m/>
    <s v="2 adet Info Yatırım' da. (HFT)"/>
    <m/>
    <n v="0"/>
    <m/>
    <m/>
    <m/>
    <m/>
    <m/>
    <m/>
    <n v="0"/>
    <m/>
    <n v="0"/>
    <m/>
    <m/>
    <n v="0"/>
    <m/>
    <n v="0"/>
    <n v="0"/>
    <n v="0"/>
    <n v="0"/>
    <n v="0"/>
    <n v="0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41"/>
    <s v="Xilinx Alveo X3522 Low Latency Network Adapter"/>
    <x v="37"/>
    <x v="30"/>
    <m/>
    <s v="F2"/>
    <s v="Adet"/>
    <n v="2"/>
    <m/>
    <s v="Sıfır kutulu"/>
    <m/>
    <m/>
    <n v="0"/>
    <m/>
    <m/>
    <m/>
    <m/>
    <m/>
    <m/>
    <m/>
    <m/>
    <m/>
    <m/>
    <m/>
    <n v="3"/>
    <m/>
    <m/>
    <n v="0"/>
    <n v="0"/>
    <n v="0"/>
    <n v="0"/>
    <n v="0"/>
    <n v="0"/>
    <n v="2"/>
    <n v="2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D9243E-B7FD-469F-A813-3EC3EA122F7B}" name="PivotTable4" cacheId="6" applyNumberFormats="0" applyBorderFormats="0" applyFontFormats="0" applyPatternFormats="0" applyAlignmentFormats="0" applyWidthHeightFormats="1" dataCaption="Değerler" updatedVersion="8" minRefreshableVersion="3" itemPrintTitles="1" createdVersion="8" indent="0" outline="1" outlineData="1" multipleFieldFilters="0">
  <location ref="F5:I487" firstHeaderRow="0" firstDataRow="1" firstDataCol="1"/>
  <pivotFields count="117">
    <pivotField showAll="0"/>
    <pivotField axis="axisRow" showAll="0" sortType="ascending">
      <items count="443">
        <item sd="0" x="297"/>
        <item x="92"/>
        <item sd="0" x="339"/>
        <item x="74"/>
        <item x="85"/>
        <item x="86"/>
        <item x="73"/>
        <item x="81"/>
        <item x="84"/>
        <item x="438"/>
        <item x="311"/>
        <item x="308"/>
        <item x="299"/>
        <item x="298"/>
        <item sd="0" x="341"/>
        <item sd="0" x="342"/>
        <item sd="0" x="343"/>
        <item sd="0" x="67"/>
        <item x="302"/>
        <item sd="0" x="50"/>
        <item sd="0" x="51"/>
        <item x="75"/>
        <item x="76"/>
        <item x="83"/>
        <item sd="0" x="52"/>
        <item sd="0" x="53"/>
        <item sd="0" x="54"/>
        <item x="82"/>
        <item x="68"/>
        <item sd="0" x="89"/>
        <item sd="0" x="88"/>
        <item x="90"/>
        <item x="70"/>
        <item x="71"/>
        <item sd="0" x="56"/>
        <item x="72"/>
        <item x="69"/>
        <item sd="0" x="286"/>
        <item sd="0" x="91"/>
        <item sd="0" x="411"/>
        <item x="305"/>
        <item sd="0" x="289"/>
        <item x="290"/>
        <item sd="0" x="292"/>
        <item sd="0" x="346"/>
        <item sd="0" x="347"/>
        <item sd="0" x="57"/>
        <item x="79"/>
        <item x="77"/>
        <item sd="0" x="287"/>
        <item x="300"/>
        <item sd="0" x="14"/>
        <item x="304"/>
        <item x="267"/>
        <item x="303"/>
        <item sd="0" x="58"/>
        <item sd="0" x="291"/>
        <item x="354"/>
        <item sd="0" x="355"/>
        <item x="356"/>
        <item sd="0" x="357"/>
        <item sd="0" x="358"/>
        <item sd="0" x="359"/>
        <item sd="0" x="360"/>
        <item sd="0" x="361"/>
        <item x="362"/>
        <item sd="0" x="363"/>
        <item sd="0" x="364"/>
        <item sd="0" x="365"/>
        <item sd="0" x="366"/>
        <item sd="0" x="367"/>
        <item sd="0" x="368"/>
        <item sd="0" x="369"/>
        <item sd="0" x="370"/>
        <item sd="0" x="371"/>
        <item x="351"/>
        <item sd="0" x="49"/>
        <item x="372"/>
        <item x="373"/>
        <item x="374"/>
        <item sd="0" x="375"/>
        <item x="376"/>
        <item sd="0" x="377"/>
        <item x="78"/>
        <item sd="0" x="36"/>
        <item sd="0" x="37"/>
        <item sd="0" x="38"/>
        <item sd="0" x="93"/>
        <item sd="0" x="94"/>
        <item x="95"/>
        <item sd="0" x="96"/>
        <item x="97"/>
        <item sd="0" x="98"/>
        <item x="99"/>
        <item x="338"/>
        <item x="337"/>
        <item sd="0" x="15"/>
        <item sd="0" x="0"/>
        <item sd="0" x="1"/>
        <item x="441"/>
        <item sd="0" x="30"/>
        <item sd="0" x="29"/>
        <item sd="0" x="24"/>
        <item sd="0" x="31"/>
        <item x="34"/>
        <item sd="0" x="25"/>
        <item sd="0" x="27"/>
        <item x="26"/>
        <item x="28"/>
        <item x="33"/>
        <item x="23"/>
        <item x="32"/>
        <item x="323"/>
        <item x="45"/>
        <item x="44"/>
        <item sd="0" x="21"/>
        <item sd="0" x="19"/>
        <item sd="0" x="20"/>
        <item sd="0" x="439"/>
        <item sd="0" x="39"/>
        <item sd="0" x="40"/>
        <item sd="0" x="59"/>
        <item sd="0" x="18"/>
        <item sd="0" x="100"/>
        <item sd="0" x="101"/>
        <item sd="0" x="102"/>
        <item sd="0" x="103"/>
        <item sd="0" x="104"/>
        <item sd="0" x="284"/>
        <item x="344"/>
        <item x="345"/>
        <item sd="0" x="35"/>
        <item x="105"/>
        <item x="295"/>
        <item sd="0" x="270"/>
        <item sd="0" x="271"/>
        <item sd="0" x="235"/>
        <item sd="0" x="236"/>
        <item sd="0" x="237"/>
        <item sd="0" x="238"/>
        <item sd="0" x="248"/>
        <item sd="0" x="249"/>
        <item sd="0" x="118"/>
        <item sd="0" x="119"/>
        <item sd="0" x="180"/>
        <item sd="0" x="181"/>
        <item sd="0" x="183"/>
        <item sd="0" x="165"/>
        <item sd="0" x="166"/>
        <item sd="0" x="167"/>
        <item sd="0" x="168"/>
        <item sd="0" x="169"/>
        <item sd="0" x="178"/>
        <item sd="0" x="179"/>
        <item sd="0" x="112"/>
        <item sd="0" x="114"/>
        <item sd="0" x="115"/>
        <item sd="0" x="130"/>
        <item sd="0" x="155"/>
        <item sd="0" x="120"/>
        <item sd="0" x="140"/>
        <item sd="0" x="131"/>
        <item sd="0" x="156"/>
        <item sd="0" x="121"/>
        <item sd="0" x="141"/>
        <item sd="0" x="150"/>
        <item sd="0" x="132"/>
        <item sd="0" x="157"/>
        <item sd="0" x="122"/>
        <item sd="0" x="142"/>
        <item sd="0" x="151"/>
        <item sd="0" x="133"/>
        <item sd="0" x="158"/>
        <item sd="0" x="123"/>
        <item sd="0" x="143"/>
        <item sd="0" x="152"/>
        <item sd="0" x="134"/>
        <item sd="0" x="159"/>
        <item sd="0" x="124"/>
        <item sd="0" x="144"/>
        <item sd="0" x="153"/>
        <item sd="0" x="135"/>
        <item sd="0" x="160"/>
        <item sd="0" x="125"/>
        <item sd="0" x="145"/>
        <item sd="0" x="154"/>
        <item sd="0" x="136"/>
        <item sd="0" x="161"/>
        <item sd="0" x="126"/>
        <item sd="0" x="146"/>
        <item sd="0" x="137"/>
        <item sd="0" x="162"/>
        <item sd="0" x="127"/>
        <item sd="0" x="147"/>
        <item sd="0" x="138"/>
        <item sd="0" x="163"/>
        <item sd="0" x="128"/>
        <item sd="0" x="148"/>
        <item sd="0" x="139"/>
        <item sd="0" x="164"/>
        <item sd="0" x="129"/>
        <item sd="0" x="149"/>
        <item sd="0" x="116"/>
        <item sd="0" x="117"/>
        <item sd="0" x="172"/>
        <item sd="0" x="176"/>
        <item sd="0" x="174"/>
        <item sd="0" x="175"/>
        <item sd="0" x="177"/>
        <item sd="0" x="170"/>
        <item sd="0" x="171"/>
        <item sd="0" x="182"/>
        <item sd="0" x="226"/>
        <item sd="0" x="227"/>
        <item sd="0" x="246"/>
        <item sd="0" x="247"/>
        <item sd="0" x="243"/>
        <item sd="0" x="244"/>
        <item x="245"/>
        <item sd="0" x="255"/>
        <item sd="0" x="256"/>
        <item sd="0" x="259"/>
        <item sd="0" x="219"/>
        <item sd="0" x="184"/>
        <item sd="0" x="258"/>
        <item sd="0" x="260"/>
        <item sd="0" x="262"/>
        <item sd="0" x="264"/>
        <item sd="0" x="193"/>
        <item sd="0" x="194"/>
        <item sd="0" x="195"/>
        <item sd="0" x="196"/>
        <item sd="0" x="208"/>
        <item sd="0" x="197"/>
        <item sd="0" x="198"/>
        <item sd="0" x="199"/>
        <item sd="0" x="200"/>
        <item sd="0" x="209"/>
        <item sd="0" x="189"/>
        <item sd="0" x="190"/>
        <item sd="0" x="191"/>
        <item sd="0" x="192"/>
        <item sd="0" x="207"/>
        <item sd="0" x="214"/>
        <item sd="0" x="215"/>
        <item sd="0" x="213"/>
        <item sd="0" x="234"/>
        <item sd="0" x="232"/>
        <item x="233"/>
        <item sd="0" x="223"/>
        <item sd="0" x="224"/>
        <item sd="0" x="225"/>
        <item sd="0" x="257"/>
        <item sd="0" x="186"/>
        <item sd="0" x="265"/>
        <item sd="0" x="187"/>
        <item sd="0" x="188"/>
        <item sd="0" x="241"/>
        <item sd="0" x="242"/>
        <item sd="0" x="254"/>
        <item sd="0" x="253"/>
        <item sd="0" x="252"/>
        <item sd="0" x="240"/>
        <item sd="0" x="229"/>
        <item sd="0" x="228"/>
        <item x="239"/>
        <item sd="0" x="205"/>
        <item sd="0" x="206"/>
        <item sd="0" x="201"/>
        <item sd="0" x="202"/>
        <item sd="0" x="203"/>
        <item sd="0" x="204"/>
        <item sd="0" x="217"/>
        <item sd="0" x="218"/>
        <item sd="0" x="216"/>
        <item sd="0" x="211"/>
        <item sd="0" x="212"/>
        <item sd="0" x="210"/>
        <item sd="0" x="250"/>
        <item sd="0" x="251"/>
        <item sd="0" x="220"/>
        <item sd="0" x="266"/>
        <item sd="0" x="230"/>
        <item sd="0" x="231"/>
        <item sd="0" x="185"/>
        <item sd="0" x="221"/>
        <item sd="0" x="222"/>
        <item sd="0" x="110"/>
        <item x="268"/>
        <item x="80"/>
        <item sd="0" x="275"/>
        <item sd="0" x="276"/>
        <item x="277"/>
        <item sd="0" x="272"/>
        <item sd="0" x="274"/>
        <item sd="0" x="273"/>
        <item sd="0" x="333"/>
        <item sd="0" x="334"/>
        <item sd="0" x="332"/>
        <item sd="0" x="335"/>
        <item sd="0" x="269"/>
        <item x="47"/>
        <item sd="0" x="46"/>
        <item x="306"/>
        <item x="106"/>
        <item sd="0" x="13"/>
        <item sd="0" x="378"/>
        <item sd="0" x="408"/>
        <item sd="0" x="381"/>
        <item sd="0" x="380"/>
        <item sd="0" x="382"/>
        <item x="385"/>
        <item sd="0" x="384"/>
        <item sd="0" x="386"/>
        <item sd="0" x="387"/>
        <item x="388"/>
        <item sd="0" x="391"/>
        <item sd="0" x="389"/>
        <item sd="0" x="392"/>
        <item x="379"/>
        <item x="393"/>
        <item sd="0" x="394"/>
        <item x="395"/>
        <item sd="0" x="396"/>
        <item sd="0" x="398"/>
        <item x="399"/>
        <item x="400"/>
        <item sd="0" x="401"/>
        <item x="402"/>
        <item x="404"/>
        <item sd="0" x="403"/>
        <item sd="0" x="405"/>
        <item sd="0" x="406"/>
        <item sd="0" x="407"/>
        <item x="350"/>
        <item x="329"/>
        <item x="330"/>
        <item x="331"/>
        <item x="327"/>
        <item x="281"/>
        <item x="279"/>
        <item x="8"/>
        <item sd="0" x="285"/>
        <item x="11"/>
        <item x="9"/>
        <item x="12"/>
        <item sd="0" x="3"/>
        <item x="294"/>
        <item x="296"/>
        <item sd="0" x="2"/>
        <item sd="0" x="4"/>
        <item sd="0" x="440"/>
        <item sd="0" x="108"/>
        <item x="293"/>
        <item sd="0" x="60"/>
        <item sd="0" x="61"/>
        <item x="62"/>
        <item x="63"/>
        <item x="64"/>
        <item x="65"/>
        <item x="66"/>
        <item x="87"/>
        <item x="353"/>
        <item sd="0" x="352"/>
        <item x="55"/>
        <item x="324"/>
        <item sd="0" x="409"/>
        <item x="113"/>
        <item x="173"/>
        <item x="261"/>
        <item x="263"/>
        <item x="111"/>
        <item x="107"/>
        <item x="383"/>
        <item x="390"/>
        <item x="397"/>
        <item x="282"/>
        <item x="280"/>
        <item x="312"/>
        <item x="313"/>
        <item x="314"/>
        <item x="315"/>
        <item x="322"/>
        <item x="317"/>
        <item x="320"/>
        <item x="316"/>
        <item x="325"/>
        <item x="319"/>
        <item x="318"/>
        <item x="283"/>
        <item x="16"/>
        <item x="416"/>
        <item x="423"/>
        <item x="309"/>
        <item x="321"/>
        <item sd="0" x="5"/>
        <item sd="0" x="6"/>
        <item x="48"/>
        <item x="10"/>
        <item sd="0" x="17"/>
        <item sd="0" x="7"/>
        <item sd="0" x="109"/>
        <item x="412"/>
        <item x="413"/>
        <item sd="0" x="414"/>
        <item sd="0" x="415"/>
        <item sd="0" x="417"/>
        <item sd="0" x="418"/>
        <item sd="0" x="419"/>
        <item sd="0" x="420"/>
        <item sd="0" x="421"/>
        <item sd="0" x="422"/>
        <item x="425"/>
        <item sd="0" x="424"/>
        <item sd="0" x="426"/>
        <item sd="0" x="427"/>
        <item sd="0" x="428"/>
        <item sd="0" x="429"/>
        <item sd="0" x="430"/>
        <item sd="0" x="431"/>
        <item sd="0" x="432"/>
        <item sd="0" x="433"/>
        <item x="349"/>
        <item sd="0" x="410"/>
        <item x="328"/>
        <item x="42"/>
        <item sd="0" x="22"/>
        <item sd="0" x="41"/>
        <item sd="0" x="278"/>
        <item sd="0" x="326"/>
        <item x="307"/>
        <item x="340"/>
        <item sd="0" x="310"/>
        <item sd="0" x="336"/>
        <item sd="0" x="43"/>
        <item sd="0" x="301"/>
        <item sd="0" x="288"/>
        <item sd="0" x="348"/>
        <item sd="0" x="434"/>
        <item sd="0" x="435"/>
        <item x="436"/>
        <item sd="0" x="437"/>
        <item t="default" sd="0"/>
      </items>
    </pivotField>
    <pivotField showAll="0"/>
    <pivotField axis="axisRow" showAll="0">
      <items count="39">
        <item x="0"/>
        <item x="1"/>
        <item x="3"/>
        <item x="4"/>
        <item x="5"/>
        <item x="6"/>
        <item x="7"/>
        <item x="8"/>
        <item x="9"/>
        <item x="10"/>
        <item x="11"/>
        <item x="12"/>
        <item x="13"/>
        <item x="15"/>
        <item x="16"/>
        <item x="17"/>
        <item x="20"/>
        <item x="21"/>
        <item x="22"/>
        <item x="36"/>
        <item x="27"/>
        <item x="23"/>
        <item x="28"/>
        <item x="30"/>
        <item x="32"/>
        <item x="33"/>
        <item x="35"/>
        <item x="2"/>
        <item x="25"/>
        <item x="19"/>
        <item x="34"/>
        <item x="37"/>
        <item x="31"/>
        <item x="18"/>
        <item x="29"/>
        <item x="24"/>
        <item x="26"/>
        <item x="14"/>
        <item t="default"/>
      </items>
    </pivotField>
    <pivotField showAll="0">
      <items count="37">
        <item x="3"/>
        <item x="32"/>
        <item x="2"/>
        <item x="23"/>
        <item x="22"/>
        <item x="5"/>
        <item x="1"/>
        <item x="8"/>
        <item x="12"/>
        <item x="16"/>
        <item x="4"/>
        <item x="29"/>
        <item x="33"/>
        <item x="30"/>
        <item x="24"/>
        <item x="11"/>
        <item x="7"/>
        <item x="13"/>
        <item x="9"/>
        <item x="27"/>
        <item x="15"/>
        <item x="10"/>
        <item x="21"/>
        <item x="25"/>
        <item x="34"/>
        <item x="18"/>
        <item x="19"/>
        <item x="31"/>
        <item x="14"/>
        <item x="20"/>
        <item x="17"/>
        <item x="6"/>
        <item x="26"/>
        <item x="0"/>
        <item x="28"/>
        <item x="3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2">
    <field x="3"/>
    <field x="1"/>
  </rowFields>
  <rowItems count="482">
    <i>
      <x/>
    </i>
    <i r="1">
      <x v="97"/>
    </i>
    <i r="1">
      <x v="98"/>
    </i>
    <i>
      <x v="1"/>
    </i>
    <i r="1">
      <x v="51"/>
    </i>
    <i r="1">
      <x v="96"/>
    </i>
    <i r="1">
      <x v="305"/>
    </i>
    <i r="1">
      <x v="341"/>
    </i>
    <i r="1">
      <x v="343"/>
    </i>
    <i r="1">
      <x v="344"/>
    </i>
    <i r="1">
      <x v="345"/>
    </i>
    <i r="1">
      <x v="346"/>
    </i>
    <i r="1">
      <x v="349"/>
    </i>
    <i r="1">
      <x v="350"/>
    </i>
    <i r="1">
      <x v="390"/>
    </i>
    <i r="1">
      <x v="395"/>
    </i>
    <i r="1">
      <x v="396"/>
    </i>
    <i r="1">
      <x v="398"/>
    </i>
    <i r="1">
      <x v="399"/>
    </i>
    <i r="1">
      <x v="400"/>
    </i>
    <i>
      <x v="2"/>
    </i>
    <i r="1">
      <x v="100"/>
    </i>
    <i r="1">
      <x v="101"/>
    </i>
    <i r="1">
      <x v="102"/>
    </i>
    <i r="1">
      <x v="103"/>
    </i>
    <i r="1">
      <x v="104"/>
    </i>
    <i r="1">
      <x v="105"/>
    </i>
    <i r="1">
      <x v="106"/>
    </i>
    <i r="1">
      <x v="107"/>
    </i>
    <i r="1">
      <x v="108"/>
    </i>
    <i r="1">
      <x v="109"/>
    </i>
    <i r="1">
      <x v="110"/>
    </i>
    <i r="1">
      <x v="111"/>
    </i>
    <i>
      <x v="3"/>
    </i>
    <i r="1">
      <x v="131"/>
    </i>
    <i>
      <x v="4"/>
    </i>
    <i r="1">
      <x v="84"/>
    </i>
    <i r="1">
      <x v="85"/>
    </i>
    <i r="1">
      <x v="86"/>
    </i>
    <i r="1">
      <x v="113"/>
    </i>
    <i r="1">
      <x v="114"/>
    </i>
    <i r="1">
      <x v="119"/>
    </i>
    <i r="1">
      <x v="120"/>
    </i>
    <i r="1">
      <x v="301"/>
    </i>
    <i r="1">
      <x v="302"/>
    </i>
    <i r="1">
      <x v="397"/>
    </i>
    <i r="1">
      <x v="425"/>
    </i>
    <i r="1">
      <x v="427"/>
    </i>
    <i r="1">
      <x v="434"/>
    </i>
    <i>
      <x v="5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7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32"/>
    </i>
    <i r="1">
      <x v="33"/>
    </i>
    <i r="1">
      <x v="34"/>
    </i>
    <i r="1">
      <x v="35"/>
    </i>
    <i r="1">
      <x v="36"/>
    </i>
    <i r="1">
      <x v="46"/>
    </i>
    <i r="1">
      <x v="47"/>
    </i>
    <i r="1">
      <x v="48"/>
    </i>
    <i r="1">
      <x v="55"/>
    </i>
    <i r="1">
      <x v="76"/>
    </i>
    <i r="1">
      <x v="83"/>
    </i>
    <i r="1">
      <x v="121"/>
    </i>
    <i r="1">
      <x v="289"/>
    </i>
    <i r="1">
      <x v="354"/>
    </i>
    <i r="1">
      <x v="355"/>
    </i>
    <i r="1">
      <x v="356"/>
    </i>
    <i r="1">
      <x v="357"/>
    </i>
    <i r="1">
      <x v="358"/>
    </i>
    <i r="1">
      <x v="359"/>
    </i>
    <i r="1">
      <x v="360"/>
    </i>
    <i r="1">
      <x v="364"/>
    </i>
    <i>
      <x v="6"/>
    </i>
    <i r="1">
      <x v="1"/>
    </i>
    <i r="1">
      <x v="29"/>
    </i>
    <i r="1">
      <x v="30"/>
    </i>
    <i r="1">
      <x v="31"/>
    </i>
    <i r="1">
      <x v="38"/>
    </i>
    <i r="1">
      <x v="361"/>
    </i>
    <i>
      <x v="7"/>
    </i>
    <i r="1">
      <x v="87"/>
    </i>
    <i r="1">
      <x v="88"/>
    </i>
    <i r="1">
      <x v="89"/>
    </i>
    <i r="1">
      <x v="90"/>
    </i>
    <i r="1">
      <x v="91"/>
    </i>
    <i r="1">
      <x v="92"/>
    </i>
    <i r="1">
      <x v="93"/>
    </i>
    <i r="1">
      <x v="123"/>
    </i>
    <i r="1">
      <x v="124"/>
    </i>
    <i r="1">
      <x v="125"/>
    </i>
    <i r="1">
      <x v="126"/>
    </i>
    <i r="1">
      <x v="127"/>
    </i>
    <i>
      <x v="8"/>
    </i>
    <i r="1">
      <x v="132"/>
    </i>
    <i r="1">
      <x v="304"/>
    </i>
    <i r="1">
      <x v="372"/>
    </i>
    <i>
      <x v="9"/>
    </i>
    <i r="1">
      <x v="352"/>
    </i>
    <i r="1">
      <x v="401"/>
    </i>
    <i>
      <x v="10"/>
    </i>
    <i r="1">
      <x v="53"/>
    </i>
    <i r="1">
      <x v="136"/>
    </i>
    <i r="1">
      <x v="137"/>
    </i>
    <i r="1">
      <x v="138"/>
    </i>
    <i r="1">
      <x v="139"/>
    </i>
    <i r="1">
      <x v="140"/>
    </i>
    <i r="1">
      <x v="141"/>
    </i>
    <i r="1">
      <x v="142"/>
    </i>
    <i r="1">
      <x v="143"/>
    </i>
    <i r="1">
      <x v="144"/>
    </i>
    <i r="1">
      <x v="145"/>
    </i>
    <i r="1">
      <x v="146"/>
    </i>
    <i r="1">
      <x v="147"/>
    </i>
    <i r="1">
      <x v="148"/>
    </i>
    <i r="1">
      <x v="149"/>
    </i>
    <i r="1">
      <x v="150"/>
    </i>
    <i r="1">
      <x v="151"/>
    </i>
    <i r="1">
      <x v="152"/>
    </i>
    <i r="1">
      <x v="153"/>
    </i>
    <i r="1">
      <x v="154"/>
    </i>
    <i r="1">
      <x v="155"/>
    </i>
    <i r="1">
      <x v="156"/>
    </i>
    <i r="1">
      <x v="157"/>
    </i>
    <i r="1">
      <x v="158"/>
    </i>
    <i r="1">
      <x v="159"/>
    </i>
    <i r="1">
      <x v="160"/>
    </i>
    <i r="1">
      <x v="161"/>
    </i>
    <i r="1">
      <x v="162"/>
    </i>
    <i r="1">
      <x v="163"/>
    </i>
    <i r="1">
      <x v="164"/>
    </i>
    <i r="1">
      <x v="165"/>
    </i>
    <i r="1">
      <x v="166"/>
    </i>
    <i r="1">
      <x v="167"/>
    </i>
    <i r="1">
      <x v="168"/>
    </i>
    <i r="1">
      <x v="169"/>
    </i>
    <i r="1">
      <x v="170"/>
    </i>
    <i r="1">
      <x v="171"/>
    </i>
    <i r="1">
      <x v="172"/>
    </i>
    <i r="1">
      <x v="173"/>
    </i>
    <i r="1">
      <x v="174"/>
    </i>
    <i r="1">
      <x v="175"/>
    </i>
    <i r="1">
      <x v="176"/>
    </i>
    <i r="1">
      <x v="177"/>
    </i>
    <i r="1">
      <x v="178"/>
    </i>
    <i r="1">
      <x v="179"/>
    </i>
    <i r="1">
      <x v="180"/>
    </i>
    <i r="1">
      <x v="181"/>
    </i>
    <i r="1">
      <x v="182"/>
    </i>
    <i r="1">
      <x v="183"/>
    </i>
    <i r="1">
      <x v="184"/>
    </i>
    <i r="1">
      <x v="185"/>
    </i>
    <i r="1">
      <x v="186"/>
    </i>
    <i r="1">
      <x v="187"/>
    </i>
    <i r="1">
      <x v="188"/>
    </i>
    <i r="1">
      <x v="189"/>
    </i>
    <i r="1">
      <x v="190"/>
    </i>
    <i r="1">
      <x v="191"/>
    </i>
    <i r="1">
      <x v="192"/>
    </i>
    <i r="1">
      <x v="193"/>
    </i>
    <i r="1">
      <x v="194"/>
    </i>
    <i r="1">
      <x v="195"/>
    </i>
    <i r="1">
      <x v="196"/>
    </i>
    <i r="1">
      <x v="197"/>
    </i>
    <i r="1">
      <x v="198"/>
    </i>
    <i r="1">
      <x v="199"/>
    </i>
    <i r="1">
      <x v="200"/>
    </i>
    <i r="1">
      <x v="201"/>
    </i>
    <i r="1">
      <x v="202"/>
    </i>
    <i r="1">
      <x v="203"/>
    </i>
    <i r="1">
      <x v="204"/>
    </i>
    <i r="1">
      <x v="205"/>
    </i>
    <i r="1">
      <x v="206"/>
    </i>
    <i r="1">
      <x v="207"/>
    </i>
    <i r="1">
      <x v="208"/>
    </i>
    <i r="1">
      <x v="209"/>
    </i>
    <i r="1">
      <x v="210"/>
    </i>
    <i r="1">
      <x v="211"/>
    </i>
    <i r="1">
      <x v="212"/>
    </i>
    <i r="1">
      <x v="213"/>
    </i>
    <i r="1">
      <x v="214"/>
    </i>
    <i r="1">
      <x v="215"/>
    </i>
    <i r="1">
      <x v="216"/>
    </i>
    <i r="1">
      <x v="217"/>
    </i>
    <i r="1">
      <x v="218"/>
    </i>
    <i r="1">
      <x v="219"/>
    </i>
    <i r="1">
      <x v="220"/>
    </i>
    <i r="1">
      <x v="221"/>
    </i>
    <i r="1">
      <x v="222"/>
    </i>
    <i r="1">
      <x v="223"/>
    </i>
    <i r="1">
      <x v="224"/>
    </i>
    <i r="1">
      <x v="225"/>
    </i>
    <i r="1">
      <x v="226"/>
    </i>
    <i r="1">
      <x v="227"/>
    </i>
    <i r="1">
      <x v="228"/>
    </i>
    <i r="1">
      <x v="229"/>
    </i>
    <i r="1">
      <x v="230"/>
    </i>
    <i r="1">
      <x v="231"/>
    </i>
    <i r="1">
      <x v="232"/>
    </i>
    <i r="1">
      <x v="233"/>
    </i>
    <i r="1">
      <x v="234"/>
    </i>
    <i r="1">
      <x v="235"/>
    </i>
    <i r="1">
      <x v="236"/>
    </i>
    <i r="1">
      <x v="237"/>
    </i>
    <i r="1">
      <x v="238"/>
    </i>
    <i r="1">
      <x v="239"/>
    </i>
    <i r="1">
      <x v="240"/>
    </i>
    <i r="1">
      <x v="241"/>
    </i>
    <i r="1">
      <x v="242"/>
    </i>
    <i r="1">
      <x v="243"/>
    </i>
    <i r="1">
      <x v="244"/>
    </i>
    <i r="1">
      <x v="245"/>
    </i>
    <i r="1">
      <x v="246"/>
    </i>
    <i r="1">
      <x v="247"/>
    </i>
    <i r="1">
      <x v="248"/>
    </i>
    <i r="1">
      <x v="249"/>
    </i>
    <i r="1">
      <x v="250"/>
    </i>
    <i r="1">
      <x v="251"/>
    </i>
    <i r="1">
      <x v="252"/>
    </i>
    <i r="1">
      <x v="253"/>
    </i>
    <i r="1">
      <x v="254"/>
    </i>
    <i r="1">
      <x v="255"/>
    </i>
    <i r="1">
      <x v="256"/>
    </i>
    <i r="1">
      <x v="257"/>
    </i>
    <i r="1">
      <x v="258"/>
    </i>
    <i r="1">
      <x v="259"/>
    </i>
    <i r="1">
      <x v="260"/>
    </i>
    <i r="1">
      <x v="261"/>
    </i>
    <i r="1">
      <x v="262"/>
    </i>
    <i r="1">
      <x v="263"/>
    </i>
    <i r="1">
      <x v="264"/>
    </i>
    <i r="1">
      <x v="265"/>
    </i>
    <i r="1">
      <x v="266"/>
    </i>
    <i r="1">
      <x v="267"/>
    </i>
    <i r="1">
      <x v="268"/>
    </i>
    <i r="1">
      <x v="269"/>
    </i>
    <i r="1">
      <x v="270"/>
    </i>
    <i r="1">
      <x v="271"/>
    </i>
    <i r="1">
      <x v="272"/>
    </i>
    <i r="1">
      <x v="273"/>
    </i>
    <i r="1">
      <x v="274"/>
    </i>
    <i r="1">
      <x v="275"/>
    </i>
    <i r="1">
      <x v="276"/>
    </i>
    <i r="1">
      <x v="277"/>
    </i>
    <i r="1">
      <x v="278"/>
    </i>
    <i r="1">
      <x v="279"/>
    </i>
    <i r="1">
      <x v="280"/>
    </i>
    <i r="1">
      <x v="281"/>
    </i>
    <i r="1">
      <x v="282"/>
    </i>
    <i r="1">
      <x v="283"/>
    </i>
    <i r="1">
      <x v="284"/>
    </i>
    <i r="1">
      <x v="285"/>
    </i>
    <i r="1">
      <x v="286"/>
    </i>
    <i r="1">
      <x v="287"/>
    </i>
    <i r="1">
      <x v="288"/>
    </i>
    <i r="1">
      <x v="367"/>
    </i>
    <i r="1">
      <x v="368"/>
    </i>
    <i r="1">
      <x v="369"/>
    </i>
    <i r="1">
      <x v="370"/>
    </i>
    <i r="1">
      <x v="371"/>
    </i>
    <i>
      <x v="11"/>
    </i>
    <i r="1">
      <x v="134"/>
    </i>
    <i r="1">
      <x v="135"/>
    </i>
    <i r="1">
      <x v="300"/>
    </i>
    <i>
      <x v="12"/>
    </i>
    <i r="1">
      <x v="290"/>
    </i>
    <i r="1">
      <x v="291"/>
    </i>
    <i r="1">
      <x v="292"/>
    </i>
    <i r="1">
      <x v="293"/>
    </i>
    <i r="1">
      <x v="294"/>
    </i>
    <i r="1">
      <x v="295"/>
    </i>
    <i r="1">
      <x v="428"/>
    </i>
    <i>
      <x v="13"/>
    </i>
    <i r="1">
      <x v="37"/>
    </i>
    <i r="1">
      <x v="49"/>
    </i>
    <i r="1">
      <x v="128"/>
    </i>
    <i r="1">
      <x v="342"/>
    </i>
    <i>
      <x v="14"/>
    </i>
    <i r="1">
      <x v="41"/>
    </i>
    <i r="1">
      <x v="42"/>
    </i>
    <i r="1">
      <x v="56"/>
    </i>
    <i r="1">
      <x v="436"/>
    </i>
    <i>
      <x v="15"/>
    </i>
    <i r="1">
      <x v="43"/>
    </i>
    <i>
      <x v="16"/>
    </i>
    <i r="1">
      <x/>
    </i>
    <i r="1">
      <x v="12"/>
    </i>
    <i r="1">
      <x v="13"/>
    </i>
    <i>
      <x v="17"/>
    </i>
    <i r="1">
      <x v="18"/>
    </i>
    <i r="1">
      <x v="50"/>
    </i>
    <i r="1">
      <x v="435"/>
    </i>
    <i>
      <x v="18"/>
    </i>
    <i r="1">
      <x v="40"/>
    </i>
    <i r="1">
      <x v="52"/>
    </i>
    <i r="1">
      <x v="54"/>
    </i>
    <i>
      <x v="19"/>
    </i>
    <i r="1">
      <x v="351"/>
    </i>
    <i>
      <x v="20"/>
    </i>
    <i r="1">
      <x v="296"/>
    </i>
    <i r="1">
      <x v="297"/>
    </i>
    <i r="1">
      <x v="298"/>
    </i>
    <i r="1">
      <x v="299"/>
    </i>
    <i>
      <x v="21"/>
    </i>
    <i r="1">
      <x v="11"/>
    </i>
    <i r="1">
      <x v="112"/>
    </i>
    <i r="1">
      <x v="303"/>
    </i>
    <i r="1">
      <x v="361"/>
    </i>
    <i r="1">
      <x v="365"/>
    </i>
    <i r="1">
      <x v="378"/>
    </i>
    <i r="1">
      <x v="379"/>
    </i>
    <i r="1">
      <x v="380"/>
    </i>
    <i r="1">
      <x v="381"/>
    </i>
    <i r="1">
      <x v="382"/>
    </i>
    <i r="1">
      <x v="383"/>
    </i>
    <i r="1">
      <x v="384"/>
    </i>
    <i r="1">
      <x v="385"/>
    </i>
    <i r="1">
      <x v="386"/>
    </i>
    <i r="1">
      <x v="387"/>
    </i>
    <i r="1">
      <x v="388"/>
    </i>
    <i r="1">
      <x v="393"/>
    </i>
    <i r="1">
      <x v="394"/>
    </i>
    <i r="1">
      <x v="430"/>
    </i>
    <i r="1">
      <x v="432"/>
    </i>
    <i>
      <x v="22"/>
    </i>
    <i r="1">
      <x v="433"/>
    </i>
    <i>
      <x v="23"/>
    </i>
    <i r="1">
      <x v="2"/>
    </i>
    <i>
      <x v="24"/>
    </i>
    <i r="1">
      <x v="14"/>
    </i>
    <i r="1">
      <x v="15"/>
    </i>
    <i r="1">
      <x v="16"/>
    </i>
    <i r="1">
      <x v="44"/>
    </i>
    <i r="1">
      <x v="45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7"/>
    </i>
    <i r="1">
      <x v="78"/>
    </i>
    <i r="1">
      <x v="79"/>
    </i>
    <i r="1">
      <x v="80"/>
    </i>
    <i r="1">
      <x v="81"/>
    </i>
    <i r="1">
      <x v="82"/>
    </i>
    <i r="1">
      <x v="129"/>
    </i>
    <i r="1">
      <x v="130"/>
    </i>
    <i r="1">
      <x v="306"/>
    </i>
    <i r="1">
      <x v="307"/>
    </i>
    <i r="1">
      <x v="308"/>
    </i>
    <i r="1">
      <x v="309"/>
    </i>
    <i r="1">
      <x v="310"/>
    </i>
    <i r="1">
      <x v="311"/>
    </i>
    <i r="1">
      <x v="312"/>
    </i>
    <i r="1">
      <x v="313"/>
    </i>
    <i r="1">
      <x v="314"/>
    </i>
    <i r="1">
      <x v="315"/>
    </i>
    <i r="1">
      <x v="316"/>
    </i>
    <i r="1">
      <x v="317"/>
    </i>
    <i r="1">
      <x v="318"/>
    </i>
    <i r="1">
      <x v="319"/>
    </i>
    <i r="1">
      <x v="320"/>
    </i>
    <i r="1">
      <x v="321"/>
    </i>
    <i r="1">
      <x v="322"/>
    </i>
    <i r="1">
      <x v="323"/>
    </i>
    <i r="1">
      <x v="324"/>
    </i>
    <i r="1">
      <x v="325"/>
    </i>
    <i r="1">
      <x v="326"/>
    </i>
    <i r="1">
      <x v="327"/>
    </i>
    <i r="1">
      <x v="328"/>
    </i>
    <i r="1">
      <x v="329"/>
    </i>
    <i r="1">
      <x v="330"/>
    </i>
    <i r="1">
      <x v="331"/>
    </i>
    <i r="1">
      <x v="332"/>
    </i>
    <i r="1">
      <x v="333"/>
    </i>
    <i r="1">
      <x v="334"/>
    </i>
    <i r="1">
      <x v="362"/>
    </i>
    <i r="1">
      <x v="363"/>
    </i>
    <i r="1">
      <x v="366"/>
    </i>
    <i r="1">
      <x v="373"/>
    </i>
    <i r="1">
      <x v="374"/>
    </i>
    <i r="1">
      <x v="375"/>
    </i>
    <i r="1">
      <x v="422"/>
    </i>
    <i r="1">
      <x v="423"/>
    </i>
    <i r="1">
      <x v="437"/>
    </i>
    <i>
      <x v="25"/>
    </i>
    <i r="1">
      <x v="39"/>
    </i>
    <i r="1">
      <x v="391"/>
    </i>
    <i r="1">
      <x v="392"/>
    </i>
    <i r="1">
      <x v="402"/>
    </i>
    <i r="1">
      <x v="403"/>
    </i>
    <i r="1">
      <x v="404"/>
    </i>
    <i r="1">
      <x v="405"/>
    </i>
    <i r="1">
      <x v="406"/>
    </i>
    <i r="1">
      <x v="407"/>
    </i>
    <i r="1">
      <x v="408"/>
    </i>
    <i r="1">
      <x v="409"/>
    </i>
    <i r="1">
      <x v="410"/>
    </i>
    <i r="1">
      <x v="411"/>
    </i>
    <i r="1">
      <x v="412"/>
    </i>
    <i r="1">
      <x v="413"/>
    </i>
    <i r="1">
      <x v="414"/>
    </i>
    <i r="1">
      <x v="415"/>
    </i>
    <i r="1">
      <x v="416"/>
    </i>
    <i r="1">
      <x v="417"/>
    </i>
    <i r="1">
      <x v="418"/>
    </i>
    <i r="1">
      <x v="419"/>
    </i>
    <i r="1">
      <x v="420"/>
    </i>
    <i r="1">
      <x v="421"/>
    </i>
    <i r="1">
      <x v="438"/>
    </i>
    <i r="1">
      <x v="439"/>
    </i>
    <i r="1">
      <x v="440"/>
    </i>
    <i r="1">
      <x v="441"/>
    </i>
    <i>
      <x v="26"/>
    </i>
    <i r="1">
      <x v="118"/>
    </i>
    <i>
      <x v="27"/>
    </i>
    <i r="1">
      <x v="115"/>
    </i>
    <i r="1">
      <x v="116"/>
    </i>
    <i r="1">
      <x v="117"/>
    </i>
    <i r="1">
      <x v="122"/>
    </i>
    <i r="1">
      <x v="426"/>
    </i>
    <i>
      <x v="28"/>
    </i>
    <i r="1">
      <x v="429"/>
    </i>
    <i>
      <x v="29"/>
    </i>
    <i r="1">
      <x v="133"/>
    </i>
    <i r="1">
      <x v="347"/>
    </i>
    <i r="1">
      <x v="348"/>
    </i>
    <i>
      <x v="30"/>
    </i>
    <i r="1">
      <x v="9"/>
    </i>
    <i>
      <x v="31"/>
    </i>
    <i r="1">
      <x v="99"/>
    </i>
    <i>
      <x v="32"/>
    </i>
    <i r="1">
      <x v="431"/>
    </i>
    <i>
      <x v="33"/>
    </i>
    <i r="1">
      <x v="353"/>
    </i>
    <i>
      <x v="34"/>
    </i>
    <i r="1">
      <x v="94"/>
    </i>
    <i r="1">
      <x v="95"/>
    </i>
    <i>
      <x v="35"/>
    </i>
    <i r="1">
      <x v="10"/>
    </i>
    <i>
      <x v="36"/>
    </i>
    <i r="1">
      <x v="335"/>
    </i>
    <i r="1">
      <x v="336"/>
    </i>
    <i r="1">
      <x v="337"/>
    </i>
    <i r="1">
      <x v="338"/>
    </i>
    <i r="1">
      <x v="424"/>
    </i>
    <i>
      <x v="37"/>
    </i>
    <i r="1">
      <x v="339"/>
    </i>
    <i r="1">
      <x v="340"/>
    </i>
    <i r="1">
      <x v="376"/>
    </i>
    <i r="1">
      <x v="377"/>
    </i>
    <i r="1">
      <x v="389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B. Maliyet" fld="12" baseField="3" baseItem="0" numFmtId="164"/>
    <dataField name="T. Maliyet" fld="13" baseField="3" baseItem="0" numFmtId="164"/>
    <dataField name="Toplam Stok Miktarı_x000a_17.08.2026" fld="116" baseField="0" baseItem="0"/>
  </dataFields>
  <formats count="93">
    <format dxfId="192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9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90">
      <pivotArea type="all" dataOnly="0" outline="0" fieldPosition="0"/>
    </format>
    <format dxfId="189">
      <pivotArea outline="0" collapsedLevelsAreSubtotals="1" fieldPosition="0"/>
    </format>
    <format dxfId="188">
      <pivotArea field="3" type="button" dataOnly="0" labelOnly="1" outline="0" axis="axisRow" fieldPosition="0"/>
    </format>
    <format dxfId="187">
      <pivotArea dataOnly="0" labelOnly="1" fieldPosition="0">
        <references count="1">
          <reference field="3" count="0"/>
        </references>
      </pivotArea>
    </format>
    <format dxfId="186">
      <pivotArea dataOnly="0" labelOnly="1" grandRow="1" outline="0" fieldPosition="0"/>
    </format>
    <format dxfId="185">
      <pivotArea dataOnly="0" labelOnly="1" fieldPosition="0">
        <references count="2">
          <reference field="1" count="2">
            <x v="97"/>
            <x v="98"/>
          </reference>
          <reference field="3" count="1" selected="0">
            <x v="0"/>
          </reference>
        </references>
      </pivotArea>
    </format>
    <format dxfId="184">
      <pivotArea dataOnly="0" labelOnly="1" fieldPosition="0">
        <references count="2">
          <reference field="1" count="10">
            <x v="51"/>
            <x v="96"/>
            <x v="305"/>
            <x v="346"/>
            <x v="349"/>
            <x v="350"/>
            <x v="395"/>
            <x v="396"/>
            <x v="399"/>
            <x v="400"/>
          </reference>
          <reference field="3" count="1" selected="0">
            <x v="1"/>
          </reference>
        </references>
      </pivotArea>
    </format>
    <format dxfId="183">
      <pivotArea dataOnly="0" labelOnly="1" fieldPosition="0">
        <references count="2">
          <reference field="1" count="6">
            <x v="100"/>
            <x v="101"/>
            <x v="102"/>
            <x v="103"/>
            <x v="105"/>
            <x v="106"/>
          </reference>
          <reference field="3" count="1" selected="0">
            <x v="2"/>
          </reference>
        </references>
      </pivotArea>
    </format>
    <format dxfId="182">
      <pivotArea dataOnly="0" labelOnly="1" fieldPosition="0">
        <references count="2">
          <reference field="1" count="1">
            <x v="131"/>
          </reference>
          <reference field="3" count="1" selected="0">
            <x v="3"/>
          </reference>
        </references>
      </pivotArea>
    </format>
    <format dxfId="181">
      <pivotArea dataOnly="0" labelOnly="1" fieldPosition="0">
        <references count="2">
          <reference field="1" count="8">
            <x v="84"/>
            <x v="85"/>
            <x v="86"/>
            <x v="119"/>
            <x v="120"/>
            <x v="302"/>
            <x v="427"/>
            <x v="434"/>
          </reference>
          <reference field="3" count="1" selected="0">
            <x v="4"/>
          </reference>
        </references>
      </pivotArea>
    </format>
    <format dxfId="180">
      <pivotArea dataOnly="0" labelOnly="1" fieldPosition="0">
        <references count="2">
          <reference field="1" count="13">
            <x v="17"/>
            <x v="19"/>
            <x v="20"/>
            <x v="24"/>
            <x v="25"/>
            <x v="26"/>
            <x v="34"/>
            <x v="46"/>
            <x v="55"/>
            <x v="76"/>
            <x v="121"/>
            <x v="354"/>
            <x v="355"/>
          </reference>
          <reference field="3" count="1" selected="0">
            <x v="5"/>
          </reference>
        </references>
      </pivotArea>
    </format>
    <format dxfId="179">
      <pivotArea dataOnly="0" labelOnly="1" fieldPosition="0">
        <references count="2">
          <reference field="1" count="3">
            <x v="29"/>
            <x v="30"/>
            <x v="38"/>
          </reference>
          <reference field="3" count="1" selected="0">
            <x v="6"/>
          </reference>
        </references>
      </pivotArea>
    </format>
    <format dxfId="178">
      <pivotArea dataOnly="0" labelOnly="1" fieldPosition="0">
        <references count="2">
          <reference field="1" count="9">
            <x v="87"/>
            <x v="88"/>
            <x v="90"/>
            <x v="92"/>
            <x v="123"/>
            <x v="124"/>
            <x v="125"/>
            <x v="126"/>
            <x v="127"/>
          </reference>
          <reference field="3" count="1" selected="0">
            <x v="7"/>
          </reference>
        </references>
      </pivotArea>
    </format>
    <format dxfId="177">
      <pivotArea dataOnly="0" labelOnly="1" fieldPosition="0">
        <references count="2">
          <reference field="1" count="2">
            <x v="352"/>
            <x v="401"/>
          </reference>
          <reference field="3" count="1" selected="0">
            <x v="9"/>
          </reference>
        </references>
      </pivotArea>
    </format>
    <format dxfId="176">
      <pivotArea dataOnly="0" labelOnly="1" fieldPosition="0">
        <references count="2">
          <reference field="1" count="50"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</reference>
          <reference field="3" count="1" selected="0">
            <x v="10"/>
          </reference>
        </references>
      </pivotArea>
    </format>
    <format dxfId="175">
      <pivotArea dataOnly="0" labelOnly="1" fieldPosition="0">
        <references count="2">
          <reference field="1" count="50"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9"/>
            <x v="220"/>
            <x v="221"/>
            <x v="222"/>
            <x v="223"/>
            <x v="224"/>
            <x v="225"/>
            <x v="226"/>
            <x v="227"/>
            <x v="228"/>
            <x v="229"/>
            <x v="230"/>
            <x v="231"/>
            <x v="232"/>
            <x v="233"/>
            <x v="234"/>
            <x v="235"/>
            <x v="236"/>
          </reference>
          <reference field="3" count="1" selected="0">
            <x v="10"/>
          </reference>
        </references>
      </pivotArea>
    </format>
    <format dxfId="174">
      <pivotArea dataOnly="0" labelOnly="1" fieldPosition="0">
        <references count="2">
          <reference field="1" count="49">
            <x v="237"/>
            <x v="238"/>
            <x v="239"/>
            <x v="240"/>
            <x v="241"/>
            <x v="242"/>
            <x v="243"/>
            <x v="244"/>
            <x v="245"/>
            <x v="246"/>
            <x v="247"/>
            <x v="249"/>
            <x v="250"/>
            <x v="251"/>
            <x v="252"/>
            <x v="253"/>
            <x v="254"/>
            <x v="255"/>
            <x v="256"/>
            <x v="257"/>
            <x v="258"/>
            <x v="259"/>
            <x v="260"/>
            <x v="261"/>
            <x v="262"/>
            <x v="263"/>
            <x v="264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278"/>
            <x v="279"/>
            <x v="280"/>
            <x v="281"/>
            <x v="282"/>
            <x v="283"/>
            <x v="284"/>
            <x v="285"/>
            <x v="286"/>
            <x v="287"/>
          </reference>
          <reference field="3" count="1" selected="0">
            <x v="10"/>
          </reference>
        </references>
      </pivotArea>
    </format>
    <format dxfId="173">
      <pivotArea dataOnly="0" labelOnly="1" fieldPosition="0">
        <references count="2">
          <reference field="1" count="3">
            <x v="134"/>
            <x v="135"/>
            <x v="300"/>
          </reference>
          <reference field="3" count="1" selected="0">
            <x v="11"/>
          </reference>
        </references>
      </pivotArea>
    </format>
    <format dxfId="172">
      <pivotArea dataOnly="0" labelOnly="1" fieldPosition="0">
        <references count="2">
          <reference field="1" count="6">
            <x v="290"/>
            <x v="291"/>
            <x v="293"/>
            <x v="294"/>
            <x v="295"/>
            <x v="428"/>
          </reference>
          <reference field="3" count="1" selected="0">
            <x v="12"/>
          </reference>
        </references>
      </pivotArea>
    </format>
    <format dxfId="171">
      <pivotArea dataOnly="0" labelOnly="1" fieldPosition="0">
        <references count="2">
          <reference field="1" count="4">
            <x v="37"/>
            <x v="49"/>
            <x v="128"/>
            <x v="342"/>
          </reference>
          <reference field="3" count="1" selected="0">
            <x v="13"/>
          </reference>
        </references>
      </pivotArea>
    </format>
    <format dxfId="170">
      <pivotArea dataOnly="0" labelOnly="1" fieldPosition="0">
        <references count="2">
          <reference field="1" count="3">
            <x v="41"/>
            <x v="56"/>
            <x v="436"/>
          </reference>
          <reference field="3" count="1" selected="0">
            <x v="14"/>
          </reference>
        </references>
      </pivotArea>
    </format>
    <format dxfId="169">
      <pivotArea dataOnly="0" labelOnly="1" fieldPosition="0">
        <references count="2">
          <reference field="1" count="1">
            <x v="43"/>
          </reference>
          <reference field="3" count="1" selected="0">
            <x v="15"/>
          </reference>
        </references>
      </pivotArea>
    </format>
    <format dxfId="168">
      <pivotArea dataOnly="0" labelOnly="1" fieldPosition="0">
        <references count="2">
          <reference field="1" count="1">
            <x v="0"/>
          </reference>
          <reference field="3" count="1" selected="0">
            <x v="16"/>
          </reference>
        </references>
      </pivotArea>
    </format>
    <format dxfId="167">
      <pivotArea dataOnly="0" labelOnly="1" fieldPosition="0">
        <references count="2">
          <reference field="1" count="1">
            <x v="435"/>
          </reference>
          <reference field="3" count="1" selected="0">
            <x v="17"/>
          </reference>
        </references>
      </pivotArea>
    </format>
    <format dxfId="166">
      <pivotArea dataOnly="0" labelOnly="1" fieldPosition="0">
        <references count="2">
          <reference field="1" count="1">
            <x v="351"/>
          </reference>
          <reference field="3" count="1" selected="0">
            <x v="19"/>
          </reference>
        </references>
      </pivotArea>
    </format>
    <format dxfId="165">
      <pivotArea dataOnly="0" labelOnly="1" fieldPosition="0">
        <references count="2">
          <reference field="1" count="4">
            <x v="296"/>
            <x v="297"/>
            <x v="298"/>
            <x v="299"/>
          </reference>
          <reference field="3" count="1" selected="0">
            <x v="20"/>
          </reference>
        </references>
      </pivotArea>
    </format>
    <format dxfId="164">
      <pivotArea dataOnly="0" labelOnly="1" fieldPosition="0">
        <references count="2">
          <reference field="1" count="1">
            <x v="432"/>
          </reference>
          <reference field="3" count="1" selected="0">
            <x v="21"/>
          </reference>
        </references>
      </pivotArea>
    </format>
    <format dxfId="163">
      <pivotArea dataOnly="0" labelOnly="1" fieldPosition="0">
        <references count="2">
          <reference field="1" count="1">
            <x v="433"/>
          </reference>
          <reference field="3" count="1" selected="0">
            <x v="22"/>
          </reference>
        </references>
      </pivotArea>
    </format>
    <format dxfId="162">
      <pivotArea dataOnly="0" labelOnly="1" fieldPosition="0">
        <references count="2">
          <reference field="1" count="1">
            <x v="2"/>
          </reference>
          <reference field="3" count="1" selected="0">
            <x v="23"/>
          </reference>
        </references>
      </pivotArea>
    </format>
    <format dxfId="161">
      <pivotArea dataOnly="0" labelOnly="1" fieldPosition="0">
        <references count="2">
          <reference field="1" count="45">
            <x v="14"/>
            <x v="15"/>
            <x v="16"/>
            <x v="44"/>
            <x v="45"/>
            <x v="58"/>
            <x v="60"/>
            <x v="61"/>
            <x v="62"/>
            <x v="63"/>
            <x v="64"/>
            <x v="66"/>
            <x v="67"/>
            <x v="68"/>
            <x v="69"/>
            <x v="70"/>
            <x v="71"/>
            <x v="72"/>
            <x v="73"/>
            <x v="74"/>
            <x v="80"/>
            <x v="82"/>
            <x v="306"/>
            <x v="307"/>
            <x v="308"/>
            <x v="309"/>
            <x v="310"/>
            <x v="312"/>
            <x v="313"/>
            <x v="314"/>
            <x v="316"/>
            <x v="317"/>
            <x v="318"/>
            <x v="321"/>
            <x v="323"/>
            <x v="324"/>
            <x v="327"/>
            <x v="330"/>
            <x v="331"/>
            <x v="332"/>
            <x v="333"/>
            <x v="363"/>
            <x v="366"/>
            <x v="423"/>
            <x v="437"/>
          </reference>
          <reference field="3" count="1" selected="0">
            <x v="24"/>
          </reference>
        </references>
      </pivotArea>
    </format>
    <format dxfId="160">
      <pivotArea dataOnly="0" labelOnly="1" fieldPosition="0">
        <references count="2">
          <reference field="1" count="21">
            <x v="39"/>
            <x v="404"/>
            <x v="405"/>
            <x v="406"/>
            <x v="407"/>
            <x v="408"/>
            <x v="409"/>
            <x v="410"/>
            <x v="411"/>
            <x v="413"/>
            <x v="414"/>
            <x v="415"/>
            <x v="416"/>
            <x v="417"/>
            <x v="418"/>
            <x v="419"/>
            <x v="420"/>
            <x v="421"/>
            <x v="438"/>
            <x v="439"/>
            <x v="441"/>
          </reference>
          <reference field="3" count="1" selected="0">
            <x v="25"/>
          </reference>
        </references>
      </pivotArea>
    </format>
    <format dxfId="159">
      <pivotArea dataOnly="0" labelOnly="1" fieldPosition="0">
        <references count="2">
          <reference field="1" count="1">
            <x v="118"/>
          </reference>
          <reference field="3" count="1" selected="0">
            <x v="26"/>
          </reference>
        </references>
      </pivotArea>
    </format>
    <format dxfId="15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57">
      <pivotArea type="all" dataOnly="0" outline="0" fieldPosition="0"/>
    </format>
    <format dxfId="156">
      <pivotArea outline="0" collapsedLevelsAreSubtotals="1" fieldPosition="0"/>
    </format>
    <format dxfId="155">
      <pivotArea field="3" type="button" dataOnly="0" labelOnly="1" outline="0" axis="axisRow" fieldPosition="0"/>
    </format>
    <format dxfId="154">
      <pivotArea dataOnly="0" labelOnly="1" fieldPosition="0">
        <references count="1">
          <reference field="3" count="0"/>
        </references>
      </pivotArea>
    </format>
    <format dxfId="153">
      <pivotArea dataOnly="0" labelOnly="1" grandRow="1" outline="0" fieldPosition="0"/>
    </format>
    <format dxfId="152">
      <pivotArea dataOnly="0" labelOnly="1" fieldPosition="0">
        <references count="2">
          <reference field="1" count="2">
            <x v="97"/>
            <x v="98"/>
          </reference>
          <reference field="3" count="1" selected="0">
            <x v="0"/>
          </reference>
        </references>
      </pivotArea>
    </format>
    <format dxfId="151">
      <pivotArea dataOnly="0" labelOnly="1" fieldPosition="0">
        <references count="2">
          <reference field="1" count="10">
            <x v="51"/>
            <x v="96"/>
            <x v="305"/>
            <x v="346"/>
            <x v="349"/>
            <x v="350"/>
            <x v="395"/>
            <x v="396"/>
            <x v="399"/>
            <x v="400"/>
          </reference>
          <reference field="3" count="1" selected="0">
            <x v="1"/>
          </reference>
        </references>
      </pivotArea>
    </format>
    <format dxfId="150">
      <pivotArea dataOnly="0" labelOnly="1" fieldPosition="0">
        <references count="2">
          <reference field="1" count="6">
            <x v="100"/>
            <x v="101"/>
            <x v="102"/>
            <x v="103"/>
            <x v="105"/>
            <x v="106"/>
          </reference>
          <reference field="3" count="1" selected="0">
            <x v="2"/>
          </reference>
        </references>
      </pivotArea>
    </format>
    <format dxfId="149">
      <pivotArea dataOnly="0" labelOnly="1" fieldPosition="0">
        <references count="2">
          <reference field="1" count="1">
            <x v="131"/>
          </reference>
          <reference field="3" count="1" selected="0">
            <x v="3"/>
          </reference>
        </references>
      </pivotArea>
    </format>
    <format dxfId="148">
      <pivotArea dataOnly="0" labelOnly="1" fieldPosition="0">
        <references count="2">
          <reference field="1" count="8">
            <x v="84"/>
            <x v="85"/>
            <x v="86"/>
            <x v="119"/>
            <x v="120"/>
            <x v="302"/>
            <x v="427"/>
            <x v="434"/>
          </reference>
          <reference field="3" count="1" selected="0">
            <x v="4"/>
          </reference>
        </references>
      </pivotArea>
    </format>
    <format dxfId="147">
      <pivotArea dataOnly="0" labelOnly="1" fieldPosition="0">
        <references count="2">
          <reference field="1" count="13">
            <x v="17"/>
            <x v="19"/>
            <x v="20"/>
            <x v="24"/>
            <x v="25"/>
            <x v="26"/>
            <x v="34"/>
            <x v="46"/>
            <x v="55"/>
            <x v="76"/>
            <x v="121"/>
            <x v="354"/>
            <x v="355"/>
          </reference>
          <reference field="3" count="1" selected="0">
            <x v="5"/>
          </reference>
        </references>
      </pivotArea>
    </format>
    <format dxfId="146">
      <pivotArea dataOnly="0" labelOnly="1" fieldPosition="0">
        <references count="2">
          <reference field="1" count="3">
            <x v="29"/>
            <x v="30"/>
            <x v="38"/>
          </reference>
          <reference field="3" count="1" selected="0">
            <x v="6"/>
          </reference>
        </references>
      </pivotArea>
    </format>
    <format dxfId="145">
      <pivotArea dataOnly="0" labelOnly="1" fieldPosition="0">
        <references count="2">
          <reference field="1" count="9">
            <x v="87"/>
            <x v="88"/>
            <x v="90"/>
            <x v="92"/>
            <x v="123"/>
            <x v="124"/>
            <x v="125"/>
            <x v="126"/>
            <x v="127"/>
          </reference>
          <reference field="3" count="1" selected="0">
            <x v="7"/>
          </reference>
        </references>
      </pivotArea>
    </format>
    <format dxfId="144">
      <pivotArea dataOnly="0" labelOnly="1" fieldPosition="0">
        <references count="2">
          <reference field="1" count="2">
            <x v="352"/>
            <x v="401"/>
          </reference>
          <reference field="3" count="1" selected="0">
            <x v="9"/>
          </reference>
        </references>
      </pivotArea>
    </format>
    <format dxfId="143">
      <pivotArea dataOnly="0" labelOnly="1" fieldPosition="0">
        <references count="2">
          <reference field="1" count="50"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</reference>
          <reference field="3" count="1" selected="0">
            <x v="10"/>
          </reference>
        </references>
      </pivotArea>
    </format>
    <format dxfId="142">
      <pivotArea dataOnly="0" labelOnly="1" fieldPosition="0">
        <references count="2">
          <reference field="1" count="50"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9"/>
            <x v="220"/>
            <x v="221"/>
            <x v="222"/>
            <x v="223"/>
            <x v="224"/>
            <x v="225"/>
            <x v="226"/>
            <x v="227"/>
            <x v="228"/>
            <x v="229"/>
            <x v="230"/>
            <x v="231"/>
            <x v="232"/>
            <x v="233"/>
            <x v="234"/>
            <x v="235"/>
            <x v="236"/>
          </reference>
          <reference field="3" count="1" selected="0">
            <x v="10"/>
          </reference>
        </references>
      </pivotArea>
    </format>
    <format dxfId="141">
      <pivotArea dataOnly="0" labelOnly="1" fieldPosition="0">
        <references count="2">
          <reference field="1" count="49">
            <x v="237"/>
            <x v="238"/>
            <x v="239"/>
            <x v="240"/>
            <x v="241"/>
            <x v="242"/>
            <x v="243"/>
            <x v="244"/>
            <x v="245"/>
            <x v="246"/>
            <x v="247"/>
            <x v="249"/>
            <x v="250"/>
            <x v="251"/>
            <x v="252"/>
            <x v="253"/>
            <x v="254"/>
            <x v="255"/>
            <x v="256"/>
            <x v="257"/>
            <x v="258"/>
            <x v="259"/>
            <x v="260"/>
            <x v="261"/>
            <x v="262"/>
            <x v="263"/>
            <x v="264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278"/>
            <x v="279"/>
            <x v="280"/>
            <x v="281"/>
            <x v="282"/>
            <x v="283"/>
            <x v="284"/>
            <x v="285"/>
            <x v="286"/>
            <x v="287"/>
          </reference>
          <reference field="3" count="1" selected="0">
            <x v="10"/>
          </reference>
        </references>
      </pivotArea>
    </format>
    <format dxfId="140">
      <pivotArea dataOnly="0" labelOnly="1" fieldPosition="0">
        <references count="2">
          <reference field="1" count="3">
            <x v="134"/>
            <x v="135"/>
            <x v="300"/>
          </reference>
          <reference field="3" count="1" selected="0">
            <x v="11"/>
          </reference>
        </references>
      </pivotArea>
    </format>
    <format dxfId="139">
      <pivotArea dataOnly="0" labelOnly="1" fieldPosition="0">
        <references count="2">
          <reference field="1" count="6">
            <x v="290"/>
            <x v="291"/>
            <x v="293"/>
            <x v="294"/>
            <x v="295"/>
            <x v="428"/>
          </reference>
          <reference field="3" count="1" selected="0">
            <x v="12"/>
          </reference>
        </references>
      </pivotArea>
    </format>
    <format dxfId="138">
      <pivotArea dataOnly="0" labelOnly="1" fieldPosition="0">
        <references count="2">
          <reference field="1" count="4">
            <x v="37"/>
            <x v="49"/>
            <x v="128"/>
            <x v="342"/>
          </reference>
          <reference field="3" count="1" selected="0">
            <x v="13"/>
          </reference>
        </references>
      </pivotArea>
    </format>
    <format dxfId="137">
      <pivotArea dataOnly="0" labelOnly="1" fieldPosition="0">
        <references count="2">
          <reference field="1" count="3">
            <x v="41"/>
            <x v="56"/>
            <x v="436"/>
          </reference>
          <reference field="3" count="1" selected="0">
            <x v="14"/>
          </reference>
        </references>
      </pivotArea>
    </format>
    <format dxfId="136">
      <pivotArea dataOnly="0" labelOnly="1" fieldPosition="0">
        <references count="2">
          <reference field="1" count="1">
            <x v="43"/>
          </reference>
          <reference field="3" count="1" selected="0">
            <x v="15"/>
          </reference>
        </references>
      </pivotArea>
    </format>
    <format dxfId="135">
      <pivotArea dataOnly="0" labelOnly="1" fieldPosition="0">
        <references count="2">
          <reference field="1" count="1">
            <x v="0"/>
          </reference>
          <reference field="3" count="1" selected="0">
            <x v="16"/>
          </reference>
        </references>
      </pivotArea>
    </format>
    <format dxfId="134">
      <pivotArea dataOnly="0" labelOnly="1" fieldPosition="0">
        <references count="2">
          <reference field="1" count="1">
            <x v="435"/>
          </reference>
          <reference field="3" count="1" selected="0">
            <x v="17"/>
          </reference>
        </references>
      </pivotArea>
    </format>
    <format dxfId="133">
      <pivotArea dataOnly="0" labelOnly="1" fieldPosition="0">
        <references count="2">
          <reference field="1" count="1">
            <x v="351"/>
          </reference>
          <reference field="3" count="1" selected="0">
            <x v="19"/>
          </reference>
        </references>
      </pivotArea>
    </format>
    <format dxfId="132">
      <pivotArea dataOnly="0" labelOnly="1" fieldPosition="0">
        <references count="2">
          <reference field="1" count="4">
            <x v="296"/>
            <x v="297"/>
            <x v="298"/>
            <x v="299"/>
          </reference>
          <reference field="3" count="1" selected="0">
            <x v="20"/>
          </reference>
        </references>
      </pivotArea>
    </format>
    <format dxfId="131">
      <pivotArea dataOnly="0" labelOnly="1" fieldPosition="0">
        <references count="2">
          <reference field="1" count="1">
            <x v="432"/>
          </reference>
          <reference field="3" count="1" selected="0">
            <x v="21"/>
          </reference>
        </references>
      </pivotArea>
    </format>
    <format dxfId="130">
      <pivotArea dataOnly="0" labelOnly="1" fieldPosition="0">
        <references count="2">
          <reference field="1" count="1">
            <x v="433"/>
          </reference>
          <reference field="3" count="1" selected="0">
            <x v="22"/>
          </reference>
        </references>
      </pivotArea>
    </format>
    <format dxfId="129">
      <pivotArea dataOnly="0" labelOnly="1" fieldPosition="0">
        <references count="2">
          <reference field="1" count="1">
            <x v="2"/>
          </reference>
          <reference field="3" count="1" selected="0">
            <x v="23"/>
          </reference>
        </references>
      </pivotArea>
    </format>
    <format dxfId="128">
      <pivotArea dataOnly="0" labelOnly="1" fieldPosition="0">
        <references count="2">
          <reference field="1" count="45">
            <x v="14"/>
            <x v="15"/>
            <x v="16"/>
            <x v="44"/>
            <x v="45"/>
            <x v="58"/>
            <x v="60"/>
            <x v="61"/>
            <x v="62"/>
            <x v="63"/>
            <x v="64"/>
            <x v="66"/>
            <x v="67"/>
            <x v="68"/>
            <x v="69"/>
            <x v="70"/>
            <x v="71"/>
            <x v="72"/>
            <x v="73"/>
            <x v="74"/>
            <x v="80"/>
            <x v="82"/>
            <x v="306"/>
            <x v="307"/>
            <x v="308"/>
            <x v="309"/>
            <x v="310"/>
            <x v="312"/>
            <x v="313"/>
            <x v="314"/>
            <x v="316"/>
            <x v="317"/>
            <x v="318"/>
            <x v="321"/>
            <x v="323"/>
            <x v="324"/>
            <x v="327"/>
            <x v="330"/>
            <x v="331"/>
            <x v="332"/>
            <x v="333"/>
            <x v="363"/>
            <x v="366"/>
            <x v="423"/>
            <x v="437"/>
          </reference>
          <reference field="3" count="1" selected="0">
            <x v="24"/>
          </reference>
        </references>
      </pivotArea>
    </format>
    <format dxfId="127">
      <pivotArea dataOnly="0" labelOnly="1" fieldPosition="0">
        <references count="2">
          <reference field="1" count="21">
            <x v="39"/>
            <x v="404"/>
            <x v="405"/>
            <x v="406"/>
            <x v="407"/>
            <x v="408"/>
            <x v="409"/>
            <x v="410"/>
            <x v="411"/>
            <x v="413"/>
            <x v="414"/>
            <x v="415"/>
            <x v="416"/>
            <x v="417"/>
            <x v="418"/>
            <x v="419"/>
            <x v="420"/>
            <x v="421"/>
            <x v="438"/>
            <x v="439"/>
            <x v="441"/>
          </reference>
          <reference field="3" count="1" selected="0">
            <x v="25"/>
          </reference>
        </references>
      </pivotArea>
    </format>
    <format dxfId="126">
      <pivotArea dataOnly="0" labelOnly="1" fieldPosition="0">
        <references count="2">
          <reference field="1" count="1">
            <x v="118"/>
          </reference>
          <reference field="3" count="1" selected="0">
            <x v="26"/>
          </reference>
        </references>
      </pivotArea>
    </format>
    <format dxfId="12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24">
      <pivotArea dataOnly="0" labelOnly="1" fieldPosition="0">
        <references count="2">
          <reference field="1" count="1">
            <x v="325"/>
          </reference>
          <reference field="3" count="0" selected="0"/>
        </references>
      </pivotArea>
    </format>
    <format dxfId="123">
      <pivotArea dataOnly="0" labelOnly="1" fieldPosition="0">
        <references count="2">
          <reference field="1" count="2">
            <x v="78"/>
            <x v="80"/>
          </reference>
          <reference field="3" count="0" selected="0"/>
        </references>
      </pivotArea>
    </format>
    <format dxfId="122">
      <pivotArea dataOnly="0" labelOnly="1" fieldPosition="0">
        <references count="2">
          <reference field="1" count="1">
            <x v="44"/>
          </reference>
          <reference field="3" count="0" selected="0"/>
        </references>
      </pivotArea>
    </format>
    <format dxfId="121">
      <pivotArea dataOnly="0" labelOnly="1" fieldPosition="0">
        <references count="2">
          <reference field="1" count="1">
            <x v="129"/>
          </reference>
          <reference field="3" count="0" selected="0"/>
        </references>
      </pivotArea>
    </format>
    <format dxfId="120">
      <pivotArea dataOnly="0" labelOnly="1" fieldPosition="0">
        <references count="2">
          <reference field="1" count="1">
            <x v="16"/>
          </reference>
          <reference field="3" count="0" selected="0"/>
        </references>
      </pivotArea>
    </format>
    <format dxfId="119">
      <pivotArea dataOnly="0" labelOnly="1" fieldPosition="0">
        <references count="2">
          <reference field="1" count="1">
            <x v="15"/>
          </reference>
          <reference field="3" count="0" selected="0"/>
        </references>
      </pivotArea>
    </format>
    <format dxfId="118">
      <pivotArea dataOnly="0" labelOnly="1" fieldPosition="0">
        <references count="2">
          <reference field="1" count="1">
            <x v="14"/>
          </reference>
          <reference field="3" count="0" selected="0"/>
        </references>
      </pivotArea>
    </format>
    <format dxfId="117">
      <pivotArea dataOnly="0" labelOnly="1" fieldPosition="0">
        <references count="2">
          <reference field="1" count="1">
            <x v="334"/>
          </reference>
          <reference field="3" count="0" selected="0"/>
        </references>
      </pivotArea>
    </format>
    <format dxfId="116">
      <pivotArea dataOnly="0" labelOnly="1" fieldPosition="0">
        <references count="2">
          <reference field="1" count="1">
            <x v="366"/>
          </reference>
          <reference field="3" count="0" selected="0"/>
        </references>
      </pivotArea>
    </format>
    <format dxfId="115">
      <pivotArea dataOnly="0" labelOnly="1" fieldPosition="0">
        <references count="2">
          <reference field="1" count="1">
            <x v="422"/>
          </reference>
          <reference field="3" count="0" selected="0"/>
        </references>
      </pivotArea>
    </format>
    <format dxfId="114">
      <pivotArea dataOnly="0" labelOnly="1" fieldPosition="0">
        <references count="2">
          <reference field="1" count="1">
            <x v="423"/>
          </reference>
          <reference field="3" count="0" selected="0"/>
        </references>
      </pivotArea>
    </format>
    <format dxfId="113">
      <pivotArea dataOnly="0" labelOnly="1" fieldPosition="0">
        <references count="2">
          <reference field="1" count="1">
            <x v="437"/>
          </reference>
          <reference field="3" count="0" selected="0"/>
        </references>
      </pivotArea>
    </format>
    <format dxfId="112">
      <pivotArea dataOnly="0" fieldPosition="0">
        <references count="1">
          <reference field="1" count="1">
            <x v="74"/>
          </reference>
        </references>
      </pivotArea>
    </format>
    <format dxfId="111">
      <pivotArea dataOnly="0" labelOnly="1" fieldPosition="0">
        <references count="2">
          <reference field="1" count="1">
            <x v="44"/>
          </reference>
          <reference field="3" count="0" selected="0"/>
        </references>
      </pivotArea>
    </format>
    <format dxfId="110">
      <pivotArea dataOnly="0" labelOnly="1" fieldPosition="0">
        <references count="2">
          <reference field="1" count="1">
            <x v="45"/>
          </reference>
          <reference field="3" count="0" selected="0"/>
        </references>
      </pivotArea>
    </format>
    <format dxfId="109">
      <pivotArea dataOnly="0" labelOnly="1" fieldPosition="0">
        <references count="2">
          <reference field="1" count="1">
            <x v="363"/>
          </reference>
          <reference field="3" count="0" selected="0"/>
        </references>
      </pivotArea>
    </format>
    <format dxfId="108">
      <pivotArea dataOnly="0" labelOnly="1" fieldPosition="0">
        <references count="2">
          <reference field="1" count="18"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7"/>
            <x v="78"/>
          </reference>
          <reference field="3" count="0" selected="0"/>
        </references>
      </pivotArea>
    </format>
    <format dxfId="107">
      <pivotArea dataOnly="0" labelOnly="1" fieldPosition="0">
        <references count="2">
          <reference field="1" count="2">
            <x v="81"/>
            <x v="82"/>
          </reference>
          <reference field="3" count="0" selected="0"/>
        </references>
      </pivotArea>
    </format>
    <format dxfId="106">
      <pivotArea dataOnly="0" labelOnly="1" fieldPosition="0">
        <references count="2">
          <reference field="1" count="1">
            <x v="80"/>
          </reference>
          <reference field="3" count="0" selected="0"/>
        </references>
      </pivotArea>
    </format>
    <format dxfId="105">
      <pivotArea dataOnly="0" labelOnly="1" fieldPosition="0">
        <references count="2">
          <reference field="1" count="29">
            <x v="306"/>
            <x v="308"/>
            <x v="309"/>
            <x v="310"/>
            <x v="311"/>
            <x v="312"/>
            <x v="313"/>
            <x v="314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28"/>
            <x v="329"/>
            <x v="330"/>
            <x v="331"/>
            <x v="332"/>
            <x v="333"/>
            <x v="373"/>
            <x v="374"/>
            <x v="375"/>
          </reference>
          <reference field="3" count="0" selected="0"/>
        </references>
      </pivotArea>
    </format>
    <format dxfId="104">
      <pivotArea dataOnly="0" labelOnly="1" fieldPosition="0">
        <references count="2">
          <reference field="1" count="1">
            <x v="363"/>
          </reference>
          <reference field="3" count="1" selected="0">
            <x v="24"/>
          </reference>
        </references>
      </pivotArea>
    </format>
    <format dxfId="103">
      <pivotArea collapsedLevelsAreSubtotals="1" fieldPosition="0">
        <references count="2">
          <reference field="1" count="2">
            <x v="338"/>
            <x v="424"/>
          </reference>
          <reference field="3" count="1" selected="0">
            <x v="36"/>
          </reference>
        </references>
      </pivotArea>
    </format>
    <format dxfId="102">
      <pivotArea grandRow="1" outline="0" collapsedLevelsAreSubtotals="1" fieldPosition="0"/>
    </format>
    <format dxfId="101">
      <pivotArea dataOnly="0" labelOnly="1" grandRow="1" outline="0" fieldPosition="0"/>
    </format>
    <format dxfId="100">
      <pivotArea dataOnly="0" labelOnly="1" fieldPosition="0">
        <references count="2">
          <reference field="1" count="2">
            <x v="338"/>
            <x v="424"/>
          </reference>
          <reference field="3" count="1" selected="0">
            <x v="36"/>
          </reference>
        </references>
      </pivotArea>
    </format>
  </formats>
  <pivotTableStyleInfo name="PivotStyleMedium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Dilimleyici_Marka" xr10:uid="{4A01C218-1841-499F-AA7D-43236EA782BC}" sourceName="Marka">
  <pivotTables>
    <pivotTable tabId="6" name="PivotTable4"/>
  </pivotTables>
  <data>
    <tabular pivotCacheId="812493423">
      <items count="38">
        <i x="0" s="1"/>
        <i x="25" s="1"/>
        <i x="2" s="1"/>
        <i x="1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  <i x="20" s="1"/>
        <i x="21" s="1"/>
        <i x="22" s="1"/>
        <i x="26" s="1"/>
        <i x="36" s="1"/>
        <i x="24" s="1"/>
        <i x="27" s="1"/>
        <i x="23" s="1"/>
        <i x="28" s="1"/>
        <i x="29" s="1"/>
        <i x="30" s="1"/>
        <i x="31" s="1"/>
        <i x="32" s="1"/>
        <i x="33" s="1"/>
        <i x="34" s="1"/>
        <i x="37" s="1"/>
        <i x="35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Dilimleyici_Ürün_Grubu" xr10:uid="{9EF21968-8937-426A-BA12-216E8BD19480}" sourceName="Ürün Grubu">
  <pivotTables>
    <pivotTable tabId="6" name="PivotTable4"/>
  </pivotTables>
  <data>
    <tabular pivotCacheId="812493423">
      <items count="36">
        <i x="3" s="1"/>
        <i x="32" s="1"/>
        <i x="2" s="1"/>
        <i x="23" s="1"/>
        <i x="22" s="1"/>
        <i x="5" s="1"/>
        <i x="1" s="1"/>
        <i x="8" s="1"/>
        <i x="12" s="1"/>
        <i x="16" s="1"/>
        <i x="4" s="1"/>
        <i x="29" s="1"/>
        <i x="33" s="1"/>
        <i x="30" s="1"/>
        <i x="24" s="1"/>
        <i x="11" s="1"/>
        <i x="7" s="1"/>
        <i x="13" s="1"/>
        <i x="9" s="1"/>
        <i x="27" s="1"/>
        <i x="15" s="1"/>
        <i x="10" s="1"/>
        <i x="21" s="1"/>
        <i x="25" s="1"/>
        <i x="34" s="1"/>
        <i x="18" s="1"/>
        <i x="19" s="1"/>
        <i x="31" s="1"/>
        <i x="14" s="1"/>
        <i x="20" s="1"/>
        <i x="17" s="1"/>
        <i x="6" s="1"/>
        <i x="26" s="1"/>
        <i x="0" s="1"/>
        <i x="28" s="1"/>
        <i x="35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arka" xr10:uid="{CC2C8972-E280-45EA-9710-78D119D5E8BD}" cache="Dilimleyici_Marka" caption="Marka" style="F2 Connect Style 2" rowHeight="246028"/>
  <slicer name="Ürün Grubu" xr10:uid="{31CD789A-4C84-4084-90CB-274CA98AABF7}" cache="Dilimleyici_Ürün_Grubu" caption="Ürün Grubu" style="F2 Connect Style 2" rowHeight="246028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5E02A0B-EBAC-497B-8F95-E1A614B153BB}" name="Tablo1" displayName="Tablo1" ref="K5:L109" totalsRowShown="0" headerRowDxfId="99" dataDxfId="97" headerRowBorderDxfId="98" tableBorderDxfId="96" totalsRowBorderDxfId="95">
  <autoFilter ref="K5:L109" xr:uid="{E5E02A0B-EBAC-497B-8F95-E1A614B153BB}">
    <filterColumn colId="0" hiddenButton="1"/>
    <filterColumn colId="1" hiddenButton="1"/>
  </autoFilter>
  <sortState xmlns:xlrd2="http://schemas.microsoft.com/office/spreadsheetml/2017/richdata2" ref="K6:L109">
    <sortCondition descending="1" ref="K81:K109"/>
  </sortState>
  <tableColumns count="2">
    <tableColumn id="1" xr3:uid="{F3F08BA5-BC24-4512-A5B4-E4D9C7C2DCF5}" name="Sayım Tarihi" dataDxfId="94" dataCellStyle="Normal 2"/>
    <tableColumn id="2" xr3:uid="{EEB9CBF8-49FE-4799-93B4-AAE618911A93}" name="Miktar" dataDxfId="93" dataCellStyle="Normal 2">
      <calculatedColumnFormula>IFERROR(VLOOKUP($A$2,Stok!$B$1:$AM$446,7,0),"")</calculatedColumnFormula>
    </tableColumn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microsoft.com/office/2007/relationships/slicer" Target="../slicers/slicer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BFD299-21CE-49EE-B516-BA2E3F030B7C}">
  <sheetPr codeName="Sayfa1"/>
  <dimension ref="A1:QX494"/>
  <sheetViews>
    <sheetView tabSelected="1" zoomScale="75" zoomScaleNormal="75" workbookViewId="0">
      <pane ySplit="3" topLeftCell="A4" activePane="bottomLeft" state="frozenSplit"/>
      <selection pane="bottomLeft" activeCell="F5" sqref="F5"/>
    </sheetView>
  </sheetViews>
  <sheetFormatPr defaultColWidth="3.26953125" defaultRowHeight="15.85" x14ac:dyDescent="0.35"/>
  <cols>
    <col min="1" max="1" width="3.26953125" style="39"/>
    <col min="2" max="2" width="14.26953125" style="39" customWidth="1"/>
    <col min="3" max="3" width="9.453125" style="52" customWidth="1"/>
    <col min="4" max="4" width="26.1796875" style="39" customWidth="1"/>
    <col min="5" max="5" width="3.26953125" style="39"/>
    <col min="6" max="6" width="32.1796875" style="39" customWidth="1"/>
    <col min="7" max="7" width="13.54296875" style="39" customWidth="1"/>
    <col min="8" max="8" width="14.36328125" style="39" bestFit="1" customWidth="1"/>
    <col min="9" max="9" width="13.54296875" style="39" customWidth="1"/>
    <col min="10" max="10" width="4.36328125" style="39" customWidth="1"/>
    <col min="11" max="11" width="14.90625" style="39" bestFit="1" customWidth="1"/>
    <col min="12" max="12" width="8.1796875" style="39" bestFit="1" customWidth="1"/>
    <col min="13" max="13" width="3.26953125" style="39"/>
    <col min="14" max="14" width="5.1796875" style="39" bestFit="1" customWidth="1"/>
    <col min="15" max="30" width="3.26953125" style="39"/>
    <col min="31" max="31" width="5.54296875" style="39" customWidth="1"/>
    <col min="32" max="32" width="29.6328125" style="67" customWidth="1"/>
    <col min="33" max="33" width="12.54296875" style="68" bestFit="1" customWidth="1"/>
    <col min="34" max="35" width="13.54296875" style="69" customWidth="1"/>
    <col min="36" max="37" width="10.1796875" style="39" bestFit="1" customWidth="1"/>
    <col min="38" max="38" width="31.81640625" style="39" bestFit="1" customWidth="1"/>
    <col min="39" max="39" width="11.08984375" style="39" bestFit="1" customWidth="1"/>
    <col min="40" max="40" width="31.81640625" style="39" bestFit="1" customWidth="1"/>
    <col min="41" max="41" width="10.1796875" style="39" bestFit="1" customWidth="1"/>
    <col min="42" max="42" width="31.81640625" style="39" bestFit="1" customWidth="1"/>
    <col min="43" max="43" width="15.1796875" style="39" bestFit="1" customWidth="1"/>
    <col min="44" max="44" width="31.81640625" style="39" bestFit="1" customWidth="1"/>
    <col min="45" max="45" width="11.08984375" style="39" bestFit="1" customWidth="1"/>
    <col min="46" max="46" width="31.81640625" style="39" bestFit="1" customWidth="1"/>
    <col min="47" max="47" width="11.08984375" style="39" bestFit="1" customWidth="1"/>
    <col min="48" max="48" width="31.81640625" style="39" bestFit="1" customWidth="1"/>
    <col min="49" max="49" width="10.1796875" style="39" bestFit="1" customWidth="1"/>
    <col min="50" max="50" width="31.81640625" style="39" bestFit="1" customWidth="1"/>
    <col min="51" max="51" width="15.1796875" style="39" bestFit="1" customWidth="1"/>
    <col min="52" max="52" width="31.81640625" style="39" bestFit="1" customWidth="1"/>
    <col min="53" max="53" width="13.1796875" style="39" bestFit="1" customWidth="1"/>
    <col min="54" max="54" width="31.81640625" style="39" bestFit="1" customWidth="1"/>
    <col min="55" max="55" width="11.08984375" style="39" bestFit="1" customWidth="1"/>
    <col min="56" max="56" width="31.81640625" style="39" bestFit="1" customWidth="1"/>
    <col min="57" max="57" width="11.08984375" style="39" bestFit="1" customWidth="1"/>
    <col min="58" max="58" width="31.81640625" style="39" bestFit="1" customWidth="1"/>
    <col min="59" max="59" width="13.1796875" style="39" bestFit="1" customWidth="1"/>
    <col min="60" max="60" width="31.81640625" style="39" bestFit="1" customWidth="1"/>
    <col min="61" max="61" width="10.1796875" style="39" bestFit="1" customWidth="1"/>
    <col min="62" max="62" width="31.81640625" style="39" bestFit="1" customWidth="1"/>
    <col min="63" max="63" width="11.08984375" style="39" bestFit="1" customWidth="1"/>
    <col min="64" max="64" width="31.81640625" style="39" bestFit="1" customWidth="1"/>
    <col min="65" max="65" width="13.1796875" style="39" bestFit="1" customWidth="1"/>
    <col min="66" max="66" width="31.81640625" style="39" bestFit="1" customWidth="1"/>
    <col min="67" max="67" width="11.08984375" style="39" bestFit="1" customWidth="1"/>
    <col min="68" max="68" width="31.81640625" style="39" bestFit="1" customWidth="1"/>
    <col min="69" max="69" width="11.08984375" style="39" bestFit="1" customWidth="1"/>
    <col min="70" max="70" width="31.81640625" style="39" bestFit="1" customWidth="1"/>
    <col min="71" max="71" width="10.1796875" style="39" bestFit="1" customWidth="1"/>
    <col min="72" max="72" width="31.81640625" style="39" bestFit="1" customWidth="1"/>
    <col min="73" max="73" width="10.1796875" style="39" bestFit="1" customWidth="1"/>
    <col min="74" max="74" width="31.81640625" style="39" bestFit="1" customWidth="1"/>
    <col min="75" max="75" width="11.08984375" style="39" bestFit="1" customWidth="1"/>
    <col min="76" max="76" width="31.81640625" style="39" bestFit="1" customWidth="1"/>
    <col min="77" max="77" width="13.1796875" style="39" bestFit="1" customWidth="1"/>
    <col min="78" max="78" width="31.81640625" style="39" bestFit="1" customWidth="1"/>
    <col min="79" max="79" width="17.26953125" style="39" bestFit="1" customWidth="1"/>
    <col min="80" max="80" width="31.81640625" style="39" bestFit="1" customWidth="1"/>
    <col min="81" max="81" width="15.1796875" style="39" bestFit="1" customWidth="1"/>
    <col min="82" max="82" width="31.81640625" style="39" bestFit="1" customWidth="1"/>
    <col min="83" max="83" width="17.26953125" style="39" bestFit="1" customWidth="1"/>
    <col min="84" max="84" width="31.81640625" style="39" bestFit="1" customWidth="1"/>
    <col min="85" max="85" width="13.1796875" style="39" bestFit="1" customWidth="1"/>
    <col min="86" max="86" width="31.81640625" style="39" bestFit="1" customWidth="1"/>
    <col min="87" max="87" width="10.1796875" style="39" bestFit="1" customWidth="1"/>
    <col min="88" max="88" width="31.81640625" style="39" bestFit="1" customWidth="1"/>
    <col min="89" max="89" width="11.08984375" style="39" bestFit="1" customWidth="1"/>
    <col min="90" max="90" width="31.81640625" style="39" bestFit="1" customWidth="1"/>
    <col min="91" max="91" width="10.1796875" style="39" bestFit="1" customWidth="1"/>
    <col min="92" max="92" width="31.81640625" style="39" bestFit="1" customWidth="1"/>
    <col min="93" max="93" width="13.1796875" style="39" bestFit="1" customWidth="1"/>
    <col min="94" max="94" width="31.81640625" style="39" bestFit="1" customWidth="1"/>
    <col min="95" max="95" width="11.08984375" style="39" bestFit="1" customWidth="1"/>
    <col min="96" max="96" width="31.81640625" style="39" bestFit="1" customWidth="1"/>
    <col min="97" max="97" width="13.1796875" style="39" bestFit="1" customWidth="1"/>
    <col min="98" max="98" width="31.81640625" style="39" bestFit="1" customWidth="1"/>
    <col min="99" max="99" width="11.08984375" style="39" bestFit="1" customWidth="1"/>
    <col min="100" max="100" width="31.81640625" style="39" bestFit="1" customWidth="1"/>
    <col min="101" max="101" width="15.1796875" style="39" bestFit="1" customWidth="1"/>
    <col min="102" max="102" width="31.81640625" style="39" bestFit="1" customWidth="1"/>
    <col min="103" max="103" width="11.08984375" style="39" bestFit="1" customWidth="1"/>
    <col min="104" max="104" width="31.81640625" style="39" bestFit="1" customWidth="1"/>
    <col min="105" max="105" width="10.1796875" style="39" bestFit="1" customWidth="1"/>
    <col min="106" max="106" width="31.81640625" style="39" bestFit="1" customWidth="1"/>
    <col min="107" max="107" width="11.08984375" style="39" bestFit="1" customWidth="1"/>
    <col min="108" max="108" width="31.81640625" style="39" bestFit="1" customWidth="1"/>
    <col min="109" max="109" width="10.1796875" style="39" bestFit="1" customWidth="1"/>
    <col min="110" max="110" width="31.81640625" style="39" bestFit="1" customWidth="1"/>
    <col min="111" max="111" width="11.08984375" style="39" bestFit="1" customWidth="1"/>
    <col min="112" max="112" width="31.81640625" style="39" bestFit="1" customWidth="1"/>
    <col min="113" max="113" width="15.1796875" style="39" bestFit="1" customWidth="1"/>
    <col min="114" max="114" width="31.81640625" style="39" bestFit="1" customWidth="1"/>
    <col min="115" max="115" width="15.1796875" style="39" bestFit="1" customWidth="1"/>
    <col min="116" max="116" width="31.81640625" style="39" bestFit="1" customWidth="1"/>
    <col min="117" max="117" width="13.1796875" style="39" bestFit="1" customWidth="1"/>
    <col min="118" max="118" width="31.81640625" style="39" bestFit="1" customWidth="1"/>
    <col min="119" max="119" width="11.08984375" style="39" bestFit="1" customWidth="1"/>
    <col min="120" max="120" width="31.81640625" style="39" bestFit="1" customWidth="1"/>
    <col min="121" max="121" width="17.26953125" style="39" bestFit="1" customWidth="1"/>
    <col min="122" max="122" width="31.81640625" style="39" bestFit="1" customWidth="1"/>
    <col min="123" max="123" width="15.1796875" style="39" bestFit="1" customWidth="1"/>
    <col min="124" max="124" width="31.81640625" style="39" bestFit="1" customWidth="1"/>
    <col min="125" max="125" width="11.08984375" style="39" bestFit="1" customWidth="1"/>
    <col min="126" max="126" width="31.81640625" style="39" bestFit="1" customWidth="1"/>
    <col min="127" max="127" width="17.26953125" style="39" bestFit="1" customWidth="1"/>
    <col min="128" max="128" width="31.81640625" style="39" bestFit="1" customWidth="1"/>
    <col min="129" max="129" width="13.1796875" style="39" bestFit="1" customWidth="1"/>
    <col min="130" max="130" width="31.81640625" style="39" bestFit="1" customWidth="1"/>
    <col min="131" max="131" width="15.1796875" style="39" bestFit="1" customWidth="1"/>
    <col min="132" max="132" width="31.81640625" style="39" bestFit="1" customWidth="1"/>
    <col min="133" max="133" width="11.08984375" style="39" bestFit="1" customWidth="1"/>
    <col min="134" max="134" width="31.81640625" style="39" bestFit="1" customWidth="1"/>
    <col min="135" max="135" width="13.1796875" style="39" bestFit="1" customWidth="1"/>
    <col min="136" max="136" width="31.81640625" style="39" bestFit="1" customWidth="1"/>
    <col min="137" max="137" width="15.1796875" style="39" bestFit="1" customWidth="1"/>
    <col min="138" max="138" width="31.81640625" style="39" bestFit="1" customWidth="1"/>
    <col min="139" max="139" width="19.1796875" style="39" bestFit="1" customWidth="1"/>
    <col min="140" max="140" width="31.81640625" style="39" bestFit="1" customWidth="1"/>
    <col min="141" max="141" width="19.1796875" style="39" bestFit="1" customWidth="1"/>
    <col min="142" max="142" width="31.81640625" style="39" bestFit="1" customWidth="1"/>
    <col min="143" max="143" width="19.1796875" style="39" bestFit="1" customWidth="1"/>
    <col min="144" max="144" width="31.81640625" style="39" bestFit="1" customWidth="1"/>
    <col min="145" max="145" width="15.1796875" style="39" bestFit="1" customWidth="1"/>
    <col min="146" max="146" width="31.81640625" style="39" bestFit="1" customWidth="1"/>
    <col min="147" max="147" width="15.1796875" style="39" bestFit="1" customWidth="1"/>
    <col min="148" max="148" width="31.81640625" style="39" bestFit="1" customWidth="1"/>
    <col min="149" max="149" width="17.26953125" style="39" bestFit="1" customWidth="1"/>
    <col min="150" max="150" width="31.81640625" style="39" bestFit="1" customWidth="1"/>
    <col min="151" max="151" width="13.1796875" style="39" bestFit="1" customWidth="1"/>
    <col min="152" max="152" width="31.81640625" style="39" bestFit="1" customWidth="1"/>
    <col min="153" max="153" width="13.1796875" style="39" bestFit="1" customWidth="1"/>
    <col min="154" max="154" width="31.81640625" style="39" bestFit="1" customWidth="1"/>
    <col min="155" max="155" width="13.1796875" style="39" bestFit="1" customWidth="1"/>
    <col min="156" max="156" width="31.81640625" style="39" bestFit="1" customWidth="1"/>
    <col min="157" max="157" width="11.08984375" style="39" bestFit="1" customWidth="1"/>
    <col min="158" max="158" width="31.81640625" style="39" bestFit="1" customWidth="1"/>
    <col min="159" max="159" width="19.1796875" style="39" bestFit="1" customWidth="1"/>
    <col min="160" max="160" width="31.81640625" style="39" bestFit="1" customWidth="1"/>
    <col min="161" max="161" width="15.1796875" style="39" bestFit="1" customWidth="1"/>
    <col min="162" max="162" width="31.81640625" style="39" bestFit="1" customWidth="1"/>
    <col min="163" max="163" width="13.1796875" style="39" bestFit="1" customWidth="1"/>
    <col min="164" max="164" width="31.81640625" style="39" bestFit="1" customWidth="1"/>
    <col min="165" max="165" width="10.1796875" style="39" bestFit="1" customWidth="1"/>
    <col min="166" max="166" width="31.81640625" style="39" bestFit="1" customWidth="1"/>
    <col min="167" max="167" width="17.26953125" style="39" bestFit="1" customWidth="1"/>
    <col min="168" max="168" width="31.81640625" style="39" bestFit="1" customWidth="1"/>
    <col min="169" max="169" width="17.26953125" style="39" bestFit="1" customWidth="1"/>
    <col min="170" max="170" width="31.81640625" style="39" bestFit="1" customWidth="1"/>
    <col min="171" max="171" width="10.1796875" style="39" bestFit="1" customWidth="1"/>
    <col min="172" max="172" width="31.81640625" style="39" bestFit="1" customWidth="1"/>
    <col min="173" max="173" width="19.1796875" style="39" bestFit="1" customWidth="1"/>
    <col min="174" max="174" width="31.81640625" style="39" bestFit="1" customWidth="1"/>
    <col min="175" max="175" width="19.1796875" style="39" bestFit="1" customWidth="1"/>
    <col min="176" max="176" width="31.81640625" style="39" bestFit="1" customWidth="1"/>
    <col min="177" max="177" width="15.1796875" style="39" bestFit="1" customWidth="1"/>
    <col min="178" max="178" width="31.81640625" style="39" bestFit="1" customWidth="1"/>
    <col min="179" max="179" width="19.1796875" style="39" bestFit="1" customWidth="1"/>
    <col min="180" max="180" width="31.81640625" style="39" bestFit="1" customWidth="1"/>
    <col min="181" max="181" width="10.1796875" style="39" bestFit="1" customWidth="1"/>
    <col min="182" max="182" width="31.81640625" style="39" bestFit="1" customWidth="1"/>
    <col min="183" max="183" width="15.1796875" style="39" bestFit="1" customWidth="1"/>
    <col min="184" max="184" width="31.81640625" style="39" bestFit="1" customWidth="1"/>
    <col min="185" max="185" width="11.08984375" style="39" bestFit="1" customWidth="1"/>
    <col min="186" max="186" width="31.81640625" style="39" bestFit="1" customWidth="1"/>
    <col min="187" max="187" width="17.26953125" style="39" bestFit="1" customWidth="1"/>
    <col min="188" max="188" width="31.81640625" style="39" bestFit="1" customWidth="1"/>
    <col min="189" max="189" width="10.1796875" style="39" bestFit="1" customWidth="1"/>
    <col min="190" max="190" width="31.81640625" style="39" bestFit="1" customWidth="1"/>
    <col min="191" max="191" width="13.1796875" style="39" bestFit="1" customWidth="1"/>
    <col min="192" max="192" width="31.81640625" style="39" bestFit="1" customWidth="1"/>
    <col min="193" max="193" width="13.1796875" style="39" bestFit="1" customWidth="1"/>
    <col min="194" max="194" width="31.81640625" style="39" bestFit="1" customWidth="1"/>
    <col min="195" max="195" width="11.08984375" style="39" bestFit="1" customWidth="1"/>
    <col min="196" max="196" width="31.81640625" style="39" bestFit="1" customWidth="1"/>
    <col min="197" max="197" width="10.1796875" style="39" bestFit="1" customWidth="1"/>
    <col min="198" max="198" width="31.81640625" style="39" bestFit="1" customWidth="1"/>
    <col min="199" max="199" width="15.1796875" style="39" bestFit="1" customWidth="1"/>
    <col min="200" max="200" width="31.81640625" style="39" bestFit="1" customWidth="1"/>
    <col min="201" max="201" width="13.1796875" style="39" bestFit="1" customWidth="1"/>
    <col min="202" max="202" width="31.81640625" style="39" bestFit="1" customWidth="1"/>
    <col min="203" max="203" width="17.26953125" style="39" bestFit="1" customWidth="1"/>
    <col min="204" max="204" width="31.81640625" style="39" bestFit="1" customWidth="1"/>
    <col min="205" max="205" width="15.1796875" style="39" bestFit="1" customWidth="1"/>
    <col min="206" max="206" width="31.81640625" style="39" bestFit="1" customWidth="1"/>
    <col min="207" max="207" width="10.1796875" style="39" bestFit="1" customWidth="1"/>
    <col min="208" max="208" width="31.81640625" style="39" bestFit="1" customWidth="1"/>
    <col min="209" max="209" width="19.1796875" style="39" bestFit="1" customWidth="1"/>
    <col min="210" max="210" width="31.81640625" style="39" bestFit="1" customWidth="1"/>
    <col min="211" max="211" width="10.1796875" style="39" bestFit="1" customWidth="1"/>
    <col min="212" max="212" width="31.81640625" style="39" bestFit="1" customWidth="1"/>
    <col min="213" max="213" width="17.26953125" style="39" bestFit="1" customWidth="1"/>
    <col min="214" max="214" width="31.81640625" style="39" bestFit="1" customWidth="1"/>
    <col min="215" max="215" width="11.08984375" style="39" bestFit="1" customWidth="1"/>
    <col min="216" max="216" width="31.81640625" style="39" bestFit="1" customWidth="1"/>
    <col min="217" max="217" width="10.1796875" style="39" bestFit="1" customWidth="1"/>
    <col min="218" max="218" width="31.81640625" style="39" bestFit="1" customWidth="1"/>
    <col min="219" max="219" width="13.1796875" style="39" bestFit="1" customWidth="1"/>
    <col min="220" max="220" width="31.81640625" style="39" bestFit="1" customWidth="1"/>
    <col min="221" max="221" width="15.1796875" style="39" bestFit="1" customWidth="1"/>
    <col min="222" max="222" width="31.81640625" style="39" bestFit="1" customWidth="1"/>
    <col min="223" max="223" width="19.1796875" style="39" bestFit="1" customWidth="1"/>
    <col min="224" max="224" width="31.81640625" style="39" bestFit="1" customWidth="1"/>
    <col min="225" max="225" width="17.26953125" style="39" bestFit="1" customWidth="1"/>
    <col min="226" max="226" width="31.81640625" style="39" bestFit="1" customWidth="1"/>
    <col min="227" max="227" width="15.1796875" style="39" bestFit="1" customWidth="1"/>
    <col min="228" max="228" width="31.81640625" style="39" bestFit="1" customWidth="1"/>
    <col min="229" max="229" width="13.1796875" style="39" bestFit="1" customWidth="1"/>
    <col min="230" max="230" width="31.81640625" style="39" bestFit="1" customWidth="1"/>
    <col min="231" max="231" width="19.1796875" style="39" bestFit="1" customWidth="1"/>
    <col min="232" max="232" width="31.81640625" style="39" bestFit="1" customWidth="1"/>
    <col min="233" max="233" width="10.1796875" style="39" bestFit="1" customWidth="1"/>
    <col min="234" max="234" width="31.81640625" style="39" bestFit="1" customWidth="1"/>
    <col min="235" max="235" width="13.1796875" style="39" bestFit="1" customWidth="1"/>
    <col min="236" max="236" width="31.81640625" style="39" bestFit="1" customWidth="1"/>
    <col min="237" max="237" width="13.1796875" style="39" bestFit="1" customWidth="1"/>
    <col min="238" max="238" width="31.81640625" style="39" bestFit="1" customWidth="1"/>
    <col min="239" max="239" width="17.26953125" style="39" bestFit="1" customWidth="1"/>
    <col min="240" max="240" width="31.81640625" style="39" bestFit="1" customWidth="1"/>
    <col min="241" max="241" width="10.1796875" style="39" bestFit="1" customWidth="1"/>
    <col min="242" max="242" width="31.81640625" style="39" bestFit="1" customWidth="1"/>
    <col min="243" max="243" width="19.1796875" style="39" bestFit="1" customWidth="1"/>
    <col min="244" max="244" width="31.81640625" style="39" bestFit="1" customWidth="1"/>
    <col min="245" max="245" width="17.26953125" style="39" bestFit="1" customWidth="1"/>
    <col min="246" max="246" width="31.81640625" style="39" bestFit="1" customWidth="1"/>
    <col min="247" max="247" width="17.26953125" style="39" bestFit="1" customWidth="1"/>
    <col min="248" max="248" width="31.81640625" style="39" bestFit="1" customWidth="1"/>
    <col min="249" max="249" width="10.1796875" style="39" bestFit="1" customWidth="1"/>
    <col min="250" max="250" width="31.81640625" style="39" bestFit="1" customWidth="1"/>
    <col min="251" max="251" width="13.1796875" style="39" bestFit="1" customWidth="1"/>
    <col min="252" max="252" width="31.81640625" style="39" bestFit="1" customWidth="1"/>
    <col min="253" max="253" width="17.26953125" style="39" bestFit="1" customWidth="1"/>
    <col min="254" max="254" width="31.81640625" style="39" bestFit="1" customWidth="1"/>
    <col min="255" max="255" width="11.08984375" style="39" bestFit="1" customWidth="1"/>
    <col min="256" max="256" width="31.81640625" style="39" bestFit="1" customWidth="1"/>
    <col min="257" max="257" width="17.26953125" style="39" bestFit="1" customWidth="1"/>
    <col min="258" max="258" width="31.81640625" style="39" bestFit="1" customWidth="1"/>
    <col min="259" max="259" width="11.08984375" style="39" bestFit="1" customWidth="1"/>
    <col min="260" max="260" width="31.81640625" style="39" bestFit="1" customWidth="1"/>
    <col min="261" max="261" width="13.1796875" style="39" bestFit="1" customWidth="1"/>
    <col min="262" max="262" width="31.81640625" style="39" bestFit="1" customWidth="1"/>
    <col min="263" max="263" width="13.1796875" style="39" bestFit="1" customWidth="1"/>
    <col min="264" max="264" width="31.81640625" style="39" bestFit="1" customWidth="1"/>
    <col min="265" max="265" width="17.26953125" style="39" bestFit="1" customWidth="1"/>
    <col min="266" max="266" width="31.81640625" style="39" bestFit="1" customWidth="1"/>
    <col min="267" max="267" width="13.1796875" style="39" bestFit="1" customWidth="1"/>
    <col min="268" max="268" width="31.81640625" style="39" bestFit="1" customWidth="1"/>
    <col min="269" max="269" width="15.1796875" style="39" bestFit="1" customWidth="1"/>
    <col min="270" max="270" width="31.81640625" style="39" bestFit="1" customWidth="1"/>
    <col min="271" max="271" width="13.1796875" style="39" bestFit="1" customWidth="1"/>
    <col min="272" max="272" width="31.81640625" style="39" bestFit="1" customWidth="1"/>
    <col min="273" max="273" width="15.1796875" style="39" bestFit="1" customWidth="1"/>
    <col min="274" max="274" width="31.81640625" style="39" bestFit="1" customWidth="1"/>
    <col min="275" max="275" width="17.26953125" style="39" bestFit="1" customWidth="1"/>
    <col min="276" max="276" width="31.81640625" style="39" bestFit="1" customWidth="1"/>
    <col min="277" max="277" width="19.1796875" style="39" bestFit="1" customWidth="1"/>
    <col min="278" max="278" width="31.81640625" style="39" bestFit="1" customWidth="1"/>
    <col min="279" max="279" width="15.1796875" style="39" bestFit="1" customWidth="1"/>
    <col min="280" max="280" width="31.81640625" style="39" bestFit="1" customWidth="1"/>
    <col min="281" max="281" width="15.1796875" style="39" bestFit="1" customWidth="1"/>
    <col min="282" max="282" width="31.81640625" style="39" bestFit="1" customWidth="1"/>
    <col min="283" max="283" width="13.1796875" style="39" bestFit="1" customWidth="1"/>
    <col min="284" max="284" width="31.81640625" style="39" bestFit="1" customWidth="1"/>
    <col min="285" max="285" width="11.08984375" style="39" bestFit="1" customWidth="1"/>
    <col min="286" max="286" width="31.81640625" style="39" bestFit="1" customWidth="1"/>
    <col min="287" max="287" width="10.1796875" style="39" bestFit="1" customWidth="1"/>
    <col min="288" max="288" width="31.81640625" style="39" bestFit="1" customWidth="1"/>
    <col min="289" max="289" width="19.1796875" style="39" bestFit="1" customWidth="1"/>
    <col min="290" max="290" width="31.81640625" style="39" bestFit="1" customWidth="1"/>
    <col min="291" max="291" width="23.1796875" style="39" bestFit="1" customWidth="1"/>
    <col min="292" max="292" width="31.81640625" style="39" bestFit="1" customWidth="1"/>
    <col min="293" max="293" width="11.08984375" style="39" bestFit="1" customWidth="1"/>
    <col min="294" max="294" width="31.81640625" style="39" bestFit="1" customWidth="1"/>
    <col min="295" max="295" width="15.1796875" style="39" bestFit="1" customWidth="1"/>
    <col min="296" max="296" width="31.81640625" style="39" bestFit="1" customWidth="1"/>
    <col min="297" max="297" width="17.26953125" style="39" bestFit="1" customWidth="1"/>
    <col min="298" max="298" width="31.81640625" style="39" bestFit="1" customWidth="1"/>
    <col min="299" max="299" width="10.1796875" style="39" bestFit="1" customWidth="1"/>
    <col min="300" max="300" width="31.81640625" style="39" bestFit="1" customWidth="1"/>
    <col min="301" max="301" width="15.1796875" style="39" bestFit="1" customWidth="1"/>
    <col min="302" max="302" width="31.81640625" style="39" bestFit="1" customWidth="1"/>
    <col min="303" max="303" width="10.1796875" style="39" bestFit="1" customWidth="1"/>
    <col min="304" max="304" width="31.81640625" style="39" bestFit="1" customWidth="1"/>
    <col min="305" max="305" width="11.08984375" style="39" bestFit="1" customWidth="1"/>
    <col min="306" max="306" width="31.81640625" style="39" bestFit="1" customWidth="1"/>
    <col min="307" max="307" width="23.1796875" style="39" bestFit="1" customWidth="1"/>
    <col min="308" max="308" width="31.81640625" style="39" bestFit="1" customWidth="1"/>
    <col min="309" max="309" width="10.1796875" style="39" bestFit="1" customWidth="1"/>
    <col min="310" max="310" width="31.81640625" style="39" bestFit="1" customWidth="1"/>
    <col min="311" max="311" width="11.08984375" style="39" bestFit="1" customWidth="1"/>
    <col min="312" max="312" width="31.81640625" style="39" bestFit="1" customWidth="1"/>
    <col min="313" max="313" width="15.1796875" style="39" bestFit="1" customWidth="1"/>
    <col min="314" max="314" width="31.81640625" style="39" bestFit="1" customWidth="1"/>
    <col min="315" max="315" width="11.08984375" style="39" bestFit="1" customWidth="1"/>
    <col min="316" max="316" width="31.81640625" style="39" bestFit="1" customWidth="1"/>
    <col min="317" max="317" width="15.1796875" style="39" bestFit="1" customWidth="1"/>
    <col min="318" max="318" width="31.81640625" style="39" bestFit="1" customWidth="1"/>
    <col min="319" max="319" width="13.1796875" style="39" bestFit="1" customWidth="1"/>
    <col min="320" max="320" width="31.81640625" style="39" bestFit="1" customWidth="1"/>
    <col min="321" max="321" width="11.08984375" style="39" bestFit="1" customWidth="1"/>
    <col min="322" max="322" width="31.81640625" style="39" bestFit="1" customWidth="1"/>
    <col min="323" max="323" width="23.1796875" style="39" bestFit="1" customWidth="1"/>
    <col min="324" max="324" width="31.81640625" style="39" bestFit="1" customWidth="1"/>
    <col min="325" max="325" width="15.1796875" style="39" bestFit="1" customWidth="1"/>
    <col min="326" max="326" width="31.81640625" style="39" bestFit="1" customWidth="1"/>
    <col min="327" max="327" width="15.1796875" style="39" bestFit="1" customWidth="1"/>
    <col min="328" max="328" width="31.81640625" style="39" bestFit="1" customWidth="1"/>
    <col min="329" max="329" width="13.1796875" style="39" bestFit="1" customWidth="1"/>
    <col min="330" max="330" width="31.81640625" style="39" bestFit="1" customWidth="1"/>
    <col min="331" max="331" width="15.1796875" style="39" bestFit="1" customWidth="1"/>
    <col min="332" max="332" width="31.81640625" style="39" bestFit="1" customWidth="1"/>
    <col min="333" max="333" width="13.1796875" style="39" bestFit="1" customWidth="1"/>
    <col min="334" max="334" width="31.81640625" style="39" bestFit="1" customWidth="1"/>
    <col min="335" max="335" width="10.1796875" style="39" bestFit="1" customWidth="1"/>
    <col min="336" max="336" width="31.81640625" style="39" bestFit="1" customWidth="1"/>
    <col min="337" max="337" width="23.1796875" style="39" bestFit="1" customWidth="1"/>
    <col min="338" max="338" width="31.81640625" style="39" bestFit="1" customWidth="1"/>
    <col min="339" max="339" width="19.1796875" style="39" bestFit="1" customWidth="1"/>
    <col min="340" max="340" width="31.81640625" style="39" bestFit="1" customWidth="1"/>
    <col min="341" max="341" width="19.1796875" style="39" bestFit="1" customWidth="1"/>
    <col min="342" max="342" width="31.81640625" style="39" bestFit="1" customWidth="1"/>
    <col min="343" max="343" width="10.1796875" style="39" bestFit="1" customWidth="1"/>
    <col min="344" max="344" width="31.81640625" style="39" bestFit="1" customWidth="1"/>
    <col min="345" max="345" width="17.26953125" style="39" bestFit="1" customWidth="1"/>
    <col min="346" max="346" width="31.81640625" style="39" bestFit="1" customWidth="1"/>
    <col min="347" max="347" width="13.1796875" style="39" bestFit="1" customWidth="1"/>
    <col min="348" max="348" width="31.81640625" style="39" bestFit="1" customWidth="1"/>
    <col min="349" max="349" width="21.26953125" style="39" bestFit="1" customWidth="1"/>
    <col min="350" max="350" width="31.81640625" style="39" bestFit="1" customWidth="1"/>
    <col min="351" max="351" width="21.26953125" style="39" bestFit="1" customWidth="1"/>
    <col min="352" max="352" width="31.81640625" style="39" bestFit="1" customWidth="1"/>
    <col min="353" max="353" width="17.26953125" style="39" bestFit="1" customWidth="1"/>
    <col min="354" max="354" width="31.81640625" style="39" bestFit="1" customWidth="1"/>
    <col min="355" max="355" width="10.1796875" style="39" bestFit="1" customWidth="1"/>
    <col min="356" max="356" width="31.81640625" style="39" bestFit="1" customWidth="1"/>
    <col min="357" max="357" width="21.26953125" style="39" bestFit="1" customWidth="1"/>
    <col min="358" max="358" width="31.81640625" style="39" bestFit="1" customWidth="1"/>
    <col min="359" max="359" width="10.1796875" style="39" bestFit="1" customWidth="1"/>
    <col min="360" max="360" width="31.81640625" style="39" bestFit="1" customWidth="1"/>
    <col min="361" max="361" width="10.1796875" style="39" bestFit="1" customWidth="1"/>
    <col min="362" max="362" width="31.81640625" style="39" bestFit="1" customWidth="1"/>
    <col min="363" max="363" width="10.1796875" style="39" bestFit="1" customWidth="1"/>
    <col min="364" max="364" width="31.81640625" style="39" bestFit="1" customWidth="1"/>
    <col min="365" max="365" width="15.1796875" style="39" bestFit="1" customWidth="1"/>
    <col min="366" max="366" width="31.81640625" style="39" bestFit="1" customWidth="1"/>
    <col min="367" max="367" width="21.26953125" style="39" bestFit="1" customWidth="1"/>
    <col min="368" max="368" width="31.81640625" style="39" bestFit="1" customWidth="1"/>
    <col min="369" max="369" width="17.26953125" style="39" bestFit="1" customWidth="1"/>
    <col min="370" max="370" width="31.81640625" style="39" bestFit="1" customWidth="1"/>
    <col min="371" max="371" width="10.1796875" style="39" bestFit="1" customWidth="1"/>
    <col min="372" max="372" width="31.81640625" style="39" bestFit="1" customWidth="1"/>
    <col min="373" max="373" width="13.1796875" style="39" bestFit="1" customWidth="1"/>
    <col min="374" max="374" width="31.81640625" style="39" bestFit="1" customWidth="1"/>
    <col min="375" max="375" width="13.1796875" style="39" bestFit="1" customWidth="1"/>
    <col min="376" max="376" width="31.81640625" style="39" bestFit="1" customWidth="1"/>
    <col min="377" max="377" width="21.26953125" style="39" bestFit="1" customWidth="1"/>
    <col min="378" max="378" width="31.81640625" style="39" bestFit="1" customWidth="1"/>
    <col min="379" max="379" width="10.1796875" style="39" bestFit="1" customWidth="1"/>
    <col min="380" max="380" width="31.81640625" style="39" bestFit="1" customWidth="1"/>
    <col min="381" max="381" width="10.1796875" style="39" bestFit="1" customWidth="1"/>
    <col min="382" max="382" width="31.81640625" style="39" bestFit="1" customWidth="1"/>
    <col min="383" max="383" width="21.26953125" style="39" bestFit="1" customWidth="1"/>
    <col min="384" max="384" width="31.81640625" style="39" bestFit="1" customWidth="1"/>
    <col min="385" max="385" width="10.1796875" style="39" bestFit="1" customWidth="1"/>
    <col min="386" max="386" width="31.81640625" style="39" bestFit="1" customWidth="1"/>
    <col min="387" max="387" width="19.1796875" style="39" bestFit="1" customWidth="1"/>
    <col min="388" max="388" width="31.81640625" style="39" bestFit="1" customWidth="1"/>
    <col min="389" max="389" width="13.1796875" style="39" bestFit="1" customWidth="1"/>
    <col min="390" max="390" width="31.81640625" style="39" bestFit="1" customWidth="1"/>
    <col min="391" max="391" width="10.1796875" style="39" bestFit="1" customWidth="1"/>
    <col min="392" max="392" width="31.81640625" style="39" bestFit="1" customWidth="1"/>
    <col min="393" max="393" width="10.1796875" style="39" bestFit="1" customWidth="1"/>
    <col min="394" max="394" width="31.81640625" style="39" bestFit="1" customWidth="1"/>
    <col min="395" max="395" width="15.1796875" style="39" bestFit="1" customWidth="1"/>
    <col min="396" max="396" width="31.81640625" style="39" bestFit="1" customWidth="1"/>
    <col min="397" max="397" width="17.26953125" style="39" bestFit="1" customWidth="1"/>
    <col min="398" max="398" width="31.81640625" style="39" bestFit="1" customWidth="1"/>
    <col min="399" max="399" width="13.1796875" style="39" bestFit="1" customWidth="1"/>
    <col min="400" max="400" width="31.81640625" style="39" bestFit="1" customWidth="1"/>
    <col min="401" max="401" width="15.1796875" style="39" bestFit="1" customWidth="1"/>
    <col min="402" max="402" width="31.81640625" style="39" bestFit="1" customWidth="1"/>
    <col min="403" max="403" width="15.1796875" style="39" bestFit="1" customWidth="1"/>
    <col min="404" max="404" width="31.81640625" style="39" bestFit="1" customWidth="1"/>
    <col min="405" max="405" width="10.1796875" style="39" bestFit="1" customWidth="1"/>
    <col min="406" max="406" width="31.81640625" style="39" bestFit="1" customWidth="1"/>
    <col min="407" max="407" width="15.1796875" style="39" bestFit="1" customWidth="1"/>
    <col min="408" max="408" width="31.81640625" style="39" bestFit="1" customWidth="1"/>
    <col min="409" max="409" width="13.1796875" style="39" bestFit="1" customWidth="1"/>
    <col min="410" max="410" width="31.81640625" style="39" bestFit="1" customWidth="1"/>
    <col min="411" max="411" width="19.1796875" style="39" bestFit="1" customWidth="1"/>
    <col min="412" max="412" width="31.81640625" style="39" bestFit="1" customWidth="1"/>
    <col min="413" max="413" width="10.1796875" style="39" bestFit="1" customWidth="1"/>
    <col min="414" max="414" width="31.81640625" style="39" bestFit="1" customWidth="1"/>
    <col min="415" max="415" width="13.1796875" style="39" bestFit="1" customWidth="1"/>
    <col min="416" max="416" width="31.81640625" style="39" bestFit="1" customWidth="1"/>
    <col min="417" max="417" width="15.1796875" style="39" bestFit="1" customWidth="1"/>
    <col min="418" max="418" width="31.81640625" style="39" bestFit="1" customWidth="1"/>
    <col min="419" max="419" width="10.1796875" style="39" bestFit="1" customWidth="1"/>
    <col min="420" max="420" width="31.81640625" style="39" bestFit="1" customWidth="1"/>
    <col min="421" max="421" width="15.1796875" style="39" bestFit="1" customWidth="1"/>
    <col min="422" max="422" width="31.81640625" style="39" bestFit="1" customWidth="1"/>
    <col min="423" max="423" width="10.1796875" style="39" bestFit="1" customWidth="1"/>
    <col min="424" max="424" width="31.81640625" style="39" bestFit="1" customWidth="1"/>
    <col min="425" max="425" width="10.1796875" style="39" bestFit="1" customWidth="1"/>
    <col min="426" max="426" width="31.81640625" style="39" bestFit="1" customWidth="1"/>
    <col min="427" max="427" width="15.1796875" style="39" bestFit="1" customWidth="1"/>
    <col min="428" max="428" width="31.81640625" style="39" bestFit="1" customWidth="1"/>
    <col min="429" max="429" width="10.1796875" style="39" bestFit="1" customWidth="1"/>
    <col min="430" max="430" width="31.81640625" style="39" bestFit="1" customWidth="1"/>
    <col min="431" max="431" width="10.1796875" style="39" bestFit="1" customWidth="1"/>
    <col min="432" max="432" width="31.81640625" style="39" bestFit="1" customWidth="1"/>
    <col min="433" max="433" width="10.1796875" style="39" bestFit="1" customWidth="1"/>
    <col min="434" max="434" width="31.81640625" style="39" bestFit="1" customWidth="1"/>
    <col min="435" max="435" width="15.1796875" style="39" bestFit="1" customWidth="1"/>
    <col min="436" max="436" width="31.81640625" style="39" bestFit="1" customWidth="1"/>
    <col min="437" max="437" width="11.08984375" style="39" bestFit="1" customWidth="1"/>
    <col min="438" max="438" width="31.81640625" style="39" bestFit="1" customWidth="1"/>
    <col min="439" max="439" width="11.08984375" style="39" bestFit="1" customWidth="1"/>
    <col min="440" max="440" width="31.81640625" style="39" bestFit="1" customWidth="1"/>
    <col min="441" max="441" width="11.08984375" style="39" bestFit="1" customWidth="1"/>
    <col min="442" max="442" width="31.81640625" style="39" bestFit="1" customWidth="1"/>
    <col min="443" max="443" width="17.26953125" style="39" bestFit="1" customWidth="1"/>
    <col min="444" max="444" width="31.81640625" style="39" bestFit="1" customWidth="1"/>
    <col min="445" max="445" width="17.26953125" style="39" bestFit="1" customWidth="1"/>
    <col min="446" max="446" width="31.81640625" style="39" bestFit="1" customWidth="1"/>
    <col min="447" max="447" width="11.08984375" style="39" bestFit="1" customWidth="1"/>
    <col min="448" max="448" width="31.81640625" style="39" bestFit="1" customWidth="1"/>
    <col min="449" max="449" width="11.08984375" style="39" bestFit="1" customWidth="1"/>
    <col min="450" max="450" width="31.81640625" style="39" bestFit="1" customWidth="1"/>
    <col min="451" max="451" width="11.08984375" style="39" bestFit="1" customWidth="1"/>
    <col min="452" max="452" width="31.81640625" style="39" bestFit="1" customWidth="1"/>
    <col min="453" max="453" width="11.08984375" style="39" bestFit="1" customWidth="1"/>
    <col min="454" max="454" width="31.81640625" style="39" bestFit="1" customWidth="1"/>
    <col min="455" max="455" width="11.08984375" style="39" bestFit="1" customWidth="1"/>
    <col min="456" max="456" width="31.81640625" style="39" bestFit="1" customWidth="1"/>
    <col min="457" max="457" width="11.08984375" style="39" bestFit="1" customWidth="1"/>
    <col min="458" max="458" width="31.81640625" style="39" bestFit="1" customWidth="1"/>
    <col min="459" max="459" width="11.08984375" style="39" bestFit="1" customWidth="1"/>
    <col min="460" max="460" width="31.81640625" style="39" bestFit="1" customWidth="1"/>
    <col min="461" max="461" width="14" style="39" bestFit="1" customWidth="1"/>
    <col min="462" max="462" width="31.81640625" style="39" bestFit="1" customWidth="1"/>
    <col min="463" max="463" width="10.1796875" style="39" bestFit="1" customWidth="1"/>
    <col min="464" max="464" width="31.81640625" style="39" bestFit="1" customWidth="1"/>
    <col min="465" max="465" width="22.81640625" style="39" bestFit="1" customWidth="1"/>
    <col min="466" max="466" width="44.36328125" style="39" bestFit="1" customWidth="1"/>
    <col min="467" max="16384" width="3.26953125" style="39"/>
  </cols>
  <sheetData>
    <row r="1" spans="1:466" s="83" customFormat="1" ht="46" customHeight="1" x14ac:dyDescent="0.35">
      <c r="A1" s="84" t="s">
        <v>1153</v>
      </c>
      <c r="B1" s="85"/>
      <c r="C1" s="86"/>
      <c r="D1" s="81"/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1"/>
      <c r="T1" s="81"/>
      <c r="U1" s="81"/>
      <c r="V1" s="81"/>
      <c r="W1" s="81"/>
      <c r="X1" s="81"/>
      <c r="Y1" s="130" t="s">
        <v>1574</v>
      </c>
      <c r="Z1" s="131"/>
      <c r="AA1" s="131"/>
      <c r="AB1" s="131"/>
      <c r="AC1" s="131"/>
      <c r="AD1" s="131"/>
      <c r="AE1" s="131"/>
      <c r="AF1" s="87"/>
      <c r="AG1" s="88"/>
      <c r="AH1" s="89"/>
      <c r="AI1" s="89"/>
      <c r="AJ1" s="81"/>
      <c r="AK1" s="81"/>
      <c r="AL1" s="81"/>
      <c r="AM1" s="81"/>
      <c r="AN1" s="81"/>
      <c r="AO1" s="81"/>
      <c r="AP1" s="81"/>
      <c r="AQ1" s="81"/>
      <c r="AR1" s="81"/>
      <c r="AS1" s="81"/>
      <c r="AT1" s="81"/>
      <c r="AU1" s="81"/>
      <c r="AV1" s="81"/>
      <c r="AW1" s="81"/>
      <c r="AX1" s="81"/>
      <c r="AY1" s="81"/>
      <c r="AZ1" s="81"/>
      <c r="BA1" s="81"/>
      <c r="BB1" s="81"/>
      <c r="BC1" s="81"/>
      <c r="BD1" s="81"/>
      <c r="BE1" s="81"/>
      <c r="BF1" s="81"/>
      <c r="BG1" s="81"/>
      <c r="BH1" s="81"/>
      <c r="BI1" s="81"/>
      <c r="BJ1" s="81"/>
      <c r="BK1" s="81"/>
      <c r="BL1" s="81"/>
      <c r="BM1" s="81"/>
      <c r="BN1" s="81"/>
      <c r="BO1" s="81"/>
      <c r="BP1" s="81"/>
      <c r="BQ1" s="81"/>
      <c r="BR1" s="81"/>
      <c r="BS1" s="81"/>
      <c r="BT1" s="81"/>
      <c r="BU1" s="81"/>
      <c r="BV1" s="81"/>
      <c r="BW1" s="81"/>
      <c r="BX1" s="81"/>
    </row>
    <row r="2" spans="1:466" ht="46.5" customHeight="1" x14ac:dyDescent="0.6">
      <c r="A2" s="54"/>
      <c r="B2" s="53"/>
      <c r="C2" s="55"/>
      <c r="D2" s="53"/>
      <c r="E2" s="53"/>
      <c r="F2" s="53"/>
      <c r="G2" s="61" t="str">
        <f>IFERROR(VLOOKUP(A2,Stok!B1:BA446,2,0),"")</f>
        <v/>
      </c>
      <c r="H2" s="61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132" t="str">
        <f>L7</f>
        <v/>
      </c>
      <c r="Y2" s="132"/>
      <c r="Z2" s="132"/>
      <c r="AA2" s="132"/>
      <c r="AB2" s="132"/>
      <c r="AC2" s="53"/>
      <c r="AD2" s="53"/>
      <c r="AE2" s="53"/>
      <c r="AF2" s="63"/>
      <c r="AG2" s="64"/>
      <c r="AH2" s="65"/>
      <c r="AI2" s="65"/>
      <c r="AJ2" s="53"/>
      <c r="AK2" s="53"/>
      <c r="AL2" s="53"/>
      <c r="AM2" s="53"/>
      <c r="AN2" s="53"/>
      <c r="AO2" s="53"/>
      <c r="AP2" s="53"/>
      <c r="AQ2" s="53"/>
      <c r="AR2" s="53"/>
      <c r="AS2" s="53"/>
      <c r="AT2" s="53"/>
      <c r="AU2" s="53"/>
      <c r="AV2" s="53"/>
      <c r="AW2" s="53"/>
      <c r="AX2" s="53"/>
      <c r="AY2" s="53"/>
      <c r="AZ2" s="53"/>
      <c r="BA2" s="53"/>
      <c r="BB2" s="53"/>
      <c r="BC2" s="53"/>
      <c r="BD2" s="53"/>
      <c r="BE2" s="53"/>
      <c r="BF2" s="53"/>
      <c r="BG2" s="53"/>
      <c r="BH2" s="53"/>
      <c r="BI2" s="53"/>
      <c r="BJ2" s="53"/>
      <c r="BK2" s="53"/>
      <c r="BL2" s="53"/>
      <c r="BM2" s="53"/>
      <c r="BN2" s="53"/>
      <c r="BO2" s="53"/>
      <c r="BP2" s="53"/>
      <c r="BQ2" s="53"/>
      <c r="BR2" s="53"/>
      <c r="BS2" s="53"/>
      <c r="BT2" s="53"/>
      <c r="BU2" s="53"/>
      <c r="BV2" s="53"/>
      <c r="BW2" s="53"/>
      <c r="BX2" s="53"/>
    </row>
    <row r="3" spans="1:466" x14ac:dyDescent="0.35">
      <c r="A3" s="53"/>
      <c r="B3" s="53"/>
      <c r="C3" s="55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  <c r="R3" s="53"/>
      <c r="S3" s="53"/>
      <c r="T3" s="53"/>
      <c r="U3" s="53"/>
      <c r="V3" s="53"/>
      <c r="W3" s="53"/>
      <c r="X3" s="53"/>
      <c r="Y3" s="53"/>
      <c r="Z3" s="53"/>
      <c r="AA3" s="53"/>
      <c r="AB3" s="53"/>
      <c r="AC3" s="53"/>
      <c r="AD3" s="53"/>
      <c r="AE3" s="53"/>
      <c r="AF3" s="63"/>
      <c r="AG3" s="64"/>
      <c r="AH3" s="66"/>
      <c r="AI3" s="65"/>
      <c r="AJ3" s="53"/>
      <c r="AK3" s="53"/>
      <c r="AL3" s="53"/>
      <c r="AM3" s="53"/>
      <c r="AN3" s="53"/>
      <c r="AO3" s="53"/>
      <c r="AP3" s="53"/>
      <c r="AQ3" s="53"/>
      <c r="AR3" s="53"/>
      <c r="AS3" s="53"/>
      <c r="AT3" s="53"/>
      <c r="AU3" s="53"/>
      <c r="AV3" s="53"/>
      <c r="AW3" s="53"/>
      <c r="AX3" s="53"/>
      <c r="AY3" s="53"/>
      <c r="AZ3" s="53"/>
      <c r="BA3" s="53"/>
      <c r="BB3" s="53"/>
      <c r="BC3" s="53"/>
      <c r="BD3" s="53"/>
      <c r="BE3" s="53"/>
      <c r="BF3" s="53"/>
      <c r="BG3" s="53"/>
      <c r="BH3" s="53"/>
      <c r="BI3" s="53"/>
      <c r="BJ3" s="53"/>
      <c r="BK3" s="53"/>
      <c r="BL3" s="53"/>
      <c r="BM3" s="53"/>
      <c r="BN3" s="53"/>
      <c r="BO3" s="53"/>
      <c r="BP3" s="53"/>
      <c r="BQ3" s="53"/>
      <c r="BR3" s="53"/>
      <c r="BS3" s="53"/>
      <c r="BT3" s="53"/>
      <c r="BU3" s="53"/>
      <c r="BV3" s="53"/>
      <c r="BW3" s="53"/>
      <c r="BX3" s="53"/>
    </row>
    <row r="4" spans="1:466" x14ac:dyDescent="0.35">
      <c r="A4" s="53"/>
      <c r="B4" s="53"/>
      <c r="C4" s="55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  <c r="W4" s="53"/>
      <c r="X4" s="53"/>
      <c r="Y4" s="53"/>
      <c r="Z4" s="53"/>
      <c r="AA4" s="53"/>
      <c r="AB4" s="53"/>
      <c r="AC4" s="53"/>
      <c r="AD4" s="53"/>
      <c r="AE4" s="53"/>
      <c r="AF4" s="63"/>
      <c r="AG4" s="64"/>
      <c r="AH4" s="65"/>
      <c r="AI4" s="65"/>
      <c r="AJ4" s="53"/>
      <c r="AK4" s="53"/>
      <c r="AL4" s="53"/>
      <c r="AM4" s="53"/>
      <c r="AN4" s="53"/>
      <c r="AO4" s="53"/>
      <c r="AP4" s="53"/>
      <c r="AQ4" s="53"/>
      <c r="AR4" s="53"/>
      <c r="AS4" s="53"/>
      <c r="AT4" s="53"/>
      <c r="AU4" s="53"/>
      <c r="AV4" s="53"/>
      <c r="AW4" s="53"/>
      <c r="AX4" s="53"/>
      <c r="AY4" s="53"/>
      <c r="AZ4" s="53"/>
      <c r="BA4" s="53"/>
      <c r="BB4" s="53"/>
      <c r="BC4" s="53"/>
      <c r="BD4" s="53"/>
      <c r="BE4" s="53"/>
      <c r="BF4" s="53"/>
      <c r="BG4" s="53"/>
      <c r="BH4" s="53"/>
      <c r="BI4" s="53"/>
      <c r="BJ4" s="53"/>
      <c r="BK4" s="53"/>
      <c r="BL4" s="53"/>
      <c r="BM4" s="53"/>
      <c r="BN4" s="53"/>
      <c r="BO4" s="53"/>
      <c r="BP4" s="53"/>
      <c r="BQ4" s="53"/>
      <c r="BR4" s="53"/>
      <c r="BS4" s="53"/>
      <c r="BT4" s="53"/>
      <c r="BU4" s="53"/>
      <c r="BV4" s="53"/>
      <c r="BW4" s="53"/>
      <c r="BX4" s="53"/>
    </row>
    <row r="5" spans="1:466" x14ac:dyDescent="0.35">
      <c r="A5" s="53"/>
      <c r="B5" s="53"/>
      <c r="C5" s="53"/>
      <c r="D5" s="53"/>
      <c r="E5" s="53"/>
      <c r="F5" s="121" t="s">
        <v>1154</v>
      </c>
      <c r="G5" s="122" t="s">
        <v>1157</v>
      </c>
      <c r="H5" s="122" t="s">
        <v>1156</v>
      </c>
      <c r="I5" s="123" t="s">
        <v>1573</v>
      </c>
      <c r="J5" s="53"/>
      <c r="K5" s="56" t="s">
        <v>1151</v>
      </c>
      <c r="L5" s="57" t="s">
        <v>1152</v>
      </c>
      <c r="M5" s="53"/>
      <c r="N5" s="53"/>
      <c r="O5" s="53"/>
      <c r="P5" s="53"/>
      <c r="Q5" s="53"/>
      <c r="R5" s="53"/>
      <c r="S5" s="53"/>
      <c r="T5" s="53"/>
      <c r="U5" s="53"/>
      <c r="V5" s="53"/>
      <c r="W5" s="53"/>
      <c r="X5" s="53"/>
      <c r="Y5" s="53"/>
      <c r="Z5" s="53"/>
      <c r="AA5" s="53"/>
      <c r="AB5" s="53"/>
      <c r="AC5" s="53"/>
      <c r="AD5" s="53"/>
      <c r="AE5" s="53"/>
      <c r="AF5" s="63"/>
      <c r="AG5" s="64"/>
      <c r="AH5" s="65"/>
      <c r="AI5" s="65"/>
      <c r="AJ5" s="53"/>
      <c r="AK5" s="62"/>
      <c r="AL5" s="62"/>
      <c r="AM5" s="62"/>
      <c r="AN5" s="62"/>
      <c r="AO5" s="62"/>
      <c r="AP5" s="62"/>
      <c r="AQ5" s="62"/>
      <c r="AR5" s="62"/>
      <c r="AS5" s="62"/>
      <c r="AT5" s="62"/>
      <c r="AU5" s="62"/>
      <c r="AV5" s="62"/>
      <c r="AW5" s="62"/>
      <c r="AX5" s="62"/>
      <c r="AY5" s="62"/>
      <c r="AZ5" s="62"/>
      <c r="BA5" s="62"/>
      <c r="BB5" s="62"/>
      <c r="BC5" s="62"/>
      <c r="BD5" s="62"/>
      <c r="BE5" s="62"/>
      <c r="BF5" s="62"/>
      <c r="BG5" s="62"/>
      <c r="BH5" s="62"/>
      <c r="BI5" s="62"/>
      <c r="BJ5" s="62"/>
      <c r="BK5" s="62"/>
      <c r="BL5" s="62"/>
      <c r="BM5" s="62"/>
      <c r="BN5" s="62"/>
      <c r="BO5" s="62"/>
      <c r="BP5" s="62"/>
      <c r="BQ5" s="62"/>
      <c r="BR5" s="62"/>
      <c r="BS5" s="62"/>
      <c r="BT5" s="62"/>
      <c r="BU5" s="62"/>
      <c r="BV5" s="62"/>
      <c r="BW5" s="62"/>
      <c r="BX5" s="62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</row>
    <row r="6" spans="1:466" x14ac:dyDescent="0.35">
      <c r="A6" s="53"/>
      <c r="B6" s="53"/>
      <c r="C6" s="53"/>
      <c r="D6" s="53"/>
      <c r="E6" s="53"/>
      <c r="F6" s="124" t="s">
        <v>39</v>
      </c>
      <c r="G6" s="125">
        <v>1200</v>
      </c>
      <c r="H6" s="125">
        <v>0</v>
      </c>
      <c r="I6" s="133">
        <v>1</v>
      </c>
      <c r="J6" s="53"/>
      <c r="K6" s="58">
        <v>46251</v>
      </c>
      <c r="L6" s="59" t="str">
        <f>IFERROR(VLOOKUP($A$2,Stok!$B$1:$DM$446,116,0),"")</f>
        <v/>
      </c>
      <c r="M6" s="53"/>
      <c r="N6" s="53"/>
      <c r="O6" s="53"/>
      <c r="P6" s="53"/>
      <c r="Q6" s="53"/>
      <c r="R6" s="53"/>
      <c r="S6" s="53"/>
      <c r="T6" s="53"/>
      <c r="U6" s="53"/>
      <c r="V6" s="53"/>
      <c r="W6" s="53"/>
      <c r="X6" s="53"/>
      <c r="Y6" s="53"/>
      <c r="Z6" s="53"/>
      <c r="AA6" s="53"/>
      <c r="AB6" s="53"/>
      <c r="AC6" s="53"/>
      <c r="AD6" s="53"/>
      <c r="AE6" s="53"/>
      <c r="AF6" s="63"/>
      <c r="AG6" s="64"/>
      <c r="AH6" s="65"/>
      <c r="AI6" s="65"/>
      <c r="AJ6" s="53"/>
      <c r="AK6" s="62"/>
      <c r="AL6" s="62"/>
      <c r="AM6" s="62"/>
      <c r="AN6" s="62"/>
      <c r="AO6" s="62"/>
      <c r="AP6" s="62"/>
      <c r="AQ6" s="62"/>
      <c r="AR6" s="62"/>
      <c r="AS6" s="62"/>
      <c r="AT6" s="62"/>
      <c r="AU6" s="62"/>
      <c r="AV6" s="62"/>
      <c r="AW6" s="62"/>
      <c r="AX6" s="62"/>
      <c r="AY6" s="62"/>
      <c r="AZ6" s="62"/>
      <c r="BA6" s="62"/>
      <c r="BB6" s="62"/>
      <c r="BC6" s="62"/>
      <c r="BD6" s="62"/>
      <c r="BE6" s="62"/>
      <c r="BF6" s="62"/>
      <c r="BG6" s="62"/>
      <c r="BH6" s="62"/>
      <c r="BI6" s="62"/>
      <c r="BJ6" s="62"/>
      <c r="BK6" s="62"/>
      <c r="BL6" s="62"/>
      <c r="BM6" s="62"/>
      <c r="BN6" s="62"/>
      <c r="BO6" s="62"/>
      <c r="BP6" s="62"/>
      <c r="BQ6" s="62"/>
      <c r="BR6" s="62"/>
      <c r="BS6" s="62"/>
      <c r="BT6" s="62"/>
      <c r="BU6" s="62"/>
      <c r="BV6" s="62"/>
      <c r="BW6" s="62"/>
      <c r="BX6" s="62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</row>
    <row r="7" spans="1:466" x14ac:dyDescent="0.35">
      <c r="A7" s="53"/>
      <c r="B7" s="53"/>
      <c r="C7" s="53"/>
      <c r="D7" s="53"/>
      <c r="E7" s="53"/>
      <c r="F7" s="126" t="s">
        <v>37</v>
      </c>
      <c r="G7" s="125">
        <v>1200</v>
      </c>
      <c r="H7" s="125">
        <v>0</v>
      </c>
      <c r="I7" s="133">
        <v>0</v>
      </c>
      <c r="J7" s="53"/>
      <c r="K7" s="58">
        <v>46244</v>
      </c>
      <c r="L7" s="59" t="str">
        <f>IFERROR(VLOOKUP($A$2,Stok!$B$1:$DL$446,115,0),"")</f>
        <v/>
      </c>
      <c r="M7" s="53"/>
      <c r="N7" s="53"/>
      <c r="O7" s="53"/>
      <c r="P7" s="53"/>
      <c r="Q7" s="53"/>
      <c r="R7" s="53"/>
      <c r="S7" s="53"/>
      <c r="T7" s="53"/>
      <c r="U7" s="53"/>
      <c r="V7" s="53"/>
      <c r="W7" s="53"/>
      <c r="X7" s="53"/>
      <c r="Y7" s="53"/>
      <c r="Z7" s="53"/>
      <c r="AA7" s="53"/>
      <c r="AB7" s="53"/>
      <c r="AC7" s="53"/>
      <c r="AD7" s="53"/>
      <c r="AE7" s="53"/>
      <c r="AF7" s="63"/>
      <c r="AG7" s="64"/>
      <c r="AH7" s="65"/>
      <c r="AI7" s="65"/>
      <c r="AJ7" s="53"/>
      <c r="AK7" s="62"/>
      <c r="AL7" s="62"/>
      <c r="AM7" s="62"/>
      <c r="AN7" s="62"/>
      <c r="AO7" s="62"/>
      <c r="AP7" s="62"/>
      <c r="AQ7" s="62"/>
      <c r="AR7" s="62"/>
      <c r="AS7" s="62"/>
      <c r="AT7" s="62"/>
      <c r="AU7" s="62"/>
      <c r="AV7" s="62"/>
      <c r="AW7" s="62"/>
      <c r="AX7" s="62"/>
      <c r="AY7" s="62"/>
      <c r="AZ7" s="62"/>
      <c r="BA7" s="62"/>
      <c r="BB7" s="62"/>
      <c r="BC7" s="62"/>
      <c r="BD7" s="62"/>
      <c r="BE7" s="62"/>
      <c r="BF7" s="62"/>
      <c r="BG7" s="62"/>
      <c r="BH7" s="62"/>
      <c r="BI7" s="62"/>
      <c r="BJ7" s="62"/>
      <c r="BK7" s="62"/>
      <c r="BL7" s="62"/>
      <c r="BM7" s="62"/>
      <c r="BN7" s="62"/>
      <c r="BO7" s="62"/>
      <c r="BP7" s="62"/>
      <c r="BQ7" s="62"/>
      <c r="BR7" s="62"/>
      <c r="BS7" s="62"/>
      <c r="BT7" s="62"/>
      <c r="BU7" s="62"/>
      <c r="BV7" s="62"/>
      <c r="BW7" s="62"/>
      <c r="BX7" s="62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</row>
    <row r="8" spans="1:466" x14ac:dyDescent="0.35">
      <c r="A8" s="53"/>
      <c r="B8" s="53"/>
      <c r="C8" s="53"/>
      <c r="D8" s="53"/>
      <c r="E8" s="53"/>
      <c r="F8" s="126" t="s">
        <v>44</v>
      </c>
      <c r="G8" s="125"/>
      <c r="H8" s="125">
        <v>0</v>
      </c>
      <c r="I8" s="133">
        <v>1</v>
      </c>
      <c r="J8" s="53"/>
      <c r="K8" s="58">
        <v>46237</v>
      </c>
      <c r="L8" s="59" t="str">
        <f>IFERROR(VLOOKUP($A$2,Stok!$B$1:$DK$446,114,0),"")</f>
        <v/>
      </c>
      <c r="M8" s="53"/>
      <c r="N8" s="53"/>
      <c r="O8" s="53"/>
      <c r="P8" s="53"/>
      <c r="Q8" s="53"/>
      <c r="R8" s="53"/>
      <c r="S8" s="53"/>
      <c r="T8" s="53"/>
      <c r="U8" s="53"/>
      <c r="V8" s="53"/>
      <c r="W8" s="53"/>
      <c r="X8" s="53"/>
      <c r="Y8" s="53"/>
      <c r="Z8" s="53"/>
      <c r="AA8" s="53"/>
      <c r="AB8" s="53"/>
      <c r="AC8" s="53"/>
      <c r="AD8" s="53"/>
      <c r="AE8" s="53"/>
      <c r="AF8" s="63"/>
      <c r="AG8" s="64"/>
      <c r="AH8" s="65"/>
      <c r="AI8" s="65"/>
      <c r="AJ8" s="53"/>
      <c r="AK8" s="62"/>
      <c r="AL8" s="62"/>
      <c r="AM8" s="62"/>
      <c r="AN8" s="62"/>
      <c r="AO8" s="62"/>
      <c r="AP8" s="62"/>
      <c r="AQ8" s="62"/>
      <c r="AR8" s="62"/>
      <c r="AS8" s="62"/>
      <c r="AT8" s="62"/>
      <c r="AU8" s="62"/>
      <c r="AV8" s="62"/>
      <c r="AW8" s="62"/>
      <c r="AX8" s="62"/>
      <c r="AY8" s="62"/>
      <c r="AZ8" s="62"/>
      <c r="BA8" s="62"/>
      <c r="BB8" s="62"/>
      <c r="BC8" s="62"/>
      <c r="BD8" s="62"/>
      <c r="BE8" s="62"/>
      <c r="BF8" s="62"/>
      <c r="BG8" s="62"/>
      <c r="BH8" s="62"/>
      <c r="BI8" s="62"/>
      <c r="BJ8" s="62"/>
      <c r="BK8" s="62"/>
      <c r="BL8" s="62"/>
      <c r="BM8" s="62"/>
      <c r="BN8" s="62"/>
      <c r="BO8" s="62"/>
      <c r="BP8" s="62"/>
      <c r="BQ8" s="62"/>
      <c r="BR8" s="62"/>
      <c r="BS8" s="62"/>
      <c r="BT8" s="62"/>
      <c r="BU8" s="62"/>
      <c r="BV8" s="62"/>
      <c r="BW8" s="62"/>
      <c r="BX8" s="62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  <c r="KO8"/>
      <c r="KP8"/>
      <c r="KQ8"/>
      <c r="KR8"/>
      <c r="KS8"/>
      <c r="KT8"/>
      <c r="KU8"/>
      <c r="KV8"/>
      <c r="KW8"/>
      <c r="KX8"/>
      <c r="KY8"/>
      <c r="KZ8"/>
      <c r="LA8"/>
      <c r="LB8"/>
      <c r="LC8"/>
      <c r="LD8"/>
      <c r="LE8"/>
      <c r="LF8"/>
      <c r="LG8"/>
      <c r="LH8"/>
      <c r="LI8"/>
      <c r="LJ8"/>
      <c r="LK8"/>
      <c r="LL8"/>
      <c r="LM8"/>
      <c r="LN8"/>
      <c r="LO8"/>
      <c r="LP8"/>
      <c r="LQ8"/>
      <c r="LR8"/>
      <c r="LS8"/>
      <c r="LT8"/>
      <c r="LU8"/>
      <c r="LV8"/>
      <c r="LW8"/>
      <c r="LX8"/>
      <c r="LY8"/>
      <c r="LZ8"/>
      <c r="MA8"/>
      <c r="MB8"/>
      <c r="MC8"/>
      <c r="MD8"/>
      <c r="ME8"/>
      <c r="MF8"/>
      <c r="MG8"/>
      <c r="MH8"/>
      <c r="MI8"/>
      <c r="MJ8"/>
      <c r="MK8"/>
      <c r="ML8"/>
      <c r="MM8"/>
      <c r="MN8"/>
      <c r="MO8"/>
      <c r="MP8"/>
      <c r="MQ8"/>
      <c r="MR8"/>
      <c r="MS8"/>
      <c r="MT8"/>
      <c r="MU8"/>
      <c r="MV8"/>
      <c r="MW8"/>
      <c r="MX8"/>
      <c r="MY8"/>
      <c r="MZ8"/>
      <c r="NA8"/>
      <c r="NB8"/>
      <c r="NC8"/>
      <c r="ND8"/>
      <c r="NE8"/>
      <c r="NF8"/>
      <c r="NG8"/>
      <c r="NH8"/>
      <c r="NI8"/>
      <c r="NJ8"/>
      <c r="NK8"/>
      <c r="NL8"/>
      <c r="NM8"/>
      <c r="NN8"/>
      <c r="NO8"/>
      <c r="NP8"/>
      <c r="NQ8"/>
      <c r="NR8"/>
      <c r="NS8"/>
      <c r="NT8"/>
      <c r="NU8"/>
      <c r="NV8"/>
      <c r="NW8"/>
      <c r="NX8"/>
      <c r="NY8"/>
      <c r="NZ8"/>
      <c r="OA8"/>
      <c r="OB8"/>
      <c r="OC8"/>
      <c r="OD8"/>
      <c r="OE8"/>
      <c r="OF8"/>
      <c r="OG8"/>
      <c r="OH8"/>
      <c r="OI8"/>
      <c r="OJ8"/>
      <c r="OK8"/>
      <c r="OL8"/>
      <c r="OM8"/>
      <c r="ON8"/>
      <c r="OO8"/>
      <c r="OP8"/>
      <c r="OQ8"/>
      <c r="OR8"/>
      <c r="OS8"/>
      <c r="OT8"/>
      <c r="OU8"/>
      <c r="OV8"/>
      <c r="OW8"/>
      <c r="OX8"/>
      <c r="OY8"/>
      <c r="OZ8"/>
      <c r="PA8"/>
      <c r="PB8"/>
      <c r="PC8"/>
      <c r="PD8"/>
      <c r="PE8"/>
      <c r="PF8"/>
      <c r="PG8"/>
      <c r="PH8"/>
      <c r="PI8"/>
      <c r="PJ8"/>
      <c r="PK8"/>
      <c r="PL8"/>
      <c r="PM8"/>
      <c r="PN8"/>
      <c r="PO8"/>
      <c r="PP8"/>
      <c r="PQ8"/>
      <c r="PR8"/>
      <c r="PS8"/>
      <c r="PT8"/>
      <c r="PU8"/>
      <c r="PV8"/>
      <c r="PW8"/>
      <c r="PX8"/>
      <c r="PY8"/>
      <c r="PZ8"/>
      <c r="QA8"/>
      <c r="QB8"/>
      <c r="QC8"/>
      <c r="QD8"/>
      <c r="QE8"/>
      <c r="QF8"/>
      <c r="QG8"/>
      <c r="QH8"/>
      <c r="QI8"/>
      <c r="QJ8"/>
      <c r="QK8"/>
      <c r="QL8"/>
      <c r="QM8"/>
      <c r="QN8"/>
      <c r="QO8"/>
      <c r="QP8"/>
      <c r="QQ8"/>
      <c r="QR8"/>
      <c r="QS8"/>
      <c r="QT8"/>
      <c r="QU8"/>
      <c r="QV8"/>
      <c r="QW8"/>
      <c r="QX8"/>
    </row>
    <row r="9" spans="1:466" x14ac:dyDescent="0.35">
      <c r="A9" s="53"/>
      <c r="B9" s="53"/>
      <c r="C9" s="53"/>
      <c r="D9" s="53"/>
      <c r="E9" s="53"/>
      <c r="F9" s="124" t="s">
        <v>48</v>
      </c>
      <c r="G9" s="125">
        <v>5149.71</v>
      </c>
      <c r="H9" s="125">
        <v>26168.62</v>
      </c>
      <c r="I9" s="133">
        <v>127</v>
      </c>
      <c r="J9" s="53"/>
      <c r="K9" s="58">
        <v>46223</v>
      </c>
      <c r="L9" s="59" t="str">
        <f>IFERROR(VLOOKUP($A$2,Stok!$B$1:$DJ$446,113,0),"")</f>
        <v/>
      </c>
      <c r="M9" s="53"/>
      <c r="N9" s="53"/>
      <c r="O9" s="53"/>
      <c r="P9" s="53"/>
      <c r="Q9" s="53"/>
      <c r="R9" s="53"/>
      <c r="S9" s="53"/>
      <c r="T9" s="53"/>
      <c r="U9" s="53"/>
      <c r="V9" s="53"/>
      <c r="W9" s="53"/>
      <c r="X9" s="53"/>
      <c r="Y9" s="53"/>
      <c r="Z9" s="53"/>
      <c r="AA9" s="53"/>
      <c r="AB9" s="53"/>
      <c r="AC9" s="53"/>
      <c r="AD9" s="53"/>
      <c r="AE9" s="53"/>
      <c r="AF9" s="63"/>
      <c r="AG9" s="64"/>
      <c r="AH9" s="65"/>
      <c r="AI9" s="65"/>
      <c r="AJ9" s="53"/>
      <c r="AK9" s="62"/>
      <c r="AL9" s="62"/>
      <c r="AM9" s="62"/>
      <c r="AN9" s="62"/>
      <c r="AO9" s="62"/>
      <c r="AP9" s="62"/>
      <c r="AQ9" s="62"/>
      <c r="AR9" s="62"/>
      <c r="AS9" s="62"/>
      <c r="AT9" s="62"/>
      <c r="AU9" s="62"/>
      <c r="AV9" s="62"/>
      <c r="AW9" s="62"/>
      <c r="AX9" s="62"/>
      <c r="AY9" s="62"/>
      <c r="AZ9" s="62"/>
      <c r="BA9" s="62"/>
      <c r="BB9" s="62"/>
      <c r="BC9" s="62"/>
      <c r="BD9" s="62"/>
      <c r="BE9" s="62"/>
      <c r="BF9" s="62"/>
      <c r="BG9" s="62"/>
      <c r="BH9" s="62"/>
      <c r="BI9" s="62"/>
      <c r="BJ9" s="62"/>
      <c r="BK9" s="62"/>
      <c r="BL9" s="62"/>
      <c r="BM9" s="62"/>
      <c r="BN9" s="62"/>
      <c r="BO9" s="62"/>
      <c r="BP9" s="62"/>
      <c r="BQ9" s="62"/>
      <c r="BR9" s="62"/>
      <c r="BS9" s="62"/>
      <c r="BT9" s="62"/>
      <c r="BU9" s="62"/>
      <c r="BV9" s="62"/>
      <c r="BW9" s="62"/>
      <c r="BX9" s="62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  <c r="KO9"/>
      <c r="KP9"/>
      <c r="KQ9"/>
      <c r="KR9"/>
      <c r="KS9"/>
      <c r="KT9"/>
      <c r="KU9"/>
      <c r="KV9"/>
      <c r="KW9"/>
      <c r="KX9"/>
      <c r="KY9"/>
      <c r="KZ9"/>
      <c r="LA9"/>
      <c r="LB9"/>
      <c r="LC9"/>
      <c r="LD9"/>
      <c r="LE9"/>
      <c r="LF9"/>
      <c r="LG9"/>
      <c r="LH9"/>
      <c r="LI9"/>
      <c r="LJ9"/>
      <c r="LK9"/>
      <c r="LL9"/>
      <c r="LM9"/>
      <c r="LN9"/>
      <c r="LO9"/>
      <c r="LP9"/>
      <c r="LQ9"/>
      <c r="LR9"/>
      <c r="LS9"/>
      <c r="LT9"/>
      <c r="LU9"/>
      <c r="LV9"/>
      <c r="LW9"/>
      <c r="LX9"/>
      <c r="LY9"/>
      <c r="LZ9"/>
      <c r="MA9"/>
      <c r="MB9"/>
      <c r="MC9"/>
      <c r="MD9"/>
      <c r="ME9"/>
      <c r="MF9"/>
      <c r="MG9"/>
      <c r="MH9"/>
      <c r="MI9"/>
      <c r="MJ9"/>
      <c r="MK9"/>
      <c r="ML9"/>
      <c r="MM9"/>
      <c r="MN9"/>
      <c r="MO9"/>
      <c r="MP9"/>
      <c r="MQ9"/>
      <c r="MR9"/>
      <c r="MS9"/>
      <c r="MT9"/>
      <c r="MU9"/>
      <c r="MV9"/>
      <c r="MW9"/>
      <c r="MX9"/>
      <c r="MY9"/>
      <c r="MZ9"/>
      <c r="NA9"/>
      <c r="NB9"/>
      <c r="NC9"/>
      <c r="ND9"/>
      <c r="NE9"/>
      <c r="NF9"/>
      <c r="NG9"/>
      <c r="NH9"/>
      <c r="NI9"/>
      <c r="NJ9"/>
      <c r="NK9"/>
      <c r="NL9"/>
      <c r="NM9"/>
      <c r="NN9"/>
      <c r="NO9"/>
      <c r="NP9"/>
      <c r="NQ9"/>
      <c r="NR9"/>
      <c r="NS9"/>
      <c r="NT9"/>
      <c r="NU9"/>
      <c r="NV9"/>
      <c r="NW9"/>
      <c r="NX9"/>
      <c r="NY9"/>
      <c r="NZ9"/>
      <c r="OA9"/>
      <c r="OB9"/>
      <c r="OC9"/>
      <c r="OD9"/>
      <c r="OE9"/>
      <c r="OF9"/>
      <c r="OG9"/>
      <c r="OH9"/>
      <c r="OI9"/>
      <c r="OJ9"/>
      <c r="OK9"/>
      <c r="OL9"/>
      <c r="OM9"/>
      <c r="ON9"/>
      <c r="OO9"/>
      <c r="OP9"/>
      <c r="OQ9"/>
      <c r="OR9"/>
      <c r="OS9"/>
      <c r="OT9"/>
      <c r="OU9"/>
      <c r="OV9"/>
      <c r="OW9"/>
      <c r="OX9"/>
      <c r="OY9"/>
      <c r="OZ9"/>
      <c r="PA9"/>
      <c r="PB9"/>
      <c r="PC9"/>
      <c r="PD9"/>
      <c r="PE9"/>
      <c r="PF9"/>
      <c r="PG9"/>
      <c r="PH9"/>
      <c r="PI9"/>
      <c r="PJ9"/>
      <c r="PK9"/>
      <c r="PL9"/>
      <c r="PM9"/>
      <c r="PN9"/>
      <c r="PO9"/>
      <c r="PP9"/>
      <c r="PQ9"/>
      <c r="PR9"/>
      <c r="PS9"/>
      <c r="PT9"/>
      <c r="PU9"/>
      <c r="PV9"/>
      <c r="PW9"/>
      <c r="PX9"/>
      <c r="PY9"/>
      <c r="PZ9"/>
      <c r="QA9"/>
      <c r="QB9"/>
      <c r="QC9"/>
      <c r="QD9"/>
      <c r="QE9"/>
      <c r="QF9"/>
      <c r="QG9"/>
      <c r="QH9"/>
      <c r="QI9"/>
      <c r="QJ9"/>
      <c r="QK9"/>
      <c r="QL9"/>
      <c r="QM9"/>
      <c r="QN9"/>
      <c r="QO9"/>
      <c r="QP9"/>
      <c r="QQ9"/>
      <c r="QR9"/>
      <c r="QS9"/>
      <c r="QT9"/>
      <c r="QU9"/>
      <c r="QV9"/>
      <c r="QW9"/>
      <c r="QX9"/>
    </row>
    <row r="10" spans="1:466" x14ac:dyDescent="0.35">
      <c r="A10" s="53"/>
      <c r="B10" s="53"/>
      <c r="C10" s="53"/>
      <c r="D10" s="53"/>
      <c r="E10" s="53"/>
      <c r="F10" s="126" t="s">
        <v>76</v>
      </c>
      <c r="G10" s="125"/>
      <c r="H10" s="125">
        <v>0</v>
      </c>
      <c r="I10" s="133">
        <v>1</v>
      </c>
      <c r="J10" s="53"/>
      <c r="K10" s="58">
        <v>46216</v>
      </c>
      <c r="L10" s="59" t="str">
        <f>IFERROR(VLOOKUP($A$2,Stok!$B$1:$DI$446,112,0),"")</f>
        <v/>
      </c>
      <c r="M10" s="53"/>
      <c r="N10" s="53"/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63"/>
      <c r="AG10" s="64"/>
      <c r="AH10" s="65"/>
      <c r="AI10" s="65"/>
      <c r="AJ10" s="53"/>
      <c r="AK10" s="62"/>
      <c r="AL10" s="62"/>
      <c r="AM10" s="62"/>
      <c r="AN10" s="62"/>
      <c r="AO10" s="62"/>
      <c r="AP10" s="62"/>
      <c r="AQ10" s="62"/>
      <c r="AR10" s="62"/>
      <c r="AS10" s="62"/>
      <c r="AT10" s="62"/>
      <c r="AU10" s="62"/>
      <c r="AV10" s="62"/>
      <c r="AW10" s="62"/>
      <c r="AX10" s="62"/>
      <c r="AY10" s="62"/>
      <c r="AZ10" s="62"/>
      <c r="BA10" s="62"/>
      <c r="BB10" s="62"/>
      <c r="BC10" s="62"/>
      <c r="BD10" s="62"/>
      <c r="BE10" s="62"/>
      <c r="BF10" s="62"/>
      <c r="BG10" s="62"/>
      <c r="BH10" s="62"/>
      <c r="BI10" s="62"/>
      <c r="BJ10" s="62"/>
      <c r="BK10" s="62"/>
      <c r="BL10" s="62"/>
      <c r="BM10" s="62"/>
      <c r="BN10" s="62"/>
      <c r="BO10" s="62"/>
      <c r="BP10" s="62"/>
      <c r="BQ10" s="62"/>
      <c r="BR10" s="62"/>
      <c r="BS10" s="62"/>
      <c r="BT10" s="62"/>
      <c r="BU10" s="62"/>
      <c r="BV10" s="62"/>
      <c r="BW10" s="62"/>
      <c r="BX10" s="62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  <c r="PB10"/>
      <c r="PC10"/>
      <c r="PD10"/>
      <c r="PE10"/>
      <c r="PF10"/>
      <c r="PG10"/>
      <c r="PH10"/>
      <c r="PI10"/>
      <c r="PJ10"/>
      <c r="PK10"/>
      <c r="PL10"/>
      <c r="PM10"/>
      <c r="PN10"/>
      <c r="PO10"/>
      <c r="PP10"/>
      <c r="PQ10"/>
      <c r="PR10"/>
      <c r="PS10"/>
      <c r="PT10"/>
      <c r="PU10"/>
      <c r="PV10"/>
      <c r="PW10"/>
      <c r="PX10"/>
      <c r="PY10"/>
      <c r="PZ10"/>
      <c r="QA10"/>
      <c r="QB10"/>
      <c r="QC10"/>
      <c r="QD10"/>
      <c r="QE10"/>
      <c r="QF10"/>
      <c r="QG10"/>
      <c r="QH10"/>
      <c r="QI10"/>
      <c r="QJ10"/>
      <c r="QK10"/>
      <c r="QL10"/>
      <c r="QM10"/>
      <c r="QN10"/>
      <c r="QO10"/>
      <c r="QP10"/>
      <c r="QQ10"/>
      <c r="QR10"/>
      <c r="QS10"/>
      <c r="QT10"/>
      <c r="QU10"/>
      <c r="QV10"/>
      <c r="QW10"/>
      <c r="QX10"/>
    </row>
    <row r="11" spans="1:466" x14ac:dyDescent="0.35">
      <c r="A11" s="53"/>
      <c r="B11" s="53"/>
      <c r="C11" s="53"/>
      <c r="D11" s="53"/>
      <c r="E11" s="53"/>
      <c r="F11" s="126" t="s">
        <v>78</v>
      </c>
      <c r="G11" s="125"/>
      <c r="H11" s="125">
        <v>0</v>
      </c>
      <c r="I11" s="133">
        <v>1</v>
      </c>
      <c r="J11" s="53"/>
      <c r="K11" s="58">
        <v>46209</v>
      </c>
      <c r="L11" s="59" t="str">
        <f>IFERROR(VLOOKUP($A$2,Stok!$B$1:$DH$446,111,0),"")</f>
        <v/>
      </c>
      <c r="M11" s="53"/>
      <c r="N11" s="53"/>
      <c r="O11" s="53"/>
      <c r="P11" s="53"/>
      <c r="Q11" s="53"/>
      <c r="R11" s="53"/>
      <c r="S11" s="53"/>
      <c r="T11" s="53"/>
      <c r="U11" s="53"/>
      <c r="V11" s="53"/>
      <c r="W11" s="53"/>
      <c r="X11" s="53"/>
      <c r="Y11" s="53"/>
      <c r="Z11" s="53"/>
      <c r="AA11" s="53"/>
      <c r="AB11" s="53"/>
      <c r="AC11" s="53"/>
      <c r="AD11" s="53"/>
      <c r="AE11" s="53"/>
      <c r="AF11" s="63"/>
      <c r="AG11" s="64"/>
      <c r="AH11" s="65"/>
      <c r="AI11" s="65"/>
      <c r="AJ11" s="53"/>
      <c r="AK11" s="62"/>
      <c r="AL11" s="62"/>
      <c r="AM11" s="62"/>
      <c r="AN11" s="62"/>
      <c r="AO11" s="62"/>
      <c r="AP11" s="62"/>
      <c r="AQ11" s="62"/>
      <c r="AR11" s="62"/>
      <c r="AS11" s="62"/>
      <c r="AT11" s="62"/>
      <c r="AU11" s="62"/>
      <c r="AV11" s="62"/>
      <c r="AW11" s="62"/>
      <c r="AX11" s="62"/>
      <c r="AY11" s="62"/>
      <c r="AZ11" s="62"/>
      <c r="BA11" s="62"/>
      <c r="BB11" s="62"/>
      <c r="BC11" s="62"/>
      <c r="BD11" s="62"/>
      <c r="BE11" s="62"/>
      <c r="BF11" s="62"/>
      <c r="BG11" s="62"/>
      <c r="BH11" s="62"/>
      <c r="BI11" s="62"/>
      <c r="BJ11" s="62"/>
      <c r="BK11" s="62"/>
      <c r="BL11" s="62"/>
      <c r="BM11" s="62"/>
      <c r="BN11" s="62"/>
      <c r="BO11" s="62"/>
      <c r="BP11" s="62"/>
      <c r="BQ11" s="62"/>
      <c r="BR11" s="62"/>
      <c r="BS11" s="62"/>
      <c r="BT11" s="62"/>
      <c r="BU11" s="62"/>
      <c r="BV11" s="62"/>
      <c r="BW11" s="62"/>
      <c r="BX11" s="62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  <c r="PB11"/>
      <c r="PC11"/>
      <c r="PD11"/>
      <c r="PE11"/>
      <c r="PF11"/>
      <c r="PG11"/>
      <c r="PH11"/>
      <c r="PI11"/>
      <c r="PJ11"/>
      <c r="PK11"/>
      <c r="PL11"/>
      <c r="PM11"/>
      <c r="PN11"/>
      <c r="PO11"/>
      <c r="PP11"/>
      <c r="PQ11"/>
      <c r="PR11"/>
      <c r="PS11"/>
      <c r="PT11"/>
      <c r="PU11"/>
      <c r="PV11"/>
      <c r="PW11"/>
      <c r="PX11"/>
      <c r="PY11"/>
      <c r="PZ11"/>
      <c r="QA11"/>
      <c r="QB11"/>
      <c r="QC11"/>
      <c r="QD11"/>
      <c r="QE11"/>
      <c r="QF11"/>
      <c r="QG11"/>
      <c r="QH11"/>
      <c r="QI11"/>
      <c r="QJ11"/>
      <c r="QK11"/>
      <c r="QL11"/>
      <c r="QM11"/>
      <c r="QN11"/>
      <c r="QO11"/>
      <c r="QP11"/>
      <c r="QQ11"/>
      <c r="QR11"/>
      <c r="QS11"/>
      <c r="QT11"/>
      <c r="QU11"/>
      <c r="QV11"/>
      <c r="QW11"/>
      <c r="QX11"/>
    </row>
    <row r="12" spans="1:466" x14ac:dyDescent="0.35">
      <c r="A12" s="53"/>
      <c r="B12" s="53"/>
      <c r="C12" s="53"/>
      <c r="D12" s="53"/>
      <c r="E12" s="53"/>
      <c r="F12" s="126" t="s">
        <v>71</v>
      </c>
      <c r="G12" s="125"/>
      <c r="H12" s="125">
        <v>0</v>
      </c>
      <c r="I12" s="133">
        <v>1</v>
      </c>
      <c r="J12" s="53"/>
      <c r="K12" s="58">
        <v>46202</v>
      </c>
      <c r="L12" s="59" t="str">
        <f>IFERROR(VLOOKUP($A$2,Stok!$B$1:$DG$446,110,0),"")</f>
        <v/>
      </c>
      <c r="M12" s="53"/>
      <c r="N12" s="53"/>
      <c r="O12" s="53"/>
      <c r="P12" s="53"/>
      <c r="Q12" s="53"/>
      <c r="R12" s="53"/>
      <c r="S12" s="53"/>
      <c r="T12" s="53"/>
      <c r="U12" s="53"/>
      <c r="V12" s="53"/>
      <c r="W12" s="53"/>
      <c r="X12" s="53"/>
      <c r="Y12" s="53"/>
      <c r="Z12" s="53"/>
      <c r="AA12" s="53"/>
      <c r="AB12" s="53"/>
      <c r="AC12" s="53"/>
      <c r="AD12" s="53"/>
      <c r="AE12" s="53"/>
      <c r="AF12" s="63"/>
      <c r="AG12" s="64"/>
      <c r="AH12" s="65"/>
      <c r="AI12" s="65"/>
      <c r="AJ12" s="53"/>
      <c r="AK12" s="62"/>
      <c r="AL12" s="62"/>
      <c r="AM12" s="62"/>
      <c r="AN12" s="62"/>
      <c r="AO12" s="62"/>
      <c r="AP12" s="62"/>
      <c r="AQ12" s="62"/>
      <c r="AR12" s="62"/>
      <c r="AS12" s="62"/>
      <c r="AT12" s="62"/>
      <c r="AU12" s="62"/>
      <c r="AV12" s="62"/>
      <c r="AW12" s="62"/>
      <c r="AX12" s="62"/>
      <c r="AY12" s="62"/>
      <c r="AZ12" s="62"/>
      <c r="BA12" s="62"/>
      <c r="BB12" s="62"/>
      <c r="BC12" s="62"/>
      <c r="BD12" s="62"/>
      <c r="BE12" s="62"/>
      <c r="BF12" s="62"/>
      <c r="BG12" s="62"/>
      <c r="BH12" s="62"/>
      <c r="BI12" s="62"/>
      <c r="BJ12" s="62"/>
      <c r="BK12" s="62"/>
      <c r="BL12" s="62"/>
      <c r="BM12" s="62"/>
      <c r="BN12" s="62"/>
      <c r="BO12" s="62"/>
      <c r="BP12" s="62"/>
      <c r="BQ12" s="62"/>
      <c r="BR12" s="62"/>
      <c r="BS12" s="62"/>
      <c r="BT12" s="62"/>
      <c r="BU12" s="62"/>
      <c r="BV12" s="62"/>
      <c r="BW12" s="62"/>
      <c r="BX12" s="6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  <c r="PB12"/>
      <c r="PC12"/>
      <c r="PD12"/>
      <c r="PE12"/>
      <c r="PF12"/>
      <c r="PG12"/>
      <c r="PH12"/>
      <c r="PI12"/>
      <c r="PJ12"/>
      <c r="PK12"/>
      <c r="PL12"/>
      <c r="PM12"/>
      <c r="PN12"/>
      <c r="PO12"/>
      <c r="PP12"/>
      <c r="PQ12"/>
      <c r="PR12"/>
      <c r="PS12"/>
      <c r="PT12"/>
      <c r="PU12"/>
      <c r="PV12"/>
      <c r="PW12"/>
      <c r="PX12"/>
      <c r="PY12"/>
      <c r="PZ12"/>
      <c r="QA12"/>
      <c r="QB12"/>
      <c r="QC12"/>
      <c r="QD12"/>
      <c r="QE12"/>
      <c r="QF12"/>
      <c r="QG12"/>
      <c r="QH12"/>
      <c r="QI12"/>
      <c r="QJ12"/>
      <c r="QK12"/>
      <c r="QL12"/>
      <c r="QM12"/>
      <c r="QN12"/>
      <c r="QO12"/>
      <c r="QP12"/>
      <c r="QQ12"/>
      <c r="QR12"/>
      <c r="QS12"/>
      <c r="QT12"/>
      <c r="QU12"/>
      <c r="QV12"/>
      <c r="QW12"/>
      <c r="QX12"/>
    </row>
    <row r="13" spans="1:466" x14ac:dyDescent="0.35">
      <c r="A13" s="53"/>
      <c r="B13" s="53"/>
      <c r="C13" s="53"/>
      <c r="D13" s="53"/>
      <c r="E13" s="53"/>
      <c r="F13" s="126" t="s">
        <v>1189</v>
      </c>
      <c r="G13" s="125"/>
      <c r="H13" s="125">
        <v>0</v>
      </c>
      <c r="I13" s="133">
        <v>0</v>
      </c>
      <c r="J13" s="53"/>
      <c r="K13" s="58">
        <v>46195</v>
      </c>
      <c r="L13" s="59" t="str">
        <f>IFERROR(VLOOKUP($A$2,Stok!$B$1:$DF$446,109,0),"")</f>
        <v/>
      </c>
      <c r="M13" s="53"/>
      <c r="N13" s="53"/>
      <c r="O13" s="53"/>
      <c r="P13" s="53"/>
      <c r="Q13" s="53"/>
      <c r="R13" s="53"/>
      <c r="S13" s="53"/>
      <c r="T13" s="53"/>
      <c r="U13" s="53"/>
      <c r="V13" s="53"/>
      <c r="W13" s="53"/>
      <c r="X13" s="53"/>
      <c r="Y13" s="53"/>
      <c r="Z13" s="53"/>
      <c r="AA13" s="53"/>
      <c r="AB13" s="53"/>
      <c r="AC13" s="53"/>
      <c r="AD13" s="53"/>
      <c r="AE13" s="53"/>
      <c r="AF13" s="63"/>
      <c r="AG13" s="64"/>
      <c r="AH13" s="65"/>
      <c r="AI13" s="65"/>
      <c r="AJ13" s="53"/>
      <c r="AK13" s="62"/>
      <c r="AL13" s="62"/>
      <c r="AM13" s="62"/>
      <c r="AN13" s="62"/>
      <c r="AO13" s="62"/>
      <c r="AP13" s="62"/>
      <c r="AQ13" s="62"/>
      <c r="AR13" s="62"/>
      <c r="AS13" s="62"/>
      <c r="AT13" s="62"/>
      <c r="AU13" s="62"/>
      <c r="AV13" s="62"/>
      <c r="AW13" s="62"/>
      <c r="AX13" s="62"/>
      <c r="AY13" s="62"/>
      <c r="AZ13" s="62"/>
      <c r="BA13" s="62"/>
      <c r="BB13" s="62"/>
      <c r="BC13" s="62"/>
      <c r="BD13" s="62"/>
      <c r="BE13" s="62"/>
      <c r="BF13" s="62"/>
      <c r="BG13" s="62"/>
      <c r="BH13" s="62"/>
      <c r="BI13" s="62"/>
      <c r="BJ13" s="62"/>
      <c r="BK13" s="62"/>
      <c r="BL13" s="62"/>
      <c r="BM13" s="62"/>
      <c r="BN13" s="62"/>
      <c r="BO13" s="62"/>
      <c r="BP13" s="62"/>
      <c r="BQ13" s="62"/>
      <c r="BR13" s="62"/>
      <c r="BS13" s="62"/>
      <c r="BT13" s="62"/>
      <c r="BU13" s="62"/>
      <c r="BV13" s="62"/>
      <c r="BW13" s="62"/>
      <c r="BX13" s="62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  <c r="PV13"/>
      <c r="PW13"/>
      <c r="PX13"/>
      <c r="PY13"/>
      <c r="PZ13"/>
      <c r="QA13"/>
      <c r="QB13"/>
      <c r="QC13"/>
      <c r="QD13"/>
      <c r="QE13"/>
      <c r="QF13"/>
      <c r="QG13"/>
      <c r="QH13"/>
      <c r="QI13"/>
      <c r="QJ13"/>
      <c r="QK13"/>
      <c r="QL13"/>
      <c r="QM13"/>
      <c r="QN13"/>
      <c r="QO13"/>
      <c r="QP13"/>
      <c r="QQ13"/>
      <c r="QR13"/>
      <c r="QS13"/>
      <c r="QT13"/>
      <c r="QU13"/>
      <c r="QV13"/>
      <c r="QW13"/>
      <c r="QX13"/>
    </row>
    <row r="14" spans="1:466" x14ac:dyDescent="0.35">
      <c r="A14" s="53"/>
      <c r="B14" s="53"/>
      <c r="C14" s="53"/>
      <c r="D14" s="53"/>
      <c r="E14" s="53"/>
      <c r="F14" s="126" t="s">
        <v>1192</v>
      </c>
      <c r="G14" s="125"/>
      <c r="H14" s="125">
        <v>0</v>
      </c>
      <c r="I14" s="133">
        <v>0</v>
      </c>
      <c r="J14" s="53"/>
      <c r="K14" s="58">
        <v>46188</v>
      </c>
      <c r="L14" s="59" t="str">
        <f>IFERROR(VLOOKUP($A$2,Stok!$B$1:$DE$446,108,0),"")</f>
        <v/>
      </c>
      <c r="M14" s="53"/>
      <c r="N14" s="53"/>
      <c r="O14" s="53"/>
      <c r="P14" s="53"/>
      <c r="Q14" s="53"/>
      <c r="R14" s="53"/>
      <c r="S14" s="53"/>
      <c r="T14" s="53"/>
      <c r="U14" s="53"/>
      <c r="V14" s="53"/>
      <c r="W14" s="53"/>
      <c r="X14" s="53"/>
      <c r="Y14" s="53"/>
      <c r="Z14" s="53"/>
      <c r="AA14" s="53"/>
      <c r="AB14" s="53"/>
      <c r="AC14" s="53"/>
      <c r="AD14" s="53"/>
      <c r="AE14" s="53"/>
      <c r="AF14" s="63"/>
      <c r="AG14" s="64"/>
      <c r="AH14" s="65"/>
      <c r="AI14" s="65"/>
      <c r="AJ14" s="53"/>
      <c r="AK14" s="62"/>
      <c r="AL14" s="62"/>
      <c r="AM14" s="62"/>
      <c r="AN14" s="62"/>
      <c r="AO14" s="62"/>
      <c r="AP14" s="62"/>
      <c r="AQ14" s="62"/>
      <c r="AR14" s="62"/>
      <c r="AS14" s="62"/>
      <c r="AT14" s="62"/>
      <c r="AU14" s="62"/>
      <c r="AV14" s="62"/>
      <c r="AW14" s="62"/>
      <c r="AX14" s="62"/>
      <c r="AY14" s="62"/>
      <c r="AZ14" s="62"/>
      <c r="BA14" s="62"/>
      <c r="BB14" s="62"/>
      <c r="BC14" s="62"/>
      <c r="BD14" s="62"/>
      <c r="BE14" s="62"/>
      <c r="BF14" s="62"/>
      <c r="BG14" s="62"/>
      <c r="BH14" s="62"/>
      <c r="BI14" s="62"/>
      <c r="BJ14" s="62"/>
      <c r="BK14" s="62"/>
      <c r="BL14" s="62"/>
      <c r="BM14" s="62"/>
      <c r="BN14" s="62"/>
      <c r="BO14" s="62"/>
      <c r="BP14" s="62"/>
      <c r="BQ14" s="62"/>
      <c r="BR14" s="62"/>
      <c r="BS14" s="62"/>
      <c r="BT14" s="62"/>
      <c r="BU14" s="62"/>
      <c r="BV14" s="62"/>
      <c r="BW14" s="62"/>
      <c r="BX14" s="62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  <c r="PB14"/>
      <c r="PC14"/>
      <c r="PD14"/>
      <c r="PE14"/>
      <c r="PF14"/>
      <c r="PG14"/>
      <c r="PH14"/>
      <c r="PI14"/>
      <c r="PJ14"/>
      <c r="PK14"/>
      <c r="PL14"/>
      <c r="PM14"/>
      <c r="PN14"/>
      <c r="PO14"/>
      <c r="PP14"/>
      <c r="PQ14"/>
      <c r="PR14"/>
      <c r="PS14"/>
      <c r="PT14"/>
      <c r="PU14"/>
      <c r="PV14"/>
      <c r="PW14"/>
      <c r="PX14"/>
      <c r="PY14"/>
      <c r="PZ14"/>
      <c r="QA14"/>
      <c r="QB14"/>
      <c r="QC14"/>
      <c r="QD14"/>
      <c r="QE14"/>
      <c r="QF14"/>
      <c r="QG14"/>
      <c r="QH14"/>
      <c r="QI14"/>
      <c r="QJ14"/>
      <c r="QK14"/>
      <c r="QL14"/>
      <c r="QM14"/>
      <c r="QN14"/>
      <c r="QO14"/>
      <c r="QP14"/>
      <c r="QQ14"/>
      <c r="QR14"/>
      <c r="QS14"/>
      <c r="QT14"/>
      <c r="QU14"/>
      <c r="QV14"/>
      <c r="QW14"/>
      <c r="QX14"/>
    </row>
    <row r="15" spans="1:466" x14ac:dyDescent="0.35">
      <c r="A15" s="53"/>
      <c r="B15" s="53"/>
      <c r="C15" s="53"/>
      <c r="D15" s="53"/>
      <c r="E15" s="53"/>
      <c r="F15" s="126" t="s">
        <v>1190</v>
      </c>
      <c r="G15" s="125"/>
      <c r="H15" s="125">
        <v>0</v>
      </c>
      <c r="I15" s="133">
        <v>0</v>
      </c>
      <c r="J15" s="53"/>
      <c r="K15" s="58">
        <v>46181</v>
      </c>
      <c r="L15" s="59" t="str">
        <f>IFERROR(VLOOKUP($A$2,Stok!$B$1:$DD$446,107,0),"")</f>
        <v/>
      </c>
      <c r="M15" s="53"/>
      <c r="N15" s="53"/>
      <c r="O15" s="53"/>
      <c r="P15" s="53"/>
      <c r="Q15" s="53"/>
      <c r="R15" s="53"/>
      <c r="S15" s="53"/>
      <c r="T15" s="53"/>
      <c r="U15" s="53"/>
      <c r="V15" s="53"/>
      <c r="W15" s="53"/>
      <c r="X15" s="53"/>
      <c r="Y15" s="53"/>
      <c r="Z15" s="53"/>
      <c r="AA15" s="53"/>
      <c r="AB15" s="53"/>
      <c r="AC15" s="53"/>
      <c r="AD15" s="53"/>
      <c r="AE15" s="53"/>
      <c r="AF15" s="63"/>
      <c r="AG15" s="64"/>
      <c r="AH15" s="65"/>
      <c r="AI15" s="65"/>
      <c r="AJ15" s="53"/>
      <c r="AK15" s="62"/>
      <c r="AL15" s="62"/>
      <c r="AM15" s="62"/>
      <c r="AN15" s="62"/>
      <c r="AO15" s="62"/>
      <c r="AP15" s="62"/>
      <c r="AQ15" s="62"/>
      <c r="AR15" s="62"/>
      <c r="AS15" s="62"/>
      <c r="AT15" s="62"/>
      <c r="AU15" s="62"/>
      <c r="AV15" s="62"/>
      <c r="AW15" s="62"/>
      <c r="AX15" s="62"/>
      <c r="AY15" s="62"/>
      <c r="AZ15" s="62"/>
      <c r="BA15" s="62"/>
      <c r="BB15" s="62"/>
      <c r="BC15" s="62"/>
      <c r="BD15" s="62"/>
      <c r="BE15" s="62"/>
      <c r="BF15" s="62"/>
      <c r="BG15" s="62"/>
      <c r="BH15" s="62"/>
      <c r="BI15" s="62"/>
      <c r="BJ15" s="62"/>
      <c r="BK15" s="62"/>
      <c r="BL15" s="62"/>
      <c r="BM15" s="62"/>
      <c r="BN15" s="62"/>
      <c r="BO15" s="62"/>
      <c r="BP15" s="62"/>
      <c r="BQ15" s="62"/>
      <c r="BR15" s="62"/>
      <c r="BS15" s="62"/>
      <c r="BT15" s="62"/>
      <c r="BU15" s="62"/>
      <c r="BV15" s="62"/>
      <c r="BW15" s="62"/>
      <c r="BX15" s="62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  <c r="PB15"/>
      <c r="PC15"/>
      <c r="PD15"/>
      <c r="PE15"/>
      <c r="PF15"/>
      <c r="PG15"/>
      <c r="PH15"/>
      <c r="PI15"/>
      <c r="PJ15"/>
      <c r="PK15"/>
      <c r="PL15"/>
      <c r="PM15"/>
      <c r="PN15"/>
      <c r="PO15"/>
      <c r="PP15"/>
      <c r="PQ15"/>
      <c r="PR15"/>
      <c r="PS15"/>
      <c r="PT15"/>
      <c r="PU15"/>
      <c r="PV15"/>
      <c r="PW15"/>
      <c r="PX15"/>
      <c r="PY15"/>
      <c r="PZ15"/>
      <c r="QA15"/>
      <c r="QB15"/>
      <c r="QC15"/>
      <c r="QD15"/>
      <c r="QE15"/>
      <c r="QF15"/>
      <c r="QG15"/>
      <c r="QH15"/>
      <c r="QI15"/>
      <c r="QJ15"/>
      <c r="QK15"/>
      <c r="QL15"/>
      <c r="QM15"/>
      <c r="QN15"/>
      <c r="QO15"/>
      <c r="QP15"/>
      <c r="QQ15"/>
      <c r="QR15"/>
      <c r="QS15"/>
      <c r="QT15"/>
      <c r="QU15"/>
      <c r="QV15"/>
      <c r="QW15"/>
      <c r="QX15"/>
    </row>
    <row r="16" spans="1:466" x14ac:dyDescent="0.35">
      <c r="A16" s="53"/>
      <c r="B16" s="53"/>
      <c r="C16" s="53"/>
      <c r="D16" s="53"/>
      <c r="E16" s="53"/>
      <c r="F16" s="126" t="s">
        <v>1508</v>
      </c>
      <c r="G16" s="125">
        <v>1000</v>
      </c>
      <c r="H16" s="125">
        <v>0</v>
      </c>
      <c r="I16" s="133">
        <v>0</v>
      </c>
      <c r="J16" s="53"/>
      <c r="K16" s="58">
        <v>46174</v>
      </c>
      <c r="L16" s="59" t="str">
        <f>IFERROR(VLOOKUP($A$2,Stok!$B$1:$DC$446,106,0),"")</f>
        <v/>
      </c>
      <c r="M16" s="53"/>
      <c r="N16" s="53"/>
      <c r="O16" s="53"/>
      <c r="P16" s="53"/>
      <c r="Q16" s="53"/>
      <c r="R16" s="53"/>
      <c r="S16" s="53"/>
      <c r="T16" s="53"/>
      <c r="U16" s="53"/>
      <c r="V16" s="53"/>
      <c r="W16" s="53"/>
      <c r="X16" s="53"/>
      <c r="Y16" s="53"/>
      <c r="Z16" s="53"/>
      <c r="AA16" s="53"/>
      <c r="AB16" s="53"/>
      <c r="AC16" s="53"/>
      <c r="AD16" s="53"/>
      <c r="AE16" s="53"/>
      <c r="AF16" s="63"/>
      <c r="AG16" s="64"/>
      <c r="AH16" s="65"/>
      <c r="AI16" s="65"/>
      <c r="AJ16" s="53"/>
      <c r="AK16" s="62"/>
      <c r="AL16" s="62"/>
      <c r="AM16" s="62"/>
      <c r="AN16" s="62"/>
      <c r="AO16" s="62"/>
      <c r="AP16" s="62"/>
      <c r="AQ16" s="62"/>
      <c r="AR16" s="62"/>
      <c r="AS16" s="62"/>
      <c r="AT16" s="62"/>
      <c r="AU16" s="62"/>
      <c r="AV16" s="62"/>
      <c r="AW16" s="62"/>
      <c r="AX16" s="62"/>
      <c r="AY16" s="62"/>
      <c r="AZ16" s="62"/>
      <c r="BA16" s="62"/>
      <c r="BB16" s="62"/>
      <c r="BC16" s="62"/>
      <c r="BD16" s="62"/>
      <c r="BE16" s="62"/>
      <c r="BF16" s="62"/>
      <c r="BG16" s="62"/>
      <c r="BH16" s="62"/>
      <c r="BI16" s="62"/>
      <c r="BJ16" s="62"/>
      <c r="BK16" s="62"/>
      <c r="BL16" s="62"/>
      <c r="BM16" s="62"/>
      <c r="BN16" s="62"/>
      <c r="BO16" s="62"/>
      <c r="BP16" s="62"/>
      <c r="BQ16" s="62"/>
      <c r="BR16" s="62"/>
      <c r="BS16" s="62"/>
      <c r="BT16" s="62"/>
      <c r="BU16" s="62"/>
      <c r="BV16" s="62"/>
      <c r="BW16" s="62"/>
      <c r="BX16" s="62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  <c r="PB16"/>
      <c r="PC16"/>
      <c r="PD16"/>
      <c r="PE16"/>
      <c r="PF16"/>
      <c r="PG16"/>
      <c r="PH16"/>
      <c r="PI16"/>
      <c r="PJ16"/>
      <c r="PK16"/>
      <c r="PL16"/>
      <c r="PM16"/>
      <c r="PN16"/>
      <c r="PO16"/>
      <c r="PP16"/>
      <c r="PQ16"/>
      <c r="PR16"/>
      <c r="PS16"/>
      <c r="PT16"/>
      <c r="PU16"/>
      <c r="PV16"/>
      <c r="PW16"/>
      <c r="PX16"/>
      <c r="PY16"/>
      <c r="PZ16"/>
      <c r="QA16"/>
      <c r="QB16"/>
      <c r="QC16"/>
      <c r="QD16"/>
      <c r="QE16"/>
      <c r="QF16"/>
      <c r="QG16"/>
      <c r="QH16"/>
      <c r="QI16"/>
      <c r="QJ16"/>
      <c r="QK16"/>
      <c r="QL16"/>
      <c r="QM16"/>
      <c r="QN16"/>
      <c r="QO16"/>
      <c r="QP16"/>
      <c r="QQ16"/>
      <c r="QR16"/>
      <c r="QS16"/>
      <c r="QT16"/>
      <c r="QU16"/>
      <c r="QV16"/>
      <c r="QW16"/>
      <c r="QX16"/>
    </row>
    <row r="17" spans="1:466" x14ac:dyDescent="0.35">
      <c r="A17" s="53"/>
      <c r="B17" s="53"/>
      <c r="C17" s="53"/>
      <c r="D17" s="53"/>
      <c r="E17" s="53"/>
      <c r="F17" s="126" t="s">
        <v>51</v>
      </c>
      <c r="G17" s="125">
        <v>2237.5</v>
      </c>
      <c r="H17" s="125">
        <v>0</v>
      </c>
      <c r="I17" s="133">
        <v>0</v>
      </c>
      <c r="J17" s="53"/>
      <c r="K17" s="58">
        <v>46160</v>
      </c>
      <c r="L17" s="59" t="str">
        <f>IFERROR(VLOOKUP($A$2,Stok!$B$1:$DB$446,105,0),"")</f>
        <v/>
      </c>
      <c r="M17" s="53"/>
      <c r="N17" s="53"/>
      <c r="O17" s="53"/>
      <c r="P17" s="53"/>
      <c r="Q17" s="53"/>
      <c r="R17" s="53"/>
      <c r="S17" s="53"/>
      <c r="T17" s="53"/>
      <c r="U17" s="53"/>
      <c r="V17" s="53"/>
      <c r="W17" s="53"/>
      <c r="X17" s="53"/>
      <c r="Y17" s="53"/>
      <c r="Z17" s="53"/>
      <c r="AA17" s="53"/>
      <c r="AB17" s="53"/>
      <c r="AC17" s="53"/>
      <c r="AD17" s="53"/>
      <c r="AE17" s="53"/>
      <c r="AF17" s="63"/>
      <c r="AG17" s="64"/>
      <c r="AH17" s="65"/>
      <c r="AI17" s="65"/>
      <c r="AJ17" s="53"/>
      <c r="AK17" s="62"/>
      <c r="AL17" s="62"/>
      <c r="AM17" s="62"/>
      <c r="AN17" s="62"/>
      <c r="AO17" s="62"/>
      <c r="AP17" s="62"/>
      <c r="AQ17" s="62"/>
      <c r="AR17" s="62"/>
      <c r="AS17" s="62"/>
      <c r="AT17" s="62"/>
      <c r="AU17" s="62"/>
      <c r="AV17" s="62"/>
      <c r="AW17" s="62"/>
      <c r="AX17" s="62"/>
      <c r="AY17" s="62"/>
      <c r="AZ17" s="62"/>
      <c r="BA17" s="62"/>
      <c r="BB17" s="62"/>
      <c r="BC17" s="62"/>
      <c r="BD17" s="62"/>
      <c r="BE17" s="62"/>
      <c r="BF17" s="62"/>
      <c r="BG17" s="62"/>
      <c r="BH17" s="62"/>
      <c r="BI17" s="62"/>
      <c r="BJ17" s="62"/>
      <c r="BK17" s="62"/>
      <c r="BL17" s="62"/>
      <c r="BM17" s="62"/>
      <c r="BN17" s="62"/>
      <c r="BO17" s="62"/>
      <c r="BP17" s="62"/>
      <c r="BQ17" s="62"/>
      <c r="BR17" s="62"/>
      <c r="BS17" s="62"/>
      <c r="BT17" s="62"/>
      <c r="BU17" s="62"/>
      <c r="BV17" s="62"/>
      <c r="BW17" s="62"/>
      <c r="BX17" s="62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  <c r="PB17"/>
      <c r="PC17"/>
      <c r="PD17"/>
      <c r="PE17"/>
      <c r="PF17"/>
      <c r="PG17"/>
      <c r="PH17"/>
      <c r="PI17"/>
      <c r="PJ17"/>
      <c r="PK17"/>
      <c r="PL17"/>
      <c r="PM17"/>
      <c r="PN17"/>
      <c r="PO17"/>
      <c r="PP17"/>
      <c r="PQ17"/>
      <c r="PR17"/>
      <c r="PS17"/>
      <c r="PT17"/>
      <c r="PU17"/>
      <c r="PV17"/>
      <c r="PW17"/>
      <c r="PX17"/>
      <c r="PY17"/>
      <c r="PZ17"/>
      <c r="QA17"/>
      <c r="QB17"/>
      <c r="QC17"/>
      <c r="QD17"/>
      <c r="QE17"/>
      <c r="QF17"/>
      <c r="QG17"/>
      <c r="QH17"/>
      <c r="QI17"/>
      <c r="QJ17"/>
      <c r="QK17"/>
      <c r="QL17"/>
      <c r="QM17"/>
      <c r="QN17"/>
      <c r="QO17"/>
      <c r="QP17"/>
      <c r="QQ17"/>
      <c r="QR17"/>
      <c r="QS17"/>
      <c r="QT17"/>
      <c r="QU17"/>
      <c r="QV17"/>
      <c r="QW17"/>
      <c r="QX17"/>
    </row>
    <row r="18" spans="1:466" x14ac:dyDescent="0.35">
      <c r="A18" s="53"/>
      <c r="B18" s="53"/>
      <c r="C18" s="53"/>
      <c r="D18" s="53"/>
      <c r="E18" s="53"/>
      <c r="F18" s="126" t="s">
        <v>46</v>
      </c>
      <c r="G18" s="125">
        <v>265.14</v>
      </c>
      <c r="H18" s="125">
        <v>265.14</v>
      </c>
      <c r="I18" s="133">
        <v>1</v>
      </c>
      <c r="J18" s="53"/>
      <c r="K18" s="58">
        <v>46153</v>
      </c>
      <c r="L18" s="59" t="str">
        <f>IFERROR(VLOOKUP($A$2,Stok!$B$1:$DA$446,104,0),"")</f>
        <v/>
      </c>
      <c r="M18" s="53"/>
      <c r="N18" s="53"/>
      <c r="O18" s="53"/>
      <c r="P18" s="53"/>
      <c r="Q18" s="53"/>
      <c r="R18" s="53"/>
      <c r="S18" s="53"/>
      <c r="T18" s="53"/>
      <c r="U18" s="53"/>
      <c r="V18" s="53"/>
      <c r="W18" s="53"/>
      <c r="X18" s="53"/>
      <c r="Y18" s="53"/>
      <c r="Z18" s="53"/>
      <c r="AA18" s="53"/>
      <c r="AB18" s="53"/>
      <c r="AC18" s="53"/>
      <c r="AD18" s="53"/>
      <c r="AE18" s="53"/>
      <c r="AF18" s="63"/>
      <c r="AG18" s="64"/>
      <c r="AH18" s="65"/>
      <c r="AI18" s="65"/>
      <c r="AJ18" s="53"/>
      <c r="AK18" s="62"/>
      <c r="AL18" s="62"/>
      <c r="AM18" s="62"/>
      <c r="AN18" s="62"/>
      <c r="AO18" s="62"/>
      <c r="AP18" s="62"/>
      <c r="AQ18" s="62"/>
      <c r="AR18" s="62"/>
      <c r="AS18" s="62"/>
      <c r="AT18" s="62"/>
      <c r="AU18" s="62"/>
      <c r="AV18" s="62"/>
      <c r="AW18" s="62"/>
      <c r="AX18" s="62"/>
      <c r="AY18" s="62"/>
      <c r="AZ18" s="62"/>
      <c r="BA18" s="62"/>
      <c r="BB18" s="62"/>
      <c r="BC18" s="62"/>
      <c r="BD18" s="62"/>
      <c r="BE18" s="62"/>
      <c r="BF18" s="62"/>
      <c r="BG18" s="62"/>
      <c r="BH18" s="62"/>
      <c r="BI18" s="62"/>
      <c r="BJ18" s="62"/>
      <c r="BK18" s="62"/>
      <c r="BL18" s="62"/>
      <c r="BM18" s="62"/>
      <c r="BN18" s="62"/>
      <c r="BO18" s="62"/>
      <c r="BP18" s="62"/>
      <c r="BQ18" s="62"/>
      <c r="BR18" s="62"/>
      <c r="BS18" s="62"/>
      <c r="BT18" s="62"/>
      <c r="BU18" s="62"/>
      <c r="BV18" s="62"/>
      <c r="BW18" s="62"/>
      <c r="BX18" s="62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  <c r="PV18"/>
      <c r="PW18"/>
      <c r="PX18"/>
      <c r="PY18"/>
      <c r="PZ18"/>
      <c r="QA18"/>
      <c r="QB18"/>
      <c r="QC18"/>
      <c r="QD18"/>
      <c r="QE18"/>
      <c r="QF18"/>
      <c r="QG18"/>
      <c r="QH18"/>
      <c r="QI18"/>
      <c r="QJ18"/>
      <c r="QK18"/>
      <c r="QL18"/>
      <c r="QM18"/>
      <c r="QN18"/>
      <c r="QO18"/>
      <c r="QP18"/>
      <c r="QQ18"/>
      <c r="QR18"/>
      <c r="QS18"/>
      <c r="QT18"/>
      <c r="QU18"/>
      <c r="QV18"/>
      <c r="QW18"/>
      <c r="QX18"/>
    </row>
    <row r="19" spans="1:466" x14ac:dyDescent="0.35">
      <c r="A19" s="53"/>
      <c r="B19" s="53"/>
      <c r="C19" s="53"/>
      <c r="D19" s="53"/>
      <c r="E19" s="53"/>
      <c r="F19" s="126" t="s">
        <v>54</v>
      </c>
      <c r="G19" s="125">
        <v>428.57</v>
      </c>
      <c r="H19" s="125">
        <v>5999.98</v>
      </c>
      <c r="I19" s="133">
        <v>14</v>
      </c>
      <c r="J19" s="53"/>
      <c r="K19" s="58">
        <v>46146</v>
      </c>
      <c r="L19" s="59" t="str">
        <f>IFERROR(VLOOKUP($A$2,Stok!$B$1:$CZ$446,103,0),"")</f>
        <v/>
      </c>
      <c r="M19" s="53"/>
      <c r="N19" s="62"/>
      <c r="O19" s="62"/>
      <c r="P19" s="81"/>
      <c r="Q19" s="81"/>
      <c r="R19" s="81"/>
      <c r="S19" s="81"/>
      <c r="T19" s="81"/>
      <c r="U19" s="81"/>
      <c r="V19" s="81"/>
      <c r="W19" s="81"/>
      <c r="X19" s="81"/>
      <c r="Y19" s="81"/>
      <c r="Z19" s="81"/>
      <c r="AA19" s="81"/>
      <c r="AB19" s="81"/>
      <c r="AC19" s="81"/>
      <c r="AD19" s="62"/>
      <c r="AE19" s="62"/>
      <c r="AF19" s="63"/>
      <c r="AG19" s="64"/>
      <c r="AH19" s="65"/>
      <c r="AI19" s="65"/>
      <c r="AJ19" s="53"/>
      <c r="AK19" s="62"/>
      <c r="AL19" s="62"/>
      <c r="AM19" s="62"/>
      <c r="AN19" s="62"/>
      <c r="AO19" s="62"/>
      <c r="AP19" s="62"/>
      <c r="AQ19" s="62"/>
      <c r="AR19" s="62"/>
      <c r="AS19" s="62"/>
      <c r="AT19" s="62"/>
      <c r="AU19" s="62"/>
      <c r="AV19" s="62"/>
      <c r="AW19" s="62"/>
      <c r="AX19" s="62"/>
      <c r="AY19" s="62"/>
      <c r="AZ19" s="62"/>
      <c r="BA19" s="62"/>
      <c r="BB19" s="62"/>
      <c r="BC19" s="62"/>
      <c r="BD19" s="62"/>
      <c r="BE19" s="62"/>
      <c r="BF19" s="62"/>
      <c r="BG19" s="62"/>
      <c r="BH19" s="62"/>
      <c r="BI19" s="62"/>
      <c r="BJ19" s="62"/>
      <c r="BK19" s="62"/>
      <c r="BL19" s="62"/>
      <c r="BM19" s="62"/>
      <c r="BN19" s="62"/>
      <c r="BO19" s="62"/>
      <c r="BP19" s="62"/>
      <c r="BQ19" s="62"/>
      <c r="BR19" s="62"/>
      <c r="BS19" s="62"/>
      <c r="BT19" s="62"/>
      <c r="BU19" s="62"/>
      <c r="BV19" s="62"/>
      <c r="BW19" s="62"/>
      <c r="BX19" s="62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</row>
    <row r="20" spans="1:466" x14ac:dyDescent="0.35">
      <c r="A20" s="53"/>
      <c r="B20" s="53"/>
      <c r="C20" s="53"/>
      <c r="D20" s="53"/>
      <c r="E20" s="53"/>
      <c r="F20" s="126" t="s">
        <v>1316</v>
      </c>
      <c r="G20" s="125"/>
      <c r="H20" s="125">
        <v>0</v>
      </c>
      <c r="I20" s="133">
        <v>1</v>
      </c>
      <c r="J20" s="53"/>
      <c r="K20" s="58">
        <v>46139</v>
      </c>
      <c r="L20" s="59" t="str">
        <f>IFERROR(VLOOKUP($A$2,Stok!$B$1:$CY$446,102,0),"")</f>
        <v/>
      </c>
      <c r="M20" s="53"/>
      <c r="N20" s="62"/>
      <c r="O20" s="62"/>
      <c r="P20" s="81"/>
      <c r="Q20" s="81"/>
      <c r="R20" s="81"/>
      <c r="S20" s="81"/>
      <c r="T20" s="81"/>
      <c r="U20" s="81"/>
      <c r="V20" s="81"/>
      <c r="W20" s="81"/>
      <c r="X20" s="81"/>
      <c r="Y20" s="81"/>
      <c r="Z20" s="81"/>
      <c r="AA20" s="81"/>
      <c r="AB20" s="81"/>
      <c r="AC20" s="81"/>
      <c r="AD20" s="62"/>
      <c r="AE20" s="62"/>
      <c r="AF20" s="63"/>
      <c r="AG20" s="64"/>
      <c r="AH20" s="65"/>
      <c r="AI20" s="65"/>
      <c r="AJ20" s="53"/>
      <c r="AK20" s="62"/>
      <c r="AL20" s="62"/>
      <c r="AM20" s="62"/>
      <c r="AN20" s="62"/>
      <c r="AO20" s="62"/>
      <c r="AP20" s="62"/>
      <c r="AQ20" s="62"/>
      <c r="AR20" s="62"/>
      <c r="AS20" s="62"/>
      <c r="AT20" s="62"/>
      <c r="AU20" s="62"/>
      <c r="AV20" s="62"/>
      <c r="AW20" s="62"/>
      <c r="AX20" s="62"/>
      <c r="AY20" s="62"/>
      <c r="AZ20" s="62"/>
      <c r="BA20" s="62"/>
      <c r="BB20" s="62"/>
      <c r="BC20" s="62"/>
      <c r="BD20" s="62"/>
      <c r="BE20" s="62"/>
      <c r="BF20" s="62"/>
      <c r="BG20" s="62"/>
      <c r="BH20" s="62"/>
      <c r="BI20" s="62"/>
      <c r="BJ20" s="62"/>
      <c r="BK20" s="62"/>
      <c r="BL20" s="62"/>
      <c r="BM20" s="62"/>
      <c r="BN20" s="62"/>
      <c r="BO20" s="62"/>
      <c r="BP20" s="62"/>
      <c r="BQ20" s="62"/>
      <c r="BR20" s="62"/>
      <c r="BS20" s="62"/>
      <c r="BT20" s="62"/>
      <c r="BU20" s="62"/>
      <c r="BV20" s="62"/>
      <c r="BW20" s="62"/>
      <c r="BX20" s="62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</row>
    <row r="21" spans="1:466" x14ac:dyDescent="0.35">
      <c r="A21" s="53"/>
      <c r="B21" s="53"/>
      <c r="C21" s="53"/>
      <c r="D21" s="53"/>
      <c r="E21" s="53"/>
      <c r="F21" s="126" t="s">
        <v>56</v>
      </c>
      <c r="G21" s="125">
        <v>1</v>
      </c>
      <c r="H21" s="125">
        <v>56</v>
      </c>
      <c r="I21" s="133">
        <v>56</v>
      </c>
      <c r="J21" s="53"/>
      <c r="K21" s="58">
        <v>46132</v>
      </c>
      <c r="L21" s="59" t="str">
        <f>IFERROR(VLOOKUP($A$2,Stok!$B$1:$CX$446,101,0),"")</f>
        <v/>
      </c>
      <c r="M21" s="53"/>
      <c r="N21" s="53"/>
      <c r="O21" s="53"/>
      <c r="P21" s="82"/>
      <c r="Q21" s="82"/>
      <c r="R21" s="82"/>
      <c r="S21" s="82"/>
      <c r="T21" s="82"/>
      <c r="U21" s="82"/>
      <c r="V21" s="82"/>
      <c r="W21" s="82"/>
      <c r="X21" s="82"/>
      <c r="Y21" s="82"/>
      <c r="Z21" s="82"/>
      <c r="AA21" s="82"/>
      <c r="AB21" s="82"/>
      <c r="AC21" s="82"/>
      <c r="AD21" s="53"/>
      <c r="AE21" s="53"/>
      <c r="AF21" s="63"/>
      <c r="AG21" s="64"/>
      <c r="AH21" s="65"/>
      <c r="AI21" s="65"/>
      <c r="AJ21" s="53"/>
      <c r="AK21" s="62"/>
      <c r="AL21" s="62"/>
      <c r="AM21" s="62"/>
      <c r="AN21" s="62"/>
      <c r="AO21" s="62"/>
      <c r="AP21" s="62"/>
      <c r="AQ21" s="62"/>
      <c r="AR21" s="62"/>
      <c r="AS21" s="62"/>
      <c r="AT21" s="62"/>
      <c r="AU21" s="62"/>
      <c r="AV21" s="62"/>
      <c r="AW21" s="62"/>
      <c r="AX21" s="62"/>
      <c r="AY21" s="62"/>
      <c r="AZ21" s="62"/>
      <c r="BA21" s="62"/>
      <c r="BB21" s="62"/>
      <c r="BC21" s="62"/>
      <c r="BD21" s="62"/>
      <c r="BE21" s="62"/>
      <c r="BF21" s="62"/>
      <c r="BG21" s="62"/>
      <c r="BH21" s="62"/>
      <c r="BI21" s="62"/>
      <c r="BJ21" s="62"/>
      <c r="BK21" s="62"/>
      <c r="BL21" s="62"/>
      <c r="BM21" s="62"/>
      <c r="BN21" s="62"/>
      <c r="BO21" s="62"/>
      <c r="BP21" s="62"/>
      <c r="BQ21" s="62"/>
      <c r="BR21" s="62"/>
      <c r="BS21" s="62"/>
      <c r="BT21" s="62"/>
      <c r="BU21" s="62"/>
      <c r="BV21" s="62"/>
      <c r="BW21" s="62"/>
      <c r="BX21" s="62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</row>
    <row r="22" spans="1:466" x14ac:dyDescent="0.35">
      <c r="A22" s="53"/>
      <c r="B22" s="53"/>
      <c r="C22" s="53"/>
      <c r="D22" s="53"/>
      <c r="E22" s="53"/>
      <c r="F22" s="126" t="s">
        <v>58</v>
      </c>
      <c r="G22" s="125">
        <v>460</v>
      </c>
      <c r="H22" s="125">
        <v>19780</v>
      </c>
      <c r="I22" s="133">
        <v>43</v>
      </c>
      <c r="J22" s="53"/>
      <c r="K22" s="58">
        <v>46125</v>
      </c>
      <c r="L22" s="59" t="str">
        <f>IFERROR(VLOOKUP($A$2,Stok!$B$1:$CW$446,100,0),"")</f>
        <v/>
      </c>
      <c r="M22" s="53"/>
      <c r="N22" s="53"/>
      <c r="O22" s="53"/>
      <c r="P22" s="82"/>
      <c r="Q22" s="82"/>
      <c r="R22" s="82"/>
      <c r="S22" s="82"/>
      <c r="T22" s="82"/>
      <c r="U22" s="82"/>
      <c r="V22" s="82"/>
      <c r="W22" s="82"/>
      <c r="X22" s="82"/>
      <c r="Y22" s="82"/>
      <c r="Z22" s="82"/>
      <c r="AA22" s="82"/>
      <c r="AB22" s="82"/>
      <c r="AC22" s="82"/>
      <c r="AD22" s="53"/>
      <c r="AE22" s="53"/>
      <c r="AF22" s="63"/>
      <c r="AG22" s="64"/>
      <c r="AH22" s="65"/>
      <c r="AI22" s="65"/>
      <c r="AJ22" s="53"/>
      <c r="AK22" s="62"/>
      <c r="AL22" s="62"/>
      <c r="AM22" s="62"/>
      <c r="AN22" s="62"/>
      <c r="AO22" s="62"/>
      <c r="AP22" s="62"/>
      <c r="AQ22" s="62"/>
      <c r="AR22" s="62"/>
      <c r="AS22" s="62"/>
      <c r="AT22" s="62"/>
      <c r="AU22" s="62"/>
      <c r="AV22" s="62"/>
      <c r="AW22" s="62"/>
      <c r="AX22" s="62"/>
      <c r="AY22" s="62"/>
      <c r="AZ22" s="62"/>
      <c r="BA22" s="62"/>
      <c r="BB22" s="62"/>
      <c r="BC22" s="62"/>
      <c r="BD22" s="62"/>
      <c r="BE22" s="62"/>
      <c r="BF22" s="62"/>
      <c r="BG22" s="62"/>
      <c r="BH22" s="62"/>
      <c r="BI22" s="62"/>
      <c r="BJ22" s="62"/>
      <c r="BK22" s="62"/>
      <c r="BL22" s="62"/>
      <c r="BM22" s="62"/>
      <c r="BN22" s="62"/>
      <c r="BO22" s="62"/>
      <c r="BP22" s="62"/>
      <c r="BQ22" s="62"/>
      <c r="BR22" s="62"/>
      <c r="BS22" s="62"/>
      <c r="BT22" s="62"/>
      <c r="BU22" s="62"/>
      <c r="BV22" s="62"/>
      <c r="BW22" s="62"/>
      <c r="BX22" s="6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</row>
    <row r="23" spans="1:466" x14ac:dyDescent="0.35">
      <c r="A23" s="53"/>
      <c r="B23" s="53"/>
      <c r="C23" s="53"/>
      <c r="D23" s="53"/>
      <c r="E23" s="53"/>
      <c r="F23" s="126" t="s">
        <v>1191</v>
      </c>
      <c r="G23" s="125"/>
      <c r="H23" s="125">
        <v>0</v>
      </c>
      <c r="I23" s="133">
        <v>0</v>
      </c>
      <c r="J23" s="53"/>
      <c r="K23" s="58">
        <v>46118</v>
      </c>
      <c r="L23" s="59" t="str">
        <f>IFERROR(VLOOKUP($A$2,Stok!$B$1:$CV$446,99,0),"")</f>
        <v/>
      </c>
      <c r="M23" s="53"/>
      <c r="N23" s="53"/>
      <c r="O23" s="53"/>
      <c r="P23" s="82"/>
      <c r="Q23" s="82"/>
      <c r="R23" s="82"/>
      <c r="S23" s="82"/>
      <c r="T23" s="82"/>
      <c r="U23" s="82"/>
      <c r="V23" s="82"/>
      <c r="W23" s="82"/>
      <c r="X23" s="82"/>
      <c r="Y23" s="82"/>
      <c r="Z23" s="82"/>
      <c r="AA23" s="82"/>
      <c r="AB23" s="82"/>
      <c r="AC23" s="82"/>
      <c r="AD23" s="53"/>
      <c r="AE23" s="53"/>
      <c r="AF23" s="63"/>
      <c r="AG23" s="64"/>
      <c r="AH23" s="65"/>
      <c r="AI23" s="65"/>
      <c r="AJ23" s="53"/>
      <c r="AK23" s="62"/>
      <c r="AL23" s="62"/>
      <c r="AM23" s="62"/>
      <c r="AN23" s="62"/>
      <c r="AO23" s="62"/>
      <c r="AP23" s="62"/>
      <c r="AQ23" s="62"/>
      <c r="AR23" s="62"/>
      <c r="AS23" s="62"/>
      <c r="AT23" s="62"/>
      <c r="AU23" s="62"/>
      <c r="AV23" s="62"/>
      <c r="AW23" s="62"/>
      <c r="AX23" s="62"/>
      <c r="AY23" s="62"/>
      <c r="AZ23" s="62"/>
      <c r="BA23" s="62"/>
      <c r="BB23" s="62"/>
      <c r="BC23" s="62"/>
      <c r="BD23" s="62"/>
      <c r="BE23" s="62"/>
      <c r="BF23" s="62"/>
      <c r="BG23" s="62"/>
      <c r="BH23" s="62"/>
      <c r="BI23" s="62"/>
      <c r="BJ23" s="62"/>
      <c r="BK23" s="62"/>
      <c r="BL23" s="62"/>
      <c r="BM23" s="62"/>
      <c r="BN23" s="62"/>
      <c r="BO23" s="62"/>
      <c r="BP23" s="62"/>
      <c r="BQ23" s="62"/>
      <c r="BR23" s="62"/>
      <c r="BS23" s="62"/>
      <c r="BT23" s="62"/>
      <c r="BU23" s="62"/>
      <c r="BV23" s="62"/>
      <c r="BW23" s="62"/>
      <c r="BX23" s="62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</row>
    <row r="24" spans="1:466" x14ac:dyDescent="0.35">
      <c r="A24" s="53"/>
      <c r="B24" s="53"/>
      <c r="C24" s="53"/>
      <c r="D24" s="53"/>
      <c r="E24" s="53"/>
      <c r="F24" s="126" t="s">
        <v>81</v>
      </c>
      <c r="G24" s="125">
        <v>7.5</v>
      </c>
      <c r="H24" s="125">
        <v>67.5</v>
      </c>
      <c r="I24" s="133">
        <v>9</v>
      </c>
      <c r="J24" s="53"/>
      <c r="K24" s="58">
        <v>46111</v>
      </c>
      <c r="L24" s="59" t="str">
        <f>IFERROR(VLOOKUP($A$2,Stok!$B$1:$CU$446,98,0),"")</f>
        <v/>
      </c>
      <c r="M24" s="53"/>
      <c r="N24" s="53"/>
      <c r="O24" s="53"/>
      <c r="P24" s="82"/>
      <c r="Q24" s="82"/>
      <c r="R24" s="82"/>
      <c r="S24" s="82"/>
      <c r="T24" s="82"/>
      <c r="U24" s="82"/>
      <c r="V24" s="82"/>
      <c r="W24" s="82"/>
      <c r="X24" s="82"/>
      <c r="Y24" s="82"/>
      <c r="Z24" s="82"/>
      <c r="AA24" s="82"/>
      <c r="AB24" s="82"/>
      <c r="AC24" s="82"/>
      <c r="AD24" s="53"/>
      <c r="AE24" s="53"/>
      <c r="AF24" s="63"/>
      <c r="AG24" s="64"/>
      <c r="AH24" s="65"/>
      <c r="AI24" s="65"/>
      <c r="AJ24" s="53"/>
      <c r="AK24" s="62"/>
      <c r="AL24" s="62"/>
      <c r="AM24" s="62"/>
      <c r="AN24" s="62"/>
      <c r="AO24" s="62"/>
      <c r="AP24" s="62"/>
      <c r="AQ24" s="62"/>
      <c r="AR24" s="62"/>
      <c r="AS24" s="62"/>
      <c r="AT24" s="62"/>
      <c r="AU24" s="62"/>
      <c r="AV24" s="62"/>
      <c r="AW24" s="62"/>
      <c r="AX24" s="62"/>
      <c r="AY24" s="62"/>
      <c r="AZ24" s="62"/>
      <c r="BA24" s="62"/>
      <c r="BB24" s="62"/>
      <c r="BC24" s="62"/>
      <c r="BD24" s="62"/>
      <c r="BE24" s="62"/>
      <c r="BF24" s="62"/>
      <c r="BG24" s="62"/>
      <c r="BH24" s="62"/>
      <c r="BI24" s="62"/>
      <c r="BJ24" s="62"/>
      <c r="BK24" s="62"/>
      <c r="BL24" s="62"/>
      <c r="BM24" s="62"/>
      <c r="BN24" s="62"/>
      <c r="BO24" s="62"/>
      <c r="BP24" s="62"/>
      <c r="BQ24" s="62"/>
      <c r="BR24" s="62"/>
      <c r="BS24" s="62"/>
      <c r="BT24" s="62"/>
      <c r="BU24" s="62"/>
      <c r="BV24" s="62"/>
      <c r="BW24" s="62"/>
      <c r="BX24" s="62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</row>
    <row r="25" spans="1:466" x14ac:dyDescent="0.35">
      <c r="A25" s="53"/>
      <c r="B25" s="53"/>
      <c r="C25" s="53"/>
      <c r="D25" s="53"/>
      <c r="E25" s="53"/>
      <c r="F25" s="126" t="s">
        <v>61</v>
      </c>
      <c r="G25" s="125">
        <v>750</v>
      </c>
      <c r="H25" s="125">
        <v>0</v>
      </c>
      <c r="I25" s="133">
        <v>0</v>
      </c>
      <c r="J25" s="53"/>
      <c r="K25" s="58">
        <v>46104</v>
      </c>
      <c r="L25" s="59" t="str">
        <f>IFERROR(VLOOKUP($A$2,Stok!$B$1:$CT$446,97,0),"")</f>
        <v/>
      </c>
      <c r="M25" s="53"/>
      <c r="N25" s="53"/>
      <c r="O25" s="53"/>
      <c r="P25" s="53"/>
      <c r="Q25" s="53"/>
      <c r="R25" s="53"/>
      <c r="S25" s="53"/>
      <c r="T25" s="53"/>
      <c r="U25" s="53"/>
      <c r="V25" s="53"/>
      <c r="W25" s="53"/>
      <c r="X25" s="53"/>
      <c r="Y25" s="53"/>
      <c r="Z25" s="53"/>
      <c r="AA25" s="53"/>
      <c r="AB25" s="53"/>
      <c r="AC25" s="53"/>
      <c r="AD25" s="53"/>
      <c r="AE25" s="53"/>
      <c r="AF25" s="63"/>
      <c r="AG25" s="64"/>
      <c r="AH25" s="65"/>
      <c r="AI25" s="65"/>
      <c r="AJ25" s="53"/>
      <c r="AK25" s="62"/>
      <c r="AL25" s="62"/>
      <c r="AM25" s="62"/>
      <c r="AN25" s="62"/>
      <c r="AO25" s="62"/>
      <c r="AP25" s="62"/>
      <c r="AQ25" s="62"/>
      <c r="AR25" s="62"/>
      <c r="AS25" s="62"/>
      <c r="AT25" s="62"/>
      <c r="AU25" s="62"/>
      <c r="AV25" s="62"/>
      <c r="AW25" s="62"/>
      <c r="AX25" s="62"/>
      <c r="AY25" s="62"/>
      <c r="AZ25" s="62"/>
      <c r="BA25" s="62"/>
      <c r="BB25" s="62"/>
      <c r="BC25" s="62"/>
      <c r="BD25" s="62"/>
      <c r="BE25" s="62"/>
      <c r="BF25" s="62"/>
      <c r="BG25" s="62"/>
      <c r="BH25" s="62"/>
      <c r="BI25" s="62"/>
      <c r="BJ25" s="62"/>
      <c r="BK25" s="62"/>
      <c r="BL25" s="62"/>
      <c r="BM25" s="62"/>
      <c r="BN25" s="62"/>
      <c r="BO25" s="62"/>
      <c r="BP25" s="62"/>
      <c r="BQ25" s="62"/>
      <c r="BR25" s="62"/>
      <c r="BS25" s="62"/>
      <c r="BT25" s="62"/>
      <c r="BU25" s="62"/>
      <c r="BV25" s="62"/>
      <c r="BW25" s="62"/>
      <c r="BX25" s="62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</row>
    <row r="26" spans="1:466" x14ac:dyDescent="0.35">
      <c r="A26" s="53"/>
      <c r="B26" s="53"/>
      <c r="C26" s="53"/>
      <c r="D26" s="53"/>
      <c r="E26" s="53"/>
      <c r="F26" s="124" t="s">
        <v>85</v>
      </c>
      <c r="G26" s="125">
        <v>117.75</v>
      </c>
      <c r="H26" s="125">
        <v>716.27000000000021</v>
      </c>
      <c r="I26" s="133">
        <v>845</v>
      </c>
      <c r="J26" s="53"/>
      <c r="K26" s="58">
        <v>46097</v>
      </c>
      <c r="L26" s="59" t="str">
        <f>IFERROR(VLOOKUP($A$2,Stok!$B$1:$CS$446,96,0),"")</f>
        <v/>
      </c>
      <c r="M26" s="53"/>
      <c r="N26" s="53"/>
      <c r="O26" s="53"/>
      <c r="P26" s="53"/>
      <c r="Q26" s="53"/>
      <c r="R26" s="53"/>
      <c r="S26" s="53"/>
      <c r="T26" s="53"/>
      <c r="U26" s="53"/>
      <c r="V26" s="53"/>
      <c r="W26" s="53"/>
      <c r="X26" s="53"/>
      <c r="Y26" s="53"/>
      <c r="Z26" s="53"/>
      <c r="AA26" s="53"/>
      <c r="AB26" s="53"/>
      <c r="AC26" s="53"/>
      <c r="AD26" s="53"/>
      <c r="AE26" s="53"/>
      <c r="AF26" s="63"/>
      <c r="AG26" s="64"/>
      <c r="AH26" s="65"/>
      <c r="AI26" s="65"/>
      <c r="AJ26" s="53"/>
      <c r="AK26" s="62"/>
      <c r="AL26" s="62"/>
      <c r="AM26" s="62"/>
      <c r="AN26" s="62"/>
      <c r="AO26" s="62"/>
      <c r="AP26" s="62"/>
      <c r="AQ26" s="62"/>
      <c r="AR26" s="62"/>
      <c r="AS26" s="62"/>
      <c r="AT26" s="62"/>
      <c r="AU26" s="62"/>
      <c r="AV26" s="62"/>
      <c r="AW26" s="62"/>
      <c r="AX26" s="62"/>
      <c r="AY26" s="62"/>
      <c r="AZ26" s="62"/>
      <c r="BA26" s="62"/>
      <c r="BB26" s="62"/>
      <c r="BC26" s="62"/>
      <c r="BD26" s="62"/>
      <c r="BE26" s="62"/>
      <c r="BF26" s="62"/>
      <c r="BG26" s="62"/>
      <c r="BH26" s="62"/>
      <c r="BI26" s="62"/>
      <c r="BJ26" s="62"/>
      <c r="BK26" s="62"/>
      <c r="BL26" s="62"/>
      <c r="BM26" s="62"/>
      <c r="BN26" s="62"/>
      <c r="BO26" s="62"/>
      <c r="BP26" s="62"/>
      <c r="BQ26" s="62"/>
      <c r="BR26" s="62"/>
      <c r="BS26" s="62"/>
      <c r="BT26" s="62"/>
      <c r="BU26" s="62"/>
      <c r="BV26" s="62"/>
      <c r="BW26" s="62"/>
      <c r="BX26" s="62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</row>
    <row r="27" spans="1:466" x14ac:dyDescent="0.35">
      <c r="A27" s="53"/>
      <c r="B27" s="53"/>
      <c r="C27" s="53"/>
      <c r="D27" s="53"/>
      <c r="E27" s="53"/>
      <c r="F27" s="126" t="s">
        <v>93</v>
      </c>
      <c r="G27" s="125">
        <v>0.5</v>
      </c>
      <c r="H27" s="125">
        <v>250</v>
      </c>
      <c r="I27" s="133">
        <v>500</v>
      </c>
      <c r="J27" s="53"/>
      <c r="K27" s="58">
        <v>46090</v>
      </c>
      <c r="L27" s="59" t="str">
        <f>IFERROR(VLOOKUP($A$2,Stok!$B$1:$CR$446,95,0),"")</f>
        <v/>
      </c>
      <c r="M27" s="53"/>
      <c r="N27" s="53"/>
      <c r="O27" s="53"/>
      <c r="P27" s="53"/>
      <c r="Q27" s="53"/>
      <c r="R27" s="53"/>
      <c r="S27" s="53"/>
      <c r="T27" s="53"/>
      <c r="U27" s="53"/>
      <c r="V27" s="53"/>
      <c r="W27" s="53"/>
      <c r="X27" s="53"/>
      <c r="Y27" s="53"/>
      <c r="Z27" s="53"/>
      <c r="AA27" s="53"/>
      <c r="AB27" s="53"/>
      <c r="AC27" s="53"/>
      <c r="AD27" s="53"/>
      <c r="AE27" s="53"/>
      <c r="AF27" s="63"/>
      <c r="AG27" s="64"/>
      <c r="AH27" s="65"/>
      <c r="AI27" s="65"/>
      <c r="AJ27" s="53"/>
      <c r="AK27" s="62"/>
      <c r="AL27" s="62"/>
      <c r="AM27" s="62"/>
      <c r="AN27" s="62"/>
      <c r="AO27" s="62"/>
      <c r="AP27" s="62"/>
      <c r="AQ27" s="62"/>
      <c r="AR27" s="62"/>
      <c r="AS27" s="62"/>
      <c r="AT27" s="62"/>
      <c r="AU27" s="62"/>
      <c r="AV27" s="62"/>
      <c r="AW27" s="62"/>
      <c r="AX27" s="62"/>
      <c r="AY27" s="62"/>
      <c r="AZ27" s="62"/>
      <c r="BA27" s="62"/>
      <c r="BB27" s="62"/>
      <c r="BC27" s="62"/>
      <c r="BD27" s="62"/>
      <c r="BE27" s="62"/>
      <c r="BF27" s="62"/>
      <c r="BG27" s="62"/>
      <c r="BH27" s="62"/>
      <c r="BI27" s="62"/>
      <c r="BJ27" s="62"/>
      <c r="BK27" s="62"/>
      <c r="BL27" s="62"/>
      <c r="BM27" s="62"/>
      <c r="BN27" s="62"/>
      <c r="BO27" s="62"/>
      <c r="BP27" s="62"/>
      <c r="BQ27" s="62"/>
      <c r="BR27" s="62"/>
      <c r="BS27" s="62"/>
      <c r="BT27" s="62"/>
      <c r="BU27" s="62"/>
      <c r="BV27" s="62"/>
      <c r="BW27" s="62"/>
      <c r="BX27" s="62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</row>
    <row r="28" spans="1:466" x14ac:dyDescent="0.35">
      <c r="A28" s="53"/>
      <c r="B28" s="53"/>
      <c r="C28" s="53"/>
      <c r="D28" s="53"/>
      <c r="E28" s="53"/>
      <c r="F28" s="126" t="s">
        <v>90</v>
      </c>
      <c r="G28" s="125"/>
      <c r="H28" s="125">
        <v>0</v>
      </c>
      <c r="I28" s="133">
        <v>0</v>
      </c>
      <c r="J28" s="53"/>
      <c r="K28" s="58">
        <v>46083</v>
      </c>
      <c r="L28" s="59" t="str">
        <f>IFERROR(VLOOKUP($A$2,Stok!$B$1:$CQ$446,94,0),"")</f>
        <v/>
      </c>
      <c r="M28" s="53"/>
      <c r="N28" s="53"/>
      <c r="O28" s="53"/>
      <c r="P28" s="53"/>
      <c r="Q28" s="53"/>
      <c r="R28" s="53"/>
      <c r="S28" s="53"/>
      <c r="T28" s="53"/>
      <c r="U28" s="53"/>
      <c r="V28" s="53"/>
      <c r="W28" s="53"/>
      <c r="X28" s="53"/>
      <c r="Y28" s="53"/>
      <c r="Z28" s="53"/>
      <c r="AA28" s="53"/>
      <c r="AB28" s="53"/>
      <c r="AC28" s="53"/>
      <c r="AD28" s="53"/>
      <c r="AE28" s="53"/>
      <c r="AF28" s="63"/>
      <c r="AG28" s="64"/>
      <c r="AH28" s="65"/>
      <c r="AI28" s="65"/>
      <c r="AJ28" s="53"/>
      <c r="AK28" s="62"/>
      <c r="AL28" s="62"/>
      <c r="AM28" s="62"/>
      <c r="AN28" s="62"/>
      <c r="AO28" s="62"/>
      <c r="AP28" s="62"/>
      <c r="AQ28" s="62"/>
      <c r="AR28" s="62"/>
      <c r="AS28" s="62"/>
      <c r="AT28" s="62"/>
      <c r="AU28" s="62"/>
      <c r="AV28" s="62"/>
      <c r="AW28" s="62"/>
      <c r="AX28" s="62"/>
      <c r="AY28" s="62"/>
      <c r="AZ28" s="62"/>
      <c r="BA28" s="62"/>
      <c r="BB28" s="62"/>
      <c r="BC28" s="62"/>
      <c r="BD28" s="62"/>
      <c r="BE28" s="62"/>
      <c r="BF28" s="62"/>
      <c r="BG28" s="62"/>
      <c r="BH28" s="62"/>
      <c r="BI28" s="62"/>
      <c r="BJ28" s="62"/>
      <c r="BK28" s="62"/>
      <c r="BL28" s="62"/>
      <c r="BM28" s="62"/>
      <c r="BN28" s="62"/>
      <c r="BO28" s="62"/>
      <c r="BP28" s="62"/>
      <c r="BQ28" s="62"/>
      <c r="BR28" s="62"/>
      <c r="BS28" s="62"/>
      <c r="BT28" s="62"/>
      <c r="BU28" s="62"/>
      <c r="BV28" s="62"/>
      <c r="BW28" s="62"/>
      <c r="BX28" s="62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</row>
    <row r="29" spans="1:466" x14ac:dyDescent="0.35">
      <c r="A29" s="53"/>
      <c r="B29" s="53"/>
      <c r="C29" s="53"/>
      <c r="D29" s="53"/>
      <c r="E29" s="53"/>
      <c r="F29" s="126" t="s">
        <v>83</v>
      </c>
      <c r="G29" s="125">
        <v>6.36</v>
      </c>
      <c r="H29" s="125">
        <v>6.36</v>
      </c>
      <c r="I29" s="133">
        <v>1</v>
      </c>
      <c r="J29" s="53"/>
      <c r="K29" s="58">
        <v>46076</v>
      </c>
      <c r="L29" s="59" t="str">
        <f>IFERROR(VLOOKUP($A$2,Stok!$B$1:$CP$446,93,0),"")</f>
        <v/>
      </c>
      <c r="M29" s="53"/>
      <c r="N29" s="53"/>
      <c r="O29" s="53"/>
      <c r="P29" s="53"/>
      <c r="Q29" s="53"/>
      <c r="R29" s="53"/>
      <c r="S29" s="53"/>
      <c r="T29" s="53"/>
      <c r="U29" s="53"/>
      <c r="V29" s="53"/>
      <c r="W29" s="53"/>
      <c r="X29" s="53"/>
      <c r="Y29" s="53"/>
      <c r="Z29" s="53"/>
      <c r="AA29" s="53"/>
      <c r="AB29" s="53"/>
      <c r="AC29" s="53"/>
      <c r="AD29" s="53"/>
      <c r="AE29" s="53"/>
      <c r="AF29" s="63"/>
      <c r="AG29" s="64"/>
      <c r="AH29" s="65"/>
      <c r="AI29" s="65"/>
      <c r="AJ29" s="53"/>
      <c r="AK29" s="62"/>
      <c r="AL29" s="62"/>
      <c r="AM29" s="62"/>
      <c r="AN29" s="62"/>
      <c r="AO29" s="62"/>
      <c r="AP29" s="62"/>
      <c r="AQ29" s="62"/>
      <c r="AR29" s="62"/>
      <c r="AS29" s="62"/>
      <c r="AT29" s="62"/>
      <c r="AU29" s="62"/>
      <c r="AV29" s="62"/>
      <c r="AW29" s="62"/>
      <c r="AX29" s="62"/>
      <c r="AY29" s="62"/>
      <c r="AZ29" s="62"/>
      <c r="BA29" s="62"/>
      <c r="BB29" s="62"/>
      <c r="BC29" s="62"/>
      <c r="BD29" s="62"/>
      <c r="BE29" s="62"/>
      <c r="BF29" s="62"/>
      <c r="BG29" s="62"/>
      <c r="BH29" s="62"/>
      <c r="BI29" s="62"/>
      <c r="BJ29" s="62"/>
      <c r="BK29" s="62"/>
      <c r="BL29" s="62"/>
      <c r="BM29" s="62"/>
      <c r="BN29" s="62"/>
      <c r="BO29" s="62"/>
      <c r="BP29" s="62"/>
      <c r="BQ29" s="62"/>
      <c r="BR29" s="62"/>
      <c r="BS29" s="62"/>
      <c r="BT29" s="62"/>
      <c r="BU29" s="62"/>
      <c r="BV29" s="62"/>
      <c r="BW29" s="62"/>
      <c r="BX29" s="62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</row>
    <row r="30" spans="1:466" x14ac:dyDescent="0.35">
      <c r="A30" s="53"/>
      <c r="B30" s="53"/>
      <c r="C30" s="53"/>
      <c r="D30" s="53"/>
      <c r="E30" s="53"/>
      <c r="F30" s="126" t="s">
        <v>96</v>
      </c>
      <c r="G30" s="125">
        <v>0.48</v>
      </c>
      <c r="H30" s="125">
        <v>99.36</v>
      </c>
      <c r="I30" s="133">
        <v>207</v>
      </c>
      <c r="J30" s="53"/>
      <c r="K30" s="58">
        <v>46069</v>
      </c>
      <c r="L30" s="59" t="str">
        <f>IFERROR(VLOOKUP($A$2,Stok!$B$1:$CO$446,92,0),"")</f>
        <v/>
      </c>
      <c r="M30" s="53"/>
      <c r="N30" s="53"/>
      <c r="O30" s="53"/>
      <c r="P30" s="53"/>
      <c r="Q30" s="53"/>
      <c r="R30" s="53"/>
      <c r="S30" s="53"/>
      <c r="T30" s="53"/>
      <c r="U30" s="53"/>
      <c r="V30" s="53"/>
      <c r="W30" s="53"/>
      <c r="X30" s="53"/>
      <c r="Y30" s="53"/>
      <c r="Z30" s="53"/>
      <c r="AA30" s="53"/>
      <c r="AB30" s="53"/>
      <c r="AC30" s="53"/>
      <c r="AD30" s="53"/>
      <c r="AE30" s="53"/>
      <c r="AF30" s="63"/>
      <c r="AG30" s="64"/>
      <c r="AH30" s="65"/>
      <c r="AI30" s="65"/>
      <c r="AJ30" s="53"/>
      <c r="AK30" s="62"/>
      <c r="AL30" s="62"/>
      <c r="AM30" s="62"/>
      <c r="AN30" s="62"/>
      <c r="AO30" s="62"/>
      <c r="AP30" s="62"/>
      <c r="AQ30" s="62"/>
      <c r="AR30" s="62"/>
      <c r="AS30" s="62"/>
      <c r="AT30" s="62"/>
      <c r="AU30" s="62"/>
      <c r="AV30" s="62"/>
      <c r="AW30" s="62"/>
      <c r="AX30" s="62"/>
      <c r="AY30" s="62"/>
      <c r="AZ30" s="62"/>
      <c r="BA30" s="62"/>
      <c r="BB30" s="62"/>
      <c r="BC30" s="62"/>
      <c r="BD30" s="62"/>
      <c r="BE30" s="62"/>
      <c r="BF30" s="62"/>
      <c r="BG30" s="62"/>
      <c r="BH30" s="62"/>
      <c r="BI30" s="62"/>
      <c r="BJ30" s="62"/>
      <c r="BK30" s="62"/>
      <c r="BL30" s="62"/>
      <c r="BM30" s="62"/>
      <c r="BN30" s="62"/>
      <c r="BO30" s="62"/>
      <c r="BP30" s="62"/>
      <c r="BQ30" s="62"/>
      <c r="BR30" s="62"/>
      <c r="BS30" s="62"/>
      <c r="BT30" s="62"/>
      <c r="BU30" s="62"/>
      <c r="BV30" s="62"/>
      <c r="BW30" s="62"/>
      <c r="BX30" s="62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</row>
    <row r="31" spans="1:466" x14ac:dyDescent="0.35">
      <c r="A31" s="53"/>
      <c r="B31" s="53"/>
      <c r="C31" s="53"/>
      <c r="D31" s="53"/>
      <c r="E31" s="53"/>
      <c r="F31" s="126" t="s">
        <v>1492</v>
      </c>
      <c r="G31" s="125">
        <v>0.57999999999999996</v>
      </c>
      <c r="H31" s="125">
        <v>13.919999999999998</v>
      </c>
      <c r="I31" s="133">
        <v>24</v>
      </c>
      <c r="J31" s="53"/>
      <c r="K31" s="58">
        <v>46062</v>
      </c>
      <c r="L31" s="59" t="str">
        <f>IFERROR(VLOOKUP($A$2,Stok!$B$1:$CN$446,91,0),"")</f>
        <v/>
      </c>
      <c r="M31" s="53"/>
      <c r="N31" s="53"/>
      <c r="O31" s="53"/>
      <c r="P31" s="53"/>
      <c r="Q31" s="53"/>
      <c r="R31" s="53"/>
      <c r="S31" s="53"/>
      <c r="T31" s="53"/>
      <c r="U31" s="53"/>
      <c r="V31" s="53"/>
      <c r="W31" s="53"/>
      <c r="X31" s="53"/>
      <c r="Y31" s="53"/>
      <c r="Z31" s="53"/>
      <c r="AA31" s="53"/>
      <c r="AB31" s="53"/>
      <c r="AC31" s="53"/>
      <c r="AD31" s="53"/>
      <c r="AE31" s="53"/>
      <c r="AF31" s="63"/>
      <c r="AG31" s="64"/>
      <c r="AH31" s="65"/>
      <c r="AI31" s="65"/>
      <c r="AJ31" s="53"/>
      <c r="AK31" s="62"/>
      <c r="AL31" s="62"/>
      <c r="AM31" s="62"/>
      <c r="AN31" s="62"/>
      <c r="AO31" s="62"/>
      <c r="AP31" s="62"/>
      <c r="AQ31" s="62"/>
      <c r="AR31" s="62"/>
      <c r="AS31" s="62"/>
      <c r="AT31" s="62"/>
      <c r="AU31" s="62"/>
      <c r="AV31" s="62"/>
      <c r="AW31" s="62"/>
      <c r="AX31" s="62"/>
      <c r="AY31" s="62"/>
      <c r="AZ31" s="62"/>
      <c r="BA31" s="62"/>
      <c r="BB31" s="62"/>
      <c r="BC31" s="62"/>
      <c r="BD31" s="62"/>
      <c r="BE31" s="62"/>
      <c r="BF31" s="62"/>
      <c r="BG31" s="62"/>
      <c r="BH31" s="62"/>
      <c r="BI31" s="62"/>
      <c r="BJ31" s="62"/>
      <c r="BK31" s="62"/>
      <c r="BL31" s="62"/>
      <c r="BM31" s="62"/>
      <c r="BN31" s="62"/>
      <c r="BO31" s="62"/>
      <c r="BP31" s="62"/>
      <c r="BQ31" s="62"/>
      <c r="BR31" s="62"/>
      <c r="BS31" s="62"/>
      <c r="BT31" s="62"/>
      <c r="BU31" s="62"/>
      <c r="BV31" s="62"/>
      <c r="BW31" s="62"/>
      <c r="BX31" s="62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</row>
    <row r="32" spans="1:466" x14ac:dyDescent="0.35">
      <c r="A32" s="53"/>
      <c r="B32" s="53"/>
      <c r="C32" s="53"/>
      <c r="D32" s="53"/>
      <c r="E32" s="53"/>
      <c r="F32" s="126" t="s">
        <v>86</v>
      </c>
      <c r="G32" s="125">
        <v>0.41</v>
      </c>
      <c r="H32" s="125">
        <v>11.479999999999999</v>
      </c>
      <c r="I32" s="133">
        <v>28</v>
      </c>
      <c r="J32" s="53"/>
      <c r="K32" s="58">
        <v>46055</v>
      </c>
      <c r="L32" s="59" t="str">
        <f>IFERROR(VLOOKUP($A$2,Stok!$B$1:$CM$446,90,0),"")</f>
        <v/>
      </c>
      <c r="M32" s="53"/>
      <c r="N32" s="53"/>
      <c r="O32" s="53"/>
      <c r="P32" s="53"/>
      <c r="Q32" s="53"/>
      <c r="R32" s="53"/>
      <c r="S32" s="53"/>
      <c r="T32" s="53"/>
      <c r="U32" s="53"/>
      <c r="V32" s="53"/>
      <c r="W32" s="53"/>
      <c r="X32" s="53"/>
      <c r="Y32" s="53"/>
      <c r="Z32" s="53"/>
      <c r="AA32" s="53"/>
      <c r="AB32" s="53"/>
      <c r="AC32" s="53"/>
      <c r="AD32" s="53"/>
      <c r="AE32" s="53"/>
      <c r="AF32" s="63"/>
      <c r="AG32" s="64"/>
      <c r="AH32" s="65"/>
      <c r="AI32" s="65"/>
      <c r="AJ32" s="53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6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</row>
    <row r="33" spans="1:466" x14ac:dyDescent="0.35">
      <c r="A33" s="53"/>
      <c r="B33" s="53"/>
      <c r="C33" s="53"/>
      <c r="D33" s="53"/>
      <c r="E33" s="53"/>
      <c r="F33" s="126" t="s">
        <v>88</v>
      </c>
      <c r="G33" s="125">
        <v>0.41</v>
      </c>
      <c r="H33" s="125">
        <v>11.479999999999999</v>
      </c>
      <c r="I33" s="133">
        <v>28</v>
      </c>
      <c r="J33" s="53"/>
      <c r="K33" s="58">
        <v>46048</v>
      </c>
      <c r="L33" s="59" t="str">
        <f>IFERROR(VLOOKUP($A$2,Stok!$B$1:$CL$446,89,0),"")</f>
        <v/>
      </c>
      <c r="M33" s="53"/>
      <c r="N33" s="53"/>
      <c r="O33" s="53"/>
      <c r="P33" s="53"/>
      <c r="Q33" s="53"/>
      <c r="R33" s="53"/>
      <c r="S33" s="53"/>
      <c r="T33" s="53"/>
      <c r="U33" s="53"/>
      <c r="V33" s="53"/>
      <c r="W33" s="53"/>
      <c r="X33" s="53"/>
      <c r="Y33" s="53"/>
      <c r="Z33" s="53"/>
      <c r="AA33" s="53"/>
      <c r="AB33" s="53"/>
      <c r="AC33" s="53"/>
      <c r="AD33" s="53"/>
      <c r="AE33" s="53"/>
      <c r="AF33" s="63"/>
      <c r="AG33" s="64"/>
      <c r="AH33" s="65"/>
      <c r="AI33" s="65"/>
      <c r="AJ33" s="53"/>
      <c r="AK33" s="62"/>
      <c r="AL33" s="62"/>
      <c r="AM33" s="62"/>
      <c r="AN33" s="62"/>
      <c r="AO33" s="62"/>
      <c r="AP33" s="62"/>
      <c r="AQ33" s="62"/>
      <c r="AR33" s="62"/>
      <c r="AS33" s="62"/>
      <c r="AT33" s="62"/>
      <c r="AU33" s="62"/>
      <c r="AV33" s="62"/>
      <c r="AW33" s="62"/>
      <c r="AX33" s="62"/>
      <c r="AY33" s="62"/>
      <c r="AZ33" s="62"/>
      <c r="BA33" s="62"/>
      <c r="BB33" s="62"/>
      <c r="BC33" s="62"/>
      <c r="BD33" s="62"/>
      <c r="BE33" s="62"/>
      <c r="BF33" s="62"/>
      <c r="BG33" s="62"/>
      <c r="BH33" s="62"/>
      <c r="BI33" s="62"/>
      <c r="BJ33" s="62"/>
      <c r="BK33" s="62"/>
      <c r="BL33" s="62"/>
      <c r="BM33" s="62"/>
      <c r="BN33" s="62"/>
      <c r="BO33" s="62"/>
      <c r="BP33" s="62"/>
      <c r="BQ33" s="62"/>
      <c r="BR33" s="62"/>
      <c r="BS33" s="62"/>
      <c r="BT33" s="62"/>
      <c r="BU33" s="62"/>
      <c r="BV33" s="62"/>
      <c r="BW33" s="62"/>
      <c r="BX33" s="62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</row>
    <row r="34" spans="1:466" x14ac:dyDescent="0.35">
      <c r="A34" s="53"/>
      <c r="B34" s="53"/>
      <c r="C34" s="53"/>
      <c r="D34" s="53"/>
      <c r="E34" s="53"/>
      <c r="F34" s="126" t="s">
        <v>1557</v>
      </c>
      <c r="G34" s="125">
        <v>0.41</v>
      </c>
      <c r="H34" s="125">
        <v>12.299999999999999</v>
      </c>
      <c r="I34" s="133">
        <v>30</v>
      </c>
      <c r="J34" s="53"/>
      <c r="K34" s="58">
        <v>46041</v>
      </c>
      <c r="L34" s="59" t="str">
        <f>IFERROR(VLOOKUP($A$2,Stok!$B$1:$CK$446,88,0),"")</f>
        <v/>
      </c>
      <c r="M34" s="53"/>
      <c r="N34" s="53"/>
      <c r="O34" s="53"/>
      <c r="P34" s="53"/>
      <c r="Q34" s="53"/>
      <c r="R34" s="53"/>
      <c r="S34" s="53"/>
      <c r="T34" s="53"/>
      <c r="U34" s="53"/>
      <c r="V34" s="53"/>
      <c r="W34" s="53"/>
      <c r="X34" s="53"/>
      <c r="Y34" s="53"/>
      <c r="Z34" s="53"/>
      <c r="AA34" s="53"/>
      <c r="AB34" s="53"/>
      <c r="AC34" s="53"/>
      <c r="AD34" s="53"/>
      <c r="AE34" s="53"/>
      <c r="AF34" s="63"/>
      <c r="AG34" s="64"/>
      <c r="AH34" s="65"/>
      <c r="AI34" s="65"/>
      <c r="AJ34" s="53"/>
      <c r="AK34" s="62"/>
      <c r="AL34" s="62"/>
      <c r="AM34" s="62"/>
      <c r="AN34" s="62"/>
      <c r="AO34" s="62"/>
      <c r="AP34" s="62"/>
      <c r="AQ34" s="62"/>
      <c r="AR34" s="62"/>
      <c r="AS34" s="62"/>
      <c r="AT34" s="62"/>
      <c r="AU34" s="62"/>
      <c r="AV34" s="62"/>
      <c r="AW34" s="62"/>
      <c r="AX34" s="62"/>
      <c r="AY34" s="62"/>
      <c r="AZ34" s="62"/>
      <c r="BA34" s="62"/>
      <c r="BB34" s="62"/>
      <c r="BC34" s="62"/>
      <c r="BD34" s="62"/>
      <c r="BE34" s="62"/>
      <c r="BF34" s="62"/>
      <c r="BG34" s="62"/>
      <c r="BH34" s="62"/>
      <c r="BI34" s="62"/>
      <c r="BJ34" s="62"/>
      <c r="BK34" s="62"/>
      <c r="BL34" s="62"/>
      <c r="BM34" s="62"/>
      <c r="BN34" s="62"/>
      <c r="BO34" s="62"/>
      <c r="BP34" s="62"/>
      <c r="BQ34" s="62"/>
      <c r="BR34" s="62"/>
      <c r="BS34" s="62"/>
      <c r="BT34" s="62"/>
      <c r="BU34" s="62"/>
      <c r="BV34" s="62"/>
      <c r="BW34" s="62"/>
      <c r="BX34" s="62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</row>
    <row r="35" spans="1:466" x14ac:dyDescent="0.35">
      <c r="A35" s="53"/>
      <c r="B35" s="53"/>
      <c r="C35" s="53"/>
      <c r="D35" s="53"/>
      <c r="E35" s="53"/>
      <c r="F35" s="126" t="s">
        <v>1558</v>
      </c>
      <c r="G35" s="125">
        <v>0.51</v>
      </c>
      <c r="H35" s="125">
        <v>5.0999999999999996</v>
      </c>
      <c r="I35" s="133">
        <v>10</v>
      </c>
      <c r="J35" s="53"/>
      <c r="K35" s="58">
        <v>46034</v>
      </c>
      <c r="L35" s="59" t="str">
        <f>IFERROR(VLOOKUP($A$2,Stok!$B$1:$CJ$446,87,0),"")</f>
        <v/>
      </c>
      <c r="M35" s="53"/>
      <c r="N35" s="53"/>
      <c r="O35" s="53"/>
      <c r="P35" s="53"/>
      <c r="Q35" s="53"/>
      <c r="R35" s="53"/>
      <c r="S35" s="53"/>
      <c r="T35" s="53"/>
      <c r="U35" s="53"/>
      <c r="V35" s="53"/>
      <c r="W35" s="53"/>
      <c r="X35" s="53"/>
      <c r="Y35" s="53"/>
      <c r="Z35" s="53"/>
      <c r="AA35" s="53"/>
      <c r="AB35" s="53"/>
      <c r="AC35" s="53"/>
      <c r="AD35" s="53"/>
      <c r="AE35" s="53"/>
      <c r="AF35" s="63"/>
      <c r="AG35" s="64"/>
      <c r="AH35" s="65"/>
      <c r="AI35" s="65"/>
      <c r="AJ35" s="53"/>
      <c r="AK35" s="62"/>
      <c r="AL35" s="62"/>
      <c r="AM35" s="62"/>
      <c r="AN35" s="62"/>
      <c r="AO35" s="62"/>
      <c r="AP35" s="62"/>
      <c r="AQ35" s="62"/>
      <c r="AR35" s="62"/>
      <c r="AS35" s="62"/>
      <c r="AT35" s="62"/>
      <c r="AU35" s="62"/>
      <c r="AV35" s="62"/>
      <c r="AW35" s="62"/>
      <c r="AX35" s="62"/>
      <c r="AY35" s="62"/>
      <c r="AZ35" s="62"/>
      <c r="BA35" s="62"/>
      <c r="BB35" s="62"/>
      <c r="BC35" s="62"/>
      <c r="BD35" s="62"/>
      <c r="BE35" s="62"/>
      <c r="BF35" s="62"/>
      <c r="BG35" s="62"/>
      <c r="BH35" s="62"/>
      <c r="BI35" s="62"/>
      <c r="BJ35" s="62"/>
      <c r="BK35" s="62"/>
      <c r="BL35" s="62"/>
      <c r="BM35" s="62"/>
      <c r="BN35" s="62"/>
      <c r="BO35" s="62"/>
      <c r="BP35" s="62"/>
      <c r="BQ35" s="62"/>
      <c r="BR35" s="62"/>
      <c r="BS35" s="62"/>
      <c r="BT35" s="62"/>
      <c r="BU35" s="62"/>
      <c r="BV35" s="62"/>
      <c r="BW35" s="62"/>
      <c r="BX35" s="62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</row>
    <row r="36" spans="1:466" x14ac:dyDescent="0.35">
      <c r="A36" s="53"/>
      <c r="B36" s="53"/>
      <c r="C36" s="53"/>
      <c r="D36" s="53"/>
      <c r="E36" s="53"/>
      <c r="F36" s="126" t="s">
        <v>1491</v>
      </c>
      <c r="G36" s="125">
        <v>21.42</v>
      </c>
      <c r="H36" s="125">
        <v>42.84</v>
      </c>
      <c r="I36" s="133">
        <v>2</v>
      </c>
      <c r="J36" s="53"/>
      <c r="K36" s="58">
        <v>46027</v>
      </c>
      <c r="L36" s="59" t="str">
        <f>IFERROR(VLOOKUP($A$2,Stok!$B$1:$CI$446,86,0),"")</f>
        <v/>
      </c>
      <c r="M36" s="53"/>
      <c r="N36" s="53"/>
      <c r="O36" s="53"/>
      <c r="P36" s="53"/>
      <c r="Q36" s="53"/>
      <c r="R36" s="53"/>
      <c r="S36" s="53"/>
      <c r="T36" s="53"/>
      <c r="U36" s="53"/>
      <c r="V36" s="53"/>
      <c r="W36" s="53"/>
      <c r="X36" s="53"/>
      <c r="Y36" s="53"/>
      <c r="Z36" s="53"/>
      <c r="AA36" s="53"/>
      <c r="AB36" s="53"/>
      <c r="AC36" s="53"/>
      <c r="AD36" s="53"/>
      <c r="AE36" s="53"/>
      <c r="AF36" s="63"/>
      <c r="AG36" s="64"/>
      <c r="AH36" s="65"/>
      <c r="AI36" s="65"/>
      <c r="AJ36" s="53"/>
      <c r="AK36" s="62"/>
      <c r="AL36" s="62"/>
      <c r="AM36" s="62"/>
      <c r="AN36" s="62"/>
      <c r="AO36" s="62"/>
      <c r="AP36" s="62"/>
      <c r="AQ36" s="62"/>
      <c r="AR36" s="62"/>
      <c r="AS36" s="62"/>
      <c r="AT36" s="62"/>
      <c r="AU36" s="62"/>
      <c r="AV36" s="62"/>
      <c r="AW36" s="62"/>
      <c r="AX36" s="62"/>
      <c r="AY36" s="62"/>
      <c r="AZ36" s="62"/>
      <c r="BA36" s="62"/>
      <c r="BB36" s="62"/>
      <c r="BC36" s="62"/>
      <c r="BD36" s="62"/>
      <c r="BE36" s="62"/>
      <c r="BF36" s="62"/>
      <c r="BG36" s="62"/>
      <c r="BH36" s="62"/>
      <c r="BI36" s="62"/>
      <c r="BJ36" s="62"/>
      <c r="BK36" s="62"/>
      <c r="BL36" s="62"/>
      <c r="BM36" s="62"/>
      <c r="BN36" s="62"/>
      <c r="BO36" s="62"/>
      <c r="BP36" s="62"/>
      <c r="BQ36" s="62"/>
      <c r="BR36" s="62"/>
      <c r="BS36" s="62"/>
      <c r="BT36" s="62"/>
      <c r="BU36" s="62"/>
      <c r="BV36" s="62"/>
      <c r="BW36" s="62"/>
      <c r="BX36" s="62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</row>
    <row r="37" spans="1:466" x14ac:dyDescent="0.35">
      <c r="A37" s="53"/>
      <c r="B37" s="53"/>
      <c r="C37" s="53"/>
      <c r="D37" s="53"/>
      <c r="E37" s="53"/>
      <c r="F37" s="126" t="s">
        <v>921</v>
      </c>
      <c r="G37" s="125">
        <v>78.48</v>
      </c>
      <c r="H37" s="125">
        <v>156.96</v>
      </c>
      <c r="I37" s="133">
        <v>2</v>
      </c>
      <c r="J37" s="53"/>
      <c r="K37" s="58">
        <v>46020</v>
      </c>
      <c r="L37" s="59" t="str">
        <f>IFERROR(VLOOKUP($A$2,Stok!$B$1:$CH$446,85,0),"")</f>
        <v/>
      </c>
      <c r="M37" s="53"/>
      <c r="N37" s="53"/>
      <c r="O37" s="53"/>
      <c r="P37" s="53"/>
      <c r="Q37" s="53"/>
      <c r="R37" s="53"/>
      <c r="S37" s="53"/>
      <c r="T37" s="53"/>
      <c r="U37" s="53"/>
      <c r="V37" s="53"/>
      <c r="W37" s="53"/>
      <c r="X37" s="53"/>
      <c r="Y37" s="53"/>
      <c r="Z37" s="53"/>
      <c r="AA37" s="53"/>
      <c r="AB37" s="53"/>
      <c r="AC37" s="53"/>
      <c r="AD37" s="53"/>
      <c r="AE37" s="53"/>
      <c r="AF37" s="63"/>
      <c r="AG37" s="64"/>
      <c r="AH37" s="65"/>
      <c r="AI37" s="65"/>
      <c r="AJ37" s="53"/>
      <c r="AK37" s="62"/>
      <c r="AL37" s="62"/>
      <c r="AM37" s="62"/>
      <c r="AN37" s="62"/>
      <c r="AO37" s="62"/>
      <c r="AP37" s="62"/>
      <c r="AQ37" s="62"/>
      <c r="AR37" s="62"/>
      <c r="AS37" s="62"/>
      <c r="AT37" s="62"/>
      <c r="AU37" s="62"/>
      <c r="AV37" s="62"/>
      <c r="AW37" s="62"/>
      <c r="AX37" s="62"/>
      <c r="AY37" s="62"/>
      <c r="AZ37" s="62"/>
      <c r="BA37" s="62"/>
      <c r="BB37" s="62"/>
      <c r="BC37" s="62"/>
      <c r="BD37" s="62"/>
      <c r="BE37" s="62"/>
      <c r="BF37" s="62"/>
      <c r="BG37" s="62"/>
      <c r="BH37" s="62"/>
      <c r="BI37" s="62"/>
      <c r="BJ37" s="62"/>
      <c r="BK37" s="62"/>
      <c r="BL37" s="62"/>
      <c r="BM37" s="62"/>
      <c r="BN37" s="62"/>
      <c r="BO37" s="62"/>
      <c r="BP37" s="62"/>
      <c r="BQ37" s="62"/>
      <c r="BR37" s="62"/>
      <c r="BS37" s="62"/>
      <c r="BT37" s="62"/>
      <c r="BU37" s="62"/>
      <c r="BV37" s="62"/>
      <c r="BW37" s="62"/>
      <c r="BX37" s="62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</row>
    <row r="38" spans="1:466" x14ac:dyDescent="0.35">
      <c r="A38" s="53"/>
      <c r="B38" s="53"/>
      <c r="C38" s="53"/>
      <c r="D38" s="53"/>
      <c r="E38" s="53"/>
      <c r="F38" s="126" t="s">
        <v>1193</v>
      </c>
      <c r="G38" s="125">
        <v>8.19</v>
      </c>
      <c r="H38" s="125">
        <v>106.47</v>
      </c>
      <c r="I38" s="133">
        <v>13</v>
      </c>
      <c r="J38" s="53"/>
      <c r="K38" s="58">
        <v>46013</v>
      </c>
      <c r="L38" s="59" t="str">
        <f>IFERROR(VLOOKUP($A$2,Stok!$B$1:$CG$446,84,0),"")</f>
        <v/>
      </c>
      <c r="M38" s="53"/>
      <c r="N38" s="53"/>
      <c r="O38" s="53"/>
      <c r="P38" s="53"/>
      <c r="Q38" s="53"/>
      <c r="R38" s="53"/>
      <c r="S38" s="53"/>
      <c r="T38" s="53"/>
      <c r="U38" s="53"/>
      <c r="V38" s="53"/>
      <c r="W38" s="53"/>
      <c r="X38" s="53"/>
      <c r="Y38" s="53"/>
      <c r="Z38" s="53"/>
      <c r="AA38" s="53"/>
      <c r="AB38" s="53"/>
      <c r="AC38" s="53"/>
      <c r="AD38" s="53"/>
      <c r="AE38" s="53"/>
      <c r="AF38" s="63"/>
      <c r="AG38" s="64"/>
      <c r="AH38" s="65"/>
      <c r="AI38" s="65"/>
      <c r="AJ38" s="53"/>
      <c r="AK38" s="62"/>
      <c r="AL38" s="62"/>
      <c r="AM38" s="62"/>
      <c r="AN38" s="62"/>
      <c r="AO38" s="62"/>
      <c r="AP38" s="62"/>
      <c r="AQ38" s="62"/>
      <c r="AR38" s="62"/>
      <c r="AS38" s="62"/>
      <c r="AT38" s="62"/>
      <c r="AU38" s="62"/>
      <c r="AV38" s="62"/>
      <c r="AW38" s="62"/>
      <c r="AX38" s="62"/>
      <c r="AY38" s="62"/>
      <c r="AZ38" s="62"/>
      <c r="BA38" s="62"/>
      <c r="BB38" s="62"/>
      <c r="BC38" s="62"/>
      <c r="BD38" s="62"/>
      <c r="BE38" s="62"/>
      <c r="BF38" s="62"/>
      <c r="BG38" s="62"/>
      <c r="BH38" s="62"/>
      <c r="BI38" s="62"/>
      <c r="BJ38" s="62"/>
      <c r="BK38" s="62"/>
      <c r="BL38" s="62"/>
      <c r="BM38" s="62"/>
      <c r="BN38" s="62"/>
      <c r="BO38" s="62"/>
      <c r="BP38" s="62"/>
      <c r="BQ38" s="62"/>
      <c r="BR38" s="62"/>
      <c r="BS38" s="62"/>
      <c r="BT38" s="62"/>
      <c r="BU38" s="62"/>
      <c r="BV38" s="62"/>
      <c r="BW38" s="62"/>
      <c r="BX38" s="62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</row>
    <row r="39" spans="1:466" x14ac:dyDescent="0.35">
      <c r="A39" s="53"/>
      <c r="B39" s="53"/>
      <c r="C39" s="53"/>
      <c r="D39" s="53"/>
      <c r="E39" s="53"/>
      <c r="F39" s="124" t="s">
        <v>101</v>
      </c>
      <c r="G39" s="125"/>
      <c r="H39" s="125">
        <v>0</v>
      </c>
      <c r="I39" s="133">
        <v>2</v>
      </c>
      <c r="J39" s="53"/>
      <c r="K39" s="58">
        <v>46006</v>
      </c>
      <c r="L39" s="59" t="str">
        <f>IFERROR(VLOOKUP($A$2,Stok!$B$1:$CF$446,83,0),"")</f>
        <v/>
      </c>
      <c r="M39" s="53"/>
      <c r="N39" s="53"/>
      <c r="O39" s="53"/>
      <c r="P39" s="53"/>
      <c r="Q39" s="53"/>
      <c r="R39" s="53"/>
      <c r="S39" s="53"/>
      <c r="T39" s="53"/>
      <c r="U39" s="53"/>
      <c r="V39" s="53"/>
      <c r="W39" s="53"/>
      <c r="X39" s="53"/>
      <c r="Y39" s="53"/>
      <c r="Z39" s="53"/>
      <c r="AA39" s="53"/>
      <c r="AB39" s="53"/>
      <c r="AC39" s="53"/>
      <c r="AD39" s="53"/>
      <c r="AE39" s="53"/>
      <c r="AF39" s="63"/>
      <c r="AG39" s="64"/>
      <c r="AH39" s="65"/>
      <c r="AI39" s="65"/>
      <c r="AJ39" s="53"/>
      <c r="AK39" s="62"/>
      <c r="AL39" s="62"/>
      <c r="AM39" s="62"/>
      <c r="AN39" s="62"/>
      <c r="AO39" s="62"/>
      <c r="AP39" s="62"/>
      <c r="AQ39" s="62"/>
      <c r="AR39" s="62"/>
      <c r="AS39" s="62"/>
      <c r="AT39" s="62"/>
      <c r="AU39" s="62"/>
      <c r="AV39" s="62"/>
      <c r="AW39" s="62"/>
      <c r="AX39" s="62"/>
      <c r="AY39" s="62"/>
      <c r="AZ39" s="62"/>
      <c r="BA39" s="62"/>
      <c r="BB39" s="62"/>
      <c r="BC39" s="62"/>
      <c r="BD39" s="62"/>
      <c r="BE39" s="62"/>
      <c r="BF39" s="62"/>
      <c r="BG39" s="62"/>
      <c r="BH39" s="62"/>
      <c r="BI39" s="62"/>
      <c r="BJ39" s="62"/>
      <c r="BK39" s="62"/>
      <c r="BL39" s="62"/>
      <c r="BM39" s="62"/>
      <c r="BN39" s="62"/>
      <c r="BO39" s="62"/>
      <c r="BP39" s="62"/>
      <c r="BQ39" s="62"/>
      <c r="BR39" s="62"/>
      <c r="BS39" s="62"/>
      <c r="BT39" s="62"/>
      <c r="BU39" s="62"/>
      <c r="BV39" s="62"/>
      <c r="BW39" s="62"/>
      <c r="BX39" s="62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</row>
    <row r="40" spans="1:466" x14ac:dyDescent="0.35">
      <c r="A40" s="53"/>
      <c r="B40" s="53"/>
      <c r="C40" s="53"/>
      <c r="D40" s="53"/>
      <c r="E40" s="53"/>
      <c r="F40" s="126" t="s">
        <v>99</v>
      </c>
      <c r="G40" s="125"/>
      <c r="H40" s="125">
        <v>0</v>
      </c>
      <c r="I40" s="133">
        <v>2</v>
      </c>
      <c r="J40" s="53"/>
      <c r="K40" s="58">
        <v>45999</v>
      </c>
      <c r="L40" s="59" t="str">
        <f>IFERROR(VLOOKUP($A$2,Stok!$B$1:$CE$446,82,0),"")</f>
        <v/>
      </c>
      <c r="M40" s="53"/>
      <c r="N40" s="53"/>
      <c r="O40" s="53"/>
      <c r="P40" s="53"/>
      <c r="Q40" s="53"/>
      <c r="R40" s="53"/>
      <c r="S40" s="53"/>
      <c r="T40" s="53"/>
      <c r="U40" s="53"/>
      <c r="V40" s="53"/>
      <c r="W40" s="53"/>
      <c r="X40" s="53"/>
      <c r="Y40" s="53"/>
      <c r="Z40" s="53"/>
      <c r="AA40" s="53"/>
      <c r="AB40" s="53"/>
      <c r="AC40" s="53"/>
      <c r="AD40" s="53"/>
      <c r="AE40" s="53"/>
      <c r="AF40" s="63"/>
      <c r="AG40" s="64"/>
      <c r="AH40" s="65"/>
      <c r="AI40" s="65"/>
      <c r="AJ40" s="53"/>
      <c r="AK40" s="62"/>
      <c r="AL40" s="62"/>
      <c r="AM40" s="62"/>
      <c r="AN40" s="62"/>
      <c r="AO40" s="62"/>
      <c r="AP40" s="62"/>
      <c r="AQ40" s="62"/>
      <c r="AR40" s="62"/>
      <c r="AS40" s="62"/>
      <c r="AT40" s="62"/>
      <c r="AU40" s="62"/>
      <c r="AV40" s="62"/>
      <c r="AW40" s="62"/>
      <c r="AX40" s="62"/>
      <c r="AY40" s="62"/>
      <c r="AZ40" s="62"/>
      <c r="BA40" s="62"/>
      <c r="BB40" s="62"/>
      <c r="BC40" s="62"/>
      <c r="BD40" s="62"/>
      <c r="BE40" s="62"/>
      <c r="BF40" s="62"/>
      <c r="BG40" s="62"/>
      <c r="BH40" s="62"/>
      <c r="BI40" s="62"/>
      <c r="BJ40" s="62"/>
      <c r="BK40" s="62"/>
      <c r="BL40" s="62"/>
      <c r="BM40" s="62"/>
      <c r="BN40" s="62"/>
      <c r="BO40" s="62"/>
      <c r="BP40" s="62"/>
      <c r="BQ40" s="62"/>
      <c r="BR40" s="62"/>
      <c r="BS40" s="62"/>
      <c r="BT40" s="62"/>
      <c r="BU40" s="62"/>
      <c r="BV40" s="62"/>
      <c r="BW40" s="62"/>
      <c r="BX40" s="62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</row>
    <row r="41" spans="1:466" x14ac:dyDescent="0.35">
      <c r="A41" s="53"/>
      <c r="B41" s="53"/>
      <c r="C41" s="53"/>
      <c r="D41" s="53"/>
      <c r="E41" s="53"/>
      <c r="F41" s="124" t="s">
        <v>104</v>
      </c>
      <c r="G41" s="125">
        <v>3882.8899999999994</v>
      </c>
      <c r="H41" s="125">
        <v>17975.349999999999</v>
      </c>
      <c r="I41" s="133">
        <v>42</v>
      </c>
      <c r="J41" s="53"/>
      <c r="K41" s="58">
        <v>45992</v>
      </c>
      <c r="L41" s="59" t="str">
        <f>IFERROR(VLOOKUP($A$2,Stok!$B$1:$CD$446,81,0),"")</f>
        <v/>
      </c>
      <c r="M41" s="53"/>
      <c r="N41" s="53"/>
      <c r="O41" s="53"/>
      <c r="P41" s="53"/>
      <c r="Q41" s="53"/>
      <c r="R41" s="53"/>
      <c r="S41" s="53"/>
      <c r="T41" s="53"/>
      <c r="U41" s="53"/>
      <c r="V41" s="53"/>
      <c r="W41" s="53"/>
      <c r="X41" s="53"/>
      <c r="Y41" s="53"/>
      <c r="Z41" s="53"/>
      <c r="AA41" s="53"/>
      <c r="AB41" s="53"/>
      <c r="AC41" s="53"/>
      <c r="AD41" s="53"/>
      <c r="AE41" s="53"/>
      <c r="AF41" s="63"/>
      <c r="AG41" s="64"/>
      <c r="AH41" s="65"/>
      <c r="AI41" s="65"/>
      <c r="AJ41" s="53"/>
      <c r="AK41" s="62"/>
      <c r="AL41" s="62"/>
      <c r="AM41" s="62"/>
      <c r="AN41" s="62"/>
      <c r="AO41" s="62"/>
      <c r="AP41" s="62"/>
      <c r="AQ41" s="62"/>
      <c r="AR41" s="62"/>
      <c r="AS41" s="62"/>
      <c r="AT41" s="62"/>
      <c r="AU41" s="62"/>
      <c r="AV41" s="62"/>
      <c r="AW41" s="62"/>
      <c r="AX41" s="62"/>
      <c r="AY41" s="62"/>
      <c r="AZ41" s="62"/>
      <c r="BA41" s="62"/>
      <c r="BB41" s="62"/>
      <c r="BC41" s="62"/>
      <c r="BD41" s="62"/>
      <c r="BE41" s="62"/>
      <c r="BF41" s="62"/>
      <c r="BG41" s="62"/>
      <c r="BH41" s="62"/>
      <c r="BI41" s="62"/>
      <c r="BJ41" s="62"/>
      <c r="BK41" s="62"/>
      <c r="BL41" s="62"/>
      <c r="BM41" s="62"/>
      <c r="BN41" s="62"/>
      <c r="BO41" s="62"/>
      <c r="BP41" s="62"/>
      <c r="BQ41" s="62"/>
      <c r="BR41" s="62"/>
      <c r="BS41" s="62"/>
      <c r="BT41" s="62"/>
      <c r="BU41" s="62"/>
      <c r="BV41" s="62"/>
      <c r="BW41" s="62"/>
      <c r="BX41" s="62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</row>
    <row r="42" spans="1:466" x14ac:dyDescent="0.35">
      <c r="A42" s="53"/>
      <c r="B42" s="53"/>
      <c r="C42" s="53"/>
      <c r="D42" s="53"/>
      <c r="E42" s="53"/>
      <c r="F42" s="126" t="s">
        <v>102</v>
      </c>
      <c r="G42" s="125"/>
      <c r="H42" s="125">
        <v>0</v>
      </c>
      <c r="I42" s="133">
        <v>1</v>
      </c>
      <c r="J42" s="53"/>
      <c r="K42" s="58">
        <v>45985</v>
      </c>
      <c r="L42" s="59" t="str">
        <f>IFERROR(VLOOKUP($A$2,Stok!$B$1:$CC$446,80,0),"")</f>
        <v/>
      </c>
      <c r="M42" s="53"/>
      <c r="N42" s="53"/>
      <c r="O42" s="53"/>
      <c r="P42" s="53"/>
      <c r="Q42" s="53"/>
      <c r="R42" s="53"/>
      <c r="S42" s="53"/>
      <c r="T42" s="53"/>
      <c r="U42" s="53"/>
      <c r="V42" s="53"/>
      <c r="W42" s="53"/>
      <c r="X42" s="53"/>
      <c r="Y42" s="53"/>
      <c r="Z42" s="53"/>
      <c r="AA42" s="53"/>
      <c r="AB42" s="53"/>
      <c r="AC42" s="53"/>
      <c r="AD42" s="53"/>
      <c r="AE42" s="53"/>
      <c r="AF42" s="63"/>
      <c r="AG42" s="64"/>
      <c r="AH42" s="65"/>
      <c r="AI42" s="65"/>
      <c r="AJ42" s="53"/>
      <c r="AK42" s="62"/>
      <c r="AL42" s="62"/>
      <c r="AM42" s="62"/>
      <c r="AN42" s="62"/>
      <c r="AO42" s="62"/>
      <c r="AP42" s="62"/>
      <c r="AQ42" s="62"/>
      <c r="AR42" s="62"/>
      <c r="AS42" s="62"/>
      <c r="AT42" s="62"/>
      <c r="AU42" s="62"/>
      <c r="AV42" s="62"/>
      <c r="AW42" s="62"/>
      <c r="AX42" s="62"/>
      <c r="AY42" s="62"/>
      <c r="AZ42" s="62"/>
      <c r="BA42" s="62"/>
      <c r="BB42" s="62"/>
      <c r="BC42" s="62"/>
      <c r="BD42" s="62"/>
      <c r="BE42" s="62"/>
      <c r="BF42" s="62"/>
      <c r="BG42" s="62"/>
      <c r="BH42" s="62"/>
      <c r="BI42" s="62"/>
      <c r="BJ42" s="62"/>
      <c r="BK42" s="62"/>
      <c r="BL42" s="62"/>
      <c r="BM42" s="62"/>
      <c r="BN42" s="62"/>
      <c r="BO42" s="62"/>
      <c r="BP42" s="62"/>
      <c r="BQ42" s="62"/>
      <c r="BR42" s="62"/>
      <c r="BS42" s="62"/>
      <c r="BT42" s="62"/>
      <c r="BU42" s="62"/>
      <c r="BV42" s="62"/>
      <c r="BW42" s="62"/>
      <c r="BX42" s="6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</row>
    <row r="43" spans="1:466" x14ac:dyDescent="0.35">
      <c r="A43" s="53"/>
      <c r="B43" s="53"/>
      <c r="C43" s="53"/>
      <c r="D43" s="53"/>
      <c r="E43" s="53"/>
      <c r="F43" s="126" t="s">
        <v>106</v>
      </c>
      <c r="G43" s="125"/>
      <c r="H43" s="125">
        <v>0</v>
      </c>
      <c r="I43" s="133">
        <v>0</v>
      </c>
      <c r="J43" s="53"/>
      <c r="K43" s="58">
        <v>45978</v>
      </c>
      <c r="L43" s="59" t="str">
        <f>IFERROR(VLOOKUP($A$2,Stok!$B$1:$CB$446,79,0),"")</f>
        <v/>
      </c>
      <c r="M43" s="53"/>
      <c r="N43" s="53"/>
      <c r="O43" s="53"/>
      <c r="P43" s="53"/>
      <c r="Q43" s="53"/>
      <c r="R43" s="53"/>
      <c r="S43" s="53"/>
      <c r="T43" s="53"/>
      <c r="U43" s="53"/>
      <c r="V43" s="53"/>
      <c r="W43" s="53"/>
      <c r="X43" s="53"/>
      <c r="Y43" s="53"/>
      <c r="Z43" s="53"/>
      <c r="AA43" s="53"/>
      <c r="AB43" s="53"/>
      <c r="AC43" s="53"/>
      <c r="AD43" s="53"/>
      <c r="AE43" s="53"/>
      <c r="AF43" s="63"/>
      <c r="AG43" s="64"/>
      <c r="AH43" s="65"/>
      <c r="AI43" s="65"/>
      <c r="AJ43" s="53"/>
      <c r="AK43" s="62"/>
      <c r="AL43" s="62"/>
      <c r="AM43" s="62"/>
      <c r="AN43" s="62"/>
      <c r="AO43" s="62"/>
      <c r="AP43" s="62"/>
      <c r="AQ43" s="62"/>
      <c r="AR43" s="62"/>
      <c r="AS43" s="62"/>
      <c r="AT43" s="62"/>
      <c r="AU43" s="62"/>
      <c r="AV43" s="62"/>
      <c r="AW43" s="62"/>
      <c r="AX43" s="62"/>
      <c r="AY43" s="62"/>
      <c r="AZ43" s="62"/>
      <c r="BA43" s="62"/>
      <c r="BB43" s="62"/>
      <c r="BC43" s="62"/>
      <c r="BD43" s="62"/>
      <c r="BE43" s="62"/>
      <c r="BF43" s="62"/>
      <c r="BG43" s="62"/>
      <c r="BH43" s="62"/>
      <c r="BI43" s="62"/>
      <c r="BJ43" s="62"/>
      <c r="BK43" s="62"/>
      <c r="BL43" s="62"/>
      <c r="BM43" s="62"/>
      <c r="BN43" s="62"/>
      <c r="BO43" s="62"/>
      <c r="BP43" s="62"/>
      <c r="BQ43" s="62"/>
      <c r="BR43" s="62"/>
      <c r="BS43" s="62"/>
      <c r="BT43" s="62"/>
      <c r="BU43" s="62"/>
      <c r="BV43" s="62"/>
      <c r="BW43" s="62"/>
      <c r="BX43" s="62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</row>
    <row r="44" spans="1:466" x14ac:dyDescent="0.35">
      <c r="A44" s="53"/>
      <c r="B44" s="53"/>
      <c r="C44" s="53"/>
      <c r="D44" s="53"/>
      <c r="E44" s="53"/>
      <c r="F44" s="126" t="s">
        <v>108</v>
      </c>
      <c r="G44" s="125"/>
      <c r="H44" s="125">
        <v>0</v>
      </c>
      <c r="I44" s="133">
        <v>1</v>
      </c>
      <c r="J44" s="53"/>
      <c r="K44" s="58">
        <v>45971</v>
      </c>
      <c r="L44" s="59" t="str">
        <f>IFERROR(VLOOKUP($A$2,Stok!$B$1:$CA$446,78,0),"")</f>
        <v/>
      </c>
      <c r="M44" s="53"/>
      <c r="N44" s="53"/>
      <c r="O44" s="53"/>
      <c r="P44" s="53"/>
      <c r="Q44" s="53"/>
      <c r="R44" s="53"/>
      <c r="S44" s="53"/>
      <c r="T44" s="53"/>
      <c r="U44" s="53"/>
      <c r="V44" s="53"/>
      <c r="W44" s="53"/>
      <c r="X44" s="53"/>
      <c r="Y44" s="53"/>
      <c r="Z44" s="53"/>
      <c r="AA44" s="53"/>
      <c r="AB44" s="53"/>
      <c r="AC44" s="53"/>
      <c r="AD44" s="53"/>
      <c r="AE44" s="53"/>
      <c r="AF44" s="63"/>
      <c r="AG44" s="64"/>
      <c r="AH44" s="65"/>
      <c r="AI44" s="65"/>
      <c r="AJ44" s="53"/>
      <c r="AK44" s="62"/>
      <c r="AL44" s="62"/>
      <c r="AM44" s="62"/>
      <c r="AN44" s="62"/>
      <c r="AO44" s="62"/>
      <c r="AP44" s="62"/>
      <c r="AQ44" s="62"/>
      <c r="AR44" s="62"/>
      <c r="AS44" s="62"/>
      <c r="AT44" s="62"/>
      <c r="AU44" s="62"/>
      <c r="AV44" s="62"/>
      <c r="AW44" s="62"/>
      <c r="AX44" s="62"/>
      <c r="AY44" s="62"/>
      <c r="AZ44" s="62"/>
      <c r="BA44" s="62"/>
      <c r="BB44" s="62"/>
      <c r="BC44" s="62"/>
      <c r="BD44" s="62"/>
      <c r="BE44" s="62"/>
      <c r="BF44" s="62"/>
      <c r="BG44" s="62"/>
      <c r="BH44" s="62"/>
      <c r="BI44" s="62"/>
      <c r="BJ44" s="62"/>
      <c r="BK44" s="62"/>
      <c r="BL44" s="62"/>
      <c r="BM44" s="62"/>
      <c r="BN44" s="62"/>
      <c r="BO44" s="62"/>
      <c r="BP44" s="62"/>
      <c r="BQ44" s="62"/>
      <c r="BR44" s="62"/>
      <c r="BS44" s="62"/>
      <c r="BT44" s="62"/>
      <c r="BU44" s="62"/>
      <c r="BV44" s="62"/>
      <c r="BW44" s="62"/>
      <c r="BX44" s="62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  <c r="JL44"/>
      <c r="JM44"/>
      <c r="JN44"/>
      <c r="JO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</row>
    <row r="45" spans="1:466" x14ac:dyDescent="0.35">
      <c r="A45" s="53"/>
      <c r="B45" s="53"/>
      <c r="C45" s="53"/>
      <c r="D45" s="53"/>
      <c r="E45" s="53"/>
      <c r="F45" s="126" t="s">
        <v>1528</v>
      </c>
      <c r="G45" s="125">
        <v>941.46</v>
      </c>
      <c r="H45" s="125">
        <v>7531.68</v>
      </c>
      <c r="I45" s="133">
        <v>8</v>
      </c>
      <c r="J45" s="53"/>
      <c r="K45" s="58">
        <v>45964</v>
      </c>
      <c r="L45" s="59" t="str">
        <f>IFERROR(VLOOKUP($A$2,Stok!$B$1:$BZ$446,77,0),"")</f>
        <v/>
      </c>
      <c r="M45" s="53"/>
      <c r="N45" s="53"/>
      <c r="O45" s="53"/>
      <c r="P45" s="53"/>
      <c r="Q45" s="53"/>
      <c r="R45" s="53"/>
      <c r="S45" s="53"/>
      <c r="T45" s="53"/>
      <c r="U45" s="53"/>
      <c r="V45" s="53"/>
      <c r="W45" s="53"/>
      <c r="X45" s="53"/>
      <c r="Y45" s="53"/>
      <c r="Z45" s="53"/>
      <c r="AA45" s="53"/>
      <c r="AB45" s="53"/>
      <c r="AC45" s="53"/>
      <c r="AD45" s="53"/>
      <c r="AE45" s="53"/>
      <c r="AF45" s="63"/>
      <c r="AG45" s="64"/>
      <c r="AH45" s="65"/>
      <c r="AI45" s="65"/>
      <c r="AJ45" s="53"/>
      <c r="AK45" s="62"/>
      <c r="AL45" s="62"/>
      <c r="AM45" s="62"/>
      <c r="AN45" s="62"/>
      <c r="AO45" s="62"/>
      <c r="AP45" s="62"/>
      <c r="AQ45" s="62"/>
      <c r="AR45" s="62"/>
      <c r="AS45" s="62"/>
      <c r="AT45" s="62"/>
      <c r="AU45" s="62"/>
      <c r="AV45" s="62"/>
      <c r="AW45" s="62"/>
      <c r="AX45" s="62"/>
      <c r="AY45" s="62"/>
      <c r="AZ45" s="62"/>
      <c r="BA45" s="62"/>
      <c r="BB45" s="62"/>
      <c r="BC45" s="62"/>
      <c r="BD45" s="62"/>
      <c r="BE45" s="62"/>
      <c r="BF45" s="62"/>
      <c r="BG45" s="62"/>
      <c r="BH45" s="62"/>
      <c r="BI45" s="62"/>
      <c r="BJ45" s="62"/>
      <c r="BK45" s="62"/>
      <c r="BL45" s="62"/>
      <c r="BM45" s="62"/>
      <c r="BN45" s="62"/>
      <c r="BO45" s="62"/>
      <c r="BP45" s="62"/>
      <c r="BQ45" s="62"/>
      <c r="BR45" s="62"/>
      <c r="BS45" s="62"/>
      <c r="BT45" s="62"/>
      <c r="BU45" s="62"/>
      <c r="BV45" s="62"/>
      <c r="BW45" s="62"/>
      <c r="BX45" s="62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  <c r="JL45"/>
      <c r="JM45"/>
      <c r="JN45"/>
      <c r="JO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  <c r="KO45"/>
      <c r="KP45"/>
      <c r="KQ45"/>
      <c r="KR45"/>
      <c r="KS45"/>
      <c r="KT45"/>
      <c r="KU45"/>
      <c r="KV45"/>
      <c r="KW45"/>
      <c r="KX45"/>
      <c r="KY45"/>
      <c r="KZ45"/>
      <c r="LA45"/>
      <c r="LB45"/>
      <c r="LC45"/>
      <c r="LD45"/>
      <c r="LE45"/>
      <c r="LF45"/>
      <c r="LG45"/>
      <c r="LH45"/>
      <c r="LI45"/>
      <c r="LJ45"/>
      <c r="LK45"/>
      <c r="LL45"/>
      <c r="LM45"/>
      <c r="LN45"/>
      <c r="LO45"/>
      <c r="LP45"/>
      <c r="LQ45"/>
      <c r="LR45"/>
      <c r="LS45"/>
      <c r="LT45"/>
      <c r="LU45"/>
      <c r="LV45"/>
      <c r="LW45"/>
      <c r="LX45"/>
      <c r="LY45"/>
      <c r="LZ45"/>
      <c r="MA45"/>
      <c r="MB45"/>
      <c r="MC45"/>
      <c r="MD45"/>
      <c r="ME45"/>
      <c r="MF45"/>
      <c r="MG45"/>
      <c r="MH45"/>
      <c r="MI45"/>
      <c r="MJ45"/>
      <c r="MK45"/>
      <c r="ML45"/>
      <c r="MM45"/>
      <c r="MN45"/>
      <c r="MO45"/>
      <c r="MP45"/>
      <c r="MQ45"/>
      <c r="MR45"/>
      <c r="MS45"/>
      <c r="MT45"/>
      <c r="MU45"/>
      <c r="MV45"/>
      <c r="MW45"/>
      <c r="MX45"/>
      <c r="MY45"/>
      <c r="MZ45"/>
      <c r="NA45"/>
      <c r="NB45"/>
      <c r="NC45"/>
      <c r="ND45"/>
      <c r="NE45"/>
      <c r="NF45"/>
      <c r="NG45"/>
      <c r="NH45"/>
      <c r="NI45"/>
      <c r="NJ45"/>
      <c r="NK45"/>
      <c r="NL45"/>
      <c r="NM45"/>
      <c r="NN45"/>
      <c r="NO45"/>
      <c r="NP45"/>
      <c r="NQ45"/>
      <c r="NR45"/>
      <c r="NS45"/>
      <c r="NT45"/>
      <c r="NU45"/>
      <c r="NV45"/>
      <c r="NW45"/>
      <c r="NX45"/>
      <c r="NY45"/>
      <c r="NZ45"/>
      <c r="OA45"/>
      <c r="OB45"/>
      <c r="OC45"/>
      <c r="OD45"/>
      <c r="OE45"/>
      <c r="OF45"/>
      <c r="OG45"/>
      <c r="OH45"/>
      <c r="OI45"/>
      <c r="OJ45"/>
      <c r="OK45"/>
      <c r="OL45"/>
      <c r="OM45"/>
      <c r="ON45"/>
      <c r="OO45"/>
      <c r="OP45"/>
      <c r="OQ45"/>
      <c r="OR45"/>
      <c r="OS45"/>
      <c r="OT45"/>
      <c r="OU45"/>
      <c r="OV45"/>
      <c r="OW45"/>
      <c r="OX45"/>
      <c r="OY45"/>
      <c r="OZ45"/>
      <c r="PA45"/>
      <c r="PB45"/>
      <c r="PC45"/>
      <c r="PD45"/>
      <c r="PE45"/>
      <c r="PF45"/>
      <c r="PG45"/>
      <c r="PH45"/>
      <c r="PI45"/>
      <c r="PJ45"/>
      <c r="PK45"/>
      <c r="PL45"/>
      <c r="PM45"/>
      <c r="PN45"/>
      <c r="PO45"/>
      <c r="PP45"/>
      <c r="PQ45"/>
      <c r="PR45"/>
      <c r="PS45"/>
      <c r="PT45"/>
      <c r="PU45"/>
      <c r="PV45"/>
      <c r="PW45"/>
      <c r="PX45"/>
      <c r="PY45"/>
      <c r="PZ45"/>
      <c r="QA45"/>
      <c r="QB45"/>
      <c r="QC45"/>
      <c r="QD45"/>
      <c r="QE45"/>
      <c r="QF45"/>
      <c r="QG45"/>
      <c r="QH45"/>
      <c r="QI45"/>
      <c r="QJ45"/>
      <c r="QK45"/>
      <c r="QL45"/>
      <c r="QM45"/>
      <c r="QN45"/>
      <c r="QO45"/>
      <c r="QP45"/>
      <c r="QQ45"/>
      <c r="QR45"/>
      <c r="QS45"/>
      <c r="QT45"/>
      <c r="QU45"/>
      <c r="QV45"/>
      <c r="QW45"/>
      <c r="QX45"/>
    </row>
    <row r="46" spans="1:466" x14ac:dyDescent="0.35">
      <c r="A46" s="53"/>
      <c r="B46" s="53"/>
      <c r="C46" s="53"/>
      <c r="D46" s="53"/>
      <c r="E46" s="53"/>
      <c r="F46" s="126" t="s">
        <v>1527</v>
      </c>
      <c r="G46" s="125">
        <v>1772.71</v>
      </c>
      <c r="H46" s="125">
        <v>3545.42</v>
      </c>
      <c r="I46" s="133">
        <v>2</v>
      </c>
      <c r="J46" s="53"/>
      <c r="K46" s="58">
        <v>45950</v>
      </c>
      <c r="L46" s="59" t="str">
        <f>IFERROR(VLOOKUP($A$2,Stok!$B$1:$BY$446,76,0),"")</f>
        <v/>
      </c>
      <c r="M46" s="53"/>
      <c r="N46" s="53"/>
      <c r="O46" s="53"/>
      <c r="P46" s="53"/>
      <c r="Q46" s="53"/>
      <c r="R46" s="53"/>
      <c r="S46" s="53"/>
      <c r="T46" s="53"/>
      <c r="U46" s="53"/>
      <c r="V46" s="53"/>
      <c r="W46" s="53"/>
      <c r="X46" s="53"/>
      <c r="Y46" s="53"/>
      <c r="Z46" s="53"/>
      <c r="AA46" s="53"/>
      <c r="AB46" s="53"/>
      <c r="AC46" s="53"/>
      <c r="AD46" s="53"/>
      <c r="AE46" s="53"/>
      <c r="AF46" s="63"/>
      <c r="AG46" s="64"/>
      <c r="AH46" s="65"/>
      <c r="AI46" s="65"/>
      <c r="AJ46" s="53"/>
      <c r="AK46" s="62"/>
      <c r="AL46" s="62"/>
      <c r="AM46" s="62"/>
      <c r="AN46" s="62"/>
      <c r="AO46" s="62"/>
      <c r="AP46" s="62"/>
      <c r="AQ46" s="62"/>
      <c r="AR46" s="62"/>
      <c r="AS46" s="62"/>
      <c r="AT46" s="62"/>
      <c r="AU46" s="62"/>
      <c r="AV46" s="62"/>
      <c r="AW46" s="62"/>
      <c r="AX46" s="62"/>
      <c r="AY46" s="62"/>
      <c r="AZ46" s="62"/>
      <c r="BA46" s="62"/>
      <c r="BB46" s="62"/>
      <c r="BC46" s="62"/>
      <c r="BD46" s="62"/>
      <c r="BE46" s="62"/>
      <c r="BF46" s="62"/>
      <c r="BG46" s="62"/>
      <c r="BH46" s="62"/>
      <c r="BI46" s="62"/>
      <c r="BJ46" s="62"/>
      <c r="BK46" s="62"/>
      <c r="BL46" s="62"/>
      <c r="BM46" s="62"/>
      <c r="BN46" s="62"/>
      <c r="BO46" s="62"/>
      <c r="BP46" s="62"/>
      <c r="BQ46" s="62"/>
      <c r="BR46" s="62"/>
      <c r="BS46" s="62"/>
      <c r="BT46" s="62"/>
      <c r="BU46" s="62"/>
      <c r="BV46" s="62"/>
      <c r="BW46" s="62"/>
      <c r="BX46" s="62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  <c r="JL46"/>
      <c r="JM46"/>
      <c r="JN46"/>
      <c r="JO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  <c r="KO46"/>
      <c r="KP46"/>
      <c r="KQ46"/>
      <c r="KR46"/>
      <c r="KS46"/>
      <c r="KT46"/>
      <c r="KU46"/>
      <c r="KV46"/>
      <c r="KW46"/>
      <c r="KX46"/>
      <c r="KY46"/>
      <c r="KZ46"/>
      <c r="LA46"/>
      <c r="LB46"/>
      <c r="LC46"/>
      <c r="LD46"/>
      <c r="LE46"/>
      <c r="LF46"/>
      <c r="LG46"/>
      <c r="LH46"/>
      <c r="LI46"/>
      <c r="LJ46"/>
      <c r="LK46"/>
      <c r="LL46"/>
      <c r="LM46"/>
      <c r="LN46"/>
      <c r="LO46"/>
      <c r="LP46"/>
      <c r="LQ46"/>
      <c r="LR46"/>
      <c r="LS46"/>
      <c r="LT46"/>
      <c r="LU46"/>
      <c r="LV46"/>
      <c r="LW46"/>
      <c r="LX46"/>
      <c r="LY46"/>
      <c r="LZ46"/>
      <c r="MA46"/>
      <c r="MB46"/>
      <c r="MC46"/>
      <c r="MD46"/>
      <c r="ME46"/>
      <c r="MF46"/>
      <c r="MG46"/>
      <c r="MH46"/>
      <c r="MI46"/>
      <c r="MJ46"/>
      <c r="MK46"/>
      <c r="ML46"/>
      <c r="MM46"/>
      <c r="MN46"/>
      <c r="MO46"/>
      <c r="MP46"/>
      <c r="MQ46"/>
      <c r="MR46"/>
      <c r="MS46"/>
      <c r="MT46"/>
      <c r="MU46"/>
      <c r="MV46"/>
      <c r="MW46"/>
      <c r="MX46"/>
      <c r="MY46"/>
      <c r="MZ46"/>
      <c r="NA46"/>
      <c r="NB46"/>
      <c r="NC46"/>
      <c r="ND46"/>
      <c r="NE46"/>
      <c r="NF46"/>
      <c r="NG46"/>
      <c r="NH46"/>
      <c r="NI46"/>
      <c r="NJ46"/>
      <c r="NK46"/>
      <c r="NL46"/>
      <c r="NM46"/>
      <c r="NN46"/>
      <c r="NO46"/>
      <c r="NP46"/>
      <c r="NQ46"/>
      <c r="NR46"/>
      <c r="NS46"/>
      <c r="NT46"/>
      <c r="NU46"/>
      <c r="NV46"/>
      <c r="NW46"/>
      <c r="NX46"/>
      <c r="NY46"/>
      <c r="NZ46"/>
      <c r="OA46"/>
      <c r="OB46"/>
      <c r="OC46"/>
      <c r="OD46"/>
      <c r="OE46"/>
      <c r="OF46"/>
      <c r="OG46"/>
      <c r="OH46"/>
      <c r="OI46"/>
      <c r="OJ46"/>
      <c r="OK46"/>
      <c r="OL46"/>
      <c r="OM46"/>
      <c r="ON46"/>
      <c r="OO46"/>
      <c r="OP46"/>
      <c r="OQ46"/>
      <c r="OR46"/>
      <c r="OS46"/>
      <c r="OT46"/>
      <c r="OU46"/>
      <c r="OV46"/>
      <c r="OW46"/>
      <c r="OX46"/>
      <c r="OY46"/>
      <c r="OZ46"/>
      <c r="PA46"/>
      <c r="PB46"/>
      <c r="PC46"/>
      <c r="PD46"/>
      <c r="PE46"/>
      <c r="PF46"/>
      <c r="PG46"/>
      <c r="PH46"/>
      <c r="PI46"/>
      <c r="PJ46"/>
      <c r="PK46"/>
      <c r="PL46"/>
      <c r="PM46"/>
      <c r="PN46"/>
      <c r="PO46"/>
      <c r="PP46"/>
      <c r="PQ46"/>
      <c r="PR46"/>
      <c r="PS46"/>
      <c r="PT46"/>
      <c r="PU46"/>
      <c r="PV46"/>
      <c r="PW46"/>
      <c r="PX46"/>
      <c r="PY46"/>
      <c r="PZ46"/>
      <c r="QA46"/>
      <c r="QB46"/>
      <c r="QC46"/>
      <c r="QD46"/>
      <c r="QE46"/>
      <c r="QF46"/>
      <c r="QG46"/>
      <c r="QH46"/>
      <c r="QI46"/>
      <c r="QJ46"/>
      <c r="QK46"/>
      <c r="QL46"/>
      <c r="QM46"/>
      <c r="QN46"/>
      <c r="QO46"/>
      <c r="QP46"/>
      <c r="QQ46"/>
      <c r="QR46"/>
      <c r="QS46"/>
      <c r="QT46"/>
      <c r="QU46"/>
      <c r="QV46"/>
      <c r="QW46"/>
      <c r="QX46"/>
    </row>
    <row r="47" spans="1:466" x14ac:dyDescent="0.35">
      <c r="A47" s="53"/>
      <c r="B47" s="53"/>
      <c r="C47" s="53"/>
      <c r="D47" s="53"/>
      <c r="E47" s="53"/>
      <c r="F47" s="126" t="s">
        <v>110</v>
      </c>
      <c r="G47" s="125">
        <v>367.2</v>
      </c>
      <c r="H47" s="125">
        <v>367.2</v>
      </c>
      <c r="I47" s="133">
        <v>1</v>
      </c>
      <c r="J47" s="53"/>
      <c r="K47" s="58">
        <v>45943</v>
      </c>
      <c r="L47" s="59" t="str">
        <f>IFERROR(VLOOKUP($A$2,Stok!$B$1:$BX$446,75,0),"")</f>
        <v/>
      </c>
      <c r="M47" s="53"/>
      <c r="N47" s="53"/>
      <c r="O47" s="53"/>
      <c r="P47" s="53"/>
      <c r="Q47" s="53"/>
      <c r="R47" s="53"/>
      <c r="S47" s="53"/>
      <c r="T47" s="53"/>
      <c r="U47" s="53"/>
      <c r="V47" s="53"/>
      <c r="W47" s="53"/>
      <c r="X47" s="53"/>
      <c r="Y47" s="53"/>
      <c r="Z47" s="53"/>
      <c r="AA47" s="53"/>
      <c r="AB47" s="53"/>
      <c r="AC47" s="53"/>
      <c r="AD47" s="53"/>
      <c r="AE47" s="53"/>
      <c r="AF47" s="63"/>
      <c r="AG47" s="64"/>
      <c r="AH47" s="65"/>
      <c r="AI47" s="65"/>
      <c r="AJ47" s="53"/>
      <c r="AK47" s="62"/>
      <c r="AL47" s="62"/>
      <c r="AM47" s="62"/>
      <c r="AN47" s="62"/>
      <c r="AO47" s="62"/>
      <c r="AP47" s="62"/>
      <c r="AQ47" s="62"/>
      <c r="AR47" s="62"/>
      <c r="AS47" s="62"/>
      <c r="AT47" s="62"/>
      <c r="AU47" s="62"/>
      <c r="AV47" s="62"/>
      <c r="AW47" s="62"/>
      <c r="AX47" s="62"/>
      <c r="AY47" s="62"/>
      <c r="AZ47" s="62"/>
      <c r="BA47" s="62"/>
      <c r="BB47" s="62"/>
      <c r="BC47" s="62"/>
      <c r="BD47" s="62"/>
      <c r="BE47" s="62"/>
      <c r="BF47" s="62"/>
      <c r="BG47" s="62"/>
      <c r="BH47" s="62"/>
      <c r="BI47" s="62"/>
      <c r="BJ47" s="62"/>
      <c r="BK47" s="62"/>
      <c r="BL47" s="62"/>
      <c r="BM47" s="62"/>
      <c r="BN47" s="62"/>
      <c r="BO47" s="62"/>
      <c r="BP47" s="62"/>
      <c r="BQ47" s="62"/>
      <c r="BR47" s="62"/>
      <c r="BS47" s="62"/>
      <c r="BT47" s="62"/>
      <c r="BU47" s="62"/>
      <c r="BV47" s="62"/>
      <c r="BW47" s="62"/>
      <c r="BX47" s="62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  <c r="JO47"/>
      <c r="JP47"/>
      <c r="JQ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/>
      <c r="KO47"/>
      <c r="KP47"/>
      <c r="KQ47"/>
      <c r="KR47"/>
      <c r="KS47"/>
      <c r="KT47"/>
      <c r="KU47"/>
      <c r="KV47"/>
      <c r="KW47"/>
      <c r="KX47"/>
      <c r="KY47"/>
      <c r="KZ47"/>
      <c r="LA47"/>
      <c r="LB47"/>
      <c r="LC47"/>
      <c r="LD47"/>
      <c r="LE47"/>
      <c r="LF47"/>
      <c r="LG47"/>
      <c r="LH47"/>
      <c r="LI47"/>
      <c r="LJ47"/>
      <c r="LK47"/>
      <c r="LL47"/>
      <c r="LM47"/>
      <c r="LN47"/>
      <c r="LO47"/>
      <c r="LP47"/>
      <c r="LQ47"/>
      <c r="LR47"/>
      <c r="LS47"/>
      <c r="LT47"/>
      <c r="LU47"/>
      <c r="LV47"/>
      <c r="LW47"/>
      <c r="LX47"/>
      <c r="LY47"/>
      <c r="LZ47"/>
      <c r="MA47"/>
      <c r="MB47"/>
      <c r="MC47"/>
      <c r="MD47"/>
      <c r="ME47"/>
      <c r="MF47"/>
      <c r="MG47"/>
      <c r="MH47"/>
      <c r="MI47"/>
      <c r="MJ47"/>
      <c r="MK47"/>
      <c r="ML47"/>
      <c r="MM47"/>
      <c r="MN47"/>
      <c r="MO47"/>
      <c r="MP47"/>
      <c r="MQ47"/>
      <c r="MR47"/>
      <c r="MS47"/>
      <c r="MT47"/>
      <c r="MU47"/>
      <c r="MV47"/>
      <c r="MW47"/>
      <c r="MX47"/>
      <c r="MY47"/>
      <c r="MZ47"/>
      <c r="NA47"/>
      <c r="NB47"/>
      <c r="NC47"/>
      <c r="ND47"/>
      <c r="NE47"/>
      <c r="NF47"/>
      <c r="NG47"/>
      <c r="NH47"/>
      <c r="NI47"/>
      <c r="NJ47"/>
      <c r="NK47"/>
      <c r="NL47"/>
      <c r="NM47"/>
      <c r="NN47"/>
      <c r="NO47"/>
      <c r="NP47"/>
      <c r="NQ47"/>
      <c r="NR47"/>
      <c r="NS47"/>
      <c r="NT47"/>
      <c r="NU47"/>
      <c r="NV47"/>
      <c r="NW47"/>
      <c r="NX47"/>
      <c r="NY47"/>
      <c r="NZ47"/>
      <c r="OA47"/>
      <c r="OB47"/>
      <c r="OC47"/>
      <c r="OD47"/>
      <c r="OE47"/>
      <c r="OF47"/>
      <c r="OG47"/>
      <c r="OH47"/>
      <c r="OI47"/>
      <c r="OJ47"/>
      <c r="OK47"/>
      <c r="OL47"/>
      <c r="OM47"/>
      <c r="ON47"/>
      <c r="OO47"/>
      <c r="OP47"/>
      <c r="OQ47"/>
      <c r="OR47"/>
      <c r="OS47"/>
      <c r="OT47"/>
      <c r="OU47"/>
      <c r="OV47"/>
      <c r="OW47"/>
      <c r="OX47"/>
      <c r="OY47"/>
      <c r="OZ47"/>
      <c r="PA47"/>
      <c r="PB47"/>
      <c r="PC47"/>
      <c r="PD47"/>
      <c r="PE47"/>
      <c r="PF47"/>
      <c r="PG47"/>
      <c r="PH47"/>
      <c r="PI47"/>
      <c r="PJ47"/>
      <c r="PK47"/>
      <c r="PL47"/>
      <c r="PM47"/>
      <c r="PN47"/>
      <c r="PO47"/>
      <c r="PP47"/>
      <c r="PQ47"/>
      <c r="PR47"/>
      <c r="PS47"/>
      <c r="PT47"/>
      <c r="PU47"/>
      <c r="PV47"/>
      <c r="PW47"/>
      <c r="PX47"/>
      <c r="PY47"/>
      <c r="PZ47"/>
      <c r="QA47"/>
      <c r="QB47"/>
      <c r="QC47"/>
      <c r="QD47"/>
      <c r="QE47"/>
      <c r="QF47"/>
      <c r="QG47"/>
      <c r="QH47"/>
      <c r="QI47"/>
      <c r="QJ47"/>
      <c r="QK47"/>
      <c r="QL47"/>
      <c r="QM47"/>
      <c r="QN47"/>
      <c r="QO47"/>
      <c r="QP47"/>
      <c r="QQ47"/>
      <c r="QR47"/>
      <c r="QS47"/>
      <c r="QT47"/>
      <c r="QU47"/>
      <c r="QV47"/>
      <c r="QW47"/>
      <c r="QX47"/>
    </row>
    <row r="48" spans="1:466" x14ac:dyDescent="0.35">
      <c r="A48" s="53"/>
      <c r="B48" s="53"/>
      <c r="C48" s="53"/>
      <c r="D48" s="53"/>
      <c r="E48" s="53"/>
      <c r="F48" s="126" t="s">
        <v>112</v>
      </c>
      <c r="G48" s="125"/>
      <c r="H48" s="125">
        <v>0</v>
      </c>
      <c r="I48" s="133">
        <v>0</v>
      </c>
      <c r="J48" s="53"/>
      <c r="K48" s="58">
        <v>45936</v>
      </c>
      <c r="L48" s="59" t="str">
        <f>IFERROR(VLOOKUP($A$2,Stok!$B$1:$BW$446,74,0),"")</f>
        <v/>
      </c>
      <c r="M48" s="53"/>
      <c r="N48" s="53"/>
      <c r="O48" s="53"/>
      <c r="P48" s="53"/>
      <c r="Q48" s="53"/>
      <c r="R48" s="53"/>
      <c r="S48" s="53"/>
      <c r="T48" s="53"/>
      <c r="U48" s="53"/>
      <c r="V48" s="53"/>
      <c r="W48" s="53"/>
      <c r="X48" s="53"/>
      <c r="Y48" s="53"/>
      <c r="Z48" s="53"/>
      <c r="AA48" s="53"/>
      <c r="AB48" s="53"/>
      <c r="AC48" s="53"/>
      <c r="AD48" s="53"/>
      <c r="AE48" s="53"/>
      <c r="AF48" s="63"/>
      <c r="AG48" s="64"/>
      <c r="AH48" s="65"/>
      <c r="AI48" s="65"/>
      <c r="AJ48" s="53"/>
      <c r="AK48" s="62"/>
      <c r="AL48" s="62"/>
      <c r="AM48" s="62"/>
      <c r="AN48" s="62"/>
      <c r="AO48" s="62"/>
      <c r="AP48" s="62"/>
      <c r="AQ48" s="62"/>
      <c r="AR48" s="62"/>
      <c r="AS48" s="62"/>
      <c r="AT48" s="62"/>
      <c r="AU48" s="62"/>
      <c r="AV48" s="62"/>
      <c r="AW48" s="62"/>
      <c r="AX48" s="62"/>
      <c r="AY48" s="62"/>
      <c r="AZ48" s="62"/>
      <c r="BA48" s="62"/>
      <c r="BB48" s="62"/>
      <c r="BC48" s="62"/>
      <c r="BD48" s="62"/>
      <c r="BE48" s="62"/>
      <c r="BF48" s="62"/>
      <c r="BG48" s="62"/>
      <c r="BH48" s="62"/>
      <c r="BI48" s="62"/>
      <c r="BJ48" s="62"/>
      <c r="BK48" s="62"/>
      <c r="BL48" s="62"/>
      <c r="BM48" s="62"/>
      <c r="BN48" s="62"/>
      <c r="BO48" s="62"/>
      <c r="BP48" s="62"/>
      <c r="BQ48" s="62"/>
      <c r="BR48" s="62"/>
      <c r="BS48" s="62"/>
      <c r="BT48" s="62"/>
      <c r="BU48" s="62"/>
      <c r="BV48" s="62"/>
      <c r="BW48" s="62"/>
      <c r="BX48" s="62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  <c r="JL48"/>
      <c r="JM48"/>
      <c r="JN48"/>
      <c r="JO48"/>
      <c r="JP48"/>
      <c r="JQ48"/>
      <c r="JR48"/>
      <c r="JS48"/>
      <c r="JT48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  <c r="KI48"/>
      <c r="KJ48"/>
      <c r="KK48"/>
      <c r="KL48"/>
      <c r="KM48"/>
      <c r="KN48"/>
      <c r="KO48"/>
      <c r="KP48"/>
      <c r="KQ48"/>
      <c r="KR48"/>
      <c r="KS48"/>
      <c r="KT48"/>
      <c r="KU48"/>
      <c r="KV48"/>
      <c r="KW48"/>
      <c r="KX48"/>
      <c r="KY48"/>
      <c r="KZ48"/>
      <c r="LA48"/>
      <c r="LB48"/>
      <c r="LC48"/>
      <c r="LD48"/>
      <c r="LE48"/>
      <c r="LF48"/>
      <c r="LG48"/>
      <c r="LH48"/>
      <c r="LI48"/>
      <c r="LJ48"/>
      <c r="LK48"/>
      <c r="LL48"/>
      <c r="LM48"/>
      <c r="LN48"/>
      <c r="LO48"/>
      <c r="LP48"/>
      <c r="LQ48"/>
      <c r="LR48"/>
      <c r="LS48"/>
      <c r="LT48"/>
      <c r="LU48"/>
      <c r="LV48"/>
      <c r="LW48"/>
      <c r="LX48"/>
      <c r="LY48"/>
      <c r="LZ48"/>
      <c r="MA48"/>
      <c r="MB48"/>
      <c r="MC48"/>
      <c r="MD48"/>
      <c r="ME48"/>
      <c r="MF48"/>
      <c r="MG48"/>
      <c r="MH48"/>
      <c r="MI48"/>
      <c r="MJ48"/>
      <c r="MK48"/>
      <c r="ML48"/>
      <c r="MM48"/>
      <c r="MN48"/>
      <c r="MO48"/>
      <c r="MP48"/>
      <c r="MQ48"/>
      <c r="MR48"/>
      <c r="MS48"/>
      <c r="MT48"/>
      <c r="MU48"/>
      <c r="MV48"/>
      <c r="MW48"/>
      <c r="MX48"/>
      <c r="MY48"/>
      <c r="MZ48"/>
      <c r="NA48"/>
      <c r="NB48"/>
      <c r="NC48"/>
      <c r="ND48"/>
      <c r="NE48"/>
      <c r="NF48"/>
      <c r="NG48"/>
      <c r="NH48"/>
      <c r="NI48"/>
      <c r="NJ48"/>
      <c r="NK48"/>
      <c r="NL48"/>
      <c r="NM48"/>
      <c r="NN48"/>
      <c r="NO48"/>
      <c r="NP48"/>
      <c r="NQ48"/>
      <c r="NR48"/>
      <c r="NS48"/>
      <c r="NT48"/>
      <c r="NU48"/>
      <c r="NV48"/>
      <c r="NW48"/>
      <c r="NX48"/>
      <c r="NY48"/>
      <c r="NZ48"/>
      <c r="OA48"/>
      <c r="OB48"/>
      <c r="OC48"/>
      <c r="OD48"/>
      <c r="OE48"/>
      <c r="OF48"/>
      <c r="OG48"/>
      <c r="OH48"/>
      <c r="OI48"/>
      <c r="OJ48"/>
      <c r="OK48"/>
      <c r="OL48"/>
      <c r="OM48"/>
      <c r="ON48"/>
      <c r="OO48"/>
      <c r="OP48"/>
      <c r="OQ48"/>
      <c r="OR48"/>
      <c r="OS48"/>
      <c r="OT48"/>
      <c r="OU48"/>
      <c r="OV48"/>
      <c r="OW48"/>
      <c r="OX48"/>
      <c r="OY48"/>
      <c r="OZ48"/>
      <c r="PA48"/>
      <c r="PB48"/>
      <c r="PC48"/>
      <c r="PD48"/>
      <c r="PE48"/>
      <c r="PF48"/>
      <c r="PG48"/>
      <c r="PH48"/>
      <c r="PI48"/>
      <c r="PJ48"/>
      <c r="PK48"/>
      <c r="PL48"/>
      <c r="PM48"/>
      <c r="PN48"/>
      <c r="PO48"/>
      <c r="PP48"/>
      <c r="PQ48"/>
      <c r="PR48"/>
      <c r="PS48"/>
      <c r="PT48"/>
      <c r="PU48"/>
      <c r="PV48"/>
      <c r="PW48"/>
      <c r="PX48"/>
      <c r="PY48"/>
      <c r="PZ48"/>
      <c r="QA48"/>
      <c r="QB48"/>
      <c r="QC48"/>
      <c r="QD48"/>
      <c r="QE48"/>
      <c r="QF48"/>
      <c r="QG48"/>
      <c r="QH48"/>
      <c r="QI48"/>
      <c r="QJ48"/>
      <c r="QK48"/>
      <c r="QL48"/>
      <c r="QM48"/>
      <c r="QN48"/>
      <c r="QO48"/>
      <c r="QP48"/>
      <c r="QQ48"/>
      <c r="QR48"/>
      <c r="QS48"/>
      <c r="QT48"/>
      <c r="QU48"/>
      <c r="QV48"/>
      <c r="QW48"/>
      <c r="QX48"/>
    </row>
    <row r="49" spans="1:466" x14ac:dyDescent="0.35">
      <c r="A49" s="53"/>
      <c r="B49" s="53"/>
      <c r="C49" s="53"/>
      <c r="D49" s="53"/>
      <c r="E49" s="53"/>
      <c r="F49" s="126" t="s">
        <v>1529</v>
      </c>
      <c r="G49" s="125">
        <v>364.16</v>
      </c>
      <c r="H49" s="125">
        <v>1456.64</v>
      </c>
      <c r="I49" s="133">
        <v>4</v>
      </c>
      <c r="J49" s="53"/>
      <c r="K49" s="58">
        <v>45929</v>
      </c>
      <c r="L49" s="59" t="str">
        <f>IFERROR(VLOOKUP($A$2,Stok!$B$1:$BV$446,73,0),"")</f>
        <v/>
      </c>
      <c r="M49" s="53"/>
      <c r="N49" s="53"/>
      <c r="O49" s="53"/>
      <c r="P49" s="53"/>
      <c r="Q49" s="53"/>
      <c r="R49" s="53"/>
      <c r="S49" s="53"/>
      <c r="T49" s="53"/>
      <c r="U49" s="53"/>
      <c r="V49" s="53"/>
      <c r="W49" s="53"/>
      <c r="X49" s="53"/>
      <c r="Y49" s="53"/>
      <c r="Z49" s="53"/>
      <c r="AA49" s="53"/>
      <c r="AB49" s="53"/>
      <c r="AC49" s="53"/>
      <c r="AD49" s="53"/>
      <c r="AE49" s="53"/>
      <c r="AF49" s="63"/>
      <c r="AG49" s="64"/>
      <c r="AH49" s="65"/>
      <c r="AI49" s="65"/>
      <c r="AJ49" s="53"/>
      <c r="AK49" s="62"/>
      <c r="AL49" s="62"/>
      <c r="AM49" s="62"/>
      <c r="AN49" s="62"/>
      <c r="AO49" s="62"/>
      <c r="AP49" s="62"/>
      <c r="AQ49" s="62"/>
      <c r="AR49" s="62"/>
      <c r="AS49" s="62"/>
      <c r="AT49" s="62"/>
      <c r="AU49" s="62"/>
      <c r="AV49" s="62"/>
      <c r="AW49" s="62"/>
      <c r="AX49" s="62"/>
      <c r="AY49" s="62"/>
      <c r="AZ49" s="62"/>
      <c r="BA49" s="62"/>
      <c r="BB49" s="62"/>
      <c r="BC49" s="62"/>
      <c r="BD49" s="62"/>
      <c r="BE49" s="62"/>
      <c r="BF49" s="62"/>
      <c r="BG49" s="62"/>
      <c r="BH49" s="62"/>
      <c r="BI49" s="62"/>
      <c r="BJ49" s="62"/>
      <c r="BK49" s="62"/>
      <c r="BL49" s="62"/>
      <c r="BM49" s="62"/>
      <c r="BN49" s="62"/>
      <c r="BO49" s="62"/>
      <c r="BP49" s="62"/>
      <c r="BQ49" s="62"/>
      <c r="BR49" s="62"/>
      <c r="BS49" s="62"/>
      <c r="BT49" s="62"/>
      <c r="BU49" s="62"/>
      <c r="BV49" s="62"/>
      <c r="BW49" s="62"/>
      <c r="BX49" s="62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  <c r="JO49"/>
      <c r="JP49"/>
      <c r="JQ49"/>
      <c r="JR49"/>
      <c r="JS49"/>
      <c r="JT49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M49"/>
      <c r="KN49"/>
      <c r="KO49"/>
      <c r="KP49"/>
      <c r="KQ49"/>
      <c r="KR49"/>
      <c r="KS49"/>
      <c r="KT49"/>
      <c r="KU49"/>
      <c r="KV49"/>
      <c r="KW49"/>
      <c r="KX49"/>
      <c r="KY49"/>
      <c r="KZ49"/>
      <c r="LA49"/>
      <c r="LB49"/>
      <c r="LC49"/>
      <c r="LD49"/>
      <c r="LE49"/>
      <c r="LF49"/>
      <c r="LG49"/>
      <c r="LH49"/>
      <c r="LI49"/>
      <c r="LJ49"/>
      <c r="LK49"/>
      <c r="LL49"/>
      <c r="LM49"/>
      <c r="LN49"/>
      <c r="LO49"/>
      <c r="LP49"/>
      <c r="LQ49"/>
      <c r="LR49"/>
      <c r="LS49"/>
      <c r="LT49"/>
      <c r="LU49"/>
      <c r="LV49"/>
      <c r="LW49"/>
      <c r="LX49"/>
      <c r="LY49"/>
      <c r="LZ49"/>
      <c r="MA49"/>
      <c r="MB49"/>
      <c r="MC49"/>
      <c r="MD49"/>
      <c r="ME49"/>
      <c r="MF49"/>
      <c r="MG49"/>
      <c r="MH49"/>
      <c r="MI49"/>
      <c r="MJ49"/>
      <c r="MK49"/>
      <c r="ML49"/>
      <c r="MM49"/>
      <c r="MN49"/>
      <c r="MO49"/>
      <c r="MP49"/>
      <c r="MQ49"/>
      <c r="MR49"/>
      <c r="MS49"/>
      <c r="MT49"/>
      <c r="MU49"/>
      <c r="MV49"/>
      <c r="MW49"/>
      <c r="MX49"/>
      <c r="MY49"/>
      <c r="MZ49"/>
      <c r="NA49"/>
      <c r="NB49"/>
      <c r="NC49"/>
      <c r="ND49"/>
      <c r="NE49"/>
      <c r="NF49"/>
      <c r="NG49"/>
      <c r="NH49"/>
      <c r="NI49"/>
      <c r="NJ49"/>
      <c r="NK49"/>
      <c r="NL49"/>
      <c r="NM49"/>
      <c r="NN49"/>
      <c r="NO49"/>
      <c r="NP49"/>
      <c r="NQ49"/>
      <c r="NR49"/>
      <c r="NS49"/>
      <c r="NT49"/>
      <c r="NU49"/>
      <c r="NV49"/>
      <c r="NW49"/>
      <c r="NX49"/>
      <c r="NY49"/>
      <c r="NZ49"/>
      <c r="OA49"/>
      <c r="OB49"/>
      <c r="OC49"/>
      <c r="OD49"/>
      <c r="OE49"/>
      <c r="OF49"/>
      <c r="OG49"/>
      <c r="OH49"/>
      <c r="OI49"/>
      <c r="OJ49"/>
      <c r="OK49"/>
      <c r="OL49"/>
      <c r="OM49"/>
      <c r="ON49"/>
      <c r="OO49"/>
      <c r="OP49"/>
      <c r="OQ49"/>
      <c r="OR49"/>
      <c r="OS49"/>
      <c r="OT49"/>
      <c r="OU49"/>
      <c r="OV49"/>
      <c r="OW49"/>
      <c r="OX49"/>
      <c r="OY49"/>
      <c r="OZ49"/>
      <c r="PA49"/>
      <c r="PB49"/>
      <c r="PC49"/>
      <c r="PD49"/>
      <c r="PE49"/>
      <c r="PF49"/>
      <c r="PG49"/>
      <c r="PH49"/>
      <c r="PI49"/>
      <c r="PJ49"/>
      <c r="PK49"/>
      <c r="PL49"/>
      <c r="PM49"/>
      <c r="PN49"/>
      <c r="PO49"/>
      <c r="PP49"/>
      <c r="PQ49"/>
      <c r="PR49"/>
      <c r="PS49"/>
      <c r="PT49"/>
      <c r="PU49"/>
      <c r="PV49"/>
      <c r="PW49"/>
      <c r="PX49"/>
      <c r="PY49"/>
      <c r="PZ49"/>
      <c r="QA49"/>
      <c r="QB49"/>
      <c r="QC49"/>
      <c r="QD49"/>
      <c r="QE49"/>
      <c r="QF49"/>
      <c r="QG49"/>
      <c r="QH49"/>
      <c r="QI49"/>
      <c r="QJ49"/>
      <c r="QK49"/>
      <c r="QL49"/>
      <c r="QM49"/>
      <c r="QN49"/>
      <c r="QO49"/>
      <c r="QP49"/>
      <c r="QQ49"/>
      <c r="QR49"/>
      <c r="QS49"/>
      <c r="QT49"/>
      <c r="QU49"/>
      <c r="QV49"/>
      <c r="QW49"/>
      <c r="QX49"/>
    </row>
    <row r="50" spans="1:466" x14ac:dyDescent="0.35">
      <c r="A50" s="53"/>
      <c r="B50" s="53"/>
      <c r="C50" s="53"/>
      <c r="D50" s="53"/>
      <c r="E50" s="53"/>
      <c r="F50" s="126" t="s">
        <v>118</v>
      </c>
      <c r="G50" s="125">
        <v>182.99</v>
      </c>
      <c r="H50" s="125">
        <v>3293.82</v>
      </c>
      <c r="I50" s="133">
        <v>18</v>
      </c>
      <c r="J50" s="53"/>
      <c r="K50" s="58">
        <v>45919</v>
      </c>
      <c r="L50" s="59" t="str">
        <f>IFERROR(VLOOKUP($A$2,Stok!$B$1:$BU$446,72,0),"")</f>
        <v/>
      </c>
      <c r="M50" s="53"/>
      <c r="N50" s="53"/>
      <c r="O50" s="53"/>
      <c r="P50" s="53"/>
      <c r="Q50" s="53"/>
      <c r="R50" s="53"/>
      <c r="S50" s="53"/>
      <c r="T50" s="53"/>
      <c r="U50" s="53"/>
      <c r="V50" s="53"/>
      <c r="W50" s="53"/>
      <c r="X50" s="53"/>
      <c r="Y50" s="53"/>
      <c r="Z50" s="53"/>
      <c r="AA50" s="53"/>
      <c r="AB50" s="53"/>
      <c r="AC50" s="53"/>
      <c r="AD50" s="53"/>
      <c r="AE50" s="53"/>
      <c r="AF50" s="63"/>
      <c r="AG50" s="64"/>
      <c r="AH50" s="65"/>
      <c r="AI50" s="65"/>
      <c r="AJ50" s="53"/>
      <c r="AK50" s="62"/>
      <c r="AL50" s="62"/>
      <c r="AM50" s="62"/>
      <c r="AN50" s="62"/>
      <c r="AO50" s="62"/>
      <c r="AP50" s="62"/>
      <c r="AQ50" s="62"/>
      <c r="AR50" s="62"/>
      <c r="AS50" s="62"/>
      <c r="AT50" s="62"/>
      <c r="AU50" s="62"/>
      <c r="AV50" s="62"/>
      <c r="AW50" s="62"/>
      <c r="AX50" s="62"/>
      <c r="AY50" s="62"/>
      <c r="AZ50" s="62"/>
      <c r="BA50" s="62"/>
      <c r="BB50" s="62"/>
      <c r="BC50" s="62"/>
      <c r="BD50" s="62"/>
      <c r="BE50" s="62"/>
      <c r="BF50" s="62"/>
      <c r="BG50" s="62"/>
      <c r="BH50" s="62"/>
      <c r="BI50" s="62"/>
      <c r="BJ50" s="62"/>
      <c r="BK50" s="62"/>
      <c r="BL50" s="62"/>
      <c r="BM50" s="62"/>
      <c r="BN50" s="62"/>
      <c r="BO50" s="62"/>
      <c r="BP50" s="62"/>
      <c r="BQ50" s="62"/>
      <c r="BR50" s="62"/>
      <c r="BS50" s="62"/>
      <c r="BT50" s="62"/>
      <c r="BU50" s="62"/>
      <c r="BV50" s="62"/>
      <c r="BW50" s="62"/>
      <c r="BX50" s="62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O50"/>
      <c r="JP50"/>
      <c r="JQ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  <c r="KO50"/>
      <c r="KP50"/>
      <c r="KQ50"/>
      <c r="KR50"/>
      <c r="KS50"/>
      <c r="KT50"/>
      <c r="KU50"/>
      <c r="KV50"/>
      <c r="KW50"/>
      <c r="KX50"/>
      <c r="KY50"/>
      <c r="KZ50"/>
      <c r="LA50"/>
      <c r="LB50"/>
      <c r="LC50"/>
      <c r="LD50"/>
      <c r="LE50"/>
      <c r="LF50"/>
      <c r="LG50"/>
      <c r="LH50"/>
      <c r="LI50"/>
      <c r="LJ50"/>
      <c r="LK50"/>
      <c r="LL50"/>
      <c r="LM50"/>
      <c r="LN50"/>
      <c r="LO50"/>
      <c r="LP50"/>
      <c r="LQ50"/>
      <c r="LR50"/>
      <c r="LS50"/>
      <c r="LT50"/>
      <c r="LU50"/>
      <c r="LV50"/>
      <c r="LW50"/>
      <c r="LX50"/>
      <c r="LY50"/>
      <c r="LZ50"/>
      <c r="MA50"/>
      <c r="MB50"/>
      <c r="MC50"/>
      <c r="MD50"/>
      <c r="ME50"/>
      <c r="MF50"/>
      <c r="MG50"/>
      <c r="MH50"/>
      <c r="MI50"/>
      <c r="MJ50"/>
      <c r="MK50"/>
      <c r="ML50"/>
      <c r="MM50"/>
      <c r="MN50"/>
      <c r="MO50"/>
      <c r="MP50"/>
      <c r="MQ50"/>
      <c r="MR50"/>
      <c r="MS50"/>
      <c r="MT50"/>
      <c r="MU50"/>
      <c r="MV50"/>
      <c r="MW50"/>
      <c r="MX50"/>
      <c r="MY50"/>
      <c r="MZ50"/>
      <c r="NA50"/>
      <c r="NB50"/>
      <c r="NC50"/>
      <c r="ND50"/>
      <c r="NE50"/>
      <c r="NF50"/>
      <c r="NG50"/>
      <c r="NH50"/>
      <c r="NI50"/>
      <c r="NJ50"/>
      <c r="NK50"/>
      <c r="NL50"/>
      <c r="NM50"/>
      <c r="NN50"/>
      <c r="NO50"/>
      <c r="NP50"/>
      <c r="NQ50"/>
      <c r="NR50"/>
      <c r="NS50"/>
      <c r="NT50"/>
      <c r="NU50"/>
      <c r="NV50"/>
      <c r="NW50"/>
      <c r="NX50"/>
      <c r="NY50"/>
      <c r="NZ50"/>
      <c r="OA50"/>
      <c r="OB50"/>
      <c r="OC50"/>
      <c r="OD50"/>
      <c r="OE50"/>
      <c r="OF50"/>
      <c r="OG50"/>
      <c r="OH50"/>
      <c r="OI50"/>
      <c r="OJ50"/>
      <c r="OK50"/>
      <c r="OL50"/>
      <c r="OM50"/>
      <c r="ON50"/>
      <c r="OO50"/>
      <c r="OP50"/>
      <c r="OQ50"/>
      <c r="OR50"/>
      <c r="OS50"/>
      <c r="OT50"/>
      <c r="OU50"/>
      <c r="OV50"/>
      <c r="OW50"/>
      <c r="OX50"/>
      <c r="OY50"/>
      <c r="OZ50"/>
      <c r="PA50"/>
      <c r="PB50"/>
      <c r="PC50"/>
      <c r="PD50"/>
      <c r="PE50"/>
      <c r="PF50"/>
      <c r="PG50"/>
      <c r="PH50"/>
      <c r="PI50"/>
      <c r="PJ50"/>
      <c r="PK50"/>
      <c r="PL50"/>
      <c r="PM50"/>
      <c r="PN50"/>
      <c r="PO50"/>
      <c r="PP50"/>
      <c r="PQ50"/>
      <c r="PR50"/>
      <c r="PS50"/>
      <c r="PT50"/>
      <c r="PU50"/>
      <c r="PV50"/>
      <c r="PW50"/>
      <c r="PX50"/>
      <c r="PY50"/>
      <c r="PZ50"/>
      <c r="QA50"/>
      <c r="QB50"/>
      <c r="QC50"/>
      <c r="QD50"/>
      <c r="QE50"/>
      <c r="QF50"/>
      <c r="QG50"/>
      <c r="QH50"/>
      <c r="QI50"/>
      <c r="QJ50"/>
      <c r="QK50"/>
      <c r="QL50"/>
      <c r="QM50"/>
      <c r="QN50"/>
      <c r="QO50"/>
      <c r="QP50"/>
      <c r="QQ50"/>
      <c r="QR50"/>
      <c r="QS50"/>
      <c r="QT50"/>
      <c r="QU50"/>
      <c r="QV50"/>
      <c r="QW50"/>
      <c r="QX50"/>
    </row>
    <row r="51" spans="1:466" x14ac:dyDescent="0.35">
      <c r="A51" s="53"/>
      <c r="B51" s="53"/>
      <c r="C51" s="53"/>
      <c r="D51" s="53"/>
      <c r="E51" s="53"/>
      <c r="F51" s="126" t="s">
        <v>1231</v>
      </c>
      <c r="G51" s="125"/>
      <c r="H51" s="125">
        <v>0</v>
      </c>
      <c r="I51" s="133">
        <v>0</v>
      </c>
      <c r="J51" s="53"/>
      <c r="K51" s="58">
        <v>45908</v>
      </c>
      <c r="L51" s="59" t="str">
        <f>IFERROR(VLOOKUP($A$2,Stok!$B$1:$BT$446,71,0),"")</f>
        <v/>
      </c>
      <c r="M51" s="53"/>
      <c r="N51" s="53"/>
      <c r="O51" s="53"/>
      <c r="P51" s="53"/>
      <c r="Q51" s="53"/>
      <c r="R51" s="53"/>
      <c r="S51" s="53"/>
      <c r="T51" s="53"/>
      <c r="U51" s="53"/>
      <c r="V51" s="53"/>
      <c r="W51" s="53"/>
      <c r="X51" s="53"/>
      <c r="Y51" s="53"/>
      <c r="Z51" s="53"/>
      <c r="AA51" s="53"/>
      <c r="AB51" s="53"/>
      <c r="AC51" s="53"/>
      <c r="AD51" s="53"/>
      <c r="AE51" s="53"/>
      <c r="AF51" s="63"/>
      <c r="AG51" s="64"/>
      <c r="AH51" s="65"/>
      <c r="AI51" s="65"/>
      <c r="AJ51" s="53"/>
      <c r="AK51" s="62"/>
      <c r="AL51" s="62"/>
      <c r="AM51" s="62"/>
      <c r="AN51" s="62"/>
      <c r="AO51" s="62"/>
      <c r="AP51" s="62"/>
      <c r="AQ51" s="62"/>
      <c r="AR51" s="62"/>
      <c r="AS51" s="62"/>
      <c r="AT51" s="62"/>
      <c r="AU51" s="62"/>
      <c r="AV51" s="62"/>
      <c r="AW51" s="62"/>
      <c r="AX51" s="62"/>
      <c r="AY51" s="62"/>
      <c r="AZ51" s="62"/>
      <c r="BA51" s="62"/>
      <c r="BB51" s="62"/>
      <c r="BC51" s="62"/>
      <c r="BD51" s="62"/>
      <c r="BE51" s="62"/>
      <c r="BF51" s="62"/>
      <c r="BG51" s="62"/>
      <c r="BH51" s="62"/>
      <c r="BI51" s="62"/>
      <c r="BJ51" s="62"/>
      <c r="BK51" s="62"/>
      <c r="BL51" s="62"/>
      <c r="BM51" s="62"/>
      <c r="BN51" s="62"/>
      <c r="BO51" s="62"/>
      <c r="BP51" s="62"/>
      <c r="BQ51" s="62"/>
      <c r="BR51" s="62"/>
      <c r="BS51" s="62"/>
      <c r="BT51" s="62"/>
      <c r="BU51" s="62"/>
      <c r="BV51" s="62"/>
      <c r="BW51" s="62"/>
      <c r="BX51" s="62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O51"/>
      <c r="JP51"/>
      <c r="JQ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  <c r="KO51"/>
      <c r="KP51"/>
      <c r="KQ51"/>
      <c r="KR51"/>
      <c r="KS51"/>
      <c r="KT51"/>
      <c r="KU51"/>
      <c r="KV51"/>
      <c r="KW51"/>
      <c r="KX51"/>
      <c r="KY51"/>
      <c r="KZ51"/>
      <c r="LA51"/>
      <c r="LB51"/>
      <c r="LC51"/>
      <c r="LD51"/>
      <c r="LE51"/>
      <c r="LF51"/>
      <c r="LG51"/>
      <c r="LH51"/>
      <c r="LI51"/>
      <c r="LJ51"/>
      <c r="LK51"/>
      <c r="LL51"/>
      <c r="LM51"/>
      <c r="LN51"/>
      <c r="LO51"/>
      <c r="LP51"/>
      <c r="LQ51"/>
      <c r="LR51"/>
      <c r="LS51"/>
      <c r="LT51"/>
      <c r="LU51"/>
      <c r="LV51"/>
      <c r="LW51"/>
      <c r="LX51"/>
      <c r="LY51"/>
      <c r="LZ51"/>
      <c r="MA51"/>
      <c r="MB51"/>
      <c r="MC51"/>
      <c r="MD51"/>
      <c r="ME51"/>
      <c r="MF51"/>
      <c r="MG51"/>
      <c r="MH51"/>
      <c r="MI51"/>
      <c r="MJ51"/>
      <c r="MK51"/>
      <c r="ML51"/>
      <c r="MM51"/>
      <c r="MN51"/>
      <c r="MO51"/>
      <c r="MP51"/>
      <c r="MQ51"/>
      <c r="MR51"/>
      <c r="MS51"/>
      <c r="MT51"/>
      <c r="MU51"/>
      <c r="MV51"/>
      <c r="MW51"/>
      <c r="MX51"/>
      <c r="MY51"/>
      <c r="MZ51"/>
      <c r="NA51"/>
      <c r="NB51"/>
      <c r="NC51"/>
      <c r="ND51"/>
      <c r="NE51"/>
      <c r="NF51"/>
      <c r="NG51"/>
      <c r="NH51"/>
      <c r="NI51"/>
      <c r="NJ51"/>
      <c r="NK51"/>
      <c r="NL51"/>
      <c r="NM51"/>
      <c r="NN51"/>
      <c r="NO51"/>
      <c r="NP51"/>
      <c r="NQ51"/>
      <c r="NR51"/>
      <c r="NS51"/>
      <c r="NT51"/>
      <c r="NU51"/>
      <c r="NV51"/>
      <c r="NW51"/>
      <c r="NX51"/>
      <c r="NY51"/>
      <c r="NZ51"/>
      <c r="OA51"/>
      <c r="OB51"/>
      <c r="OC51"/>
      <c r="OD51"/>
      <c r="OE51"/>
      <c r="OF51"/>
      <c r="OG51"/>
      <c r="OH51"/>
      <c r="OI51"/>
      <c r="OJ51"/>
      <c r="OK51"/>
      <c r="OL51"/>
      <c r="OM51"/>
      <c r="ON51"/>
      <c r="OO51"/>
      <c r="OP51"/>
      <c r="OQ51"/>
      <c r="OR51"/>
      <c r="OS51"/>
      <c r="OT51"/>
      <c r="OU51"/>
      <c r="OV51"/>
      <c r="OW51"/>
      <c r="OX51"/>
      <c r="OY51"/>
      <c r="OZ51"/>
      <c r="PA51"/>
      <c r="PB51"/>
      <c r="PC51"/>
      <c r="PD51"/>
      <c r="PE51"/>
      <c r="PF51"/>
      <c r="PG51"/>
      <c r="PH51"/>
      <c r="PI51"/>
      <c r="PJ51"/>
      <c r="PK51"/>
      <c r="PL51"/>
      <c r="PM51"/>
      <c r="PN51"/>
      <c r="PO51"/>
      <c r="PP51"/>
      <c r="PQ51"/>
      <c r="PR51"/>
      <c r="PS51"/>
      <c r="PT51"/>
      <c r="PU51"/>
      <c r="PV51"/>
      <c r="PW51"/>
      <c r="PX51"/>
      <c r="PY51"/>
      <c r="PZ51"/>
      <c r="QA51"/>
      <c r="QB51"/>
      <c r="QC51"/>
      <c r="QD51"/>
      <c r="QE51"/>
      <c r="QF51"/>
      <c r="QG51"/>
      <c r="QH51"/>
      <c r="QI51"/>
      <c r="QJ51"/>
      <c r="QK51"/>
      <c r="QL51"/>
      <c r="QM51"/>
      <c r="QN51"/>
      <c r="QO51"/>
      <c r="QP51"/>
      <c r="QQ51"/>
      <c r="QR51"/>
      <c r="QS51"/>
      <c r="QT51"/>
      <c r="QU51"/>
      <c r="QV51"/>
      <c r="QW51"/>
      <c r="QX51"/>
    </row>
    <row r="52" spans="1:466" x14ac:dyDescent="0.35">
      <c r="A52" s="53"/>
      <c r="B52" s="53"/>
      <c r="C52" s="53"/>
      <c r="D52" s="53"/>
      <c r="E52" s="53"/>
      <c r="F52" s="126" t="s">
        <v>1468</v>
      </c>
      <c r="G52" s="125"/>
      <c r="H52" s="125">
        <v>0</v>
      </c>
      <c r="I52" s="133">
        <v>0</v>
      </c>
      <c r="J52" s="53"/>
      <c r="K52" s="58">
        <v>45896</v>
      </c>
      <c r="L52" s="59" t="str">
        <f>IFERROR(VLOOKUP($A$2,Stok!$B$1:$BS$446,70,0),"")</f>
        <v/>
      </c>
      <c r="M52" s="53"/>
      <c r="N52" s="53"/>
      <c r="O52" s="53"/>
      <c r="P52" s="53"/>
      <c r="Q52" s="53"/>
      <c r="R52" s="53"/>
      <c r="S52" s="53"/>
      <c r="T52" s="53"/>
      <c r="U52" s="53"/>
      <c r="V52" s="53"/>
      <c r="W52" s="53"/>
      <c r="X52" s="53"/>
      <c r="Y52" s="53"/>
      <c r="Z52" s="53"/>
      <c r="AA52" s="53"/>
      <c r="AB52" s="53"/>
      <c r="AC52" s="53"/>
      <c r="AD52" s="53"/>
      <c r="AE52" s="53"/>
      <c r="AF52" s="63"/>
      <c r="AG52" s="64"/>
      <c r="AH52" s="65"/>
      <c r="AI52" s="65"/>
      <c r="AJ52" s="53"/>
      <c r="AK52" s="62"/>
      <c r="AL52" s="62"/>
      <c r="AM52" s="62"/>
      <c r="AN52" s="62"/>
      <c r="AO52" s="62"/>
      <c r="AP52" s="62"/>
      <c r="AQ52" s="62"/>
      <c r="AR52" s="62"/>
      <c r="AS52" s="62"/>
      <c r="AT52" s="62"/>
      <c r="AU52" s="62"/>
      <c r="AV52" s="62"/>
      <c r="AW52" s="62"/>
      <c r="AX52" s="62"/>
      <c r="AY52" s="62"/>
      <c r="AZ52" s="62"/>
      <c r="BA52" s="62"/>
      <c r="BB52" s="62"/>
      <c r="BC52" s="62"/>
      <c r="BD52" s="62"/>
      <c r="BE52" s="62"/>
      <c r="BF52" s="62"/>
      <c r="BG52" s="62"/>
      <c r="BH52" s="62"/>
      <c r="BI52" s="62"/>
      <c r="BJ52" s="62"/>
      <c r="BK52" s="62"/>
      <c r="BL52" s="62"/>
      <c r="BM52" s="62"/>
      <c r="BN52" s="62"/>
      <c r="BO52" s="62"/>
      <c r="BP52" s="62"/>
      <c r="BQ52" s="62"/>
      <c r="BR52" s="62"/>
      <c r="BS52" s="62"/>
      <c r="BT52" s="62"/>
      <c r="BU52" s="62"/>
      <c r="BV52" s="62"/>
      <c r="BW52" s="62"/>
      <c r="BX52" s="6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O52"/>
      <c r="JP52"/>
      <c r="JQ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  <c r="KO52"/>
      <c r="KP52"/>
      <c r="KQ52"/>
      <c r="KR52"/>
      <c r="KS52"/>
      <c r="KT52"/>
      <c r="KU52"/>
      <c r="KV52"/>
      <c r="KW52"/>
      <c r="KX52"/>
      <c r="KY52"/>
      <c r="KZ52"/>
      <c r="LA52"/>
      <c r="LB52"/>
      <c r="LC52"/>
      <c r="LD52"/>
      <c r="LE52"/>
      <c r="LF52"/>
      <c r="LG52"/>
      <c r="LH52"/>
      <c r="LI52"/>
      <c r="LJ52"/>
      <c r="LK52"/>
      <c r="LL52"/>
      <c r="LM52"/>
      <c r="LN52"/>
      <c r="LO52"/>
      <c r="LP52"/>
      <c r="LQ52"/>
      <c r="LR52"/>
      <c r="LS52"/>
      <c r="LT52"/>
      <c r="LU52"/>
      <c r="LV52"/>
      <c r="LW52"/>
      <c r="LX52"/>
      <c r="LY52"/>
      <c r="LZ52"/>
      <c r="MA52"/>
      <c r="MB52"/>
      <c r="MC52"/>
      <c r="MD52"/>
      <c r="ME52"/>
      <c r="MF52"/>
      <c r="MG52"/>
      <c r="MH52"/>
      <c r="MI52"/>
      <c r="MJ52"/>
      <c r="MK52"/>
      <c r="ML52"/>
      <c r="MM52"/>
      <c r="MN52"/>
      <c r="MO52"/>
      <c r="MP52"/>
      <c r="MQ52"/>
      <c r="MR52"/>
      <c r="MS52"/>
      <c r="MT52"/>
      <c r="MU52"/>
      <c r="MV52"/>
      <c r="MW52"/>
      <c r="MX52"/>
      <c r="MY52"/>
      <c r="MZ52"/>
      <c r="NA52"/>
      <c r="NB52"/>
      <c r="NC52"/>
      <c r="ND52"/>
      <c r="NE52"/>
      <c r="NF52"/>
      <c r="NG52"/>
      <c r="NH52"/>
      <c r="NI52"/>
      <c r="NJ52"/>
      <c r="NK52"/>
      <c r="NL52"/>
      <c r="NM52"/>
      <c r="NN52"/>
      <c r="NO52"/>
      <c r="NP52"/>
      <c r="NQ52"/>
      <c r="NR52"/>
      <c r="NS52"/>
      <c r="NT52"/>
      <c r="NU52"/>
      <c r="NV52"/>
      <c r="NW52"/>
      <c r="NX52"/>
      <c r="NY52"/>
      <c r="NZ52"/>
      <c r="OA52"/>
      <c r="OB52"/>
      <c r="OC52"/>
      <c r="OD52"/>
      <c r="OE52"/>
      <c r="OF52"/>
      <c r="OG52"/>
      <c r="OH52"/>
      <c r="OI52"/>
      <c r="OJ52"/>
      <c r="OK52"/>
      <c r="OL52"/>
      <c r="OM52"/>
      <c r="ON52"/>
      <c r="OO52"/>
      <c r="OP52"/>
      <c r="OQ52"/>
      <c r="OR52"/>
      <c r="OS52"/>
      <c r="OT52"/>
      <c r="OU52"/>
      <c r="OV52"/>
      <c r="OW52"/>
      <c r="OX52"/>
      <c r="OY52"/>
      <c r="OZ52"/>
      <c r="PA52"/>
      <c r="PB52"/>
      <c r="PC52"/>
      <c r="PD52"/>
      <c r="PE52"/>
      <c r="PF52"/>
      <c r="PG52"/>
      <c r="PH52"/>
      <c r="PI52"/>
      <c r="PJ52"/>
      <c r="PK52"/>
      <c r="PL52"/>
      <c r="PM52"/>
      <c r="PN52"/>
      <c r="PO52"/>
      <c r="PP52"/>
      <c r="PQ52"/>
      <c r="PR52"/>
      <c r="PS52"/>
      <c r="PT52"/>
      <c r="PU52"/>
      <c r="PV52"/>
      <c r="PW52"/>
      <c r="PX52"/>
      <c r="PY52"/>
      <c r="PZ52"/>
      <c r="QA52"/>
      <c r="QB52"/>
      <c r="QC52"/>
      <c r="QD52"/>
      <c r="QE52"/>
      <c r="QF52"/>
      <c r="QG52"/>
      <c r="QH52"/>
      <c r="QI52"/>
      <c r="QJ52"/>
      <c r="QK52"/>
      <c r="QL52"/>
      <c r="QM52"/>
      <c r="QN52"/>
      <c r="QO52"/>
      <c r="QP52"/>
      <c r="QQ52"/>
      <c r="QR52"/>
      <c r="QS52"/>
      <c r="QT52"/>
      <c r="QU52"/>
      <c r="QV52"/>
      <c r="QW52"/>
      <c r="QX52"/>
    </row>
    <row r="53" spans="1:466" x14ac:dyDescent="0.35">
      <c r="A53" s="53"/>
      <c r="B53" s="53"/>
      <c r="C53" s="53"/>
      <c r="D53" s="53"/>
      <c r="E53" s="53"/>
      <c r="F53" s="126" t="s">
        <v>114</v>
      </c>
      <c r="G53" s="125">
        <v>254.37</v>
      </c>
      <c r="H53" s="125">
        <v>1780.5900000000001</v>
      </c>
      <c r="I53" s="133">
        <v>7</v>
      </c>
      <c r="J53" s="53"/>
      <c r="K53" s="58">
        <v>45866</v>
      </c>
      <c r="L53" s="59" t="str">
        <f>IFERROR(VLOOKUP($A$2,Stok!$B$1:$BR$446,69,0),"")</f>
        <v/>
      </c>
      <c r="M53" s="53"/>
      <c r="N53" s="53"/>
      <c r="O53" s="53"/>
      <c r="P53" s="53"/>
      <c r="Q53" s="53"/>
      <c r="R53" s="53"/>
      <c r="S53" s="53"/>
      <c r="T53" s="53"/>
      <c r="U53" s="53"/>
      <c r="V53" s="53"/>
      <c r="W53" s="53"/>
      <c r="X53" s="53"/>
      <c r="Y53" s="53"/>
      <c r="Z53" s="53"/>
      <c r="AA53" s="53"/>
      <c r="AB53" s="53"/>
      <c r="AC53" s="53"/>
      <c r="AD53" s="53"/>
      <c r="AE53" s="53"/>
      <c r="AF53" s="63"/>
      <c r="AG53" s="64"/>
      <c r="AH53" s="65"/>
      <c r="AI53" s="65"/>
      <c r="AJ53" s="53"/>
      <c r="AK53" s="62"/>
      <c r="AL53" s="62"/>
      <c r="AM53" s="62"/>
      <c r="AN53" s="62"/>
      <c r="AO53" s="62"/>
      <c r="AP53" s="62"/>
      <c r="AQ53" s="62"/>
      <c r="AR53" s="62"/>
      <c r="AS53" s="62"/>
      <c r="AT53" s="62"/>
      <c r="AU53" s="62"/>
      <c r="AV53" s="62"/>
      <c r="AW53" s="62"/>
      <c r="AX53" s="62"/>
      <c r="AY53" s="62"/>
      <c r="AZ53" s="62"/>
      <c r="BA53" s="62"/>
      <c r="BB53" s="62"/>
      <c r="BC53" s="62"/>
      <c r="BD53" s="62"/>
      <c r="BE53" s="62"/>
      <c r="BF53" s="62"/>
      <c r="BG53" s="62"/>
      <c r="BH53" s="62"/>
      <c r="BI53" s="62"/>
      <c r="BJ53" s="62"/>
      <c r="BK53" s="62"/>
      <c r="BL53" s="62"/>
      <c r="BM53" s="62"/>
      <c r="BN53" s="62"/>
      <c r="BO53" s="62"/>
      <c r="BP53" s="62"/>
      <c r="BQ53" s="62"/>
      <c r="BR53" s="62"/>
      <c r="BS53" s="62"/>
      <c r="BT53" s="62"/>
      <c r="BU53" s="62"/>
      <c r="BV53" s="62"/>
      <c r="BW53" s="62"/>
      <c r="BX53" s="62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Q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  <c r="NV53"/>
      <c r="NW53"/>
      <c r="NX53"/>
      <c r="NY53"/>
      <c r="NZ53"/>
      <c r="OA53"/>
      <c r="OB53"/>
      <c r="OC53"/>
      <c r="OD53"/>
      <c r="OE53"/>
      <c r="OF53"/>
      <c r="OG53"/>
      <c r="OH53"/>
      <c r="OI53"/>
      <c r="OJ53"/>
      <c r="OK53"/>
      <c r="OL53"/>
      <c r="OM53"/>
      <c r="ON53"/>
      <c r="OO53"/>
      <c r="OP53"/>
      <c r="OQ53"/>
      <c r="OR53"/>
      <c r="OS53"/>
      <c r="OT53"/>
      <c r="OU53"/>
      <c r="OV53"/>
      <c r="OW53"/>
      <c r="OX53"/>
      <c r="OY53"/>
      <c r="OZ53"/>
      <c r="PA53"/>
      <c r="PB53"/>
      <c r="PC53"/>
      <c r="PD53"/>
      <c r="PE53"/>
      <c r="PF53"/>
      <c r="PG53"/>
      <c r="PH53"/>
      <c r="PI53"/>
      <c r="PJ53"/>
      <c r="PK53"/>
      <c r="PL53"/>
      <c r="PM53"/>
      <c r="PN53"/>
      <c r="PO53"/>
      <c r="PP53"/>
      <c r="PQ53"/>
      <c r="PR53"/>
      <c r="PS53"/>
      <c r="PT53"/>
      <c r="PU53"/>
      <c r="PV53"/>
      <c r="PW53"/>
      <c r="PX53"/>
      <c r="PY53"/>
      <c r="PZ53"/>
      <c r="QA53"/>
      <c r="QB53"/>
      <c r="QC53"/>
      <c r="QD53"/>
      <c r="QE53"/>
      <c r="QF53"/>
      <c r="QG53"/>
      <c r="QH53"/>
      <c r="QI53"/>
      <c r="QJ53"/>
      <c r="QK53"/>
      <c r="QL53"/>
      <c r="QM53"/>
      <c r="QN53"/>
      <c r="QO53"/>
      <c r="QP53"/>
      <c r="QQ53"/>
      <c r="QR53"/>
      <c r="QS53"/>
      <c r="QT53"/>
      <c r="QU53"/>
      <c r="QV53"/>
      <c r="QW53"/>
      <c r="QX53"/>
    </row>
    <row r="54" spans="1:466" x14ac:dyDescent="0.35">
      <c r="A54" s="53"/>
      <c r="B54" s="53"/>
      <c r="C54" s="53"/>
      <c r="D54" s="53"/>
      <c r="E54" s="53"/>
      <c r="F54" s="126" t="s">
        <v>116</v>
      </c>
      <c r="G54" s="125"/>
      <c r="H54" s="125">
        <v>0</v>
      </c>
      <c r="I54" s="133">
        <v>0</v>
      </c>
      <c r="J54" s="53"/>
      <c r="K54" s="58">
        <v>45840</v>
      </c>
      <c r="L54" s="59" t="str">
        <f>IFERROR(VLOOKUP($A$2,Stok!$B$1:$BQ$446,68,0),"")</f>
        <v/>
      </c>
      <c r="M54" s="53"/>
      <c r="N54" s="53"/>
      <c r="O54" s="53"/>
      <c r="P54" s="53"/>
      <c r="Q54" s="53"/>
      <c r="R54" s="53"/>
      <c r="S54" s="53"/>
      <c r="T54" s="53"/>
      <c r="U54" s="53"/>
      <c r="V54" s="53"/>
      <c r="W54" s="53"/>
      <c r="X54" s="53"/>
      <c r="Y54" s="53"/>
      <c r="Z54" s="53"/>
      <c r="AA54" s="53"/>
      <c r="AB54" s="53"/>
      <c r="AC54" s="53"/>
      <c r="AD54" s="53"/>
      <c r="AE54" s="53"/>
      <c r="AF54" s="63"/>
      <c r="AG54" s="64"/>
      <c r="AH54" s="65"/>
      <c r="AI54" s="65"/>
      <c r="AJ54" s="53"/>
      <c r="AK54" s="62"/>
      <c r="AL54" s="62"/>
      <c r="AM54" s="62"/>
      <c r="AN54" s="62"/>
      <c r="AO54" s="62"/>
      <c r="AP54" s="62"/>
      <c r="AQ54" s="62"/>
      <c r="AR54" s="62"/>
      <c r="AS54" s="62"/>
      <c r="AT54" s="62"/>
      <c r="AU54" s="62"/>
      <c r="AV54" s="62"/>
      <c r="AW54" s="62"/>
      <c r="AX54" s="62"/>
      <c r="AY54" s="62"/>
      <c r="AZ54" s="62"/>
      <c r="BA54" s="62"/>
      <c r="BB54" s="62"/>
      <c r="BC54" s="62"/>
      <c r="BD54" s="62"/>
      <c r="BE54" s="62"/>
      <c r="BF54" s="62"/>
      <c r="BG54" s="62"/>
      <c r="BH54" s="62"/>
      <c r="BI54" s="62"/>
      <c r="BJ54" s="62"/>
      <c r="BK54" s="62"/>
      <c r="BL54" s="62"/>
      <c r="BM54" s="62"/>
      <c r="BN54" s="62"/>
      <c r="BO54" s="62"/>
      <c r="BP54" s="62"/>
      <c r="BQ54" s="62"/>
      <c r="BR54" s="62"/>
      <c r="BS54" s="62"/>
      <c r="BT54" s="62"/>
      <c r="BU54" s="62"/>
      <c r="BV54" s="62"/>
      <c r="BW54" s="62"/>
      <c r="BX54" s="62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  <c r="PV54"/>
      <c r="PW54"/>
      <c r="PX54"/>
      <c r="PY54"/>
      <c r="PZ54"/>
      <c r="QA54"/>
      <c r="QB54"/>
      <c r="QC54"/>
      <c r="QD54"/>
      <c r="QE54"/>
      <c r="QF54"/>
      <c r="QG54"/>
      <c r="QH54"/>
      <c r="QI54"/>
      <c r="QJ54"/>
      <c r="QK54"/>
      <c r="QL54"/>
      <c r="QM54"/>
      <c r="QN54"/>
      <c r="QO54"/>
      <c r="QP54"/>
      <c r="QQ54"/>
      <c r="QR54"/>
      <c r="QS54"/>
      <c r="QT54"/>
      <c r="QU54"/>
      <c r="QV54"/>
      <c r="QW54"/>
      <c r="QX54"/>
    </row>
    <row r="55" spans="1:466" x14ac:dyDescent="0.35">
      <c r="A55" s="53"/>
      <c r="B55" s="53"/>
      <c r="C55" s="53"/>
      <c r="D55" s="53"/>
      <c r="E55" s="53"/>
      <c r="F55" s="124" t="s">
        <v>123</v>
      </c>
      <c r="G55" s="125">
        <v>733.23000000000013</v>
      </c>
      <c r="H55" s="125">
        <v>6045.15</v>
      </c>
      <c r="I55" s="133">
        <v>646</v>
      </c>
      <c r="J55" s="53"/>
      <c r="K55" s="58">
        <v>45824</v>
      </c>
      <c r="L55" s="59" t="str">
        <f>IFERROR(VLOOKUP($A$2,Stok!$B$1:$BP$446,67,0),"")</f>
        <v/>
      </c>
      <c r="M55" s="53"/>
      <c r="N55" s="53"/>
      <c r="O55" s="53"/>
      <c r="P55" s="53"/>
      <c r="Q55" s="53"/>
      <c r="R55" s="53"/>
      <c r="S55" s="53"/>
      <c r="T55" s="53"/>
      <c r="U55" s="53"/>
      <c r="V55" s="53"/>
      <c r="W55" s="53"/>
      <c r="X55" s="53"/>
      <c r="Y55" s="53"/>
      <c r="Z55" s="53"/>
      <c r="AA55" s="53"/>
      <c r="AB55" s="53"/>
      <c r="AC55" s="53"/>
      <c r="AD55" s="53"/>
      <c r="AE55" s="53"/>
      <c r="AF55" s="63"/>
      <c r="AG55" s="64"/>
      <c r="AH55" s="65"/>
      <c r="AI55" s="65"/>
      <c r="AJ55" s="53"/>
      <c r="AK55" s="62"/>
      <c r="AL55" s="62"/>
      <c r="AM55" s="62"/>
      <c r="AN55" s="62"/>
      <c r="AO55" s="62"/>
      <c r="AP55" s="62"/>
      <c r="AQ55" s="62"/>
      <c r="AR55" s="62"/>
      <c r="AS55" s="62"/>
      <c r="AT55" s="62"/>
      <c r="AU55" s="62"/>
      <c r="AV55" s="62"/>
      <c r="AW55" s="62"/>
      <c r="AX55" s="62"/>
      <c r="AY55" s="62"/>
      <c r="AZ55" s="62"/>
      <c r="BA55" s="62"/>
      <c r="BB55" s="62"/>
      <c r="BC55" s="62"/>
      <c r="BD55" s="62"/>
      <c r="BE55" s="62"/>
      <c r="BF55" s="62"/>
      <c r="BG55" s="62"/>
      <c r="BH55" s="62"/>
      <c r="BI55" s="62"/>
      <c r="BJ55" s="62"/>
      <c r="BK55" s="62"/>
      <c r="BL55" s="62"/>
      <c r="BM55" s="62"/>
      <c r="BN55" s="62"/>
      <c r="BO55" s="62"/>
      <c r="BP55" s="62"/>
      <c r="BQ55" s="62"/>
      <c r="BR55" s="62"/>
      <c r="BS55" s="62"/>
      <c r="BT55" s="62"/>
      <c r="BU55" s="62"/>
      <c r="BV55" s="62"/>
      <c r="BW55" s="62"/>
      <c r="BX55" s="62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  <c r="NV55"/>
      <c r="NW55"/>
      <c r="NX55"/>
      <c r="NY55"/>
      <c r="NZ55"/>
      <c r="OA55"/>
      <c r="OB55"/>
      <c r="OC55"/>
      <c r="OD55"/>
      <c r="OE55"/>
      <c r="OF55"/>
      <c r="OG55"/>
      <c r="OH55"/>
      <c r="OI55"/>
      <c r="OJ55"/>
      <c r="OK55"/>
      <c r="OL55"/>
      <c r="OM55"/>
      <c r="ON55"/>
      <c r="OO55"/>
      <c r="OP55"/>
      <c r="OQ55"/>
      <c r="OR55"/>
      <c r="OS55"/>
      <c r="OT55"/>
      <c r="OU55"/>
      <c r="OV55"/>
      <c r="OW55"/>
      <c r="OX55"/>
      <c r="OY55"/>
      <c r="OZ55"/>
      <c r="PA55"/>
      <c r="PB55"/>
      <c r="PC55"/>
      <c r="PD55"/>
      <c r="PE55"/>
      <c r="PF55"/>
      <c r="PG55"/>
      <c r="PH55"/>
      <c r="PI55"/>
      <c r="PJ55"/>
      <c r="PK55"/>
      <c r="PL55"/>
      <c r="PM55"/>
      <c r="PN55"/>
      <c r="PO55"/>
      <c r="PP55"/>
      <c r="PQ55"/>
      <c r="PR55"/>
      <c r="PS55"/>
      <c r="PT55"/>
      <c r="PU55"/>
      <c r="PV55"/>
      <c r="PW55"/>
      <c r="PX55"/>
      <c r="PY55"/>
      <c r="PZ55"/>
      <c r="QA55"/>
      <c r="QB55"/>
      <c r="QC55"/>
      <c r="QD55"/>
      <c r="QE55"/>
      <c r="QF55"/>
      <c r="QG55"/>
      <c r="QH55"/>
      <c r="QI55"/>
      <c r="QJ55"/>
      <c r="QK55"/>
      <c r="QL55"/>
      <c r="QM55"/>
      <c r="QN55"/>
      <c r="QO55"/>
      <c r="QP55"/>
      <c r="QQ55"/>
      <c r="QR55"/>
      <c r="QS55"/>
      <c r="QT55"/>
      <c r="QU55"/>
      <c r="QV55"/>
      <c r="QW55"/>
      <c r="QX55"/>
    </row>
    <row r="56" spans="1:466" x14ac:dyDescent="0.35">
      <c r="A56" s="53"/>
      <c r="B56" s="53"/>
      <c r="C56" s="53"/>
      <c r="D56" s="53"/>
      <c r="E56" s="53"/>
      <c r="F56" s="126">
        <v>760248523</v>
      </c>
      <c r="G56" s="125">
        <v>1.7</v>
      </c>
      <c r="H56" s="125">
        <v>13.6</v>
      </c>
      <c r="I56" s="133">
        <v>8</v>
      </c>
      <c r="J56" s="53"/>
      <c r="K56" s="58">
        <v>45805</v>
      </c>
      <c r="L56" s="59" t="str">
        <f>IFERROR(VLOOKUP($A$2,Stok!$B$1:$BO$446,66,0),"")</f>
        <v/>
      </c>
      <c r="M56" s="53"/>
      <c r="N56" s="53"/>
      <c r="O56" s="53"/>
      <c r="P56" s="53"/>
      <c r="Q56" s="53"/>
      <c r="R56" s="53"/>
      <c r="S56" s="53"/>
      <c r="T56" s="53"/>
      <c r="U56" s="53"/>
      <c r="V56" s="53"/>
      <c r="W56" s="53"/>
      <c r="X56" s="53"/>
      <c r="Y56" s="53"/>
      <c r="Z56" s="53"/>
      <c r="AA56" s="53"/>
      <c r="AB56" s="53"/>
      <c r="AC56" s="53"/>
      <c r="AD56" s="53"/>
      <c r="AE56" s="53"/>
      <c r="AF56" s="63"/>
      <c r="AG56" s="64"/>
      <c r="AH56" s="65"/>
      <c r="AI56" s="65"/>
      <c r="AJ56" s="53"/>
      <c r="AK56" s="62"/>
      <c r="AL56" s="62"/>
      <c r="AM56" s="62"/>
      <c r="AN56" s="62"/>
      <c r="AO56" s="62"/>
      <c r="AP56" s="62"/>
      <c r="AQ56" s="62"/>
      <c r="AR56" s="62"/>
      <c r="AS56" s="62"/>
      <c r="AT56" s="62"/>
      <c r="AU56" s="62"/>
      <c r="AV56" s="62"/>
      <c r="AW56" s="62"/>
      <c r="AX56" s="62"/>
      <c r="AY56" s="62"/>
      <c r="AZ56" s="62"/>
      <c r="BA56" s="62"/>
      <c r="BB56" s="62"/>
      <c r="BC56" s="62"/>
      <c r="BD56" s="62"/>
      <c r="BE56" s="62"/>
      <c r="BF56" s="62"/>
      <c r="BG56" s="62"/>
      <c r="BH56" s="62"/>
      <c r="BI56" s="62"/>
      <c r="BJ56" s="62"/>
      <c r="BK56" s="62"/>
      <c r="BL56" s="62"/>
      <c r="BM56" s="62"/>
      <c r="BN56" s="62"/>
      <c r="BO56" s="62"/>
      <c r="BP56" s="62"/>
      <c r="BQ56" s="62"/>
      <c r="BR56" s="62"/>
      <c r="BS56" s="62"/>
      <c r="BT56" s="62"/>
      <c r="BU56" s="62"/>
      <c r="BV56" s="62"/>
      <c r="BW56" s="62"/>
      <c r="BX56" s="62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  <c r="PV56"/>
      <c r="PW56"/>
      <c r="PX56"/>
      <c r="PY56"/>
      <c r="PZ56"/>
      <c r="QA56"/>
      <c r="QB56"/>
      <c r="QC56"/>
      <c r="QD56"/>
      <c r="QE56"/>
      <c r="QF56"/>
      <c r="QG56"/>
      <c r="QH56"/>
      <c r="QI56"/>
      <c r="QJ56"/>
      <c r="QK56"/>
      <c r="QL56"/>
      <c r="QM56"/>
      <c r="QN56"/>
      <c r="QO56"/>
      <c r="QP56"/>
      <c r="QQ56"/>
      <c r="QR56"/>
      <c r="QS56"/>
      <c r="QT56"/>
      <c r="QU56"/>
      <c r="QV56"/>
      <c r="QW56"/>
      <c r="QX56"/>
    </row>
    <row r="57" spans="1:466" x14ac:dyDescent="0.35">
      <c r="A57" s="53"/>
      <c r="B57" s="53"/>
      <c r="C57" s="53"/>
      <c r="D57" s="53"/>
      <c r="E57" s="53"/>
      <c r="F57" s="126">
        <v>760248525</v>
      </c>
      <c r="G57" s="125">
        <v>2.7</v>
      </c>
      <c r="H57" s="125">
        <v>0</v>
      </c>
      <c r="I57" s="133">
        <v>0</v>
      </c>
      <c r="J57" s="53"/>
      <c r="K57" s="58">
        <v>45797</v>
      </c>
      <c r="L57" s="59" t="str">
        <f>IFERROR(VLOOKUP($A$2,Stok!$B$1:$BN$446,65,0),"")</f>
        <v/>
      </c>
      <c r="M57" s="53"/>
      <c r="N57" s="53"/>
      <c r="O57" s="53"/>
      <c r="P57" s="53"/>
      <c r="Q57" s="53"/>
      <c r="R57" s="53"/>
      <c r="S57" s="53"/>
      <c r="T57" s="53"/>
      <c r="U57" s="53"/>
      <c r="V57" s="53"/>
      <c r="W57" s="53"/>
      <c r="X57" s="53"/>
      <c r="Y57" s="53"/>
      <c r="Z57" s="53"/>
      <c r="AA57" s="53"/>
      <c r="AB57" s="53"/>
      <c r="AC57" s="53"/>
      <c r="AD57" s="53"/>
      <c r="AE57" s="53"/>
      <c r="AF57" s="63"/>
      <c r="AG57" s="64"/>
      <c r="AH57" s="65"/>
      <c r="AI57" s="65"/>
      <c r="AJ57" s="53"/>
      <c r="AK57" s="62"/>
      <c r="AL57" s="62"/>
      <c r="AM57" s="62"/>
      <c r="AN57" s="62"/>
      <c r="AO57" s="62"/>
      <c r="AP57" s="62"/>
      <c r="AQ57" s="62"/>
      <c r="AR57" s="62"/>
      <c r="AS57" s="62"/>
      <c r="AT57" s="62"/>
      <c r="AU57" s="62"/>
      <c r="AV57" s="62"/>
      <c r="AW57" s="62"/>
      <c r="AX57" s="62"/>
      <c r="AY57" s="62"/>
      <c r="AZ57" s="62"/>
      <c r="BA57" s="62"/>
      <c r="BB57" s="62"/>
      <c r="BC57" s="62"/>
      <c r="BD57" s="62"/>
      <c r="BE57" s="62"/>
      <c r="BF57" s="62"/>
      <c r="BG57" s="62"/>
      <c r="BH57" s="62"/>
      <c r="BI57" s="62"/>
      <c r="BJ57" s="62"/>
      <c r="BK57" s="62"/>
      <c r="BL57" s="62"/>
      <c r="BM57" s="62"/>
      <c r="BN57" s="62"/>
      <c r="BO57" s="62"/>
      <c r="BP57" s="62"/>
      <c r="BQ57" s="62"/>
      <c r="BR57" s="62"/>
      <c r="BS57" s="62"/>
      <c r="BT57" s="62"/>
      <c r="BU57" s="62"/>
      <c r="BV57" s="62"/>
      <c r="BW57" s="62"/>
      <c r="BX57" s="62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O57"/>
      <c r="JP57"/>
      <c r="JQ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  <c r="KO57"/>
      <c r="KP57"/>
      <c r="KQ57"/>
      <c r="KR57"/>
      <c r="KS57"/>
      <c r="KT57"/>
      <c r="KU57"/>
      <c r="KV57"/>
      <c r="KW57"/>
      <c r="KX57"/>
      <c r="KY57"/>
      <c r="KZ57"/>
      <c r="LA57"/>
      <c r="LB57"/>
      <c r="LC57"/>
      <c r="LD57"/>
      <c r="LE57"/>
      <c r="LF57"/>
      <c r="LG57"/>
      <c r="LH57"/>
      <c r="LI57"/>
      <c r="LJ57"/>
      <c r="LK57"/>
      <c r="LL57"/>
      <c r="LM57"/>
      <c r="LN57"/>
      <c r="LO57"/>
      <c r="LP57"/>
      <c r="LQ57"/>
      <c r="LR57"/>
      <c r="LS57"/>
      <c r="LT57"/>
      <c r="LU57"/>
      <c r="LV57"/>
      <c r="LW57"/>
      <c r="LX57"/>
      <c r="LY57"/>
      <c r="LZ57"/>
      <c r="MA57"/>
      <c r="MB57"/>
      <c r="MC57"/>
      <c r="MD57"/>
      <c r="ME57"/>
      <c r="MF57"/>
      <c r="MG57"/>
      <c r="MH57"/>
      <c r="MI57"/>
      <c r="MJ57"/>
      <c r="MK57"/>
      <c r="ML57"/>
      <c r="MM57"/>
      <c r="MN57"/>
      <c r="MO57"/>
      <c r="MP57"/>
      <c r="MQ57"/>
      <c r="MR57"/>
      <c r="MS57"/>
      <c r="MT57"/>
      <c r="MU57"/>
      <c r="MV57"/>
      <c r="MW57"/>
      <c r="MX57"/>
      <c r="MY57"/>
      <c r="MZ57"/>
      <c r="NA57"/>
      <c r="NB57"/>
      <c r="NC57"/>
      <c r="ND57"/>
      <c r="NE57"/>
      <c r="NF57"/>
      <c r="NG57"/>
      <c r="NH57"/>
      <c r="NI57"/>
      <c r="NJ57"/>
      <c r="NK57"/>
      <c r="NL57"/>
      <c r="NM57"/>
      <c r="NN57"/>
      <c r="NO57"/>
      <c r="NP57"/>
      <c r="NQ57"/>
      <c r="NR57"/>
      <c r="NS57"/>
      <c r="NT57"/>
      <c r="NU57"/>
      <c r="NV57"/>
      <c r="NW57"/>
      <c r="NX57"/>
      <c r="NY57"/>
      <c r="NZ57"/>
      <c r="OA57"/>
      <c r="OB57"/>
      <c r="OC57"/>
      <c r="OD57"/>
      <c r="OE57"/>
      <c r="OF57"/>
      <c r="OG57"/>
      <c r="OH57"/>
      <c r="OI57"/>
      <c r="OJ57"/>
      <c r="OK57"/>
      <c r="OL57"/>
      <c r="OM57"/>
      <c r="ON57"/>
      <c r="OO57"/>
      <c r="OP57"/>
      <c r="OQ57"/>
      <c r="OR57"/>
      <c r="OS57"/>
      <c r="OT57"/>
      <c r="OU57"/>
      <c r="OV57"/>
      <c r="OW57"/>
      <c r="OX57"/>
      <c r="OY57"/>
      <c r="OZ57"/>
      <c r="PA57"/>
      <c r="PB57"/>
      <c r="PC57"/>
      <c r="PD57"/>
      <c r="PE57"/>
      <c r="PF57"/>
      <c r="PG57"/>
      <c r="PH57"/>
      <c r="PI57"/>
      <c r="PJ57"/>
      <c r="PK57"/>
      <c r="PL57"/>
      <c r="PM57"/>
      <c r="PN57"/>
      <c r="PO57"/>
      <c r="PP57"/>
      <c r="PQ57"/>
      <c r="PR57"/>
      <c r="PS57"/>
      <c r="PT57"/>
      <c r="PU57"/>
      <c r="PV57"/>
      <c r="PW57"/>
      <c r="PX57"/>
      <c r="PY57"/>
      <c r="PZ57"/>
      <c r="QA57"/>
      <c r="QB57"/>
      <c r="QC57"/>
      <c r="QD57"/>
      <c r="QE57"/>
      <c r="QF57"/>
      <c r="QG57"/>
      <c r="QH57"/>
      <c r="QI57"/>
      <c r="QJ57"/>
      <c r="QK57"/>
      <c r="QL57"/>
      <c r="QM57"/>
      <c r="QN57"/>
      <c r="QO57"/>
      <c r="QP57"/>
      <c r="QQ57"/>
      <c r="QR57"/>
      <c r="QS57"/>
      <c r="QT57"/>
      <c r="QU57"/>
      <c r="QV57"/>
      <c r="QW57"/>
      <c r="QX57"/>
    </row>
    <row r="58" spans="1:466" x14ac:dyDescent="0.35">
      <c r="A58" s="53"/>
      <c r="B58" s="53"/>
      <c r="C58" s="53"/>
      <c r="D58" s="53"/>
      <c r="E58" s="53"/>
      <c r="F58" s="126">
        <v>760248968</v>
      </c>
      <c r="G58" s="125">
        <v>390</v>
      </c>
      <c r="H58" s="125">
        <v>3900</v>
      </c>
      <c r="I58" s="133">
        <v>10</v>
      </c>
      <c r="J58" s="53"/>
      <c r="K58" s="58">
        <v>45783</v>
      </c>
      <c r="L58" s="59" t="str">
        <f>IFERROR(VLOOKUP($A$2,Stok!$B$1:$BM$446,64,0),"")</f>
        <v/>
      </c>
      <c r="M58" s="53"/>
      <c r="N58" s="53"/>
      <c r="O58" s="53"/>
      <c r="P58" s="53"/>
      <c r="Q58" s="53"/>
      <c r="R58" s="53"/>
      <c r="S58" s="53"/>
      <c r="T58" s="53"/>
      <c r="U58" s="53"/>
      <c r="V58" s="53"/>
      <c r="W58" s="53"/>
      <c r="X58" s="53"/>
      <c r="Y58" s="53"/>
      <c r="Z58" s="53"/>
      <c r="AA58" s="53"/>
      <c r="AB58" s="53"/>
      <c r="AC58" s="53"/>
      <c r="AD58" s="53"/>
      <c r="AE58" s="53"/>
      <c r="AF58" s="63"/>
      <c r="AG58" s="64"/>
      <c r="AH58" s="65"/>
      <c r="AI58" s="65"/>
      <c r="AJ58" s="53"/>
      <c r="AK58" s="62"/>
      <c r="AL58" s="62"/>
      <c r="AM58" s="62"/>
      <c r="AN58" s="62"/>
      <c r="AO58" s="62"/>
      <c r="AP58" s="62"/>
      <c r="AQ58" s="62"/>
      <c r="AR58" s="62"/>
      <c r="AS58" s="62"/>
      <c r="AT58" s="62"/>
      <c r="AU58" s="62"/>
      <c r="AV58" s="62"/>
      <c r="AW58" s="62"/>
      <c r="AX58" s="62"/>
      <c r="AY58" s="62"/>
      <c r="AZ58" s="62"/>
      <c r="BA58" s="62"/>
      <c r="BB58" s="62"/>
      <c r="BC58" s="62"/>
      <c r="BD58" s="62"/>
      <c r="BE58" s="62"/>
      <c r="BF58" s="62"/>
      <c r="BG58" s="62"/>
      <c r="BH58" s="62"/>
      <c r="BI58" s="62"/>
      <c r="BJ58" s="62"/>
      <c r="BK58" s="62"/>
      <c r="BL58" s="62"/>
      <c r="BM58" s="62"/>
      <c r="BN58" s="62"/>
      <c r="BO58" s="62"/>
      <c r="BP58" s="62"/>
      <c r="BQ58" s="62"/>
      <c r="BR58" s="62"/>
      <c r="BS58" s="62"/>
      <c r="BT58" s="62"/>
      <c r="BU58" s="62"/>
      <c r="BV58" s="62"/>
      <c r="BW58" s="62"/>
      <c r="BX58" s="62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O58"/>
      <c r="JP58"/>
      <c r="JQ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/>
      <c r="KO58"/>
      <c r="KP58"/>
      <c r="KQ58"/>
      <c r="KR58"/>
      <c r="KS58"/>
      <c r="KT58"/>
      <c r="KU58"/>
      <c r="KV58"/>
      <c r="KW58"/>
      <c r="KX58"/>
      <c r="KY58"/>
      <c r="KZ58"/>
      <c r="LA58"/>
      <c r="LB58"/>
      <c r="LC58"/>
      <c r="LD58"/>
      <c r="LE58"/>
      <c r="LF58"/>
      <c r="LG58"/>
      <c r="LH58"/>
      <c r="LI58"/>
      <c r="LJ58"/>
      <c r="LK58"/>
      <c r="LL58"/>
      <c r="LM58"/>
      <c r="LN58"/>
      <c r="LO58"/>
      <c r="LP58"/>
      <c r="LQ58"/>
      <c r="LR58"/>
      <c r="LS58"/>
      <c r="LT58"/>
      <c r="LU58"/>
      <c r="LV58"/>
      <c r="LW58"/>
      <c r="LX58"/>
      <c r="LY58"/>
      <c r="LZ58"/>
      <c r="MA58"/>
      <c r="MB58"/>
      <c r="MC58"/>
      <c r="MD58"/>
      <c r="ME58"/>
      <c r="MF58"/>
      <c r="MG58"/>
      <c r="MH58"/>
      <c r="MI58"/>
      <c r="MJ58"/>
      <c r="MK58"/>
      <c r="ML58"/>
      <c r="MM58"/>
      <c r="MN58"/>
      <c r="MO58"/>
      <c r="MP58"/>
      <c r="MQ58"/>
      <c r="MR58"/>
      <c r="MS58"/>
      <c r="MT58"/>
      <c r="MU58"/>
      <c r="MV58"/>
      <c r="MW58"/>
      <c r="MX58"/>
      <c r="MY58"/>
      <c r="MZ58"/>
      <c r="NA58"/>
      <c r="NB58"/>
      <c r="NC58"/>
      <c r="ND58"/>
      <c r="NE58"/>
      <c r="NF58"/>
      <c r="NG58"/>
      <c r="NH58"/>
      <c r="NI58"/>
      <c r="NJ58"/>
      <c r="NK58"/>
      <c r="NL58"/>
      <c r="NM58"/>
      <c r="NN58"/>
      <c r="NO58"/>
      <c r="NP58"/>
      <c r="NQ58"/>
      <c r="NR58"/>
      <c r="NS58"/>
      <c r="NT58"/>
      <c r="NU58"/>
      <c r="NV58"/>
      <c r="NW58"/>
      <c r="NX58"/>
      <c r="NY58"/>
      <c r="NZ58"/>
      <c r="OA58"/>
      <c r="OB58"/>
      <c r="OC58"/>
      <c r="OD58"/>
      <c r="OE58"/>
      <c r="OF58"/>
      <c r="OG58"/>
      <c r="OH58"/>
      <c r="OI58"/>
      <c r="OJ58"/>
      <c r="OK58"/>
      <c r="OL58"/>
      <c r="OM58"/>
      <c r="ON58"/>
      <c r="OO58"/>
      <c r="OP58"/>
      <c r="OQ58"/>
      <c r="OR58"/>
      <c r="OS58"/>
      <c r="OT58"/>
      <c r="OU58"/>
      <c r="OV58"/>
      <c r="OW58"/>
      <c r="OX58"/>
      <c r="OY58"/>
      <c r="OZ58"/>
      <c r="PA58"/>
      <c r="PB58"/>
      <c r="PC58"/>
      <c r="PD58"/>
      <c r="PE58"/>
      <c r="PF58"/>
      <c r="PG58"/>
      <c r="PH58"/>
      <c r="PI58"/>
      <c r="PJ58"/>
      <c r="PK58"/>
      <c r="PL58"/>
      <c r="PM58"/>
      <c r="PN58"/>
      <c r="PO58"/>
      <c r="PP58"/>
      <c r="PQ58"/>
      <c r="PR58"/>
      <c r="PS58"/>
      <c r="PT58"/>
      <c r="PU58"/>
      <c r="PV58"/>
      <c r="PW58"/>
      <c r="PX58"/>
      <c r="PY58"/>
      <c r="PZ58"/>
      <c r="QA58"/>
      <c r="QB58"/>
      <c r="QC58"/>
      <c r="QD58"/>
      <c r="QE58"/>
      <c r="QF58"/>
      <c r="QG58"/>
      <c r="QH58"/>
      <c r="QI58"/>
      <c r="QJ58"/>
      <c r="QK58"/>
      <c r="QL58"/>
      <c r="QM58"/>
      <c r="QN58"/>
      <c r="QO58"/>
      <c r="QP58"/>
      <c r="QQ58"/>
      <c r="QR58"/>
      <c r="QS58"/>
      <c r="QT58"/>
      <c r="QU58"/>
      <c r="QV58"/>
      <c r="QW58"/>
      <c r="QX58"/>
    </row>
    <row r="59" spans="1:466" x14ac:dyDescent="0.35">
      <c r="A59" s="53"/>
      <c r="B59" s="53"/>
      <c r="C59" s="53"/>
      <c r="D59" s="53"/>
      <c r="E59" s="53"/>
      <c r="F59" s="126">
        <v>760253419</v>
      </c>
      <c r="G59" s="125">
        <v>5.55</v>
      </c>
      <c r="H59" s="125">
        <v>405.15</v>
      </c>
      <c r="I59" s="133">
        <v>73</v>
      </c>
      <c r="J59" s="53"/>
      <c r="K59" s="58">
        <v>45769</v>
      </c>
      <c r="L59" s="59" t="str">
        <f>IFERROR(VLOOKUP($A$2,Stok!$B$1:$BL$446,63,0),"")</f>
        <v/>
      </c>
      <c r="M59" s="53"/>
      <c r="N59" s="53"/>
      <c r="O59" s="53"/>
      <c r="P59" s="53"/>
      <c r="Q59" s="53"/>
      <c r="R59" s="53"/>
      <c r="S59" s="53"/>
      <c r="T59" s="53"/>
      <c r="U59" s="53"/>
      <c r="V59" s="53"/>
      <c r="W59" s="53"/>
      <c r="X59" s="53"/>
      <c r="Y59" s="53"/>
      <c r="Z59" s="53"/>
      <c r="AA59" s="53"/>
      <c r="AB59" s="53"/>
      <c r="AC59" s="53"/>
      <c r="AD59" s="53"/>
      <c r="AE59" s="53"/>
      <c r="AF59" s="63"/>
      <c r="AG59" s="64"/>
      <c r="AH59" s="65"/>
      <c r="AI59" s="65"/>
      <c r="AJ59" s="53"/>
      <c r="AK59" s="62"/>
      <c r="AL59" s="62"/>
      <c r="AM59" s="62"/>
      <c r="AN59" s="62"/>
      <c r="AO59" s="62"/>
      <c r="AP59" s="62"/>
      <c r="AQ59" s="62"/>
      <c r="AR59" s="62"/>
      <c r="AS59" s="62"/>
      <c r="AT59" s="62"/>
      <c r="AU59" s="62"/>
      <c r="AV59" s="62"/>
      <c r="AW59" s="62"/>
      <c r="AX59" s="62"/>
      <c r="AY59" s="62"/>
      <c r="AZ59" s="62"/>
      <c r="BA59" s="62"/>
      <c r="BB59" s="62"/>
      <c r="BC59" s="62"/>
      <c r="BD59" s="62"/>
      <c r="BE59" s="62"/>
      <c r="BF59" s="62"/>
      <c r="BG59" s="62"/>
      <c r="BH59" s="62"/>
      <c r="BI59" s="62"/>
      <c r="BJ59" s="62"/>
      <c r="BK59" s="62"/>
      <c r="BL59" s="62"/>
      <c r="BM59" s="62"/>
      <c r="BN59" s="62"/>
      <c r="BO59" s="62"/>
      <c r="BP59" s="62"/>
      <c r="BQ59" s="62"/>
      <c r="BR59" s="62"/>
      <c r="BS59" s="62"/>
      <c r="BT59" s="62"/>
      <c r="BU59" s="62"/>
      <c r="BV59" s="62"/>
      <c r="BW59" s="62"/>
      <c r="BX59" s="62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O59"/>
      <c r="JP59"/>
      <c r="JQ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/>
      <c r="KO59"/>
      <c r="KP59"/>
      <c r="KQ59"/>
      <c r="KR59"/>
      <c r="KS59"/>
      <c r="KT59"/>
      <c r="KU59"/>
      <c r="KV59"/>
      <c r="KW59"/>
      <c r="KX59"/>
      <c r="KY59"/>
      <c r="KZ59"/>
      <c r="LA59"/>
      <c r="LB59"/>
      <c r="LC59"/>
      <c r="LD59"/>
      <c r="LE59"/>
      <c r="LF59"/>
      <c r="LG59"/>
      <c r="LH59"/>
      <c r="LI59"/>
      <c r="LJ59"/>
      <c r="LK59"/>
      <c r="LL59"/>
      <c r="LM59"/>
      <c r="LN59"/>
      <c r="LO59"/>
      <c r="LP59"/>
      <c r="LQ59"/>
      <c r="LR59"/>
      <c r="LS59"/>
      <c r="LT59"/>
      <c r="LU59"/>
      <c r="LV59"/>
      <c r="LW59"/>
      <c r="LX59"/>
      <c r="LY59"/>
      <c r="LZ59"/>
      <c r="MA59"/>
      <c r="MB59"/>
      <c r="MC59"/>
      <c r="MD59"/>
      <c r="ME59"/>
      <c r="MF59"/>
      <c r="MG59"/>
      <c r="MH59"/>
      <c r="MI59"/>
      <c r="MJ59"/>
      <c r="MK59"/>
      <c r="ML59"/>
      <c r="MM59"/>
      <c r="MN59"/>
      <c r="MO59"/>
      <c r="MP59"/>
      <c r="MQ59"/>
      <c r="MR59"/>
      <c r="MS59"/>
      <c r="MT59"/>
      <c r="MU59"/>
      <c r="MV59"/>
      <c r="MW59"/>
      <c r="MX59"/>
      <c r="MY59"/>
      <c r="MZ59"/>
      <c r="NA59"/>
      <c r="NB59"/>
      <c r="NC59"/>
      <c r="ND59"/>
      <c r="NE59"/>
      <c r="NF59"/>
      <c r="NG59"/>
      <c r="NH59"/>
      <c r="NI59"/>
      <c r="NJ59"/>
      <c r="NK59"/>
      <c r="NL59"/>
      <c r="NM59"/>
      <c r="NN59"/>
      <c r="NO59"/>
      <c r="NP59"/>
      <c r="NQ59"/>
      <c r="NR59"/>
      <c r="NS59"/>
      <c r="NT59"/>
      <c r="NU59"/>
      <c r="NV59"/>
      <c r="NW59"/>
      <c r="NX59"/>
      <c r="NY59"/>
      <c r="NZ59"/>
      <c r="OA59"/>
      <c r="OB59"/>
      <c r="OC59"/>
      <c r="OD59"/>
      <c r="OE59"/>
      <c r="OF59"/>
      <c r="OG59"/>
      <c r="OH59"/>
      <c r="OI59"/>
      <c r="OJ59"/>
      <c r="OK59"/>
      <c r="OL59"/>
      <c r="OM59"/>
      <c r="ON59"/>
      <c r="OO59"/>
      <c r="OP59"/>
      <c r="OQ59"/>
      <c r="OR59"/>
      <c r="OS59"/>
      <c r="OT59"/>
      <c r="OU59"/>
      <c r="OV59"/>
      <c r="OW59"/>
      <c r="OX59"/>
      <c r="OY59"/>
      <c r="OZ59"/>
      <c r="PA59"/>
      <c r="PB59"/>
      <c r="PC59"/>
      <c r="PD59"/>
      <c r="PE59"/>
      <c r="PF59"/>
      <c r="PG59"/>
      <c r="PH59"/>
      <c r="PI59"/>
      <c r="PJ59"/>
      <c r="PK59"/>
      <c r="PL59"/>
      <c r="PM59"/>
      <c r="PN59"/>
      <c r="PO59"/>
      <c r="PP59"/>
      <c r="PQ59"/>
      <c r="PR59"/>
      <c r="PS59"/>
      <c r="PT59"/>
      <c r="PU59"/>
      <c r="PV59"/>
      <c r="PW59"/>
      <c r="PX59"/>
      <c r="PY59"/>
      <c r="PZ59"/>
      <c r="QA59"/>
      <c r="QB59"/>
      <c r="QC59"/>
      <c r="QD59"/>
      <c r="QE59"/>
      <c r="QF59"/>
      <c r="QG59"/>
      <c r="QH59"/>
      <c r="QI59"/>
      <c r="QJ59"/>
      <c r="QK59"/>
      <c r="QL59"/>
      <c r="QM59"/>
      <c r="QN59"/>
      <c r="QO59"/>
      <c r="QP59"/>
      <c r="QQ59"/>
      <c r="QR59"/>
      <c r="QS59"/>
      <c r="QT59"/>
      <c r="QU59"/>
      <c r="QV59"/>
      <c r="QW59"/>
      <c r="QX59"/>
    </row>
    <row r="60" spans="1:466" x14ac:dyDescent="0.35">
      <c r="A60" s="53"/>
      <c r="B60" s="53"/>
      <c r="C60" s="53"/>
      <c r="D60" s="53"/>
      <c r="E60" s="53"/>
      <c r="F60" s="126">
        <v>760253420</v>
      </c>
      <c r="G60" s="125">
        <v>20</v>
      </c>
      <c r="H60" s="125">
        <v>0</v>
      </c>
      <c r="I60" s="133">
        <v>0</v>
      </c>
      <c r="J60" s="53"/>
      <c r="K60" s="58">
        <v>45762</v>
      </c>
      <c r="L60" s="59" t="str">
        <f>IFERROR(VLOOKUP($A$2,Stok!$B$1:$BK$446,62,0),"")</f>
        <v/>
      </c>
      <c r="M60" s="53"/>
      <c r="N60" s="53"/>
      <c r="O60" s="53"/>
      <c r="P60" s="53"/>
      <c r="Q60" s="53"/>
      <c r="R60" s="53"/>
      <c r="S60" s="53"/>
      <c r="T60" s="53"/>
      <c r="U60" s="53"/>
      <c r="V60" s="53"/>
      <c r="W60" s="53"/>
      <c r="X60" s="53"/>
      <c r="Y60" s="53"/>
      <c r="Z60" s="53"/>
      <c r="AA60" s="53"/>
      <c r="AB60" s="53"/>
      <c r="AC60" s="53"/>
      <c r="AD60" s="53"/>
      <c r="AE60" s="53"/>
      <c r="AF60" s="63"/>
      <c r="AG60" s="64"/>
      <c r="AH60" s="65"/>
      <c r="AI60" s="65"/>
      <c r="AJ60" s="53"/>
      <c r="AK60" s="62"/>
      <c r="AL60" s="62"/>
      <c r="AM60" s="62"/>
      <c r="AN60" s="62"/>
      <c r="AO60" s="62"/>
      <c r="AP60" s="62"/>
      <c r="AQ60" s="62"/>
      <c r="AR60" s="62"/>
      <c r="AS60" s="62"/>
      <c r="AT60" s="62"/>
      <c r="AU60" s="62"/>
      <c r="AV60" s="62"/>
      <c r="AW60" s="62"/>
      <c r="AX60" s="62"/>
      <c r="AY60" s="62"/>
      <c r="AZ60" s="62"/>
      <c r="BA60" s="62"/>
      <c r="BB60" s="62"/>
      <c r="BC60" s="62"/>
      <c r="BD60" s="62"/>
      <c r="BE60" s="62"/>
      <c r="BF60" s="62"/>
      <c r="BG60" s="62"/>
      <c r="BH60" s="62"/>
      <c r="BI60" s="62"/>
      <c r="BJ60" s="62"/>
      <c r="BK60" s="62"/>
      <c r="BL60" s="62"/>
      <c r="BM60" s="62"/>
      <c r="BN60" s="62"/>
      <c r="BO60" s="62"/>
      <c r="BP60" s="62"/>
      <c r="BQ60" s="62"/>
      <c r="BR60" s="62"/>
      <c r="BS60" s="62"/>
      <c r="BT60" s="62"/>
      <c r="BU60" s="62"/>
      <c r="BV60" s="62"/>
      <c r="BW60" s="62"/>
      <c r="BX60" s="62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  <c r="JL60"/>
      <c r="JM60"/>
      <c r="JN60"/>
      <c r="JO60"/>
      <c r="JP60"/>
      <c r="JQ60"/>
      <c r="JR60"/>
      <c r="JS60"/>
      <c r="JT60"/>
      <c r="JU60"/>
      <c r="JV60"/>
      <c r="JW60"/>
      <c r="JX60"/>
      <c r="JY60"/>
      <c r="JZ60"/>
      <c r="KA60"/>
      <c r="KB60"/>
      <c r="KC60"/>
      <c r="KD60"/>
      <c r="KE60"/>
      <c r="KF60"/>
      <c r="KG60"/>
      <c r="KH60"/>
      <c r="KI60"/>
      <c r="KJ60"/>
      <c r="KK60"/>
      <c r="KL60"/>
      <c r="KM60"/>
      <c r="KN60"/>
      <c r="KO60"/>
      <c r="KP60"/>
      <c r="KQ60"/>
      <c r="KR60"/>
      <c r="KS60"/>
      <c r="KT60"/>
      <c r="KU60"/>
      <c r="KV60"/>
      <c r="KW60"/>
      <c r="KX60"/>
      <c r="KY60"/>
      <c r="KZ60"/>
      <c r="LA60"/>
      <c r="LB60"/>
      <c r="LC60"/>
      <c r="LD60"/>
      <c r="LE60"/>
      <c r="LF60"/>
      <c r="LG60"/>
      <c r="LH60"/>
      <c r="LI60"/>
      <c r="LJ60"/>
      <c r="LK60"/>
      <c r="LL60"/>
      <c r="LM60"/>
      <c r="LN60"/>
      <c r="LO60"/>
      <c r="LP60"/>
      <c r="LQ60"/>
      <c r="LR60"/>
      <c r="LS60"/>
      <c r="LT60"/>
      <c r="LU60"/>
      <c r="LV60"/>
      <c r="LW60"/>
      <c r="LX60"/>
      <c r="LY60"/>
      <c r="LZ60"/>
      <c r="MA60"/>
      <c r="MB60"/>
      <c r="MC60"/>
      <c r="MD60"/>
      <c r="ME60"/>
      <c r="MF60"/>
      <c r="MG60"/>
      <c r="MH60"/>
      <c r="MI60"/>
      <c r="MJ60"/>
      <c r="MK60"/>
      <c r="ML60"/>
      <c r="MM60"/>
      <c r="MN60"/>
      <c r="MO60"/>
      <c r="MP60"/>
      <c r="MQ60"/>
      <c r="MR60"/>
      <c r="MS60"/>
      <c r="MT60"/>
      <c r="MU60"/>
      <c r="MV60"/>
      <c r="MW60"/>
      <c r="MX60"/>
      <c r="MY60"/>
      <c r="MZ60"/>
      <c r="NA60"/>
      <c r="NB60"/>
      <c r="NC60"/>
      <c r="ND60"/>
      <c r="NE60"/>
      <c r="NF60"/>
      <c r="NG60"/>
      <c r="NH60"/>
      <c r="NI60"/>
      <c r="NJ60"/>
      <c r="NK60"/>
      <c r="NL60"/>
      <c r="NM60"/>
      <c r="NN60"/>
      <c r="NO60"/>
      <c r="NP60"/>
      <c r="NQ60"/>
      <c r="NR60"/>
      <c r="NS60"/>
      <c r="NT60"/>
      <c r="NU60"/>
      <c r="NV60"/>
      <c r="NW60"/>
      <c r="NX60"/>
      <c r="NY60"/>
      <c r="NZ60"/>
      <c r="OA60"/>
      <c r="OB60"/>
      <c r="OC60"/>
      <c r="OD60"/>
      <c r="OE60"/>
      <c r="OF60"/>
      <c r="OG60"/>
      <c r="OH60"/>
      <c r="OI60"/>
      <c r="OJ60"/>
      <c r="OK60"/>
      <c r="OL60"/>
      <c r="OM60"/>
      <c r="ON60"/>
      <c r="OO60"/>
      <c r="OP60"/>
      <c r="OQ60"/>
      <c r="OR60"/>
      <c r="OS60"/>
      <c r="OT60"/>
      <c r="OU60"/>
      <c r="OV60"/>
      <c r="OW60"/>
      <c r="OX60"/>
      <c r="OY60"/>
      <c r="OZ60"/>
      <c r="PA60"/>
      <c r="PB60"/>
      <c r="PC60"/>
      <c r="PD60"/>
      <c r="PE60"/>
      <c r="PF60"/>
      <c r="PG60"/>
      <c r="PH60"/>
      <c r="PI60"/>
      <c r="PJ60"/>
      <c r="PK60"/>
      <c r="PL60"/>
      <c r="PM60"/>
      <c r="PN60"/>
      <c r="PO60"/>
      <c r="PP60"/>
      <c r="PQ60"/>
      <c r="PR60"/>
      <c r="PS60"/>
      <c r="PT60"/>
      <c r="PU60"/>
      <c r="PV60"/>
      <c r="PW60"/>
      <c r="PX60"/>
      <c r="PY60"/>
      <c r="PZ60"/>
      <c r="QA60"/>
      <c r="QB60"/>
      <c r="QC60"/>
      <c r="QD60"/>
      <c r="QE60"/>
      <c r="QF60"/>
      <c r="QG60"/>
      <c r="QH60"/>
      <c r="QI60"/>
      <c r="QJ60"/>
      <c r="QK60"/>
      <c r="QL60"/>
      <c r="QM60"/>
      <c r="QN60"/>
      <c r="QO60"/>
      <c r="QP60"/>
      <c r="QQ60"/>
      <c r="QR60"/>
      <c r="QS60"/>
      <c r="QT60"/>
      <c r="QU60"/>
      <c r="QV60"/>
      <c r="QW60"/>
      <c r="QX60"/>
    </row>
    <row r="61" spans="1:466" x14ac:dyDescent="0.35">
      <c r="A61" s="53"/>
      <c r="B61" s="53"/>
      <c r="C61" s="53"/>
      <c r="D61" s="53"/>
      <c r="E61" s="53"/>
      <c r="F61" s="126">
        <v>760254741</v>
      </c>
      <c r="G61" s="125">
        <v>1.45</v>
      </c>
      <c r="H61" s="125">
        <v>0</v>
      </c>
      <c r="I61" s="133">
        <v>0</v>
      </c>
      <c r="J61" s="53"/>
      <c r="K61" s="58">
        <v>45750</v>
      </c>
      <c r="L61" s="59" t="str">
        <f>IFERROR(VLOOKUP($A$2,Stok!$B$1:$BJ$446,61,0),"")</f>
        <v/>
      </c>
      <c r="M61" s="53"/>
      <c r="N61" s="53"/>
      <c r="O61" s="53"/>
      <c r="P61" s="53"/>
      <c r="Q61" s="53"/>
      <c r="R61" s="53"/>
      <c r="S61" s="53"/>
      <c r="T61" s="53"/>
      <c r="U61" s="53"/>
      <c r="V61" s="53"/>
      <c r="W61" s="53"/>
      <c r="X61" s="53"/>
      <c r="Y61" s="53"/>
      <c r="Z61" s="53"/>
      <c r="AA61" s="53"/>
      <c r="AB61" s="53"/>
      <c r="AC61" s="53"/>
      <c r="AD61" s="53"/>
      <c r="AE61" s="53"/>
      <c r="AF61" s="63"/>
      <c r="AG61" s="64"/>
      <c r="AH61" s="65"/>
      <c r="AI61" s="65"/>
      <c r="AJ61" s="53"/>
      <c r="AK61" s="62"/>
      <c r="AL61" s="62"/>
      <c r="AM61" s="62"/>
      <c r="AN61" s="62"/>
      <c r="AO61" s="62"/>
      <c r="AP61" s="62"/>
      <c r="AQ61" s="62"/>
      <c r="AR61" s="62"/>
      <c r="AS61" s="62"/>
      <c r="AT61" s="62"/>
      <c r="AU61" s="62"/>
      <c r="AV61" s="62"/>
      <c r="AW61" s="62"/>
      <c r="AX61" s="62"/>
      <c r="AY61" s="62"/>
      <c r="AZ61" s="62"/>
      <c r="BA61" s="62"/>
      <c r="BB61" s="62"/>
      <c r="BC61" s="62"/>
      <c r="BD61" s="62"/>
      <c r="BE61" s="62"/>
      <c r="BF61" s="62"/>
      <c r="BG61" s="62"/>
      <c r="BH61" s="62"/>
      <c r="BI61" s="62"/>
      <c r="BJ61" s="62"/>
      <c r="BK61" s="62"/>
      <c r="BL61" s="62"/>
      <c r="BM61" s="62"/>
      <c r="BN61" s="62"/>
      <c r="BO61" s="62"/>
      <c r="BP61" s="62"/>
      <c r="BQ61" s="62"/>
      <c r="BR61" s="62"/>
      <c r="BS61" s="62"/>
      <c r="BT61" s="62"/>
      <c r="BU61" s="62"/>
      <c r="BV61" s="62"/>
      <c r="BW61" s="62"/>
      <c r="BX61" s="62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/>
      <c r="JO61"/>
      <c r="JP61"/>
      <c r="JQ61"/>
      <c r="JR61"/>
      <c r="JS61"/>
      <c r="JT61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  <c r="KM61"/>
      <c r="KN61"/>
      <c r="KO61"/>
      <c r="KP61"/>
      <c r="KQ61"/>
      <c r="KR61"/>
      <c r="KS61"/>
      <c r="KT61"/>
      <c r="KU61"/>
      <c r="KV61"/>
      <c r="KW61"/>
      <c r="KX61"/>
      <c r="KY61"/>
      <c r="KZ61"/>
      <c r="LA61"/>
      <c r="LB61"/>
      <c r="LC61"/>
      <c r="LD61"/>
      <c r="LE61"/>
      <c r="LF61"/>
      <c r="LG61"/>
      <c r="LH61"/>
      <c r="LI61"/>
      <c r="LJ61"/>
      <c r="LK61"/>
      <c r="LL61"/>
      <c r="LM61"/>
      <c r="LN61"/>
      <c r="LO61"/>
      <c r="LP61"/>
      <c r="LQ61"/>
      <c r="LR61"/>
      <c r="LS61"/>
      <c r="LT61"/>
      <c r="LU61"/>
      <c r="LV61"/>
      <c r="LW61"/>
      <c r="LX61"/>
      <c r="LY61"/>
      <c r="LZ61"/>
      <c r="MA61"/>
      <c r="MB61"/>
      <c r="MC61"/>
      <c r="MD61"/>
      <c r="ME61"/>
      <c r="MF61"/>
      <c r="MG61"/>
      <c r="MH61"/>
      <c r="MI61"/>
      <c r="MJ61"/>
      <c r="MK61"/>
      <c r="ML61"/>
      <c r="MM61"/>
      <c r="MN61"/>
      <c r="MO61"/>
      <c r="MP61"/>
      <c r="MQ61"/>
      <c r="MR61"/>
      <c r="MS61"/>
      <c r="MT61"/>
      <c r="MU61"/>
      <c r="MV61"/>
      <c r="MW61"/>
      <c r="MX61"/>
      <c r="MY61"/>
      <c r="MZ61"/>
      <c r="NA61"/>
      <c r="NB61"/>
      <c r="NC61"/>
      <c r="ND61"/>
      <c r="NE61"/>
      <c r="NF61"/>
      <c r="NG61"/>
      <c r="NH61"/>
      <c r="NI61"/>
      <c r="NJ61"/>
      <c r="NK61"/>
      <c r="NL61"/>
      <c r="NM61"/>
      <c r="NN61"/>
      <c r="NO61"/>
      <c r="NP61"/>
      <c r="NQ61"/>
      <c r="NR61"/>
      <c r="NS61"/>
      <c r="NT61"/>
      <c r="NU61"/>
      <c r="NV61"/>
      <c r="NW61"/>
      <c r="NX61"/>
      <c r="NY61"/>
      <c r="NZ61"/>
      <c r="OA61"/>
      <c r="OB61"/>
      <c r="OC61"/>
      <c r="OD61"/>
      <c r="OE61"/>
      <c r="OF61"/>
      <c r="OG61"/>
      <c r="OH61"/>
      <c r="OI61"/>
      <c r="OJ61"/>
      <c r="OK61"/>
      <c r="OL61"/>
      <c r="OM61"/>
      <c r="ON61"/>
      <c r="OO61"/>
      <c r="OP61"/>
      <c r="OQ61"/>
      <c r="OR61"/>
      <c r="OS61"/>
      <c r="OT61"/>
      <c r="OU61"/>
      <c r="OV61"/>
      <c r="OW61"/>
      <c r="OX61"/>
      <c r="OY61"/>
      <c r="OZ61"/>
      <c r="PA61"/>
      <c r="PB61"/>
      <c r="PC61"/>
      <c r="PD61"/>
      <c r="PE61"/>
      <c r="PF61"/>
      <c r="PG61"/>
      <c r="PH61"/>
      <c r="PI61"/>
      <c r="PJ61"/>
      <c r="PK61"/>
      <c r="PL61"/>
      <c r="PM61"/>
      <c r="PN61"/>
      <c r="PO61"/>
      <c r="PP61"/>
      <c r="PQ61"/>
      <c r="PR61"/>
      <c r="PS61"/>
      <c r="PT61"/>
      <c r="PU61"/>
      <c r="PV61"/>
      <c r="PW61"/>
      <c r="PX61"/>
      <c r="PY61"/>
      <c r="PZ61"/>
      <c r="QA61"/>
      <c r="QB61"/>
      <c r="QC61"/>
      <c r="QD61"/>
      <c r="QE61"/>
      <c r="QF61"/>
      <c r="QG61"/>
      <c r="QH61"/>
      <c r="QI61"/>
      <c r="QJ61"/>
      <c r="QK61"/>
      <c r="QL61"/>
      <c r="QM61"/>
      <c r="QN61"/>
      <c r="QO61"/>
      <c r="QP61"/>
      <c r="QQ61"/>
      <c r="QR61"/>
      <c r="QS61"/>
      <c r="QT61"/>
      <c r="QU61"/>
      <c r="QV61"/>
      <c r="QW61"/>
      <c r="QX61"/>
    </row>
    <row r="62" spans="1:466" x14ac:dyDescent="0.35">
      <c r="A62" s="53"/>
      <c r="B62" s="53"/>
      <c r="C62" s="53"/>
      <c r="D62" s="53"/>
      <c r="E62" s="53"/>
      <c r="F62" s="126" t="s">
        <v>148</v>
      </c>
      <c r="G62" s="125">
        <v>1.5</v>
      </c>
      <c r="H62" s="125">
        <v>57</v>
      </c>
      <c r="I62" s="133">
        <v>38</v>
      </c>
      <c r="J62" s="53"/>
      <c r="K62" s="58">
        <v>45741</v>
      </c>
      <c r="L62" s="59" t="str">
        <f>IFERROR(VLOOKUP($A$2,Stok!$B$1:$BI$446,60,0),"")</f>
        <v/>
      </c>
      <c r="M62" s="53"/>
      <c r="N62" s="53"/>
      <c r="O62" s="53"/>
      <c r="P62" s="53"/>
      <c r="Q62" s="53"/>
      <c r="R62" s="53"/>
      <c r="S62" s="53"/>
      <c r="T62" s="53"/>
      <c r="U62" s="53"/>
      <c r="V62" s="53"/>
      <c r="W62" s="53"/>
      <c r="X62" s="53"/>
      <c r="Y62" s="53"/>
      <c r="Z62" s="53"/>
      <c r="AA62" s="53"/>
      <c r="AB62" s="53"/>
      <c r="AC62" s="53"/>
      <c r="AD62" s="53"/>
      <c r="AE62" s="53"/>
      <c r="AF62" s="63"/>
      <c r="AG62" s="64"/>
      <c r="AH62" s="65"/>
      <c r="AI62" s="65"/>
      <c r="AJ62" s="53"/>
      <c r="AK62" s="62"/>
      <c r="AL62" s="62"/>
      <c r="AM62" s="62"/>
      <c r="AN62" s="62"/>
      <c r="AO62" s="62"/>
      <c r="AP62" s="62"/>
      <c r="AQ62" s="62"/>
      <c r="AR62" s="62"/>
      <c r="AS62" s="62"/>
      <c r="AT62" s="62"/>
      <c r="AU62" s="62"/>
      <c r="AV62" s="62"/>
      <c r="AW62" s="62"/>
      <c r="AX62" s="62"/>
      <c r="AY62" s="62"/>
      <c r="AZ62" s="62"/>
      <c r="BA62" s="62"/>
      <c r="BB62" s="62"/>
      <c r="BC62" s="62"/>
      <c r="BD62" s="62"/>
      <c r="BE62" s="62"/>
      <c r="BF62" s="62"/>
      <c r="BG62" s="62"/>
      <c r="BH62" s="62"/>
      <c r="BI62" s="62"/>
      <c r="BJ62" s="62"/>
      <c r="BK62" s="62"/>
      <c r="BL62" s="62"/>
      <c r="BM62" s="62"/>
      <c r="BN62" s="62"/>
      <c r="BO62" s="62"/>
      <c r="BP62" s="62"/>
      <c r="BQ62" s="62"/>
      <c r="BR62" s="62"/>
      <c r="BS62" s="62"/>
      <c r="BT62" s="62"/>
      <c r="BU62" s="62"/>
      <c r="BV62" s="62"/>
      <c r="BW62" s="62"/>
      <c r="BX62" s="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  <c r="JL62"/>
      <c r="JM62"/>
      <c r="JN62"/>
      <c r="JO62"/>
      <c r="JP62"/>
      <c r="JQ62"/>
      <c r="JR62"/>
      <c r="JS62"/>
      <c r="JT62"/>
      <c r="JU62"/>
      <c r="JV62"/>
      <c r="JW62"/>
      <c r="JX62"/>
      <c r="JY62"/>
      <c r="JZ62"/>
      <c r="KA62"/>
      <c r="KB62"/>
      <c r="KC62"/>
      <c r="KD62"/>
      <c r="KE62"/>
      <c r="KF62"/>
      <c r="KG62"/>
      <c r="KH62"/>
      <c r="KI62"/>
      <c r="KJ62"/>
      <c r="KK62"/>
      <c r="KL62"/>
      <c r="KM62"/>
      <c r="KN62"/>
      <c r="KO62"/>
      <c r="KP62"/>
      <c r="KQ62"/>
      <c r="KR62"/>
      <c r="KS62"/>
      <c r="KT62"/>
      <c r="KU62"/>
      <c r="KV62"/>
      <c r="KW62"/>
      <c r="KX62"/>
      <c r="KY62"/>
      <c r="KZ62"/>
      <c r="LA62"/>
      <c r="LB62"/>
      <c r="LC62"/>
      <c r="LD62"/>
      <c r="LE62"/>
      <c r="LF62"/>
      <c r="LG62"/>
      <c r="LH62"/>
      <c r="LI62"/>
      <c r="LJ62"/>
      <c r="LK62"/>
      <c r="LL62"/>
      <c r="LM62"/>
      <c r="LN62"/>
      <c r="LO62"/>
      <c r="LP62"/>
      <c r="LQ62"/>
      <c r="LR62"/>
      <c r="LS62"/>
      <c r="LT62"/>
      <c r="LU62"/>
      <c r="LV62"/>
      <c r="LW62"/>
      <c r="LX62"/>
      <c r="LY62"/>
      <c r="LZ62"/>
      <c r="MA62"/>
      <c r="MB62"/>
      <c r="MC62"/>
      <c r="MD62"/>
      <c r="ME62"/>
      <c r="MF62"/>
      <c r="MG62"/>
      <c r="MH62"/>
      <c r="MI62"/>
      <c r="MJ62"/>
      <c r="MK62"/>
      <c r="ML62"/>
      <c r="MM62"/>
      <c r="MN62"/>
      <c r="MO62"/>
      <c r="MP62"/>
      <c r="MQ62"/>
      <c r="MR62"/>
      <c r="MS62"/>
      <c r="MT62"/>
      <c r="MU62"/>
      <c r="MV62"/>
      <c r="MW62"/>
      <c r="MX62"/>
      <c r="MY62"/>
      <c r="MZ62"/>
      <c r="NA62"/>
      <c r="NB62"/>
      <c r="NC62"/>
      <c r="ND62"/>
      <c r="NE62"/>
      <c r="NF62"/>
      <c r="NG62"/>
      <c r="NH62"/>
      <c r="NI62"/>
      <c r="NJ62"/>
      <c r="NK62"/>
      <c r="NL62"/>
      <c r="NM62"/>
      <c r="NN62"/>
      <c r="NO62"/>
      <c r="NP62"/>
      <c r="NQ62"/>
      <c r="NR62"/>
      <c r="NS62"/>
      <c r="NT62"/>
      <c r="NU62"/>
      <c r="NV62"/>
      <c r="NW62"/>
      <c r="NX62"/>
      <c r="NY62"/>
      <c r="NZ62"/>
      <c r="OA62"/>
      <c r="OB62"/>
      <c r="OC62"/>
      <c r="OD62"/>
      <c r="OE62"/>
      <c r="OF62"/>
      <c r="OG62"/>
      <c r="OH62"/>
      <c r="OI62"/>
      <c r="OJ62"/>
      <c r="OK62"/>
      <c r="OL62"/>
      <c r="OM62"/>
      <c r="ON62"/>
      <c r="OO62"/>
      <c r="OP62"/>
      <c r="OQ62"/>
      <c r="OR62"/>
      <c r="OS62"/>
      <c r="OT62"/>
      <c r="OU62"/>
      <c r="OV62"/>
      <c r="OW62"/>
      <c r="OX62"/>
      <c r="OY62"/>
      <c r="OZ62"/>
      <c r="PA62"/>
      <c r="PB62"/>
      <c r="PC62"/>
      <c r="PD62"/>
      <c r="PE62"/>
      <c r="PF62"/>
      <c r="PG62"/>
      <c r="PH62"/>
      <c r="PI62"/>
      <c r="PJ62"/>
      <c r="PK62"/>
      <c r="PL62"/>
      <c r="PM62"/>
      <c r="PN62"/>
      <c r="PO62"/>
      <c r="PP62"/>
      <c r="PQ62"/>
      <c r="PR62"/>
      <c r="PS62"/>
      <c r="PT62"/>
      <c r="PU62"/>
      <c r="PV62"/>
      <c r="PW62"/>
      <c r="PX62"/>
      <c r="PY62"/>
      <c r="PZ62"/>
      <c r="QA62"/>
      <c r="QB62"/>
      <c r="QC62"/>
      <c r="QD62"/>
      <c r="QE62"/>
      <c r="QF62"/>
      <c r="QG62"/>
      <c r="QH62"/>
      <c r="QI62"/>
      <c r="QJ62"/>
      <c r="QK62"/>
      <c r="QL62"/>
      <c r="QM62"/>
      <c r="QN62"/>
      <c r="QO62"/>
      <c r="QP62"/>
      <c r="QQ62"/>
      <c r="QR62"/>
      <c r="QS62"/>
      <c r="QT62"/>
      <c r="QU62"/>
      <c r="QV62"/>
      <c r="QW62"/>
      <c r="QX62"/>
    </row>
    <row r="63" spans="1:466" x14ac:dyDescent="0.35">
      <c r="A63" s="53"/>
      <c r="B63" s="53"/>
      <c r="C63" s="53"/>
      <c r="D63" s="53"/>
      <c r="E63" s="53"/>
      <c r="F63" s="126" t="s">
        <v>125</v>
      </c>
      <c r="G63" s="125"/>
      <c r="H63" s="125">
        <v>0</v>
      </c>
      <c r="I63" s="133">
        <v>0</v>
      </c>
      <c r="J63" s="53"/>
      <c r="K63" s="58">
        <v>45736</v>
      </c>
      <c r="L63" s="59" t="str">
        <f>IFERROR(VLOOKUP($A$2,Stok!$B$1:$BH$446,59,0),"")</f>
        <v/>
      </c>
      <c r="M63" s="53"/>
      <c r="N63" s="53"/>
      <c r="O63" s="53"/>
      <c r="P63" s="53"/>
      <c r="Q63" s="53"/>
      <c r="R63" s="53"/>
      <c r="S63" s="53"/>
      <c r="T63" s="53"/>
      <c r="U63" s="53"/>
      <c r="V63" s="53"/>
      <c r="W63" s="53"/>
      <c r="X63" s="53"/>
      <c r="Y63" s="53"/>
      <c r="Z63" s="53"/>
      <c r="AA63" s="53"/>
      <c r="AB63" s="53"/>
      <c r="AC63" s="53"/>
      <c r="AD63" s="53"/>
      <c r="AE63" s="53"/>
      <c r="AF63" s="63"/>
      <c r="AG63" s="64"/>
      <c r="AH63" s="65"/>
      <c r="AI63" s="65"/>
      <c r="AJ63" s="53"/>
      <c r="AK63" s="62"/>
      <c r="AL63" s="62"/>
      <c r="AM63" s="62"/>
      <c r="AN63" s="62"/>
      <c r="AO63" s="62"/>
      <c r="AP63" s="62"/>
      <c r="AQ63" s="62"/>
      <c r="AR63" s="62"/>
      <c r="AS63" s="62"/>
      <c r="AT63" s="62"/>
      <c r="AU63" s="62"/>
      <c r="AV63" s="62"/>
      <c r="AW63" s="62"/>
      <c r="AX63" s="62"/>
      <c r="AY63" s="62"/>
      <c r="AZ63" s="62"/>
      <c r="BA63" s="62"/>
      <c r="BB63" s="62"/>
      <c r="BC63" s="62"/>
      <c r="BD63" s="62"/>
      <c r="BE63" s="62"/>
      <c r="BF63" s="62"/>
      <c r="BG63" s="62"/>
      <c r="BH63" s="62"/>
      <c r="BI63" s="62"/>
      <c r="BJ63" s="62"/>
      <c r="BK63" s="62"/>
      <c r="BL63" s="62"/>
      <c r="BM63" s="62"/>
      <c r="BN63" s="62"/>
      <c r="BO63" s="62"/>
      <c r="BP63" s="62"/>
      <c r="BQ63" s="62"/>
      <c r="BR63" s="62"/>
      <c r="BS63" s="62"/>
      <c r="BT63" s="62"/>
      <c r="BU63" s="62"/>
      <c r="BV63" s="62"/>
      <c r="BW63" s="62"/>
      <c r="BX63" s="62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  <c r="JL63"/>
      <c r="JM63"/>
      <c r="JN63"/>
      <c r="JO63"/>
      <c r="JP63"/>
      <c r="JQ63"/>
      <c r="JR63"/>
      <c r="JS63"/>
      <c r="JT63"/>
      <c r="JU63"/>
      <c r="JV63"/>
      <c r="JW63"/>
      <c r="JX63"/>
      <c r="JY63"/>
      <c r="JZ63"/>
      <c r="KA63"/>
      <c r="KB63"/>
      <c r="KC63"/>
      <c r="KD63"/>
      <c r="KE63"/>
      <c r="KF63"/>
      <c r="KG63"/>
      <c r="KH63"/>
      <c r="KI63"/>
      <c r="KJ63"/>
      <c r="KK63"/>
      <c r="KL63"/>
      <c r="KM63"/>
      <c r="KN63"/>
      <c r="KO63"/>
      <c r="KP63"/>
      <c r="KQ63"/>
      <c r="KR63"/>
      <c r="KS63"/>
      <c r="KT63"/>
      <c r="KU63"/>
      <c r="KV63"/>
      <c r="KW63"/>
      <c r="KX63"/>
      <c r="KY63"/>
      <c r="KZ63"/>
      <c r="LA63"/>
      <c r="LB63"/>
      <c r="LC63"/>
      <c r="LD63"/>
      <c r="LE63"/>
      <c r="LF63"/>
      <c r="LG63"/>
      <c r="LH63"/>
      <c r="LI63"/>
      <c r="LJ63"/>
      <c r="LK63"/>
      <c r="LL63"/>
      <c r="LM63"/>
      <c r="LN63"/>
      <c r="LO63"/>
      <c r="LP63"/>
      <c r="LQ63"/>
      <c r="LR63"/>
      <c r="LS63"/>
      <c r="LT63"/>
      <c r="LU63"/>
      <c r="LV63"/>
      <c r="LW63"/>
      <c r="LX63"/>
      <c r="LY63"/>
      <c r="LZ63"/>
      <c r="MA63"/>
      <c r="MB63"/>
      <c r="MC63"/>
      <c r="MD63"/>
      <c r="ME63"/>
      <c r="MF63"/>
      <c r="MG63"/>
      <c r="MH63"/>
      <c r="MI63"/>
      <c r="MJ63"/>
      <c r="MK63"/>
      <c r="ML63"/>
      <c r="MM63"/>
      <c r="MN63"/>
      <c r="MO63"/>
      <c r="MP63"/>
      <c r="MQ63"/>
      <c r="MR63"/>
      <c r="MS63"/>
      <c r="MT63"/>
      <c r="MU63"/>
      <c r="MV63"/>
      <c r="MW63"/>
      <c r="MX63"/>
      <c r="MY63"/>
      <c r="MZ63"/>
      <c r="NA63"/>
      <c r="NB63"/>
      <c r="NC63"/>
      <c r="ND63"/>
      <c r="NE63"/>
      <c r="NF63"/>
      <c r="NG63"/>
      <c r="NH63"/>
      <c r="NI63"/>
      <c r="NJ63"/>
      <c r="NK63"/>
      <c r="NL63"/>
      <c r="NM63"/>
      <c r="NN63"/>
      <c r="NO63"/>
      <c r="NP63"/>
      <c r="NQ63"/>
      <c r="NR63"/>
      <c r="NS63"/>
      <c r="NT63"/>
      <c r="NU63"/>
      <c r="NV63"/>
      <c r="NW63"/>
      <c r="NX63"/>
      <c r="NY63"/>
      <c r="NZ63"/>
      <c r="OA63"/>
      <c r="OB63"/>
      <c r="OC63"/>
      <c r="OD63"/>
      <c r="OE63"/>
      <c r="OF63"/>
      <c r="OG63"/>
      <c r="OH63"/>
      <c r="OI63"/>
      <c r="OJ63"/>
      <c r="OK63"/>
      <c r="OL63"/>
      <c r="OM63"/>
      <c r="ON63"/>
      <c r="OO63"/>
      <c r="OP63"/>
      <c r="OQ63"/>
      <c r="OR63"/>
      <c r="OS63"/>
      <c r="OT63"/>
      <c r="OU63"/>
      <c r="OV63"/>
      <c r="OW63"/>
      <c r="OX63"/>
      <c r="OY63"/>
      <c r="OZ63"/>
      <c r="PA63"/>
      <c r="PB63"/>
      <c r="PC63"/>
      <c r="PD63"/>
      <c r="PE63"/>
      <c r="PF63"/>
      <c r="PG63"/>
      <c r="PH63"/>
      <c r="PI63"/>
      <c r="PJ63"/>
      <c r="PK63"/>
      <c r="PL63"/>
      <c r="PM63"/>
      <c r="PN63"/>
      <c r="PO63"/>
      <c r="PP63"/>
      <c r="PQ63"/>
      <c r="PR63"/>
      <c r="PS63"/>
      <c r="PT63"/>
      <c r="PU63"/>
      <c r="PV63"/>
      <c r="PW63"/>
      <c r="PX63"/>
      <c r="PY63"/>
      <c r="PZ63"/>
      <c r="QA63"/>
      <c r="QB63"/>
      <c r="QC63"/>
      <c r="QD63"/>
      <c r="QE63"/>
      <c r="QF63"/>
      <c r="QG63"/>
      <c r="QH63"/>
      <c r="QI63"/>
      <c r="QJ63"/>
      <c r="QK63"/>
      <c r="QL63"/>
      <c r="QM63"/>
      <c r="QN63"/>
      <c r="QO63"/>
      <c r="QP63"/>
      <c r="QQ63"/>
      <c r="QR63"/>
      <c r="QS63"/>
      <c r="QT63"/>
      <c r="QU63"/>
      <c r="QV63"/>
      <c r="QW63"/>
      <c r="QX63"/>
    </row>
    <row r="64" spans="1:466" x14ac:dyDescent="0.35">
      <c r="A64" s="53"/>
      <c r="B64" s="53"/>
      <c r="C64" s="53"/>
      <c r="D64" s="53"/>
      <c r="E64" s="53"/>
      <c r="F64" s="126" t="s">
        <v>127</v>
      </c>
      <c r="G64" s="125"/>
      <c r="H64" s="125">
        <v>0</v>
      </c>
      <c r="I64" s="133">
        <v>0</v>
      </c>
      <c r="J64" s="53"/>
      <c r="K64" s="58">
        <v>45726</v>
      </c>
      <c r="L64" s="59" t="str">
        <f>IFERROR(VLOOKUP($A$2,Stok!$B$1:$BG$446,58,0),"")</f>
        <v/>
      </c>
      <c r="M64" s="53"/>
      <c r="N64" s="53"/>
      <c r="O64" s="53"/>
      <c r="P64" s="53"/>
      <c r="Q64" s="53"/>
      <c r="R64" s="53"/>
      <c r="S64" s="53"/>
      <c r="T64" s="53"/>
      <c r="U64" s="53"/>
      <c r="V64" s="53"/>
      <c r="W64" s="53"/>
      <c r="X64" s="53"/>
      <c r="Y64" s="53"/>
      <c r="Z64" s="53"/>
      <c r="AA64" s="53"/>
      <c r="AB64" s="53"/>
      <c r="AC64" s="53"/>
      <c r="AD64" s="53"/>
      <c r="AE64" s="53"/>
      <c r="AF64" s="63"/>
      <c r="AG64" s="64"/>
      <c r="AH64" s="65"/>
      <c r="AI64" s="65"/>
      <c r="AJ64" s="53"/>
      <c r="AK64" s="62"/>
      <c r="AL64" s="62"/>
      <c r="AM64" s="62"/>
      <c r="AN64" s="62"/>
      <c r="AO64" s="62"/>
      <c r="AP64" s="62"/>
      <c r="AQ64" s="62"/>
      <c r="AR64" s="62"/>
      <c r="AS64" s="62"/>
      <c r="AT64" s="62"/>
      <c r="AU64" s="62"/>
      <c r="AV64" s="62"/>
      <c r="AW64" s="62"/>
      <c r="AX64" s="62"/>
      <c r="AY64" s="62"/>
      <c r="AZ64" s="62"/>
      <c r="BA64" s="62"/>
      <c r="BB64" s="62"/>
      <c r="BC64" s="62"/>
      <c r="BD64" s="62"/>
      <c r="BE64" s="62"/>
      <c r="BF64" s="62"/>
      <c r="BG64" s="62"/>
      <c r="BH64" s="62"/>
      <c r="BI64" s="62"/>
      <c r="BJ64" s="62"/>
      <c r="BK64" s="62"/>
      <c r="BL64" s="62"/>
      <c r="BM64" s="62"/>
      <c r="BN64" s="62"/>
      <c r="BO64" s="62"/>
      <c r="BP64" s="62"/>
      <c r="BQ64" s="62"/>
      <c r="BR64" s="62"/>
      <c r="BS64" s="62"/>
      <c r="BT64" s="62"/>
      <c r="BU64" s="62"/>
      <c r="BV64" s="62"/>
      <c r="BW64" s="62"/>
      <c r="BX64" s="62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  <c r="MH64"/>
      <c r="MI64"/>
      <c r="MJ64"/>
      <c r="MK64"/>
      <c r="ML64"/>
      <c r="MM64"/>
      <c r="MN64"/>
      <c r="MO64"/>
      <c r="MP64"/>
      <c r="MQ64"/>
      <c r="MR64"/>
      <c r="MS64"/>
      <c r="MT64"/>
      <c r="MU64"/>
      <c r="MV64"/>
      <c r="MW64"/>
      <c r="MX64"/>
      <c r="MY64"/>
      <c r="MZ64"/>
      <c r="NA64"/>
      <c r="NB64"/>
      <c r="NC64"/>
      <c r="ND64"/>
      <c r="NE64"/>
      <c r="NF64"/>
      <c r="NG64"/>
      <c r="NH64"/>
      <c r="NI64"/>
      <c r="NJ64"/>
      <c r="NK64"/>
      <c r="NL64"/>
      <c r="NM64"/>
      <c r="NN64"/>
      <c r="NO64"/>
      <c r="NP64"/>
      <c r="NQ64"/>
      <c r="NR64"/>
      <c r="NS64"/>
      <c r="NT64"/>
      <c r="NU64"/>
      <c r="NV64"/>
      <c r="NW64"/>
      <c r="NX64"/>
      <c r="NY64"/>
      <c r="NZ64"/>
      <c r="OA64"/>
      <c r="OB64"/>
      <c r="OC64"/>
      <c r="OD64"/>
      <c r="OE64"/>
      <c r="OF64"/>
      <c r="OG64"/>
      <c r="OH64"/>
      <c r="OI64"/>
      <c r="OJ64"/>
      <c r="OK64"/>
      <c r="OL64"/>
      <c r="OM64"/>
      <c r="ON64"/>
      <c r="OO64"/>
      <c r="OP64"/>
      <c r="OQ64"/>
      <c r="OR64"/>
      <c r="OS64"/>
      <c r="OT64"/>
      <c r="OU64"/>
      <c r="OV64"/>
      <c r="OW64"/>
      <c r="OX64"/>
      <c r="OY64"/>
      <c r="OZ64"/>
      <c r="PA64"/>
      <c r="PB64"/>
      <c r="PC64"/>
      <c r="PD64"/>
      <c r="PE64"/>
      <c r="PF64"/>
      <c r="PG64"/>
      <c r="PH64"/>
      <c r="PI64"/>
      <c r="PJ64"/>
      <c r="PK64"/>
      <c r="PL64"/>
      <c r="PM64"/>
      <c r="PN64"/>
      <c r="PO64"/>
      <c r="PP64"/>
      <c r="PQ64"/>
      <c r="PR64"/>
      <c r="PS64"/>
      <c r="PT64"/>
      <c r="PU64"/>
      <c r="PV64"/>
      <c r="PW64"/>
      <c r="PX64"/>
      <c r="PY64"/>
      <c r="PZ64"/>
      <c r="QA64"/>
      <c r="QB64"/>
      <c r="QC64"/>
      <c r="QD64"/>
      <c r="QE64"/>
      <c r="QF64"/>
      <c r="QG64"/>
      <c r="QH64"/>
      <c r="QI64"/>
      <c r="QJ64"/>
      <c r="QK64"/>
      <c r="QL64"/>
      <c r="QM64"/>
      <c r="QN64"/>
      <c r="QO64"/>
      <c r="QP64"/>
      <c r="QQ64"/>
      <c r="QR64"/>
      <c r="QS64"/>
      <c r="QT64"/>
      <c r="QU64"/>
      <c r="QV64"/>
      <c r="QW64"/>
      <c r="QX64"/>
    </row>
    <row r="65" spans="1:466" x14ac:dyDescent="0.35">
      <c r="A65" s="53"/>
      <c r="B65" s="53"/>
      <c r="C65" s="53"/>
      <c r="D65" s="53"/>
      <c r="E65" s="53"/>
      <c r="F65" s="126" t="s">
        <v>1405</v>
      </c>
      <c r="G65" s="125">
        <v>52</v>
      </c>
      <c r="H65" s="125">
        <v>0</v>
      </c>
      <c r="I65" s="133">
        <v>0</v>
      </c>
      <c r="J65" s="53"/>
      <c r="K65" s="58">
        <v>45723</v>
      </c>
      <c r="L65" s="59" t="str">
        <f>IFERROR(VLOOKUP($A$2,Stok!$B$1:$BF$446,57,0),"")</f>
        <v/>
      </c>
      <c r="M65" s="53"/>
      <c r="N65" s="53"/>
      <c r="O65" s="53"/>
      <c r="P65" s="53"/>
      <c r="Q65" s="53"/>
      <c r="R65" s="53"/>
      <c r="S65" s="53"/>
      <c r="T65" s="53"/>
      <c r="U65" s="53"/>
      <c r="V65" s="53"/>
      <c r="W65" s="53"/>
      <c r="X65" s="53"/>
      <c r="Y65" s="53"/>
      <c r="Z65" s="53"/>
      <c r="AA65" s="53"/>
      <c r="AB65" s="53"/>
      <c r="AC65" s="53"/>
      <c r="AD65" s="53"/>
      <c r="AE65" s="53"/>
      <c r="AF65" s="63"/>
      <c r="AG65" s="64"/>
      <c r="AH65" s="65"/>
      <c r="AI65" s="65"/>
      <c r="AJ65" s="53"/>
      <c r="AK65" s="62"/>
      <c r="AL65" s="62"/>
      <c r="AM65" s="62"/>
      <c r="AN65" s="62"/>
      <c r="AO65" s="62"/>
      <c r="AP65" s="62"/>
      <c r="AQ65" s="62"/>
      <c r="AR65" s="62"/>
      <c r="AS65" s="62"/>
      <c r="AT65" s="62"/>
      <c r="AU65" s="62"/>
      <c r="AV65" s="62"/>
      <c r="AW65" s="62"/>
      <c r="AX65" s="62"/>
      <c r="AY65" s="62"/>
      <c r="AZ65" s="62"/>
      <c r="BA65" s="62"/>
      <c r="BB65" s="62"/>
      <c r="BC65" s="62"/>
      <c r="BD65" s="62"/>
      <c r="BE65" s="62"/>
      <c r="BF65" s="62"/>
      <c r="BG65" s="62"/>
      <c r="BH65" s="62"/>
      <c r="BI65" s="62"/>
      <c r="BJ65" s="62"/>
      <c r="BK65" s="62"/>
      <c r="BL65" s="62"/>
      <c r="BM65" s="62"/>
      <c r="BN65" s="62"/>
      <c r="BO65" s="62"/>
      <c r="BP65" s="62"/>
      <c r="BQ65" s="62"/>
      <c r="BR65" s="62"/>
      <c r="BS65" s="62"/>
      <c r="BT65" s="62"/>
      <c r="BU65" s="62"/>
      <c r="BV65" s="62"/>
      <c r="BW65" s="62"/>
      <c r="BX65" s="62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  <c r="KO65"/>
      <c r="KP65"/>
      <c r="KQ65"/>
      <c r="KR65"/>
      <c r="KS65"/>
      <c r="KT65"/>
      <c r="KU65"/>
      <c r="KV65"/>
      <c r="KW65"/>
      <c r="KX65"/>
      <c r="KY65"/>
      <c r="KZ65"/>
      <c r="LA65"/>
      <c r="LB65"/>
      <c r="LC65"/>
      <c r="LD65"/>
      <c r="LE65"/>
      <c r="LF65"/>
      <c r="LG65"/>
      <c r="LH65"/>
      <c r="LI65"/>
      <c r="LJ65"/>
      <c r="LK65"/>
      <c r="LL65"/>
      <c r="LM65"/>
      <c r="LN65"/>
      <c r="LO65"/>
      <c r="LP65"/>
      <c r="LQ65"/>
      <c r="LR65"/>
      <c r="LS65"/>
      <c r="LT65"/>
      <c r="LU65"/>
      <c r="LV65"/>
      <c r="LW65"/>
      <c r="LX65"/>
      <c r="LY65"/>
      <c r="LZ65"/>
      <c r="MA65"/>
      <c r="MB65"/>
      <c r="MC65"/>
      <c r="MD65"/>
      <c r="ME65"/>
      <c r="MF65"/>
      <c r="MG65"/>
      <c r="MH65"/>
      <c r="MI65"/>
      <c r="MJ65"/>
      <c r="MK65"/>
      <c r="ML65"/>
      <c r="MM65"/>
      <c r="MN65"/>
      <c r="MO65"/>
      <c r="MP65"/>
      <c r="MQ65"/>
      <c r="MR65"/>
      <c r="MS65"/>
      <c r="MT65"/>
      <c r="MU65"/>
      <c r="MV65"/>
      <c r="MW65"/>
      <c r="MX65"/>
      <c r="MY65"/>
      <c r="MZ65"/>
      <c r="NA65"/>
      <c r="NB65"/>
      <c r="NC65"/>
      <c r="ND65"/>
      <c r="NE65"/>
      <c r="NF65"/>
      <c r="NG65"/>
      <c r="NH65"/>
      <c r="NI65"/>
      <c r="NJ65"/>
      <c r="NK65"/>
      <c r="NL65"/>
      <c r="NM65"/>
      <c r="NN65"/>
      <c r="NO65"/>
      <c r="NP65"/>
      <c r="NQ65"/>
      <c r="NR65"/>
      <c r="NS65"/>
      <c r="NT65"/>
      <c r="NU65"/>
      <c r="NV65"/>
      <c r="NW65"/>
      <c r="NX65"/>
      <c r="NY65"/>
      <c r="NZ65"/>
      <c r="OA65"/>
      <c r="OB65"/>
      <c r="OC65"/>
      <c r="OD65"/>
      <c r="OE65"/>
      <c r="OF65"/>
      <c r="OG65"/>
      <c r="OH65"/>
      <c r="OI65"/>
      <c r="OJ65"/>
      <c r="OK65"/>
      <c r="OL65"/>
      <c r="OM65"/>
      <c r="ON65"/>
      <c r="OO65"/>
      <c r="OP65"/>
      <c r="OQ65"/>
      <c r="OR65"/>
      <c r="OS65"/>
      <c r="OT65"/>
      <c r="OU65"/>
      <c r="OV65"/>
      <c r="OW65"/>
      <c r="OX65"/>
      <c r="OY65"/>
      <c r="OZ65"/>
      <c r="PA65"/>
      <c r="PB65"/>
      <c r="PC65"/>
      <c r="PD65"/>
      <c r="PE65"/>
      <c r="PF65"/>
      <c r="PG65"/>
      <c r="PH65"/>
      <c r="PI65"/>
      <c r="PJ65"/>
      <c r="PK65"/>
      <c r="PL65"/>
      <c r="PM65"/>
      <c r="PN65"/>
      <c r="PO65"/>
      <c r="PP65"/>
      <c r="PQ65"/>
      <c r="PR65"/>
      <c r="PS65"/>
      <c r="PT65"/>
      <c r="PU65"/>
      <c r="PV65"/>
      <c r="PW65"/>
      <c r="PX65"/>
      <c r="PY65"/>
      <c r="PZ65"/>
      <c r="QA65"/>
      <c r="QB65"/>
      <c r="QC65"/>
      <c r="QD65"/>
      <c r="QE65"/>
      <c r="QF65"/>
      <c r="QG65"/>
      <c r="QH65"/>
      <c r="QI65"/>
      <c r="QJ65"/>
      <c r="QK65"/>
      <c r="QL65"/>
      <c r="QM65"/>
      <c r="QN65"/>
      <c r="QO65"/>
      <c r="QP65"/>
      <c r="QQ65"/>
      <c r="QR65"/>
      <c r="QS65"/>
      <c r="QT65"/>
      <c r="QU65"/>
      <c r="QV65"/>
      <c r="QW65"/>
      <c r="QX65"/>
    </row>
    <row r="66" spans="1:466" x14ac:dyDescent="0.35">
      <c r="A66" s="53"/>
      <c r="B66" s="53"/>
      <c r="C66" s="53"/>
      <c r="D66" s="53"/>
      <c r="E66" s="53"/>
      <c r="F66" s="126" t="s">
        <v>1406</v>
      </c>
      <c r="G66" s="125">
        <v>17</v>
      </c>
      <c r="H66" s="125">
        <v>0</v>
      </c>
      <c r="I66" s="133">
        <v>0</v>
      </c>
      <c r="J66" s="53"/>
      <c r="K66" s="58">
        <v>45716</v>
      </c>
      <c r="L66" s="59" t="str">
        <f>IFERROR(VLOOKUP($A$2,Stok!$B$1:$BE$446,56,0),"")</f>
        <v/>
      </c>
      <c r="M66" s="53"/>
      <c r="N66" s="53"/>
      <c r="O66" s="53"/>
      <c r="P66" s="53"/>
      <c r="Q66" s="53"/>
      <c r="R66" s="53"/>
      <c r="S66" s="53"/>
      <c r="T66" s="53"/>
      <c r="U66" s="53"/>
      <c r="V66" s="53"/>
      <c r="W66" s="53"/>
      <c r="X66" s="53"/>
      <c r="Y66" s="53"/>
      <c r="Z66" s="53"/>
      <c r="AA66" s="53"/>
      <c r="AB66" s="53"/>
      <c r="AC66" s="53"/>
      <c r="AD66" s="53"/>
      <c r="AE66" s="53"/>
      <c r="AF66" s="63"/>
      <c r="AG66" s="64"/>
      <c r="AH66" s="65"/>
      <c r="AI66" s="65"/>
      <c r="AJ66" s="53"/>
      <c r="AK66" s="62"/>
      <c r="AL66" s="62"/>
      <c r="AM66" s="62"/>
      <c r="AN66" s="62"/>
      <c r="AO66" s="62"/>
      <c r="AP66" s="62"/>
      <c r="AQ66" s="62"/>
      <c r="AR66" s="62"/>
      <c r="AS66" s="62"/>
      <c r="AT66" s="62"/>
      <c r="AU66" s="62"/>
      <c r="AV66" s="62"/>
      <c r="AW66" s="62"/>
      <c r="AX66" s="62"/>
      <c r="AY66" s="62"/>
      <c r="AZ66" s="62"/>
      <c r="BA66" s="62"/>
      <c r="BB66" s="62"/>
      <c r="BC66" s="62"/>
      <c r="BD66" s="62"/>
      <c r="BE66" s="62"/>
      <c r="BF66" s="62"/>
      <c r="BG66" s="62"/>
      <c r="BH66" s="62"/>
      <c r="BI66" s="62"/>
      <c r="BJ66" s="62"/>
      <c r="BK66" s="62"/>
      <c r="BL66" s="62"/>
      <c r="BM66" s="62"/>
      <c r="BN66" s="62"/>
      <c r="BO66" s="62"/>
      <c r="BP66" s="62"/>
      <c r="BQ66" s="62"/>
      <c r="BR66" s="62"/>
      <c r="BS66" s="62"/>
      <c r="BT66" s="62"/>
      <c r="BU66" s="62"/>
      <c r="BV66" s="62"/>
      <c r="BW66" s="62"/>
      <c r="BX66" s="62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/>
      <c r="JK66"/>
      <c r="JL66"/>
      <c r="JM66"/>
      <c r="JN66"/>
      <c r="JO66"/>
      <c r="JP66"/>
      <c r="JQ66"/>
      <c r="JR66"/>
      <c r="JS66"/>
      <c r="JT66"/>
      <c r="JU66"/>
      <c r="JV66"/>
      <c r="JW66"/>
      <c r="JX66"/>
      <c r="JY66"/>
      <c r="JZ66"/>
      <c r="KA66"/>
      <c r="KB66"/>
      <c r="KC66"/>
      <c r="KD66"/>
      <c r="KE66"/>
      <c r="KF66"/>
      <c r="KG66"/>
      <c r="KH66"/>
      <c r="KI66"/>
      <c r="KJ66"/>
      <c r="KK66"/>
      <c r="KL66"/>
      <c r="KM66"/>
      <c r="KN66"/>
      <c r="KO66"/>
      <c r="KP66"/>
      <c r="KQ66"/>
      <c r="KR66"/>
      <c r="KS66"/>
      <c r="KT66"/>
      <c r="KU66"/>
      <c r="KV66"/>
      <c r="KW66"/>
      <c r="KX66"/>
      <c r="KY66"/>
      <c r="KZ66"/>
      <c r="LA66"/>
      <c r="LB66"/>
      <c r="LC66"/>
      <c r="LD66"/>
      <c r="LE66"/>
      <c r="LF66"/>
      <c r="LG66"/>
      <c r="LH66"/>
      <c r="LI66"/>
      <c r="LJ66"/>
      <c r="LK66"/>
      <c r="LL66"/>
      <c r="LM66"/>
      <c r="LN66"/>
      <c r="LO66"/>
      <c r="LP66"/>
      <c r="LQ66"/>
      <c r="LR66"/>
      <c r="LS66"/>
      <c r="LT66"/>
      <c r="LU66"/>
      <c r="LV66"/>
      <c r="LW66"/>
      <c r="LX66"/>
      <c r="LY66"/>
      <c r="LZ66"/>
      <c r="MA66"/>
      <c r="MB66"/>
      <c r="MC66"/>
      <c r="MD66"/>
      <c r="ME66"/>
      <c r="MF66"/>
      <c r="MG66"/>
      <c r="MH66"/>
      <c r="MI66"/>
      <c r="MJ66"/>
      <c r="MK66"/>
      <c r="ML66"/>
      <c r="MM66"/>
      <c r="MN66"/>
      <c r="MO66"/>
      <c r="MP66"/>
      <c r="MQ66"/>
      <c r="MR66"/>
      <c r="MS66"/>
      <c r="MT66"/>
      <c r="MU66"/>
      <c r="MV66"/>
      <c r="MW66"/>
      <c r="MX66"/>
      <c r="MY66"/>
      <c r="MZ66"/>
      <c r="NA66"/>
      <c r="NB66"/>
      <c r="NC66"/>
      <c r="ND66"/>
      <c r="NE66"/>
      <c r="NF66"/>
      <c r="NG66"/>
      <c r="NH66"/>
      <c r="NI66"/>
      <c r="NJ66"/>
      <c r="NK66"/>
      <c r="NL66"/>
      <c r="NM66"/>
      <c r="NN66"/>
      <c r="NO66"/>
      <c r="NP66"/>
      <c r="NQ66"/>
      <c r="NR66"/>
      <c r="NS66"/>
      <c r="NT66"/>
      <c r="NU66"/>
      <c r="NV66"/>
      <c r="NW66"/>
      <c r="NX66"/>
      <c r="NY66"/>
      <c r="NZ66"/>
      <c r="OA66"/>
      <c r="OB66"/>
      <c r="OC66"/>
      <c r="OD66"/>
      <c r="OE66"/>
      <c r="OF66"/>
      <c r="OG66"/>
      <c r="OH66"/>
      <c r="OI66"/>
      <c r="OJ66"/>
      <c r="OK66"/>
      <c r="OL66"/>
      <c r="OM66"/>
      <c r="ON66"/>
      <c r="OO66"/>
      <c r="OP66"/>
      <c r="OQ66"/>
      <c r="OR66"/>
      <c r="OS66"/>
      <c r="OT66"/>
      <c r="OU66"/>
      <c r="OV66"/>
      <c r="OW66"/>
      <c r="OX66"/>
      <c r="OY66"/>
      <c r="OZ66"/>
      <c r="PA66"/>
      <c r="PB66"/>
      <c r="PC66"/>
      <c r="PD66"/>
      <c r="PE66"/>
      <c r="PF66"/>
      <c r="PG66"/>
      <c r="PH66"/>
      <c r="PI66"/>
      <c r="PJ66"/>
      <c r="PK66"/>
      <c r="PL66"/>
      <c r="PM66"/>
      <c r="PN66"/>
      <c r="PO66"/>
      <c r="PP66"/>
      <c r="PQ66"/>
      <c r="PR66"/>
      <c r="PS66"/>
      <c r="PT66"/>
      <c r="PU66"/>
      <c r="PV66"/>
      <c r="PW66"/>
      <c r="PX66"/>
      <c r="PY66"/>
      <c r="PZ66"/>
      <c r="QA66"/>
      <c r="QB66"/>
      <c r="QC66"/>
      <c r="QD66"/>
      <c r="QE66"/>
      <c r="QF66"/>
      <c r="QG66"/>
      <c r="QH66"/>
      <c r="QI66"/>
      <c r="QJ66"/>
      <c r="QK66"/>
      <c r="QL66"/>
      <c r="QM66"/>
      <c r="QN66"/>
      <c r="QO66"/>
      <c r="QP66"/>
      <c r="QQ66"/>
      <c r="QR66"/>
      <c r="QS66"/>
      <c r="QT66"/>
      <c r="QU66"/>
      <c r="QV66"/>
      <c r="QW66"/>
      <c r="QX66"/>
    </row>
    <row r="67" spans="1:466" x14ac:dyDescent="0.35">
      <c r="A67" s="53"/>
      <c r="B67" s="53"/>
      <c r="C67" s="53"/>
      <c r="D67" s="53"/>
      <c r="E67" s="53"/>
      <c r="F67" s="126" t="s">
        <v>959</v>
      </c>
      <c r="G67" s="125">
        <v>0</v>
      </c>
      <c r="H67" s="125">
        <v>0</v>
      </c>
      <c r="I67" s="133">
        <v>0</v>
      </c>
      <c r="J67" s="53"/>
      <c r="K67" s="58">
        <v>45712</v>
      </c>
      <c r="L67" s="59" t="str">
        <f>IFERROR(VLOOKUP($A$2,Stok!$B$1:$BD$446,55,0),"")</f>
        <v/>
      </c>
      <c r="M67" s="53"/>
      <c r="N67" s="53"/>
      <c r="O67" s="53"/>
      <c r="P67" s="53"/>
      <c r="Q67" s="53"/>
      <c r="R67" s="53"/>
      <c r="S67" s="53"/>
      <c r="T67" s="53"/>
      <c r="U67" s="53"/>
      <c r="V67" s="53"/>
      <c r="W67" s="53"/>
      <c r="X67" s="53"/>
      <c r="Y67" s="53"/>
      <c r="Z67" s="53"/>
      <c r="AA67" s="53"/>
      <c r="AB67" s="53"/>
      <c r="AC67" s="53"/>
      <c r="AD67" s="53"/>
      <c r="AE67" s="53"/>
      <c r="AF67" s="63"/>
      <c r="AG67" s="64"/>
      <c r="AH67" s="65"/>
      <c r="AI67" s="65"/>
      <c r="AJ67" s="53"/>
      <c r="AK67" s="62"/>
      <c r="AL67" s="62"/>
      <c r="AM67" s="62"/>
      <c r="AN67" s="62"/>
      <c r="AO67" s="62"/>
      <c r="AP67" s="62"/>
      <c r="AQ67" s="62"/>
      <c r="AR67" s="62"/>
      <c r="AS67" s="62"/>
      <c r="AT67" s="62"/>
      <c r="AU67" s="62"/>
      <c r="AV67" s="62"/>
      <c r="AW67" s="62"/>
      <c r="AX67" s="62"/>
      <c r="AY67" s="62"/>
      <c r="AZ67" s="62"/>
      <c r="BA67" s="62"/>
      <c r="BB67" s="62"/>
      <c r="BC67" s="62"/>
      <c r="BD67" s="62"/>
      <c r="BE67" s="62"/>
      <c r="BF67" s="62"/>
      <c r="BG67" s="62"/>
      <c r="BH67" s="62"/>
      <c r="BI67" s="62"/>
      <c r="BJ67" s="62"/>
      <c r="BK67" s="62"/>
      <c r="BL67" s="62"/>
      <c r="BM67" s="62"/>
      <c r="BN67" s="62"/>
      <c r="BO67" s="62"/>
      <c r="BP67" s="62"/>
      <c r="BQ67" s="62"/>
      <c r="BR67" s="62"/>
      <c r="BS67" s="62"/>
      <c r="BT67" s="62"/>
      <c r="BU67" s="62"/>
      <c r="BV67" s="62"/>
      <c r="BW67" s="62"/>
      <c r="BX67" s="62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/>
      <c r="JK67"/>
      <c r="JL67"/>
      <c r="JM67"/>
      <c r="JN67"/>
      <c r="JO67"/>
      <c r="JP67"/>
      <c r="JQ67"/>
      <c r="JR67"/>
      <c r="JS67"/>
      <c r="JT67"/>
      <c r="JU67"/>
      <c r="JV67"/>
      <c r="JW67"/>
      <c r="JX67"/>
      <c r="JY67"/>
      <c r="JZ67"/>
      <c r="KA67"/>
      <c r="KB67"/>
      <c r="KC67"/>
      <c r="KD67"/>
      <c r="KE67"/>
      <c r="KF67"/>
      <c r="KG67"/>
      <c r="KH67"/>
      <c r="KI67"/>
      <c r="KJ67"/>
      <c r="KK67"/>
      <c r="KL67"/>
      <c r="KM67"/>
      <c r="KN67"/>
      <c r="KO67"/>
      <c r="KP67"/>
      <c r="KQ67"/>
      <c r="KR67"/>
      <c r="KS67"/>
      <c r="KT67"/>
      <c r="KU67"/>
      <c r="KV67"/>
      <c r="KW67"/>
      <c r="KX67"/>
      <c r="KY67"/>
      <c r="KZ67"/>
      <c r="LA67"/>
      <c r="LB67"/>
      <c r="LC67"/>
      <c r="LD67"/>
      <c r="LE67"/>
      <c r="LF67"/>
      <c r="LG67"/>
      <c r="LH67"/>
      <c r="LI67"/>
      <c r="LJ67"/>
      <c r="LK67"/>
      <c r="LL67"/>
      <c r="LM67"/>
      <c r="LN67"/>
      <c r="LO67"/>
      <c r="LP67"/>
      <c r="LQ67"/>
      <c r="LR67"/>
      <c r="LS67"/>
      <c r="LT67"/>
      <c r="LU67"/>
      <c r="LV67"/>
      <c r="LW67"/>
      <c r="LX67"/>
      <c r="LY67"/>
      <c r="LZ67"/>
      <c r="MA67"/>
      <c r="MB67"/>
      <c r="MC67"/>
      <c r="MD67"/>
      <c r="ME67"/>
      <c r="MF67"/>
      <c r="MG67"/>
      <c r="MH67"/>
      <c r="MI67"/>
      <c r="MJ67"/>
      <c r="MK67"/>
      <c r="ML67"/>
      <c r="MM67"/>
      <c r="MN67"/>
      <c r="MO67"/>
      <c r="MP67"/>
      <c r="MQ67"/>
      <c r="MR67"/>
      <c r="MS67"/>
      <c r="MT67"/>
      <c r="MU67"/>
      <c r="MV67"/>
      <c r="MW67"/>
      <c r="MX67"/>
      <c r="MY67"/>
      <c r="MZ67"/>
      <c r="NA67"/>
      <c r="NB67"/>
      <c r="NC67"/>
      <c r="ND67"/>
      <c r="NE67"/>
      <c r="NF67"/>
      <c r="NG67"/>
      <c r="NH67"/>
      <c r="NI67"/>
      <c r="NJ67"/>
      <c r="NK67"/>
      <c r="NL67"/>
      <c r="NM67"/>
      <c r="NN67"/>
      <c r="NO67"/>
      <c r="NP67"/>
      <c r="NQ67"/>
      <c r="NR67"/>
      <c r="NS67"/>
      <c r="NT67"/>
      <c r="NU67"/>
      <c r="NV67"/>
      <c r="NW67"/>
      <c r="NX67"/>
      <c r="NY67"/>
      <c r="NZ67"/>
      <c r="OA67"/>
      <c r="OB67"/>
      <c r="OC67"/>
      <c r="OD67"/>
      <c r="OE67"/>
      <c r="OF67"/>
      <c r="OG67"/>
      <c r="OH67"/>
      <c r="OI67"/>
      <c r="OJ67"/>
      <c r="OK67"/>
      <c r="OL67"/>
      <c r="OM67"/>
      <c r="ON67"/>
      <c r="OO67"/>
      <c r="OP67"/>
      <c r="OQ67"/>
      <c r="OR67"/>
      <c r="OS67"/>
      <c r="OT67"/>
      <c r="OU67"/>
      <c r="OV67"/>
      <c r="OW67"/>
      <c r="OX67"/>
      <c r="OY67"/>
      <c r="OZ67"/>
      <c r="PA67"/>
      <c r="PB67"/>
      <c r="PC67"/>
      <c r="PD67"/>
      <c r="PE67"/>
      <c r="PF67"/>
      <c r="PG67"/>
      <c r="PH67"/>
      <c r="PI67"/>
      <c r="PJ67"/>
      <c r="PK67"/>
      <c r="PL67"/>
      <c r="PM67"/>
      <c r="PN67"/>
      <c r="PO67"/>
      <c r="PP67"/>
      <c r="PQ67"/>
      <c r="PR67"/>
      <c r="PS67"/>
      <c r="PT67"/>
      <c r="PU67"/>
      <c r="PV67"/>
      <c r="PW67"/>
      <c r="PX67"/>
      <c r="PY67"/>
      <c r="PZ67"/>
      <c r="QA67"/>
      <c r="QB67"/>
      <c r="QC67"/>
      <c r="QD67"/>
      <c r="QE67"/>
      <c r="QF67"/>
      <c r="QG67"/>
      <c r="QH67"/>
      <c r="QI67"/>
      <c r="QJ67"/>
      <c r="QK67"/>
      <c r="QL67"/>
      <c r="QM67"/>
      <c r="QN67"/>
      <c r="QO67"/>
      <c r="QP67"/>
      <c r="QQ67"/>
      <c r="QR67"/>
      <c r="QS67"/>
      <c r="QT67"/>
      <c r="QU67"/>
      <c r="QV67"/>
      <c r="QW67"/>
      <c r="QX67"/>
    </row>
    <row r="68" spans="1:466" x14ac:dyDescent="0.35">
      <c r="A68" s="53"/>
      <c r="B68" s="53"/>
      <c r="C68" s="53"/>
      <c r="D68" s="53"/>
      <c r="E68" s="53"/>
      <c r="F68" s="126" t="s">
        <v>129</v>
      </c>
      <c r="G68" s="125">
        <v>0.55000000000000004</v>
      </c>
      <c r="H68" s="125">
        <v>13.200000000000001</v>
      </c>
      <c r="I68" s="133">
        <v>24</v>
      </c>
      <c r="J68" s="53"/>
      <c r="K68" s="58">
        <v>45705</v>
      </c>
      <c r="L68" s="59" t="str">
        <f>IFERROR(VLOOKUP($A$2,Stok!$B$1:$BC$446,54,0),"")</f>
        <v/>
      </c>
      <c r="M68" s="53"/>
      <c r="N68" s="53"/>
      <c r="O68" s="53"/>
      <c r="P68" s="53"/>
      <c r="Q68" s="53"/>
      <c r="R68" s="53"/>
      <c r="S68" s="53"/>
      <c r="T68" s="53"/>
      <c r="U68" s="53"/>
      <c r="V68" s="53"/>
      <c r="W68" s="53"/>
      <c r="X68" s="53"/>
      <c r="Y68" s="53"/>
      <c r="Z68" s="53"/>
      <c r="AA68" s="53"/>
      <c r="AB68" s="53"/>
      <c r="AC68" s="53"/>
      <c r="AD68" s="53"/>
      <c r="AE68" s="53"/>
      <c r="AF68" s="63"/>
      <c r="AG68" s="64"/>
      <c r="AH68" s="65"/>
      <c r="AI68" s="65"/>
      <c r="AJ68" s="53"/>
      <c r="AK68" s="62"/>
      <c r="AL68" s="62"/>
      <c r="AM68" s="62"/>
      <c r="AN68" s="62"/>
      <c r="AO68" s="62"/>
      <c r="AP68" s="62"/>
      <c r="AQ68" s="62"/>
      <c r="AR68" s="62"/>
      <c r="AS68" s="62"/>
      <c r="AT68" s="62"/>
      <c r="AU68" s="62"/>
      <c r="AV68" s="62"/>
      <c r="AW68" s="62"/>
      <c r="AX68" s="62"/>
      <c r="AY68" s="62"/>
      <c r="AZ68" s="62"/>
      <c r="BA68" s="62"/>
      <c r="BB68" s="62"/>
      <c r="BC68" s="62"/>
      <c r="BD68" s="62"/>
      <c r="BE68" s="62"/>
      <c r="BF68" s="62"/>
      <c r="BG68" s="62"/>
      <c r="BH68" s="62"/>
      <c r="BI68" s="62"/>
      <c r="BJ68" s="62"/>
      <c r="BK68" s="62"/>
      <c r="BL68" s="62"/>
      <c r="BM68" s="62"/>
      <c r="BN68" s="62"/>
      <c r="BO68" s="62"/>
      <c r="BP68" s="62"/>
      <c r="BQ68" s="62"/>
      <c r="BR68" s="62"/>
      <c r="BS68" s="62"/>
      <c r="BT68" s="62"/>
      <c r="BU68" s="62"/>
      <c r="BV68" s="62"/>
      <c r="BW68" s="62"/>
      <c r="BX68" s="62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/>
      <c r="JK68"/>
      <c r="JL68"/>
      <c r="JM68"/>
      <c r="JN68"/>
      <c r="JO68"/>
      <c r="JP68"/>
      <c r="JQ68"/>
      <c r="JR68"/>
      <c r="JS68"/>
      <c r="JT68"/>
      <c r="JU68"/>
      <c r="JV68"/>
      <c r="JW68"/>
      <c r="JX68"/>
      <c r="JY68"/>
      <c r="JZ68"/>
      <c r="KA68"/>
      <c r="KB68"/>
      <c r="KC68"/>
      <c r="KD68"/>
      <c r="KE68"/>
      <c r="KF68"/>
      <c r="KG68"/>
      <c r="KH68"/>
      <c r="KI68"/>
      <c r="KJ68"/>
      <c r="KK68"/>
      <c r="KL68"/>
      <c r="KM68"/>
      <c r="KN68"/>
      <c r="KO68"/>
      <c r="KP68"/>
      <c r="KQ68"/>
      <c r="KR68"/>
      <c r="KS68"/>
      <c r="KT68"/>
      <c r="KU68"/>
      <c r="KV68"/>
      <c r="KW68"/>
      <c r="KX68"/>
      <c r="KY68"/>
      <c r="KZ68"/>
      <c r="LA68"/>
      <c r="LB68"/>
      <c r="LC68"/>
      <c r="LD68"/>
      <c r="LE68"/>
      <c r="LF68"/>
      <c r="LG68"/>
      <c r="LH68"/>
      <c r="LI68"/>
      <c r="LJ68"/>
      <c r="LK68"/>
      <c r="LL68"/>
      <c r="LM68"/>
      <c r="LN68"/>
      <c r="LO68"/>
      <c r="LP68"/>
      <c r="LQ68"/>
      <c r="LR68"/>
      <c r="LS68"/>
      <c r="LT68"/>
      <c r="LU68"/>
      <c r="LV68"/>
      <c r="LW68"/>
      <c r="LX68"/>
      <c r="LY68"/>
      <c r="LZ68"/>
      <c r="MA68"/>
      <c r="MB68"/>
      <c r="MC68"/>
      <c r="MD68"/>
      <c r="ME68"/>
      <c r="MF68"/>
      <c r="MG68"/>
      <c r="MH68"/>
      <c r="MI68"/>
      <c r="MJ68"/>
      <c r="MK68"/>
      <c r="ML68"/>
      <c r="MM68"/>
      <c r="MN68"/>
      <c r="MO68"/>
      <c r="MP68"/>
      <c r="MQ68"/>
      <c r="MR68"/>
      <c r="MS68"/>
      <c r="MT68"/>
      <c r="MU68"/>
      <c r="MV68"/>
      <c r="MW68"/>
      <c r="MX68"/>
      <c r="MY68"/>
      <c r="MZ68"/>
      <c r="NA68"/>
      <c r="NB68"/>
      <c r="NC68"/>
      <c r="ND68"/>
      <c r="NE68"/>
      <c r="NF68"/>
      <c r="NG68"/>
      <c r="NH68"/>
      <c r="NI68"/>
      <c r="NJ68"/>
      <c r="NK68"/>
      <c r="NL68"/>
      <c r="NM68"/>
      <c r="NN68"/>
      <c r="NO68"/>
      <c r="NP68"/>
      <c r="NQ68"/>
      <c r="NR68"/>
      <c r="NS68"/>
      <c r="NT68"/>
      <c r="NU68"/>
      <c r="NV68"/>
      <c r="NW68"/>
      <c r="NX68"/>
      <c r="NY68"/>
      <c r="NZ68"/>
      <c r="OA68"/>
      <c r="OB68"/>
      <c r="OC68"/>
      <c r="OD68"/>
      <c r="OE68"/>
      <c r="OF68"/>
      <c r="OG68"/>
      <c r="OH68"/>
      <c r="OI68"/>
      <c r="OJ68"/>
      <c r="OK68"/>
      <c r="OL68"/>
      <c r="OM68"/>
      <c r="ON68"/>
      <c r="OO68"/>
      <c r="OP68"/>
      <c r="OQ68"/>
      <c r="OR68"/>
      <c r="OS68"/>
      <c r="OT68"/>
      <c r="OU68"/>
      <c r="OV68"/>
      <c r="OW68"/>
      <c r="OX68"/>
      <c r="OY68"/>
      <c r="OZ68"/>
      <c r="PA68"/>
      <c r="PB68"/>
      <c r="PC68"/>
      <c r="PD68"/>
      <c r="PE68"/>
      <c r="PF68"/>
      <c r="PG68"/>
      <c r="PH68"/>
      <c r="PI68"/>
      <c r="PJ68"/>
      <c r="PK68"/>
      <c r="PL68"/>
      <c r="PM68"/>
      <c r="PN68"/>
      <c r="PO68"/>
      <c r="PP68"/>
      <c r="PQ68"/>
      <c r="PR68"/>
      <c r="PS68"/>
      <c r="PT68"/>
      <c r="PU68"/>
      <c r="PV68"/>
      <c r="PW68"/>
      <c r="PX68"/>
      <c r="PY68"/>
      <c r="PZ68"/>
      <c r="QA68"/>
      <c r="QB68"/>
      <c r="QC68"/>
      <c r="QD68"/>
      <c r="QE68"/>
      <c r="QF68"/>
      <c r="QG68"/>
      <c r="QH68"/>
      <c r="QI68"/>
      <c r="QJ68"/>
      <c r="QK68"/>
      <c r="QL68"/>
      <c r="QM68"/>
      <c r="QN68"/>
      <c r="QO68"/>
      <c r="QP68"/>
      <c r="QQ68"/>
      <c r="QR68"/>
      <c r="QS68"/>
      <c r="QT68"/>
      <c r="QU68"/>
      <c r="QV68"/>
      <c r="QW68"/>
      <c r="QX68"/>
    </row>
    <row r="69" spans="1:466" x14ac:dyDescent="0.35">
      <c r="A69" s="53"/>
      <c r="B69" s="53"/>
      <c r="C69" s="53"/>
      <c r="D69" s="53"/>
      <c r="E69" s="53"/>
      <c r="F69" s="126" t="s">
        <v>131</v>
      </c>
      <c r="G69" s="125">
        <v>0.3</v>
      </c>
      <c r="H69" s="125">
        <v>48.3</v>
      </c>
      <c r="I69" s="133">
        <v>161</v>
      </c>
      <c r="J69" s="53"/>
      <c r="K69" s="58">
        <v>45702</v>
      </c>
      <c r="L69" s="59" t="str">
        <f>IFERROR(VLOOKUP($A$2,Stok!$B$1:$BB$446,53,0),"")</f>
        <v/>
      </c>
      <c r="M69" s="53"/>
      <c r="N69" s="53"/>
      <c r="O69" s="53"/>
      <c r="P69" s="53"/>
      <c r="Q69" s="53"/>
      <c r="R69" s="53"/>
      <c r="S69" s="53"/>
      <c r="T69" s="53"/>
      <c r="U69" s="53"/>
      <c r="V69" s="53"/>
      <c r="W69" s="53"/>
      <c r="X69" s="53"/>
      <c r="Y69" s="53"/>
      <c r="Z69" s="53"/>
      <c r="AA69" s="53"/>
      <c r="AB69" s="53"/>
      <c r="AC69" s="53"/>
      <c r="AD69" s="53"/>
      <c r="AE69" s="53"/>
      <c r="AF69" s="63"/>
      <c r="AG69" s="64"/>
      <c r="AH69" s="65"/>
      <c r="AI69" s="65"/>
      <c r="AJ69" s="53"/>
      <c r="AK69" s="62"/>
      <c r="AL69" s="62"/>
      <c r="AM69" s="62"/>
      <c r="AN69" s="62"/>
      <c r="AO69" s="62"/>
      <c r="AP69" s="62"/>
      <c r="AQ69" s="62"/>
      <c r="AR69" s="62"/>
      <c r="AS69" s="62"/>
      <c r="AT69" s="62"/>
      <c r="AU69" s="62"/>
      <c r="AV69" s="62"/>
      <c r="AW69" s="62"/>
      <c r="AX69" s="62"/>
      <c r="AY69" s="62"/>
      <c r="AZ69" s="62"/>
      <c r="BA69" s="62"/>
      <c r="BB69" s="62"/>
      <c r="BC69" s="62"/>
      <c r="BD69" s="62"/>
      <c r="BE69" s="62"/>
      <c r="BF69" s="62"/>
      <c r="BG69" s="62"/>
      <c r="BH69" s="62"/>
      <c r="BI69" s="62"/>
      <c r="BJ69" s="62"/>
      <c r="BK69" s="62"/>
      <c r="BL69" s="62"/>
      <c r="BM69" s="62"/>
      <c r="BN69" s="62"/>
      <c r="BO69" s="62"/>
      <c r="BP69" s="62"/>
      <c r="BQ69" s="62"/>
      <c r="BR69" s="62"/>
      <c r="BS69" s="62"/>
      <c r="BT69" s="62"/>
      <c r="BU69" s="62"/>
      <c r="BV69" s="62"/>
      <c r="BW69" s="62"/>
      <c r="BX69" s="62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  <c r="IW69"/>
      <c r="IX69"/>
      <c r="IY69"/>
      <c r="IZ69"/>
      <c r="JA69"/>
      <c r="JB69"/>
      <c r="JC69"/>
      <c r="JD69"/>
      <c r="JE69"/>
      <c r="JF69"/>
      <c r="JG69"/>
      <c r="JH69"/>
      <c r="JI69"/>
      <c r="JJ69"/>
      <c r="JK69"/>
      <c r="JL69"/>
      <c r="JM69"/>
      <c r="JN69"/>
      <c r="JO69"/>
      <c r="JP69"/>
      <c r="JQ69"/>
      <c r="JR69"/>
      <c r="JS69"/>
      <c r="JT69"/>
      <c r="JU69"/>
      <c r="JV69"/>
      <c r="JW69"/>
      <c r="JX69"/>
      <c r="JY69"/>
      <c r="JZ69"/>
      <c r="KA69"/>
      <c r="KB69"/>
      <c r="KC69"/>
      <c r="KD69"/>
      <c r="KE69"/>
      <c r="KF69"/>
      <c r="KG69"/>
      <c r="KH69"/>
      <c r="KI69"/>
      <c r="KJ69"/>
      <c r="KK69"/>
      <c r="KL69"/>
      <c r="KM69"/>
      <c r="KN69"/>
      <c r="KO69"/>
      <c r="KP69"/>
      <c r="KQ69"/>
      <c r="KR69"/>
      <c r="KS69"/>
      <c r="KT69"/>
      <c r="KU69"/>
      <c r="KV69"/>
      <c r="KW69"/>
      <c r="KX69"/>
      <c r="KY69"/>
      <c r="KZ69"/>
      <c r="LA69"/>
      <c r="LB69"/>
      <c r="LC69"/>
      <c r="LD69"/>
      <c r="LE69"/>
      <c r="LF69"/>
      <c r="LG69"/>
      <c r="LH69"/>
      <c r="LI69"/>
      <c r="LJ69"/>
      <c r="LK69"/>
      <c r="LL69"/>
      <c r="LM69"/>
      <c r="LN69"/>
      <c r="LO69"/>
      <c r="LP69"/>
      <c r="LQ69"/>
      <c r="LR69"/>
      <c r="LS69"/>
      <c r="LT69"/>
      <c r="LU69"/>
      <c r="LV69"/>
      <c r="LW69"/>
      <c r="LX69"/>
      <c r="LY69"/>
      <c r="LZ69"/>
      <c r="MA69"/>
      <c r="MB69"/>
      <c r="MC69"/>
      <c r="MD69"/>
      <c r="ME69"/>
      <c r="MF69"/>
      <c r="MG69"/>
      <c r="MH69"/>
      <c r="MI69"/>
      <c r="MJ69"/>
      <c r="MK69"/>
      <c r="ML69"/>
      <c r="MM69"/>
      <c r="MN69"/>
      <c r="MO69"/>
      <c r="MP69"/>
      <c r="MQ69"/>
      <c r="MR69"/>
      <c r="MS69"/>
      <c r="MT69"/>
      <c r="MU69"/>
      <c r="MV69"/>
      <c r="MW69"/>
      <c r="MX69"/>
      <c r="MY69"/>
      <c r="MZ69"/>
      <c r="NA69"/>
      <c r="NB69"/>
      <c r="NC69"/>
      <c r="ND69"/>
      <c r="NE69"/>
      <c r="NF69"/>
      <c r="NG69"/>
      <c r="NH69"/>
      <c r="NI69"/>
      <c r="NJ69"/>
      <c r="NK69"/>
      <c r="NL69"/>
      <c r="NM69"/>
      <c r="NN69"/>
      <c r="NO69"/>
      <c r="NP69"/>
      <c r="NQ69"/>
      <c r="NR69"/>
      <c r="NS69"/>
      <c r="NT69"/>
      <c r="NU69"/>
      <c r="NV69"/>
      <c r="NW69"/>
      <c r="NX69"/>
      <c r="NY69"/>
      <c r="NZ69"/>
      <c r="OA69"/>
      <c r="OB69"/>
      <c r="OC69"/>
      <c r="OD69"/>
      <c r="OE69"/>
      <c r="OF69"/>
      <c r="OG69"/>
      <c r="OH69"/>
      <c r="OI69"/>
      <c r="OJ69"/>
      <c r="OK69"/>
      <c r="OL69"/>
      <c r="OM69"/>
      <c r="ON69"/>
      <c r="OO69"/>
      <c r="OP69"/>
      <c r="OQ69"/>
      <c r="OR69"/>
      <c r="OS69"/>
      <c r="OT69"/>
      <c r="OU69"/>
      <c r="OV69"/>
      <c r="OW69"/>
      <c r="OX69"/>
      <c r="OY69"/>
      <c r="OZ69"/>
      <c r="PA69"/>
      <c r="PB69"/>
      <c r="PC69"/>
      <c r="PD69"/>
      <c r="PE69"/>
      <c r="PF69"/>
      <c r="PG69"/>
      <c r="PH69"/>
      <c r="PI69"/>
      <c r="PJ69"/>
      <c r="PK69"/>
      <c r="PL69"/>
      <c r="PM69"/>
      <c r="PN69"/>
      <c r="PO69"/>
      <c r="PP69"/>
      <c r="PQ69"/>
      <c r="PR69"/>
      <c r="PS69"/>
      <c r="PT69"/>
      <c r="PU69"/>
      <c r="PV69"/>
      <c r="PW69"/>
      <c r="PX69"/>
      <c r="PY69"/>
      <c r="PZ69"/>
      <c r="QA69"/>
      <c r="QB69"/>
      <c r="QC69"/>
      <c r="QD69"/>
      <c r="QE69"/>
      <c r="QF69"/>
      <c r="QG69"/>
      <c r="QH69"/>
      <c r="QI69"/>
      <c r="QJ69"/>
      <c r="QK69"/>
      <c r="QL69"/>
      <c r="QM69"/>
      <c r="QN69"/>
      <c r="QO69"/>
      <c r="QP69"/>
      <c r="QQ69"/>
      <c r="QR69"/>
      <c r="QS69"/>
      <c r="QT69"/>
      <c r="QU69"/>
      <c r="QV69"/>
      <c r="QW69"/>
      <c r="QX69"/>
    </row>
    <row r="70" spans="1:466" x14ac:dyDescent="0.35">
      <c r="A70" s="53"/>
      <c r="B70" s="53"/>
      <c r="C70" s="53"/>
      <c r="D70" s="53"/>
      <c r="E70" s="53"/>
      <c r="F70" s="126" t="s">
        <v>133</v>
      </c>
      <c r="G70" s="125">
        <v>0.56999999999999995</v>
      </c>
      <c r="H70" s="125">
        <v>0</v>
      </c>
      <c r="I70" s="133">
        <v>0</v>
      </c>
      <c r="J70" s="53"/>
      <c r="K70" s="58">
        <v>45698</v>
      </c>
      <c r="L70" s="59" t="str">
        <f>IFERROR(VLOOKUP($A$2,Stok!$B$1:$BA$446,52,0),"")</f>
        <v/>
      </c>
      <c r="M70" s="53"/>
      <c r="N70" s="53"/>
      <c r="O70" s="53"/>
      <c r="P70" s="53"/>
      <c r="Q70" s="53"/>
      <c r="R70" s="53"/>
      <c r="S70" s="53"/>
      <c r="T70" s="53"/>
      <c r="U70" s="53"/>
      <c r="V70" s="53"/>
      <c r="W70" s="53"/>
      <c r="X70" s="53"/>
      <c r="Y70" s="53"/>
      <c r="Z70" s="53"/>
      <c r="AA70" s="53"/>
      <c r="AB70" s="53"/>
      <c r="AC70" s="53"/>
      <c r="AD70" s="53"/>
      <c r="AE70" s="53"/>
      <c r="AF70" s="63"/>
      <c r="AG70" s="64"/>
      <c r="AH70" s="65"/>
      <c r="AI70" s="65"/>
      <c r="AJ70" s="53"/>
      <c r="AK70" s="62"/>
      <c r="AL70" s="62"/>
      <c r="AM70" s="62"/>
      <c r="AN70" s="62"/>
      <c r="AO70" s="62"/>
      <c r="AP70" s="62"/>
      <c r="AQ70" s="62"/>
      <c r="AR70" s="62"/>
      <c r="AS70" s="62"/>
      <c r="AT70" s="62"/>
      <c r="AU70" s="62"/>
      <c r="AV70" s="62"/>
      <c r="AW70" s="62"/>
      <c r="AX70" s="62"/>
      <c r="AY70" s="62"/>
      <c r="AZ70" s="62"/>
      <c r="BA70" s="62"/>
      <c r="BB70" s="62"/>
      <c r="BC70" s="62"/>
      <c r="BD70" s="62"/>
      <c r="BE70" s="62"/>
      <c r="BF70" s="62"/>
      <c r="BG70" s="62"/>
      <c r="BH70" s="62"/>
      <c r="BI70" s="62"/>
      <c r="BJ70" s="62"/>
      <c r="BK70" s="62"/>
      <c r="BL70" s="62"/>
      <c r="BM70" s="62"/>
      <c r="BN70" s="62"/>
      <c r="BO70" s="62"/>
      <c r="BP70" s="62"/>
      <c r="BQ70" s="62"/>
      <c r="BR70" s="62"/>
      <c r="BS70" s="62"/>
      <c r="BT70" s="62"/>
      <c r="BU70" s="62"/>
      <c r="BV70" s="62"/>
      <c r="BW70" s="62"/>
      <c r="BX70" s="62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/>
      <c r="JK70"/>
      <c r="JL70"/>
      <c r="JM70"/>
      <c r="JN70"/>
      <c r="JO70"/>
      <c r="JP70"/>
      <c r="JQ70"/>
      <c r="JR70"/>
      <c r="JS70"/>
      <c r="JT70"/>
      <c r="JU70"/>
      <c r="JV70"/>
      <c r="JW70"/>
      <c r="JX70"/>
      <c r="JY70"/>
      <c r="JZ70"/>
      <c r="KA70"/>
      <c r="KB70"/>
      <c r="KC70"/>
      <c r="KD70"/>
      <c r="KE70"/>
      <c r="KF70"/>
      <c r="KG70"/>
      <c r="KH70"/>
      <c r="KI70"/>
      <c r="KJ70"/>
      <c r="KK70"/>
      <c r="KL70"/>
      <c r="KM70"/>
      <c r="KN70"/>
      <c r="KO70"/>
      <c r="KP70"/>
      <c r="KQ70"/>
      <c r="KR70"/>
      <c r="KS70"/>
      <c r="KT70"/>
      <c r="KU70"/>
      <c r="KV70"/>
      <c r="KW70"/>
      <c r="KX70"/>
      <c r="KY70"/>
      <c r="KZ70"/>
      <c r="LA70"/>
      <c r="LB70"/>
      <c r="LC70"/>
      <c r="LD70"/>
      <c r="LE70"/>
      <c r="LF70"/>
      <c r="LG70"/>
      <c r="LH70"/>
      <c r="LI70"/>
      <c r="LJ70"/>
      <c r="LK70"/>
      <c r="LL70"/>
      <c r="LM70"/>
      <c r="LN70"/>
      <c r="LO70"/>
      <c r="LP70"/>
      <c r="LQ70"/>
      <c r="LR70"/>
      <c r="LS70"/>
      <c r="LT70"/>
      <c r="LU70"/>
      <c r="LV70"/>
      <c r="LW70"/>
      <c r="LX70"/>
      <c r="LY70"/>
      <c r="LZ70"/>
      <c r="MA70"/>
      <c r="MB70"/>
      <c r="MC70"/>
      <c r="MD70"/>
      <c r="ME70"/>
      <c r="MF70"/>
      <c r="MG70"/>
      <c r="MH70"/>
      <c r="MI70"/>
      <c r="MJ70"/>
      <c r="MK70"/>
      <c r="ML70"/>
      <c r="MM70"/>
      <c r="MN70"/>
      <c r="MO70"/>
      <c r="MP70"/>
      <c r="MQ70"/>
      <c r="MR70"/>
      <c r="MS70"/>
      <c r="MT70"/>
      <c r="MU70"/>
      <c r="MV70"/>
      <c r="MW70"/>
      <c r="MX70"/>
      <c r="MY70"/>
      <c r="MZ70"/>
      <c r="NA70"/>
      <c r="NB70"/>
      <c r="NC70"/>
      <c r="ND70"/>
      <c r="NE70"/>
      <c r="NF70"/>
      <c r="NG70"/>
      <c r="NH70"/>
      <c r="NI70"/>
      <c r="NJ70"/>
      <c r="NK70"/>
      <c r="NL70"/>
      <c r="NM70"/>
      <c r="NN70"/>
      <c r="NO70"/>
      <c r="NP70"/>
      <c r="NQ70"/>
      <c r="NR70"/>
      <c r="NS70"/>
      <c r="NT70"/>
      <c r="NU70"/>
      <c r="NV70"/>
      <c r="NW70"/>
      <c r="NX70"/>
      <c r="NY70"/>
      <c r="NZ70"/>
      <c r="OA70"/>
      <c r="OB70"/>
      <c r="OC70"/>
      <c r="OD70"/>
      <c r="OE70"/>
      <c r="OF70"/>
      <c r="OG70"/>
      <c r="OH70"/>
      <c r="OI70"/>
      <c r="OJ70"/>
      <c r="OK70"/>
      <c r="OL70"/>
      <c r="OM70"/>
      <c r="ON70"/>
      <c r="OO70"/>
      <c r="OP70"/>
      <c r="OQ70"/>
      <c r="OR70"/>
      <c r="OS70"/>
      <c r="OT70"/>
      <c r="OU70"/>
      <c r="OV70"/>
      <c r="OW70"/>
      <c r="OX70"/>
      <c r="OY70"/>
      <c r="OZ70"/>
      <c r="PA70"/>
      <c r="PB70"/>
      <c r="PC70"/>
      <c r="PD70"/>
      <c r="PE70"/>
      <c r="PF70"/>
      <c r="PG70"/>
      <c r="PH70"/>
      <c r="PI70"/>
      <c r="PJ70"/>
      <c r="PK70"/>
      <c r="PL70"/>
      <c r="PM70"/>
      <c r="PN70"/>
      <c r="PO70"/>
      <c r="PP70"/>
      <c r="PQ70"/>
      <c r="PR70"/>
      <c r="PS70"/>
      <c r="PT70"/>
      <c r="PU70"/>
      <c r="PV70"/>
      <c r="PW70"/>
      <c r="PX70"/>
      <c r="PY70"/>
      <c r="PZ70"/>
      <c r="QA70"/>
      <c r="QB70"/>
      <c r="QC70"/>
      <c r="QD70"/>
      <c r="QE70"/>
      <c r="QF70"/>
      <c r="QG70"/>
      <c r="QH70"/>
      <c r="QI70"/>
      <c r="QJ70"/>
      <c r="QK70"/>
      <c r="QL70"/>
      <c r="QM70"/>
      <c r="QN70"/>
      <c r="QO70"/>
      <c r="QP70"/>
      <c r="QQ70"/>
      <c r="QR70"/>
      <c r="QS70"/>
      <c r="QT70"/>
      <c r="QU70"/>
      <c r="QV70"/>
      <c r="QW70"/>
      <c r="QX70"/>
    </row>
    <row r="71" spans="1:466" x14ac:dyDescent="0.35">
      <c r="A71" s="53"/>
      <c r="B71" s="53"/>
      <c r="C71" s="53"/>
      <c r="D71" s="53"/>
      <c r="E71" s="53"/>
      <c r="F71" s="126" t="s">
        <v>1411</v>
      </c>
      <c r="G71" s="125">
        <v>55.15</v>
      </c>
      <c r="H71" s="125">
        <v>0</v>
      </c>
      <c r="I71" s="133">
        <v>0</v>
      </c>
      <c r="J71" s="53"/>
      <c r="K71" s="58">
        <v>45691</v>
      </c>
      <c r="L71" s="59" t="str">
        <f>IFERROR(VLOOKUP($A$2,Stok!$B$1:$AZ$446,51,0),"")</f>
        <v/>
      </c>
      <c r="M71" s="53"/>
      <c r="N71" s="53"/>
      <c r="O71" s="53"/>
      <c r="P71" s="53"/>
      <c r="Q71" s="53"/>
      <c r="R71" s="53"/>
      <c r="S71" s="53"/>
      <c r="T71" s="53"/>
      <c r="U71" s="53"/>
      <c r="V71" s="53"/>
      <c r="W71" s="53"/>
      <c r="X71" s="53"/>
      <c r="Y71" s="53"/>
      <c r="Z71" s="53"/>
      <c r="AA71" s="53"/>
      <c r="AB71" s="53"/>
      <c r="AC71" s="53"/>
      <c r="AD71" s="53"/>
      <c r="AE71" s="53"/>
      <c r="AF71" s="63"/>
      <c r="AG71" s="64"/>
      <c r="AH71" s="65"/>
      <c r="AI71" s="65"/>
      <c r="AJ71" s="53"/>
      <c r="AK71" s="62"/>
      <c r="AL71" s="62"/>
      <c r="AM71" s="62"/>
      <c r="AN71" s="62"/>
      <c r="AO71" s="62"/>
      <c r="AP71" s="62"/>
      <c r="AQ71" s="62"/>
      <c r="AR71" s="62"/>
      <c r="AS71" s="62"/>
      <c r="AT71" s="62"/>
      <c r="AU71" s="62"/>
      <c r="AV71" s="62"/>
      <c r="AW71" s="62"/>
      <c r="AX71" s="62"/>
      <c r="AY71" s="62"/>
      <c r="AZ71" s="62"/>
      <c r="BA71" s="62"/>
      <c r="BB71" s="62"/>
      <c r="BC71" s="62"/>
      <c r="BD71" s="62"/>
      <c r="BE71" s="62"/>
      <c r="BF71" s="62"/>
      <c r="BG71" s="62"/>
      <c r="BH71" s="62"/>
      <c r="BI71" s="62"/>
      <c r="BJ71" s="62"/>
      <c r="BK71" s="62"/>
      <c r="BL71" s="62"/>
      <c r="BM71" s="62"/>
      <c r="BN71" s="62"/>
      <c r="BO71" s="62"/>
      <c r="BP71" s="62"/>
      <c r="BQ71" s="62"/>
      <c r="BR71" s="62"/>
      <c r="BS71" s="62"/>
      <c r="BT71" s="62"/>
      <c r="BU71" s="62"/>
      <c r="BV71" s="62"/>
      <c r="BW71" s="62"/>
      <c r="BX71" s="62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/>
      <c r="JK71"/>
      <c r="JL71"/>
      <c r="JM71"/>
      <c r="JN71"/>
      <c r="JO71"/>
      <c r="JP71"/>
      <c r="JQ71"/>
      <c r="JR71"/>
      <c r="JS71"/>
      <c r="JT71"/>
      <c r="JU71"/>
      <c r="JV71"/>
      <c r="JW71"/>
      <c r="JX71"/>
      <c r="JY71"/>
      <c r="JZ71"/>
      <c r="KA71"/>
      <c r="KB71"/>
      <c r="KC71"/>
      <c r="KD71"/>
      <c r="KE71"/>
      <c r="KF71"/>
      <c r="KG71"/>
      <c r="KH71"/>
      <c r="KI71"/>
      <c r="KJ71"/>
      <c r="KK71"/>
      <c r="KL71"/>
      <c r="KM71"/>
      <c r="KN71"/>
      <c r="KO71"/>
      <c r="KP71"/>
      <c r="KQ71"/>
      <c r="KR71"/>
      <c r="KS71"/>
      <c r="KT71"/>
      <c r="KU71"/>
      <c r="KV71"/>
      <c r="KW71"/>
      <c r="KX71"/>
      <c r="KY71"/>
      <c r="KZ71"/>
      <c r="LA71"/>
      <c r="LB71"/>
      <c r="LC71"/>
      <c r="LD71"/>
      <c r="LE71"/>
      <c r="LF71"/>
      <c r="LG71"/>
      <c r="LH71"/>
      <c r="LI71"/>
      <c r="LJ71"/>
      <c r="LK71"/>
      <c r="LL71"/>
      <c r="LM71"/>
      <c r="LN71"/>
      <c r="LO71"/>
      <c r="LP71"/>
      <c r="LQ71"/>
      <c r="LR71"/>
      <c r="LS71"/>
      <c r="LT71"/>
      <c r="LU71"/>
      <c r="LV71"/>
      <c r="LW71"/>
      <c r="LX71"/>
      <c r="LY71"/>
      <c r="LZ71"/>
      <c r="MA71"/>
      <c r="MB71"/>
      <c r="MC71"/>
      <c r="MD71"/>
      <c r="ME71"/>
      <c r="MF71"/>
      <c r="MG71"/>
      <c r="MH71"/>
      <c r="MI71"/>
      <c r="MJ71"/>
      <c r="MK71"/>
      <c r="ML71"/>
      <c r="MM71"/>
      <c r="MN71"/>
      <c r="MO71"/>
      <c r="MP71"/>
      <c r="MQ71"/>
      <c r="MR71"/>
      <c r="MS71"/>
      <c r="MT71"/>
      <c r="MU71"/>
      <c r="MV71"/>
      <c r="MW71"/>
      <c r="MX71"/>
      <c r="MY71"/>
      <c r="MZ71"/>
      <c r="NA71"/>
      <c r="NB71"/>
      <c r="NC71"/>
      <c r="ND71"/>
      <c r="NE71"/>
      <c r="NF71"/>
      <c r="NG71"/>
      <c r="NH71"/>
      <c r="NI71"/>
      <c r="NJ71"/>
      <c r="NK71"/>
      <c r="NL71"/>
      <c r="NM71"/>
      <c r="NN71"/>
      <c r="NO71"/>
      <c r="NP71"/>
      <c r="NQ71"/>
      <c r="NR71"/>
      <c r="NS71"/>
      <c r="NT71"/>
      <c r="NU71"/>
      <c r="NV71"/>
      <c r="NW71"/>
      <c r="NX71"/>
      <c r="NY71"/>
      <c r="NZ71"/>
      <c r="OA71"/>
      <c r="OB71"/>
      <c r="OC71"/>
      <c r="OD71"/>
      <c r="OE71"/>
      <c r="OF71"/>
      <c r="OG71"/>
      <c r="OH71"/>
      <c r="OI71"/>
      <c r="OJ71"/>
      <c r="OK71"/>
      <c r="OL71"/>
      <c r="OM71"/>
      <c r="ON71"/>
      <c r="OO71"/>
      <c r="OP71"/>
      <c r="OQ71"/>
      <c r="OR71"/>
      <c r="OS71"/>
      <c r="OT71"/>
      <c r="OU71"/>
      <c r="OV71"/>
      <c r="OW71"/>
      <c r="OX71"/>
      <c r="OY71"/>
      <c r="OZ71"/>
      <c r="PA71"/>
      <c r="PB71"/>
      <c r="PC71"/>
      <c r="PD71"/>
      <c r="PE71"/>
      <c r="PF71"/>
      <c r="PG71"/>
      <c r="PH71"/>
      <c r="PI71"/>
      <c r="PJ71"/>
      <c r="PK71"/>
      <c r="PL71"/>
      <c r="PM71"/>
      <c r="PN71"/>
      <c r="PO71"/>
      <c r="PP71"/>
      <c r="PQ71"/>
      <c r="PR71"/>
      <c r="PS71"/>
      <c r="PT71"/>
      <c r="PU71"/>
      <c r="PV71"/>
      <c r="PW71"/>
      <c r="PX71"/>
      <c r="PY71"/>
      <c r="PZ71"/>
      <c r="QA71"/>
      <c r="QB71"/>
      <c r="QC71"/>
      <c r="QD71"/>
      <c r="QE71"/>
      <c r="QF71"/>
      <c r="QG71"/>
      <c r="QH71"/>
      <c r="QI71"/>
      <c r="QJ71"/>
      <c r="QK71"/>
      <c r="QL71"/>
      <c r="QM71"/>
      <c r="QN71"/>
      <c r="QO71"/>
      <c r="QP71"/>
      <c r="QQ71"/>
      <c r="QR71"/>
      <c r="QS71"/>
      <c r="QT71"/>
      <c r="QU71"/>
      <c r="QV71"/>
      <c r="QW71"/>
      <c r="QX71"/>
    </row>
    <row r="72" spans="1:466" x14ac:dyDescent="0.35">
      <c r="A72" s="53"/>
      <c r="B72" s="53"/>
      <c r="C72" s="53"/>
      <c r="D72" s="53"/>
      <c r="E72" s="53"/>
      <c r="F72" s="126" t="s">
        <v>1194</v>
      </c>
      <c r="G72" s="125"/>
      <c r="H72" s="125">
        <v>0</v>
      </c>
      <c r="I72" s="133">
        <v>0</v>
      </c>
      <c r="J72" s="53"/>
      <c r="K72" s="58">
        <v>45684</v>
      </c>
      <c r="L72" s="59" t="str">
        <f>IFERROR(VLOOKUP($A$2,Stok!$B$1:$AY$446,50,0),"")</f>
        <v/>
      </c>
      <c r="M72" s="53"/>
      <c r="N72" s="53"/>
      <c r="O72" s="53"/>
      <c r="P72" s="53"/>
      <c r="Q72" s="53"/>
      <c r="R72" s="53"/>
      <c r="S72" s="53"/>
      <c r="T72" s="53"/>
      <c r="U72" s="53"/>
      <c r="V72" s="53"/>
      <c r="W72" s="53"/>
      <c r="X72" s="53"/>
      <c r="Y72" s="53"/>
      <c r="Z72" s="53"/>
      <c r="AA72" s="53"/>
      <c r="AB72" s="53"/>
      <c r="AC72" s="53"/>
      <c r="AD72" s="53"/>
      <c r="AE72" s="53"/>
      <c r="AF72" s="63"/>
      <c r="AG72" s="64"/>
      <c r="AH72" s="65"/>
      <c r="AI72" s="65"/>
      <c r="AJ72" s="53"/>
      <c r="AK72" s="62"/>
      <c r="AL72" s="62"/>
      <c r="AM72" s="62"/>
      <c r="AN72" s="62"/>
      <c r="AO72" s="62"/>
      <c r="AP72" s="62"/>
      <c r="AQ72" s="62"/>
      <c r="AR72" s="62"/>
      <c r="AS72" s="62"/>
      <c r="AT72" s="62"/>
      <c r="AU72" s="62"/>
      <c r="AV72" s="62"/>
      <c r="AW72" s="62"/>
      <c r="AX72" s="62"/>
      <c r="AY72" s="62"/>
      <c r="AZ72" s="62"/>
      <c r="BA72" s="62"/>
      <c r="BB72" s="62"/>
      <c r="BC72" s="62"/>
      <c r="BD72" s="62"/>
      <c r="BE72" s="62"/>
      <c r="BF72" s="62"/>
      <c r="BG72" s="62"/>
      <c r="BH72" s="62"/>
      <c r="BI72" s="62"/>
      <c r="BJ72" s="62"/>
      <c r="BK72" s="62"/>
      <c r="BL72" s="62"/>
      <c r="BM72" s="62"/>
      <c r="BN72" s="62"/>
      <c r="BO72" s="62"/>
      <c r="BP72" s="62"/>
      <c r="BQ72" s="62"/>
      <c r="BR72" s="62"/>
      <c r="BS72" s="62"/>
      <c r="BT72" s="62"/>
      <c r="BU72" s="62"/>
      <c r="BV72" s="62"/>
      <c r="BW72" s="62"/>
      <c r="BX72" s="6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/>
      <c r="JK72"/>
      <c r="JL72"/>
      <c r="JM72"/>
      <c r="JN72"/>
      <c r="JO72"/>
      <c r="JP72"/>
      <c r="JQ72"/>
      <c r="JR72"/>
      <c r="JS72"/>
      <c r="JT72"/>
      <c r="JU72"/>
      <c r="JV72"/>
      <c r="JW72"/>
      <c r="JX72"/>
      <c r="JY72"/>
      <c r="JZ72"/>
      <c r="KA72"/>
      <c r="KB72"/>
      <c r="KC72"/>
      <c r="KD72"/>
      <c r="KE72"/>
      <c r="KF72"/>
      <c r="KG72"/>
      <c r="KH72"/>
      <c r="KI72"/>
      <c r="KJ72"/>
      <c r="KK72"/>
      <c r="KL72"/>
      <c r="KM72"/>
      <c r="KN72"/>
      <c r="KO72"/>
      <c r="KP72"/>
      <c r="KQ72"/>
      <c r="KR72"/>
      <c r="KS72"/>
      <c r="KT72"/>
      <c r="KU72"/>
      <c r="KV72"/>
      <c r="KW72"/>
      <c r="KX72"/>
      <c r="KY72"/>
      <c r="KZ72"/>
      <c r="LA72"/>
      <c r="LB72"/>
      <c r="LC72"/>
      <c r="LD72"/>
      <c r="LE72"/>
      <c r="LF72"/>
      <c r="LG72"/>
      <c r="LH72"/>
      <c r="LI72"/>
      <c r="LJ72"/>
      <c r="LK72"/>
      <c r="LL72"/>
      <c r="LM72"/>
      <c r="LN72"/>
      <c r="LO72"/>
      <c r="LP72"/>
      <c r="LQ72"/>
      <c r="LR72"/>
      <c r="LS72"/>
      <c r="LT72"/>
      <c r="LU72"/>
      <c r="LV72"/>
      <c r="LW72"/>
      <c r="LX72"/>
      <c r="LY72"/>
      <c r="LZ72"/>
      <c r="MA72"/>
      <c r="MB72"/>
      <c r="MC72"/>
      <c r="MD72"/>
      <c r="ME72"/>
      <c r="MF72"/>
      <c r="MG72"/>
      <c r="MH72"/>
      <c r="MI72"/>
      <c r="MJ72"/>
      <c r="MK72"/>
      <c r="ML72"/>
      <c r="MM72"/>
      <c r="MN72"/>
      <c r="MO72"/>
      <c r="MP72"/>
      <c r="MQ72"/>
      <c r="MR72"/>
      <c r="MS72"/>
      <c r="MT72"/>
      <c r="MU72"/>
      <c r="MV72"/>
      <c r="MW72"/>
      <c r="MX72"/>
      <c r="MY72"/>
      <c r="MZ72"/>
      <c r="NA72"/>
      <c r="NB72"/>
      <c r="NC72"/>
      <c r="ND72"/>
      <c r="NE72"/>
      <c r="NF72"/>
      <c r="NG72"/>
      <c r="NH72"/>
      <c r="NI72"/>
      <c r="NJ72"/>
      <c r="NK72"/>
      <c r="NL72"/>
      <c r="NM72"/>
      <c r="NN72"/>
      <c r="NO72"/>
      <c r="NP72"/>
      <c r="NQ72"/>
      <c r="NR72"/>
      <c r="NS72"/>
      <c r="NT72"/>
      <c r="NU72"/>
      <c r="NV72"/>
      <c r="NW72"/>
      <c r="NX72"/>
      <c r="NY72"/>
      <c r="NZ72"/>
      <c r="OA72"/>
      <c r="OB72"/>
      <c r="OC72"/>
      <c r="OD72"/>
      <c r="OE72"/>
      <c r="OF72"/>
      <c r="OG72"/>
      <c r="OH72"/>
      <c r="OI72"/>
      <c r="OJ72"/>
      <c r="OK72"/>
      <c r="OL72"/>
      <c r="OM72"/>
      <c r="ON72"/>
      <c r="OO72"/>
      <c r="OP72"/>
      <c r="OQ72"/>
      <c r="OR72"/>
      <c r="OS72"/>
      <c r="OT72"/>
      <c r="OU72"/>
      <c r="OV72"/>
      <c r="OW72"/>
      <c r="OX72"/>
      <c r="OY72"/>
      <c r="OZ72"/>
      <c r="PA72"/>
      <c r="PB72"/>
      <c r="PC72"/>
      <c r="PD72"/>
      <c r="PE72"/>
      <c r="PF72"/>
      <c r="PG72"/>
      <c r="PH72"/>
      <c r="PI72"/>
      <c r="PJ72"/>
      <c r="PK72"/>
      <c r="PL72"/>
      <c r="PM72"/>
      <c r="PN72"/>
      <c r="PO72"/>
      <c r="PP72"/>
      <c r="PQ72"/>
      <c r="PR72"/>
      <c r="PS72"/>
      <c r="PT72"/>
      <c r="PU72"/>
      <c r="PV72"/>
      <c r="PW72"/>
      <c r="PX72"/>
      <c r="PY72"/>
      <c r="PZ72"/>
      <c r="QA72"/>
      <c r="QB72"/>
      <c r="QC72"/>
      <c r="QD72"/>
      <c r="QE72"/>
      <c r="QF72"/>
      <c r="QG72"/>
      <c r="QH72"/>
      <c r="QI72"/>
      <c r="QJ72"/>
      <c r="QK72"/>
      <c r="QL72"/>
      <c r="QM72"/>
      <c r="QN72"/>
      <c r="QO72"/>
      <c r="QP72"/>
      <c r="QQ72"/>
      <c r="QR72"/>
      <c r="QS72"/>
      <c r="QT72"/>
      <c r="QU72"/>
      <c r="QV72"/>
      <c r="QW72"/>
      <c r="QX72"/>
    </row>
    <row r="73" spans="1:466" x14ac:dyDescent="0.35">
      <c r="A73" s="53"/>
      <c r="B73" s="53"/>
      <c r="C73" s="53"/>
      <c r="D73" s="53"/>
      <c r="E73" s="53"/>
      <c r="F73" s="126" t="s">
        <v>1391</v>
      </c>
      <c r="G73" s="125">
        <v>5.36</v>
      </c>
      <c r="H73" s="125">
        <v>0</v>
      </c>
      <c r="I73" s="133">
        <v>0</v>
      </c>
      <c r="J73" s="53"/>
      <c r="K73" s="58">
        <v>45677</v>
      </c>
      <c r="L73" s="59" t="str">
        <f>IFERROR(VLOOKUP($A$2,Stok!$B$1:$AX$446,49,0),"")</f>
        <v/>
      </c>
      <c r="M73" s="53"/>
      <c r="N73" s="53"/>
      <c r="O73" s="53"/>
      <c r="P73" s="53"/>
      <c r="Q73" s="53"/>
      <c r="R73" s="53"/>
      <c r="S73" s="53"/>
      <c r="T73" s="53"/>
      <c r="U73" s="53"/>
      <c r="V73" s="53"/>
      <c r="W73" s="53"/>
      <c r="X73" s="53"/>
      <c r="Y73" s="53"/>
      <c r="Z73" s="53"/>
      <c r="AA73" s="53"/>
      <c r="AB73" s="53"/>
      <c r="AC73" s="53"/>
      <c r="AD73" s="53"/>
      <c r="AE73" s="53"/>
      <c r="AF73" s="63"/>
      <c r="AG73" s="64"/>
      <c r="AH73" s="65"/>
      <c r="AI73" s="65"/>
      <c r="AJ73" s="53"/>
      <c r="AK73" s="62"/>
      <c r="AL73" s="62"/>
      <c r="AM73" s="62"/>
      <c r="AN73" s="62"/>
      <c r="AO73" s="62"/>
      <c r="AP73" s="62"/>
      <c r="AQ73" s="62"/>
      <c r="AR73" s="62"/>
      <c r="AS73" s="62"/>
      <c r="AT73" s="62"/>
      <c r="AU73" s="62"/>
      <c r="AV73" s="62"/>
      <c r="AW73" s="62"/>
      <c r="AX73" s="62"/>
      <c r="AY73" s="62"/>
      <c r="AZ73" s="62"/>
      <c r="BA73" s="62"/>
      <c r="BB73" s="62"/>
      <c r="BC73" s="62"/>
      <c r="BD73" s="62"/>
      <c r="BE73" s="62"/>
      <c r="BF73" s="62"/>
      <c r="BG73" s="62"/>
      <c r="BH73" s="62"/>
      <c r="BI73" s="62"/>
      <c r="BJ73" s="62"/>
      <c r="BK73" s="62"/>
      <c r="BL73" s="62"/>
      <c r="BM73" s="62"/>
      <c r="BN73" s="62"/>
      <c r="BO73" s="62"/>
      <c r="BP73" s="62"/>
      <c r="BQ73" s="62"/>
      <c r="BR73" s="62"/>
      <c r="BS73" s="62"/>
      <c r="BT73" s="62"/>
      <c r="BU73" s="62"/>
      <c r="BV73" s="62"/>
      <c r="BW73" s="62"/>
      <c r="BX73" s="62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/>
      <c r="JK73"/>
      <c r="JL73"/>
      <c r="JM73"/>
      <c r="JN73"/>
      <c r="JO73"/>
      <c r="JP73"/>
      <c r="JQ73"/>
      <c r="JR73"/>
      <c r="JS73"/>
      <c r="JT73"/>
      <c r="JU73"/>
      <c r="JV73"/>
      <c r="JW73"/>
      <c r="JX73"/>
      <c r="JY73"/>
      <c r="JZ73"/>
      <c r="KA73"/>
      <c r="KB73"/>
      <c r="KC73"/>
      <c r="KD73"/>
      <c r="KE73"/>
      <c r="KF73"/>
      <c r="KG73"/>
      <c r="KH73"/>
      <c r="KI73"/>
      <c r="KJ73"/>
      <c r="KK73"/>
      <c r="KL73"/>
      <c r="KM73"/>
      <c r="KN73"/>
      <c r="KO73"/>
      <c r="KP73"/>
      <c r="KQ73"/>
      <c r="KR73"/>
      <c r="KS73"/>
      <c r="KT73"/>
      <c r="KU73"/>
      <c r="KV73"/>
      <c r="KW73"/>
      <c r="KX73"/>
      <c r="KY73"/>
      <c r="KZ73"/>
      <c r="LA73"/>
      <c r="LB73"/>
      <c r="LC73"/>
      <c r="LD73"/>
      <c r="LE73"/>
      <c r="LF73"/>
      <c r="LG73"/>
      <c r="LH73"/>
      <c r="LI73"/>
      <c r="LJ73"/>
      <c r="LK73"/>
      <c r="LL73"/>
      <c r="LM73"/>
      <c r="LN73"/>
      <c r="LO73"/>
      <c r="LP73"/>
      <c r="LQ73"/>
      <c r="LR73"/>
      <c r="LS73"/>
      <c r="LT73"/>
      <c r="LU73"/>
      <c r="LV73"/>
      <c r="LW73"/>
      <c r="LX73"/>
      <c r="LY73"/>
      <c r="LZ73"/>
      <c r="MA73"/>
      <c r="MB73"/>
      <c r="MC73"/>
      <c r="MD73"/>
      <c r="ME73"/>
      <c r="MF73"/>
      <c r="MG73"/>
      <c r="MH73"/>
      <c r="MI73"/>
      <c r="MJ73"/>
      <c r="MK73"/>
      <c r="ML73"/>
      <c r="MM73"/>
      <c r="MN73"/>
      <c r="MO73"/>
      <c r="MP73"/>
      <c r="MQ73"/>
      <c r="MR73"/>
      <c r="MS73"/>
      <c r="MT73"/>
      <c r="MU73"/>
      <c r="MV73"/>
      <c r="MW73"/>
      <c r="MX73"/>
      <c r="MY73"/>
      <c r="MZ73"/>
      <c r="NA73"/>
      <c r="NB73"/>
      <c r="NC73"/>
      <c r="ND73"/>
      <c r="NE73"/>
      <c r="NF73"/>
      <c r="NG73"/>
      <c r="NH73"/>
      <c r="NI73"/>
      <c r="NJ73"/>
      <c r="NK73"/>
      <c r="NL73"/>
      <c r="NM73"/>
      <c r="NN73"/>
      <c r="NO73"/>
      <c r="NP73"/>
      <c r="NQ73"/>
      <c r="NR73"/>
      <c r="NS73"/>
      <c r="NT73"/>
      <c r="NU73"/>
      <c r="NV73"/>
      <c r="NW73"/>
      <c r="NX73"/>
      <c r="NY73"/>
      <c r="NZ73"/>
      <c r="OA73"/>
      <c r="OB73"/>
      <c r="OC73"/>
      <c r="OD73"/>
      <c r="OE73"/>
      <c r="OF73"/>
      <c r="OG73"/>
      <c r="OH73"/>
      <c r="OI73"/>
      <c r="OJ73"/>
      <c r="OK73"/>
      <c r="OL73"/>
      <c r="OM73"/>
      <c r="ON73"/>
      <c r="OO73"/>
      <c r="OP73"/>
      <c r="OQ73"/>
      <c r="OR73"/>
      <c r="OS73"/>
      <c r="OT73"/>
      <c r="OU73"/>
      <c r="OV73"/>
      <c r="OW73"/>
      <c r="OX73"/>
      <c r="OY73"/>
      <c r="OZ73"/>
      <c r="PA73"/>
      <c r="PB73"/>
      <c r="PC73"/>
      <c r="PD73"/>
      <c r="PE73"/>
      <c r="PF73"/>
      <c r="PG73"/>
      <c r="PH73"/>
      <c r="PI73"/>
      <c r="PJ73"/>
      <c r="PK73"/>
      <c r="PL73"/>
      <c r="PM73"/>
      <c r="PN73"/>
      <c r="PO73"/>
      <c r="PP73"/>
      <c r="PQ73"/>
      <c r="PR73"/>
      <c r="PS73"/>
      <c r="PT73"/>
      <c r="PU73"/>
      <c r="PV73"/>
      <c r="PW73"/>
      <c r="PX73"/>
      <c r="PY73"/>
      <c r="PZ73"/>
      <c r="QA73"/>
      <c r="QB73"/>
      <c r="QC73"/>
      <c r="QD73"/>
      <c r="QE73"/>
      <c r="QF73"/>
      <c r="QG73"/>
      <c r="QH73"/>
      <c r="QI73"/>
      <c r="QJ73"/>
      <c r="QK73"/>
      <c r="QL73"/>
      <c r="QM73"/>
      <c r="QN73"/>
      <c r="QO73"/>
      <c r="QP73"/>
      <c r="QQ73"/>
      <c r="QR73"/>
      <c r="QS73"/>
      <c r="QT73"/>
      <c r="QU73"/>
      <c r="QV73"/>
      <c r="QW73"/>
      <c r="QX73"/>
    </row>
    <row r="74" spans="1:466" x14ac:dyDescent="0.35">
      <c r="A74" s="53"/>
      <c r="B74" s="53"/>
      <c r="C74" s="53"/>
      <c r="D74" s="53"/>
      <c r="E74" s="53"/>
      <c r="F74" s="126" t="s">
        <v>1392</v>
      </c>
      <c r="G74" s="125">
        <v>5.36</v>
      </c>
      <c r="H74" s="125">
        <v>0</v>
      </c>
      <c r="I74" s="133">
        <v>0</v>
      </c>
      <c r="J74" s="53"/>
      <c r="K74" s="58">
        <v>45672</v>
      </c>
      <c r="L74" s="59" t="str">
        <f>IFERROR(VLOOKUP($A$2,Stok!$B$1:$AW$446,48,0),"")</f>
        <v/>
      </c>
      <c r="M74" s="53"/>
      <c r="N74" s="53"/>
      <c r="O74" s="53"/>
      <c r="P74" s="53"/>
      <c r="Q74" s="53"/>
      <c r="R74" s="53"/>
      <c r="S74" s="53"/>
      <c r="T74" s="53"/>
      <c r="U74" s="53"/>
      <c r="V74" s="53"/>
      <c r="W74" s="53"/>
      <c r="X74" s="53"/>
      <c r="Y74" s="53"/>
      <c r="Z74" s="53"/>
      <c r="AA74" s="53"/>
      <c r="AB74" s="53"/>
      <c r="AC74" s="53"/>
      <c r="AD74" s="53"/>
      <c r="AE74" s="53"/>
      <c r="AF74" s="63"/>
      <c r="AG74" s="64"/>
      <c r="AH74" s="65"/>
      <c r="AI74" s="65"/>
      <c r="AJ74" s="53"/>
      <c r="AK74" s="62"/>
      <c r="AL74" s="62"/>
      <c r="AM74" s="62"/>
      <c r="AN74" s="62"/>
      <c r="AO74" s="62"/>
      <c r="AP74" s="62"/>
      <c r="AQ74" s="62"/>
      <c r="AR74" s="62"/>
      <c r="AS74" s="62"/>
      <c r="AT74" s="62"/>
      <c r="AU74" s="62"/>
      <c r="AV74" s="62"/>
      <c r="AW74" s="62"/>
      <c r="AX74" s="62"/>
      <c r="AY74" s="62"/>
      <c r="AZ74" s="62"/>
      <c r="BA74" s="62"/>
      <c r="BB74" s="62"/>
      <c r="BC74" s="62"/>
      <c r="BD74" s="62"/>
      <c r="BE74" s="62"/>
      <c r="BF74" s="62"/>
      <c r="BG74" s="62"/>
      <c r="BH74" s="62"/>
      <c r="BI74" s="62"/>
      <c r="BJ74" s="62"/>
      <c r="BK74" s="62"/>
      <c r="BL74" s="62"/>
      <c r="BM74" s="62"/>
      <c r="BN74" s="62"/>
      <c r="BO74" s="62"/>
      <c r="BP74" s="62"/>
      <c r="BQ74" s="62"/>
      <c r="BR74" s="62"/>
      <c r="BS74" s="62"/>
      <c r="BT74" s="62"/>
      <c r="BU74" s="62"/>
      <c r="BV74" s="62"/>
      <c r="BW74" s="62"/>
      <c r="BX74" s="62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  <c r="IW74"/>
      <c r="IX74"/>
      <c r="IY74"/>
      <c r="IZ74"/>
      <c r="JA74"/>
      <c r="JB74"/>
      <c r="JC74"/>
      <c r="JD74"/>
      <c r="JE74"/>
      <c r="JF74"/>
      <c r="JG74"/>
      <c r="JH74"/>
      <c r="JI74"/>
      <c r="JJ74"/>
      <c r="JK74"/>
      <c r="JL74"/>
      <c r="JM74"/>
      <c r="JN74"/>
      <c r="JO74"/>
      <c r="JP74"/>
      <c r="JQ74"/>
      <c r="JR74"/>
      <c r="JS74"/>
      <c r="JT74"/>
      <c r="JU74"/>
      <c r="JV74"/>
      <c r="JW74"/>
      <c r="JX74"/>
      <c r="JY74"/>
      <c r="JZ74"/>
      <c r="KA74"/>
      <c r="KB74"/>
      <c r="KC74"/>
      <c r="KD74"/>
      <c r="KE74"/>
      <c r="KF74"/>
      <c r="KG74"/>
      <c r="KH74"/>
      <c r="KI74"/>
      <c r="KJ74"/>
      <c r="KK74"/>
      <c r="KL74"/>
      <c r="KM74"/>
      <c r="KN74"/>
      <c r="KO74"/>
      <c r="KP74"/>
      <c r="KQ74"/>
      <c r="KR74"/>
      <c r="KS74"/>
      <c r="KT74"/>
      <c r="KU74"/>
      <c r="KV74"/>
      <c r="KW74"/>
      <c r="KX74"/>
      <c r="KY74"/>
      <c r="KZ74"/>
      <c r="LA74"/>
      <c r="LB74"/>
      <c r="LC74"/>
      <c r="LD74"/>
      <c r="LE74"/>
      <c r="LF74"/>
      <c r="LG74"/>
      <c r="LH74"/>
      <c r="LI74"/>
      <c r="LJ74"/>
      <c r="LK74"/>
      <c r="LL74"/>
      <c r="LM74"/>
      <c r="LN74"/>
      <c r="LO74"/>
      <c r="LP74"/>
      <c r="LQ74"/>
      <c r="LR74"/>
      <c r="LS74"/>
      <c r="LT74"/>
      <c r="LU74"/>
      <c r="LV74"/>
      <c r="LW74"/>
      <c r="LX74"/>
      <c r="LY74"/>
      <c r="LZ74"/>
      <c r="MA74"/>
      <c r="MB74"/>
      <c r="MC74"/>
      <c r="MD74"/>
      <c r="ME74"/>
      <c r="MF74"/>
      <c r="MG74"/>
      <c r="MH74"/>
      <c r="MI74"/>
      <c r="MJ74"/>
      <c r="MK74"/>
      <c r="ML74"/>
      <c r="MM74"/>
      <c r="MN74"/>
      <c r="MO74"/>
      <c r="MP74"/>
      <c r="MQ74"/>
      <c r="MR74"/>
      <c r="MS74"/>
      <c r="MT74"/>
      <c r="MU74"/>
      <c r="MV74"/>
      <c r="MW74"/>
      <c r="MX74"/>
      <c r="MY74"/>
      <c r="MZ74"/>
      <c r="NA74"/>
      <c r="NB74"/>
      <c r="NC74"/>
      <c r="ND74"/>
      <c r="NE74"/>
      <c r="NF74"/>
      <c r="NG74"/>
      <c r="NH74"/>
      <c r="NI74"/>
      <c r="NJ74"/>
      <c r="NK74"/>
      <c r="NL74"/>
      <c r="NM74"/>
      <c r="NN74"/>
      <c r="NO74"/>
      <c r="NP74"/>
      <c r="NQ74"/>
      <c r="NR74"/>
      <c r="NS74"/>
      <c r="NT74"/>
      <c r="NU74"/>
      <c r="NV74"/>
      <c r="NW74"/>
      <c r="NX74"/>
      <c r="NY74"/>
      <c r="NZ74"/>
      <c r="OA74"/>
      <c r="OB74"/>
      <c r="OC74"/>
      <c r="OD74"/>
      <c r="OE74"/>
      <c r="OF74"/>
      <c r="OG74"/>
      <c r="OH74"/>
      <c r="OI74"/>
      <c r="OJ74"/>
      <c r="OK74"/>
      <c r="OL74"/>
      <c r="OM74"/>
      <c r="ON74"/>
      <c r="OO74"/>
      <c r="OP74"/>
      <c r="OQ74"/>
      <c r="OR74"/>
      <c r="OS74"/>
      <c r="OT74"/>
      <c r="OU74"/>
      <c r="OV74"/>
      <c r="OW74"/>
      <c r="OX74"/>
      <c r="OY74"/>
      <c r="OZ74"/>
      <c r="PA74"/>
      <c r="PB74"/>
      <c r="PC74"/>
      <c r="PD74"/>
      <c r="PE74"/>
      <c r="PF74"/>
      <c r="PG74"/>
      <c r="PH74"/>
      <c r="PI74"/>
      <c r="PJ74"/>
      <c r="PK74"/>
      <c r="PL74"/>
      <c r="PM74"/>
      <c r="PN74"/>
      <c r="PO74"/>
      <c r="PP74"/>
      <c r="PQ74"/>
      <c r="PR74"/>
      <c r="PS74"/>
      <c r="PT74"/>
      <c r="PU74"/>
      <c r="PV74"/>
      <c r="PW74"/>
      <c r="PX74"/>
      <c r="PY74"/>
      <c r="PZ74"/>
      <c r="QA74"/>
      <c r="QB74"/>
      <c r="QC74"/>
      <c r="QD74"/>
      <c r="QE74"/>
      <c r="QF74"/>
      <c r="QG74"/>
      <c r="QH74"/>
      <c r="QI74"/>
      <c r="QJ74"/>
      <c r="QK74"/>
      <c r="QL74"/>
      <c r="QM74"/>
      <c r="QN74"/>
      <c r="QO74"/>
      <c r="QP74"/>
      <c r="QQ74"/>
      <c r="QR74"/>
      <c r="QS74"/>
      <c r="QT74"/>
      <c r="QU74"/>
      <c r="QV74"/>
      <c r="QW74"/>
      <c r="QX74"/>
    </row>
    <row r="75" spans="1:466" x14ac:dyDescent="0.35">
      <c r="A75" s="53"/>
      <c r="B75" s="53"/>
      <c r="C75" s="53"/>
      <c r="D75" s="53"/>
      <c r="E75" s="53"/>
      <c r="F75" s="126" t="s">
        <v>136</v>
      </c>
      <c r="G75" s="125">
        <v>20.55</v>
      </c>
      <c r="H75" s="125">
        <v>123.30000000000001</v>
      </c>
      <c r="I75" s="133">
        <v>6</v>
      </c>
      <c r="J75" s="53"/>
      <c r="K75" s="58">
        <v>45656</v>
      </c>
      <c r="L75" s="59" t="str">
        <f>IFERROR(VLOOKUP($A$2,Stok!$B$1:$AV$446,47,0),"")</f>
        <v/>
      </c>
      <c r="M75" s="53"/>
      <c r="N75" s="53"/>
      <c r="O75" s="53"/>
      <c r="P75" s="53"/>
      <c r="Q75" s="53"/>
      <c r="R75" s="53"/>
      <c r="S75" s="53"/>
      <c r="T75" s="53"/>
      <c r="U75" s="53"/>
      <c r="V75" s="53"/>
      <c r="W75" s="53"/>
      <c r="X75" s="53"/>
      <c r="Y75" s="53"/>
      <c r="Z75" s="53"/>
      <c r="AA75" s="53"/>
      <c r="AB75" s="53"/>
      <c r="AC75" s="53"/>
      <c r="AD75" s="53"/>
      <c r="AE75" s="53"/>
      <c r="AF75" s="63"/>
      <c r="AG75" s="64"/>
      <c r="AH75" s="65"/>
      <c r="AI75" s="65"/>
      <c r="AJ75" s="53"/>
      <c r="AK75" s="62"/>
      <c r="AL75" s="62"/>
      <c r="AM75" s="62"/>
      <c r="AN75" s="62"/>
      <c r="AO75" s="62"/>
      <c r="AP75" s="62"/>
      <c r="AQ75" s="62"/>
      <c r="AR75" s="62"/>
      <c r="AS75" s="62"/>
      <c r="AT75" s="62"/>
      <c r="AU75" s="62"/>
      <c r="AV75" s="62"/>
      <c r="AW75" s="62"/>
      <c r="AX75" s="62"/>
      <c r="AY75" s="62"/>
      <c r="AZ75" s="62"/>
      <c r="BA75" s="62"/>
      <c r="BB75" s="62"/>
      <c r="BC75" s="62"/>
      <c r="BD75" s="62"/>
      <c r="BE75" s="62"/>
      <c r="BF75" s="62"/>
      <c r="BG75" s="62"/>
      <c r="BH75" s="62"/>
      <c r="BI75" s="62"/>
      <c r="BJ75" s="62"/>
      <c r="BK75" s="62"/>
      <c r="BL75" s="62"/>
      <c r="BM75" s="62"/>
      <c r="BN75" s="62"/>
      <c r="BO75" s="62"/>
      <c r="BP75" s="62"/>
      <c r="BQ75" s="62"/>
      <c r="BR75" s="62"/>
      <c r="BS75" s="62"/>
      <c r="BT75" s="62"/>
      <c r="BU75" s="62"/>
      <c r="BV75" s="62"/>
      <c r="BW75" s="62"/>
      <c r="BX75" s="62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  <c r="IW75"/>
      <c r="IX75"/>
      <c r="IY75"/>
      <c r="IZ75"/>
      <c r="JA75"/>
      <c r="JB75"/>
      <c r="JC75"/>
      <c r="JD75"/>
      <c r="JE75"/>
      <c r="JF75"/>
      <c r="JG75"/>
      <c r="JH75"/>
      <c r="JI75"/>
      <c r="JJ75"/>
      <c r="JK75"/>
      <c r="JL75"/>
      <c r="JM75"/>
      <c r="JN75"/>
      <c r="JO75"/>
      <c r="JP75"/>
      <c r="JQ75"/>
      <c r="JR75"/>
      <c r="JS75"/>
      <c r="JT75"/>
      <c r="JU75"/>
      <c r="JV75"/>
      <c r="JW75"/>
      <c r="JX75"/>
      <c r="JY75"/>
      <c r="JZ75"/>
      <c r="KA75"/>
      <c r="KB75"/>
      <c r="KC75"/>
      <c r="KD75"/>
      <c r="KE75"/>
      <c r="KF75"/>
      <c r="KG75"/>
      <c r="KH75"/>
      <c r="KI75"/>
      <c r="KJ75"/>
      <c r="KK75"/>
      <c r="KL75"/>
      <c r="KM75"/>
      <c r="KN75"/>
      <c r="KO75"/>
      <c r="KP75"/>
      <c r="KQ75"/>
      <c r="KR75"/>
      <c r="KS75"/>
      <c r="KT75"/>
      <c r="KU75"/>
      <c r="KV75"/>
      <c r="KW75"/>
      <c r="KX75"/>
      <c r="KY75"/>
      <c r="KZ75"/>
      <c r="LA75"/>
      <c r="LB75"/>
      <c r="LC75"/>
      <c r="LD75"/>
      <c r="LE75"/>
      <c r="LF75"/>
      <c r="LG75"/>
      <c r="LH75"/>
      <c r="LI75"/>
      <c r="LJ75"/>
      <c r="LK75"/>
      <c r="LL75"/>
      <c r="LM75"/>
      <c r="LN75"/>
      <c r="LO75"/>
      <c r="LP75"/>
      <c r="LQ75"/>
      <c r="LR75"/>
      <c r="LS75"/>
      <c r="LT75"/>
      <c r="LU75"/>
      <c r="LV75"/>
      <c r="LW75"/>
      <c r="LX75"/>
      <c r="LY75"/>
      <c r="LZ75"/>
      <c r="MA75"/>
      <c r="MB75"/>
      <c r="MC75"/>
      <c r="MD75"/>
      <c r="ME75"/>
      <c r="MF75"/>
      <c r="MG75"/>
      <c r="MH75"/>
      <c r="MI75"/>
      <c r="MJ75"/>
      <c r="MK75"/>
      <c r="ML75"/>
      <c r="MM75"/>
      <c r="MN75"/>
      <c r="MO75"/>
      <c r="MP75"/>
      <c r="MQ75"/>
      <c r="MR75"/>
      <c r="MS75"/>
      <c r="MT75"/>
      <c r="MU75"/>
      <c r="MV75"/>
      <c r="MW75"/>
      <c r="MX75"/>
      <c r="MY75"/>
      <c r="MZ75"/>
      <c r="NA75"/>
      <c r="NB75"/>
      <c r="NC75"/>
      <c r="ND75"/>
      <c r="NE75"/>
      <c r="NF75"/>
      <c r="NG75"/>
      <c r="NH75"/>
      <c r="NI75"/>
      <c r="NJ75"/>
      <c r="NK75"/>
      <c r="NL75"/>
      <c r="NM75"/>
      <c r="NN75"/>
      <c r="NO75"/>
      <c r="NP75"/>
      <c r="NQ75"/>
      <c r="NR75"/>
      <c r="NS75"/>
      <c r="NT75"/>
      <c r="NU75"/>
      <c r="NV75"/>
      <c r="NW75"/>
      <c r="NX75"/>
      <c r="NY75"/>
      <c r="NZ75"/>
      <c r="OA75"/>
      <c r="OB75"/>
      <c r="OC75"/>
      <c r="OD75"/>
      <c r="OE75"/>
      <c r="OF75"/>
      <c r="OG75"/>
      <c r="OH75"/>
      <c r="OI75"/>
      <c r="OJ75"/>
      <c r="OK75"/>
      <c r="OL75"/>
      <c r="OM75"/>
      <c r="ON75"/>
      <c r="OO75"/>
      <c r="OP75"/>
      <c r="OQ75"/>
      <c r="OR75"/>
      <c r="OS75"/>
      <c r="OT75"/>
      <c r="OU75"/>
      <c r="OV75"/>
      <c r="OW75"/>
      <c r="OX75"/>
      <c r="OY75"/>
      <c r="OZ75"/>
      <c r="PA75"/>
      <c r="PB75"/>
      <c r="PC75"/>
      <c r="PD75"/>
      <c r="PE75"/>
      <c r="PF75"/>
      <c r="PG75"/>
      <c r="PH75"/>
      <c r="PI75"/>
      <c r="PJ75"/>
      <c r="PK75"/>
      <c r="PL75"/>
      <c r="PM75"/>
      <c r="PN75"/>
      <c r="PO75"/>
      <c r="PP75"/>
      <c r="PQ75"/>
      <c r="PR75"/>
      <c r="PS75"/>
      <c r="PT75"/>
      <c r="PU75"/>
      <c r="PV75"/>
      <c r="PW75"/>
      <c r="PX75"/>
      <c r="PY75"/>
      <c r="PZ75"/>
      <c r="QA75"/>
      <c r="QB75"/>
      <c r="QC75"/>
      <c r="QD75"/>
      <c r="QE75"/>
      <c r="QF75"/>
      <c r="QG75"/>
      <c r="QH75"/>
      <c r="QI75"/>
      <c r="QJ75"/>
      <c r="QK75"/>
      <c r="QL75"/>
      <c r="QM75"/>
      <c r="QN75"/>
      <c r="QO75"/>
      <c r="QP75"/>
      <c r="QQ75"/>
      <c r="QR75"/>
      <c r="QS75"/>
      <c r="QT75"/>
      <c r="QU75"/>
      <c r="QV75"/>
      <c r="QW75"/>
      <c r="QX75"/>
    </row>
    <row r="76" spans="1:466" x14ac:dyDescent="0.35">
      <c r="A76" s="53"/>
      <c r="B76" s="53"/>
      <c r="C76" s="53"/>
      <c r="D76" s="53"/>
      <c r="E76" s="53"/>
      <c r="F76" s="126" t="s">
        <v>1396</v>
      </c>
      <c r="G76" s="125">
        <v>24</v>
      </c>
      <c r="H76" s="125">
        <v>0</v>
      </c>
      <c r="I76" s="133">
        <v>0</v>
      </c>
      <c r="J76" s="53"/>
      <c r="K76" s="58">
        <v>45649</v>
      </c>
      <c r="L76" s="59" t="str">
        <f>IFERROR(VLOOKUP($A$2,Stok!$B$1:$AU$446,46,0),"")</f>
        <v/>
      </c>
      <c r="M76" s="53"/>
      <c r="N76" s="53"/>
      <c r="O76" s="53"/>
      <c r="P76" s="53"/>
      <c r="Q76" s="53"/>
      <c r="R76" s="53"/>
      <c r="S76" s="53"/>
      <c r="T76" s="53"/>
      <c r="U76" s="53"/>
      <c r="V76" s="53"/>
      <c r="W76" s="53"/>
      <c r="X76" s="53"/>
      <c r="Y76" s="53"/>
      <c r="Z76" s="53"/>
      <c r="AA76" s="53"/>
      <c r="AB76" s="53"/>
      <c r="AC76" s="53"/>
      <c r="AD76" s="53"/>
      <c r="AE76" s="53"/>
      <c r="AF76" s="63"/>
      <c r="AG76" s="64"/>
      <c r="AH76" s="65"/>
      <c r="AI76" s="65"/>
      <c r="AJ76" s="53"/>
      <c r="AK76" s="62"/>
      <c r="AL76" s="62"/>
      <c r="AM76" s="62"/>
      <c r="AN76" s="62"/>
      <c r="AO76" s="62"/>
      <c r="AP76" s="62"/>
      <c r="AQ76" s="62"/>
      <c r="AR76" s="62"/>
      <c r="AS76" s="62"/>
      <c r="AT76" s="62"/>
      <c r="AU76" s="62"/>
      <c r="AV76" s="62"/>
      <c r="AW76" s="62"/>
      <c r="AX76" s="62"/>
      <c r="AY76" s="62"/>
      <c r="AZ76" s="62"/>
      <c r="BA76" s="62"/>
      <c r="BB76" s="62"/>
      <c r="BC76" s="62"/>
      <c r="BD76" s="62"/>
      <c r="BE76" s="62"/>
      <c r="BF76" s="62"/>
      <c r="BG76" s="62"/>
      <c r="BH76" s="62"/>
      <c r="BI76" s="62"/>
      <c r="BJ76" s="62"/>
      <c r="BK76" s="62"/>
      <c r="BL76" s="62"/>
      <c r="BM76" s="62"/>
      <c r="BN76" s="62"/>
      <c r="BO76" s="62"/>
      <c r="BP76" s="62"/>
      <c r="BQ76" s="62"/>
      <c r="BR76" s="62"/>
      <c r="BS76" s="62"/>
      <c r="BT76" s="62"/>
      <c r="BU76" s="62"/>
      <c r="BV76" s="62"/>
      <c r="BW76" s="62"/>
      <c r="BX76" s="62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  <c r="IW76"/>
      <c r="IX76"/>
      <c r="IY76"/>
      <c r="IZ76"/>
      <c r="JA76"/>
      <c r="JB76"/>
      <c r="JC76"/>
      <c r="JD76"/>
      <c r="JE76"/>
      <c r="JF76"/>
      <c r="JG76"/>
      <c r="JH76"/>
      <c r="JI76"/>
      <c r="JJ76"/>
      <c r="JK76"/>
      <c r="JL76"/>
      <c r="JM76"/>
      <c r="JN76"/>
      <c r="JO76"/>
      <c r="JP76"/>
      <c r="JQ76"/>
      <c r="JR76"/>
      <c r="JS76"/>
      <c r="JT76"/>
      <c r="JU76"/>
      <c r="JV76"/>
      <c r="JW76"/>
      <c r="JX76"/>
      <c r="JY76"/>
      <c r="JZ76"/>
      <c r="KA76"/>
      <c r="KB76"/>
      <c r="KC76"/>
      <c r="KD76"/>
      <c r="KE76"/>
      <c r="KF76"/>
      <c r="KG76"/>
      <c r="KH76"/>
      <c r="KI76"/>
      <c r="KJ76"/>
      <c r="KK76"/>
      <c r="KL76"/>
      <c r="KM76"/>
      <c r="KN76"/>
      <c r="KO76"/>
      <c r="KP76"/>
      <c r="KQ76"/>
      <c r="KR76"/>
      <c r="KS76"/>
      <c r="KT76"/>
      <c r="KU76"/>
      <c r="KV76"/>
      <c r="KW76"/>
      <c r="KX76"/>
      <c r="KY76"/>
      <c r="KZ76"/>
      <c r="LA76"/>
      <c r="LB76"/>
      <c r="LC76"/>
      <c r="LD76"/>
      <c r="LE76"/>
      <c r="LF76"/>
      <c r="LG76"/>
      <c r="LH76"/>
      <c r="LI76"/>
      <c r="LJ76"/>
      <c r="LK76"/>
      <c r="LL76"/>
      <c r="LM76"/>
      <c r="LN76"/>
      <c r="LO76"/>
      <c r="LP76"/>
      <c r="LQ76"/>
      <c r="LR76"/>
      <c r="LS76"/>
      <c r="LT76"/>
      <c r="LU76"/>
      <c r="LV76"/>
      <c r="LW76"/>
      <c r="LX76"/>
      <c r="LY76"/>
      <c r="LZ76"/>
      <c r="MA76"/>
      <c r="MB76"/>
      <c r="MC76"/>
      <c r="MD76"/>
      <c r="ME76"/>
      <c r="MF76"/>
      <c r="MG76"/>
      <c r="MH76"/>
      <c r="MI76"/>
      <c r="MJ76"/>
      <c r="MK76"/>
      <c r="ML76"/>
      <c r="MM76"/>
      <c r="MN76"/>
      <c r="MO76"/>
      <c r="MP76"/>
      <c r="MQ76"/>
      <c r="MR76"/>
      <c r="MS76"/>
      <c r="MT76"/>
      <c r="MU76"/>
      <c r="MV76"/>
      <c r="MW76"/>
      <c r="MX76"/>
      <c r="MY76"/>
      <c r="MZ76"/>
      <c r="NA76"/>
      <c r="NB76"/>
      <c r="NC76"/>
      <c r="ND76"/>
      <c r="NE76"/>
      <c r="NF76"/>
      <c r="NG76"/>
      <c r="NH76"/>
      <c r="NI76"/>
      <c r="NJ76"/>
      <c r="NK76"/>
      <c r="NL76"/>
      <c r="NM76"/>
      <c r="NN76"/>
      <c r="NO76"/>
      <c r="NP76"/>
      <c r="NQ76"/>
      <c r="NR76"/>
      <c r="NS76"/>
      <c r="NT76"/>
      <c r="NU76"/>
      <c r="NV76"/>
      <c r="NW76"/>
      <c r="NX76"/>
      <c r="NY76"/>
      <c r="NZ76"/>
      <c r="OA76"/>
      <c r="OB76"/>
      <c r="OC76"/>
      <c r="OD76"/>
      <c r="OE76"/>
      <c r="OF76"/>
      <c r="OG76"/>
      <c r="OH76"/>
      <c r="OI76"/>
      <c r="OJ76"/>
      <c r="OK76"/>
      <c r="OL76"/>
      <c r="OM76"/>
      <c r="ON76"/>
      <c r="OO76"/>
      <c r="OP76"/>
      <c r="OQ76"/>
      <c r="OR76"/>
      <c r="OS76"/>
      <c r="OT76"/>
      <c r="OU76"/>
      <c r="OV76"/>
      <c r="OW76"/>
      <c r="OX76"/>
      <c r="OY76"/>
      <c r="OZ76"/>
      <c r="PA76"/>
      <c r="PB76"/>
      <c r="PC76"/>
      <c r="PD76"/>
      <c r="PE76"/>
      <c r="PF76"/>
      <c r="PG76"/>
      <c r="PH76"/>
      <c r="PI76"/>
      <c r="PJ76"/>
      <c r="PK76"/>
      <c r="PL76"/>
      <c r="PM76"/>
      <c r="PN76"/>
      <c r="PO76"/>
      <c r="PP76"/>
      <c r="PQ76"/>
      <c r="PR76"/>
      <c r="PS76"/>
      <c r="PT76"/>
      <c r="PU76"/>
      <c r="PV76"/>
      <c r="PW76"/>
      <c r="PX76"/>
      <c r="PY76"/>
      <c r="PZ76"/>
      <c r="QA76"/>
      <c r="QB76"/>
      <c r="QC76"/>
      <c r="QD76"/>
      <c r="QE76"/>
      <c r="QF76"/>
      <c r="QG76"/>
      <c r="QH76"/>
      <c r="QI76"/>
      <c r="QJ76"/>
      <c r="QK76"/>
      <c r="QL76"/>
      <c r="QM76"/>
      <c r="QN76"/>
      <c r="QO76"/>
      <c r="QP76"/>
      <c r="QQ76"/>
      <c r="QR76"/>
      <c r="QS76"/>
      <c r="QT76"/>
      <c r="QU76"/>
      <c r="QV76"/>
      <c r="QW76"/>
      <c r="QX76"/>
    </row>
    <row r="77" spans="1:466" x14ac:dyDescent="0.35">
      <c r="A77" s="53"/>
      <c r="B77" s="53"/>
      <c r="C77" s="53"/>
      <c r="D77" s="53"/>
      <c r="E77" s="53"/>
      <c r="F77" s="126" t="s">
        <v>1313</v>
      </c>
      <c r="G77" s="125">
        <v>2.75</v>
      </c>
      <c r="H77" s="125">
        <v>352</v>
      </c>
      <c r="I77" s="133">
        <v>128</v>
      </c>
      <c r="J77" s="53"/>
      <c r="K77" s="58">
        <v>45642</v>
      </c>
      <c r="L77" s="59" t="str">
        <f>IFERROR(VLOOKUP($A$2,Stok!$B$1:$AT$446,45,0),"")</f>
        <v/>
      </c>
      <c r="M77" s="53"/>
      <c r="N77" s="53"/>
      <c r="O77" s="53"/>
      <c r="P77" s="53"/>
      <c r="Q77" s="53"/>
      <c r="R77" s="53"/>
      <c r="S77" s="53"/>
      <c r="T77" s="53"/>
      <c r="U77" s="53"/>
      <c r="V77" s="53"/>
      <c r="W77" s="53"/>
      <c r="X77" s="53"/>
      <c r="Y77" s="53"/>
      <c r="Z77" s="53"/>
      <c r="AA77" s="53"/>
      <c r="AB77" s="53"/>
      <c r="AC77" s="53"/>
      <c r="AD77" s="53"/>
      <c r="AE77" s="53"/>
      <c r="AF77" s="63"/>
      <c r="AG77" s="64"/>
      <c r="AH77" s="65"/>
      <c r="AI77" s="65"/>
      <c r="AJ77" s="53"/>
      <c r="AK77" s="62"/>
      <c r="AL77" s="62"/>
      <c r="AM77" s="62"/>
      <c r="AN77" s="62"/>
      <c r="AO77" s="62"/>
      <c r="AP77" s="62"/>
      <c r="AQ77" s="62"/>
      <c r="AR77" s="62"/>
      <c r="AS77" s="62"/>
      <c r="AT77" s="62"/>
      <c r="AU77" s="62"/>
      <c r="AV77" s="62"/>
      <c r="AW77" s="62"/>
      <c r="AX77" s="62"/>
      <c r="AY77" s="62"/>
      <c r="AZ77" s="62"/>
      <c r="BA77" s="62"/>
      <c r="BB77" s="62"/>
      <c r="BC77" s="62"/>
      <c r="BD77" s="62"/>
      <c r="BE77" s="62"/>
      <c r="BF77" s="62"/>
      <c r="BG77" s="62"/>
      <c r="BH77" s="62"/>
      <c r="BI77" s="62"/>
      <c r="BJ77" s="62"/>
      <c r="BK77" s="62"/>
      <c r="BL77" s="62"/>
      <c r="BM77" s="62"/>
      <c r="BN77" s="62"/>
      <c r="BO77" s="62"/>
      <c r="BP77" s="62"/>
      <c r="BQ77" s="62"/>
      <c r="BR77" s="62"/>
      <c r="BS77" s="62"/>
      <c r="BT77" s="62"/>
      <c r="BU77" s="62"/>
      <c r="BV77" s="62"/>
      <c r="BW77" s="62"/>
      <c r="BX77" s="62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  <c r="IW77"/>
      <c r="IX77"/>
      <c r="IY77"/>
      <c r="IZ77"/>
      <c r="JA77"/>
      <c r="JB77"/>
      <c r="JC77"/>
      <c r="JD77"/>
      <c r="JE77"/>
      <c r="JF77"/>
      <c r="JG77"/>
      <c r="JH77"/>
      <c r="JI77"/>
      <c r="JJ77"/>
      <c r="JK77"/>
      <c r="JL77"/>
      <c r="JM77"/>
      <c r="JN77"/>
      <c r="JO77"/>
      <c r="JP77"/>
      <c r="JQ77"/>
      <c r="JR77"/>
      <c r="JS77"/>
      <c r="JT77"/>
      <c r="JU77"/>
      <c r="JV77"/>
      <c r="JW77"/>
      <c r="JX77"/>
      <c r="JY77"/>
      <c r="JZ77"/>
      <c r="KA77"/>
      <c r="KB77"/>
      <c r="KC77"/>
      <c r="KD77"/>
      <c r="KE77"/>
      <c r="KF77"/>
      <c r="KG77"/>
      <c r="KH77"/>
      <c r="KI77"/>
      <c r="KJ77"/>
      <c r="KK77"/>
      <c r="KL77"/>
      <c r="KM77"/>
      <c r="KN77"/>
      <c r="KO77"/>
      <c r="KP77"/>
      <c r="KQ77"/>
      <c r="KR77"/>
      <c r="KS77"/>
      <c r="KT77"/>
      <c r="KU77"/>
      <c r="KV77"/>
      <c r="KW77"/>
      <c r="KX77"/>
      <c r="KY77"/>
      <c r="KZ77"/>
      <c r="LA77"/>
      <c r="LB77"/>
      <c r="LC77"/>
      <c r="LD77"/>
      <c r="LE77"/>
      <c r="LF77"/>
      <c r="LG77"/>
      <c r="LH77"/>
      <c r="LI77"/>
      <c r="LJ77"/>
      <c r="LK77"/>
      <c r="LL77"/>
      <c r="LM77"/>
      <c r="LN77"/>
      <c r="LO77"/>
      <c r="LP77"/>
      <c r="LQ77"/>
      <c r="LR77"/>
      <c r="LS77"/>
      <c r="LT77"/>
      <c r="LU77"/>
      <c r="LV77"/>
      <c r="LW77"/>
      <c r="LX77"/>
      <c r="LY77"/>
      <c r="LZ77"/>
      <c r="MA77"/>
      <c r="MB77"/>
      <c r="MC77"/>
      <c r="MD77"/>
      <c r="ME77"/>
      <c r="MF77"/>
      <c r="MG77"/>
      <c r="MH77"/>
      <c r="MI77"/>
      <c r="MJ77"/>
      <c r="MK77"/>
      <c r="ML77"/>
      <c r="MM77"/>
      <c r="MN77"/>
      <c r="MO77"/>
      <c r="MP77"/>
      <c r="MQ77"/>
      <c r="MR77"/>
      <c r="MS77"/>
      <c r="MT77"/>
      <c r="MU77"/>
      <c r="MV77"/>
      <c r="MW77"/>
      <c r="MX77"/>
      <c r="MY77"/>
      <c r="MZ77"/>
      <c r="NA77"/>
      <c r="NB77"/>
      <c r="NC77"/>
      <c r="ND77"/>
      <c r="NE77"/>
      <c r="NF77"/>
      <c r="NG77"/>
      <c r="NH77"/>
      <c r="NI77"/>
      <c r="NJ77"/>
      <c r="NK77"/>
      <c r="NL77"/>
      <c r="NM77"/>
      <c r="NN77"/>
      <c r="NO77"/>
      <c r="NP77"/>
      <c r="NQ77"/>
      <c r="NR77"/>
      <c r="NS77"/>
      <c r="NT77"/>
      <c r="NU77"/>
      <c r="NV77"/>
      <c r="NW77"/>
      <c r="NX77"/>
      <c r="NY77"/>
      <c r="NZ77"/>
      <c r="OA77"/>
      <c r="OB77"/>
      <c r="OC77"/>
      <c r="OD77"/>
      <c r="OE77"/>
      <c r="OF77"/>
      <c r="OG77"/>
      <c r="OH77"/>
      <c r="OI77"/>
      <c r="OJ77"/>
      <c r="OK77"/>
      <c r="OL77"/>
      <c r="OM77"/>
      <c r="ON77"/>
      <c r="OO77"/>
      <c r="OP77"/>
      <c r="OQ77"/>
      <c r="OR77"/>
      <c r="OS77"/>
      <c r="OT77"/>
      <c r="OU77"/>
      <c r="OV77"/>
      <c r="OW77"/>
      <c r="OX77"/>
      <c r="OY77"/>
      <c r="OZ77"/>
      <c r="PA77"/>
      <c r="PB77"/>
      <c r="PC77"/>
      <c r="PD77"/>
      <c r="PE77"/>
      <c r="PF77"/>
      <c r="PG77"/>
      <c r="PH77"/>
      <c r="PI77"/>
      <c r="PJ77"/>
      <c r="PK77"/>
      <c r="PL77"/>
      <c r="PM77"/>
      <c r="PN77"/>
      <c r="PO77"/>
      <c r="PP77"/>
      <c r="PQ77"/>
      <c r="PR77"/>
      <c r="PS77"/>
      <c r="PT77"/>
      <c r="PU77"/>
      <c r="PV77"/>
      <c r="PW77"/>
      <c r="PX77"/>
      <c r="PY77"/>
      <c r="PZ77"/>
      <c r="QA77"/>
      <c r="QB77"/>
      <c r="QC77"/>
      <c r="QD77"/>
      <c r="QE77"/>
      <c r="QF77"/>
      <c r="QG77"/>
      <c r="QH77"/>
      <c r="QI77"/>
      <c r="QJ77"/>
      <c r="QK77"/>
      <c r="QL77"/>
      <c r="QM77"/>
      <c r="QN77"/>
      <c r="QO77"/>
      <c r="QP77"/>
      <c r="QQ77"/>
      <c r="QR77"/>
      <c r="QS77"/>
      <c r="QT77"/>
      <c r="QU77"/>
      <c r="QV77"/>
      <c r="QW77"/>
      <c r="QX77"/>
    </row>
    <row r="78" spans="1:466" x14ac:dyDescent="0.35">
      <c r="A78" s="53"/>
      <c r="B78" s="53"/>
      <c r="C78" s="53"/>
      <c r="D78" s="53"/>
      <c r="E78" s="53"/>
      <c r="F78" s="126" t="s">
        <v>138</v>
      </c>
      <c r="G78" s="125">
        <v>22.45</v>
      </c>
      <c r="H78" s="125">
        <v>606.15</v>
      </c>
      <c r="I78" s="133">
        <v>27</v>
      </c>
      <c r="J78" s="53"/>
      <c r="K78" s="58">
        <v>45635</v>
      </c>
      <c r="L78" s="59" t="str">
        <f>IFERROR(VLOOKUP($A$2,Stok!$B$1:$AS$446,44,0),"")</f>
        <v/>
      </c>
      <c r="M78" s="53"/>
      <c r="N78" s="53"/>
      <c r="O78" s="53"/>
      <c r="P78" s="53"/>
      <c r="Q78" s="53"/>
      <c r="R78" s="53"/>
      <c r="S78" s="53"/>
      <c r="T78" s="53"/>
      <c r="U78" s="53"/>
      <c r="V78" s="53"/>
      <c r="W78" s="53"/>
      <c r="X78" s="53"/>
      <c r="Y78" s="53"/>
      <c r="Z78" s="53"/>
      <c r="AA78" s="53"/>
      <c r="AB78" s="53"/>
      <c r="AC78" s="53"/>
      <c r="AD78" s="53"/>
      <c r="AE78" s="53"/>
      <c r="AF78" s="63"/>
      <c r="AG78" s="64"/>
      <c r="AH78" s="65"/>
      <c r="AI78" s="65"/>
      <c r="AJ78" s="53"/>
      <c r="AK78" s="62"/>
      <c r="AL78" s="62"/>
      <c r="AM78" s="62"/>
      <c r="AN78" s="62"/>
      <c r="AO78" s="62"/>
      <c r="AP78" s="62"/>
      <c r="AQ78" s="62"/>
      <c r="AR78" s="62"/>
      <c r="AS78" s="62"/>
      <c r="AT78" s="62"/>
      <c r="AU78" s="62"/>
      <c r="AV78" s="62"/>
      <c r="AW78" s="62"/>
      <c r="AX78" s="62"/>
      <c r="AY78" s="62"/>
      <c r="AZ78" s="62"/>
      <c r="BA78" s="62"/>
      <c r="BB78" s="62"/>
      <c r="BC78" s="62"/>
      <c r="BD78" s="62"/>
      <c r="BE78" s="62"/>
      <c r="BF78" s="62"/>
      <c r="BG78" s="62"/>
      <c r="BH78" s="62"/>
      <c r="BI78" s="62"/>
      <c r="BJ78" s="62"/>
      <c r="BK78" s="62"/>
      <c r="BL78" s="62"/>
      <c r="BM78" s="62"/>
      <c r="BN78" s="62"/>
      <c r="BO78" s="62"/>
      <c r="BP78" s="62"/>
      <c r="BQ78" s="62"/>
      <c r="BR78" s="62"/>
      <c r="BS78" s="62"/>
      <c r="BT78" s="62"/>
      <c r="BU78" s="62"/>
      <c r="BV78" s="62"/>
      <c r="BW78" s="62"/>
      <c r="BX78" s="62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  <c r="IW78"/>
      <c r="IX78"/>
      <c r="IY78"/>
      <c r="IZ78"/>
      <c r="JA78"/>
      <c r="JB78"/>
      <c r="JC78"/>
      <c r="JD78"/>
      <c r="JE78"/>
      <c r="JF78"/>
      <c r="JG78"/>
      <c r="JH78"/>
      <c r="JI78"/>
      <c r="JJ78"/>
      <c r="JK78"/>
      <c r="JL78"/>
      <c r="JM78"/>
      <c r="JN78"/>
      <c r="JO78"/>
      <c r="JP78"/>
      <c r="JQ78"/>
      <c r="JR78"/>
      <c r="JS78"/>
      <c r="JT78"/>
      <c r="JU78"/>
      <c r="JV78"/>
      <c r="JW78"/>
      <c r="JX78"/>
      <c r="JY78"/>
      <c r="JZ78"/>
      <c r="KA78"/>
      <c r="KB78"/>
      <c r="KC78"/>
      <c r="KD78"/>
      <c r="KE78"/>
      <c r="KF78"/>
      <c r="KG78"/>
      <c r="KH78"/>
      <c r="KI78"/>
      <c r="KJ78"/>
      <c r="KK78"/>
      <c r="KL78"/>
      <c r="KM78"/>
      <c r="KN78"/>
      <c r="KO78"/>
      <c r="KP78"/>
      <c r="KQ78"/>
      <c r="KR78"/>
      <c r="KS78"/>
      <c r="KT78"/>
      <c r="KU78"/>
      <c r="KV78"/>
      <c r="KW78"/>
      <c r="KX78"/>
      <c r="KY78"/>
      <c r="KZ78"/>
      <c r="LA78"/>
      <c r="LB78"/>
      <c r="LC78"/>
      <c r="LD78"/>
      <c r="LE78"/>
      <c r="LF78"/>
      <c r="LG78"/>
      <c r="LH78"/>
      <c r="LI78"/>
      <c r="LJ78"/>
      <c r="LK78"/>
      <c r="LL78"/>
      <c r="LM78"/>
      <c r="LN78"/>
      <c r="LO78"/>
      <c r="LP78"/>
      <c r="LQ78"/>
      <c r="LR78"/>
      <c r="LS78"/>
      <c r="LT78"/>
      <c r="LU78"/>
      <c r="LV78"/>
      <c r="LW78"/>
      <c r="LX78"/>
      <c r="LY78"/>
      <c r="LZ78"/>
      <c r="MA78"/>
      <c r="MB78"/>
      <c r="MC78"/>
      <c r="MD78"/>
      <c r="ME78"/>
      <c r="MF78"/>
      <c r="MG78"/>
      <c r="MH78"/>
      <c r="MI78"/>
      <c r="MJ78"/>
      <c r="MK78"/>
      <c r="ML78"/>
      <c r="MM78"/>
      <c r="MN78"/>
      <c r="MO78"/>
      <c r="MP78"/>
      <c r="MQ78"/>
      <c r="MR78"/>
      <c r="MS78"/>
      <c r="MT78"/>
      <c r="MU78"/>
      <c r="MV78"/>
      <c r="MW78"/>
      <c r="MX78"/>
      <c r="MY78"/>
      <c r="MZ78"/>
      <c r="NA78"/>
      <c r="NB78"/>
      <c r="NC78"/>
      <c r="ND78"/>
      <c r="NE78"/>
      <c r="NF78"/>
      <c r="NG78"/>
      <c r="NH78"/>
      <c r="NI78"/>
      <c r="NJ78"/>
      <c r="NK78"/>
      <c r="NL78"/>
      <c r="NM78"/>
      <c r="NN78"/>
      <c r="NO78"/>
      <c r="NP78"/>
      <c r="NQ78"/>
      <c r="NR78"/>
      <c r="NS78"/>
      <c r="NT78"/>
      <c r="NU78"/>
      <c r="NV78"/>
      <c r="NW78"/>
      <c r="NX78"/>
      <c r="NY78"/>
      <c r="NZ78"/>
      <c r="OA78"/>
      <c r="OB78"/>
      <c r="OC78"/>
      <c r="OD78"/>
      <c r="OE78"/>
      <c r="OF78"/>
      <c r="OG78"/>
      <c r="OH78"/>
      <c r="OI78"/>
      <c r="OJ78"/>
      <c r="OK78"/>
      <c r="OL78"/>
      <c r="OM78"/>
      <c r="ON78"/>
      <c r="OO78"/>
      <c r="OP78"/>
      <c r="OQ78"/>
      <c r="OR78"/>
      <c r="OS78"/>
      <c r="OT78"/>
      <c r="OU78"/>
      <c r="OV78"/>
      <c r="OW78"/>
      <c r="OX78"/>
      <c r="OY78"/>
      <c r="OZ78"/>
      <c r="PA78"/>
      <c r="PB78"/>
      <c r="PC78"/>
      <c r="PD78"/>
      <c r="PE78"/>
      <c r="PF78"/>
      <c r="PG78"/>
      <c r="PH78"/>
      <c r="PI78"/>
      <c r="PJ78"/>
      <c r="PK78"/>
      <c r="PL78"/>
      <c r="PM78"/>
      <c r="PN78"/>
      <c r="PO78"/>
      <c r="PP78"/>
      <c r="PQ78"/>
      <c r="PR78"/>
      <c r="PS78"/>
      <c r="PT78"/>
      <c r="PU78"/>
      <c r="PV78"/>
      <c r="PW78"/>
      <c r="PX78"/>
      <c r="PY78"/>
      <c r="PZ78"/>
      <c r="QA78"/>
      <c r="QB78"/>
      <c r="QC78"/>
      <c r="QD78"/>
      <c r="QE78"/>
      <c r="QF78"/>
      <c r="QG78"/>
      <c r="QH78"/>
      <c r="QI78"/>
      <c r="QJ78"/>
      <c r="QK78"/>
      <c r="QL78"/>
      <c r="QM78"/>
      <c r="QN78"/>
      <c r="QO78"/>
      <c r="QP78"/>
      <c r="QQ78"/>
      <c r="QR78"/>
      <c r="QS78"/>
      <c r="QT78"/>
      <c r="QU78"/>
      <c r="QV78"/>
      <c r="QW78"/>
      <c r="QX78"/>
    </row>
    <row r="79" spans="1:466" x14ac:dyDescent="0.35">
      <c r="A79" s="53"/>
      <c r="B79" s="53"/>
      <c r="C79" s="53"/>
      <c r="D79" s="53"/>
      <c r="E79" s="53"/>
      <c r="F79" s="126" t="s">
        <v>1409</v>
      </c>
      <c r="G79" s="125">
        <v>3.9</v>
      </c>
      <c r="H79" s="125">
        <v>0</v>
      </c>
      <c r="I79" s="133">
        <v>0</v>
      </c>
      <c r="J79" s="53"/>
      <c r="K79" s="58">
        <v>45630</v>
      </c>
      <c r="L79" s="59" t="str">
        <f>IFERROR(VLOOKUP($A$2,Stok!$B$1:$AR$446,43,0),"")</f>
        <v/>
      </c>
      <c r="M79" s="53"/>
      <c r="N79" s="53"/>
      <c r="O79" s="53"/>
      <c r="P79" s="53"/>
      <c r="Q79" s="53"/>
      <c r="R79" s="53"/>
      <c r="S79" s="53"/>
      <c r="T79" s="53"/>
      <c r="U79" s="53"/>
      <c r="V79" s="53"/>
      <c r="W79" s="53"/>
      <c r="X79" s="53"/>
      <c r="Y79" s="53"/>
      <c r="Z79" s="53"/>
      <c r="AA79" s="53"/>
      <c r="AB79" s="53"/>
      <c r="AC79" s="53"/>
      <c r="AD79" s="53"/>
      <c r="AE79" s="53"/>
      <c r="AF79" s="63"/>
      <c r="AG79" s="64"/>
      <c r="AH79" s="65"/>
      <c r="AI79" s="65"/>
      <c r="AJ79" s="53"/>
      <c r="AK79" s="62"/>
      <c r="AL79" s="62"/>
      <c r="AM79" s="62"/>
      <c r="AN79" s="62"/>
      <c r="AO79" s="62"/>
      <c r="AP79" s="62"/>
      <c r="AQ79" s="62"/>
      <c r="AR79" s="62"/>
      <c r="AS79" s="62"/>
      <c r="AT79" s="62"/>
      <c r="AU79" s="62"/>
      <c r="AV79" s="62"/>
      <c r="AW79" s="62"/>
      <c r="AX79" s="62"/>
      <c r="AY79" s="62"/>
      <c r="AZ79" s="62"/>
      <c r="BA79" s="62"/>
      <c r="BB79" s="62"/>
      <c r="BC79" s="62"/>
      <c r="BD79" s="62"/>
      <c r="BE79" s="62"/>
      <c r="BF79" s="62"/>
      <c r="BG79" s="62"/>
      <c r="BH79" s="62"/>
      <c r="BI79" s="62"/>
      <c r="BJ79" s="62"/>
      <c r="BK79" s="62"/>
      <c r="BL79" s="62"/>
      <c r="BM79" s="62"/>
      <c r="BN79" s="62"/>
      <c r="BO79" s="62"/>
      <c r="BP79" s="62"/>
      <c r="BQ79" s="62"/>
      <c r="BR79" s="62"/>
      <c r="BS79" s="62"/>
      <c r="BT79" s="62"/>
      <c r="BU79" s="62"/>
      <c r="BV79" s="62"/>
      <c r="BW79" s="62"/>
      <c r="BX79" s="62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  <c r="IV79"/>
      <c r="IW79"/>
      <c r="IX79"/>
      <c r="IY79"/>
      <c r="IZ79"/>
      <c r="JA79"/>
      <c r="JB79"/>
      <c r="JC79"/>
      <c r="JD79"/>
      <c r="JE79"/>
      <c r="JF79"/>
      <c r="JG79"/>
      <c r="JH79"/>
      <c r="JI79"/>
      <c r="JJ79"/>
      <c r="JK79"/>
      <c r="JL79"/>
      <c r="JM79"/>
      <c r="JN79"/>
      <c r="JO79"/>
      <c r="JP79"/>
      <c r="JQ79"/>
      <c r="JR79"/>
      <c r="JS79"/>
      <c r="JT79"/>
      <c r="JU79"/>
      <c r="JV79"/>
      <c r="JW79"/>
      <c r="JX79"/>
      <c r="JY79"/>
      <c r="JZ79"/>
      <c r="KA79"/>
      <c r="KB79"/>
      <c r="KC79"/>
      <c r="KD79"/>
      <c r="KE79"/>
      <c r="KF79"/>
      <c r="KG79"/>
      <c r="KH79"/>
      <c r="KI79"/>
      <c r="KJ79"/>
      <c r="KK79"/>
      <c r="KL79"/>
      <c r="KM79"/>
      <c r="KN79"/>
      <c r="KO79"/>
      <c r="KP79"/>
      <c r="KQ79"/>
      <c r="KR79"/>
      <c r="KS79"/>
      <c r="KT79"/>
      <c r="KU79"/>
      <c r="KV79"/>
      <c r="KW79"/>
      <c r="KX79"/>
      <c r="KY79"/>
      <c r="KZ79"/>
      <c r="LA79"/>
      <c r="LB79"/>
      <c r="LC79"/>
      <c r="LD79"/>
      <c r="LE79"/>
      <c r="LF79"/>
      <c r="LG79"/>
      <c r="LH79"/>
      <c r="LI79"/>
      <c r="LJ79"/>
      <c r="LK79"/>
      <c r="LL79"/>
      <c r="LM79"/>
      <c r="LN79"/>
      <c r="LO79"/>
      <c r="LP79"/>
      <c r="LQ79"/>
      <c r="LR79"/>
      <c r="LS79"/>
      <c r="LT79"/>
      <c r="LU79"/>
      <c r="LV79"/>
      <c r="LW79"/>
      <c r="LX79"/>
      <c r="LY79"/>
      <c r="LZ79"/>
      <c r="MA79"/>
      <c r="MB79"/>
      <c r="MC79"/>
      <c r="MD79"/>
      <c r="ME79"/>
      <c r="MF79"/>
      <c r="MG79"/>
      <c r="MH79"/>
      <c r="MI79"/>
      <c r="MJ79"/>
      <c r="MK79"/>
      <c r="ML79"/>
      <c r="MM79"/>
      <c r="MN79"/>
      <c r="MO79"/>
      <c r="MP79"/>
      <c r="MQ79"/>
      <c r="MR79"/>
      <c r="MS79"/>
      <c r="MT79"/>
      <c r="MU79"/>
      <c r="MV79"/>
      <c r="MW79"/>
      <c r="MX79"/>
      <c r="MY79"/>
      <c r="MZ79"/>
      <c r="NA79"/>
      <c r="NB79"/>
      <c r="NC79"/>
      <c r="ND79"/>
      <c r="NE79"/>
      <c r="NF79"/>
      <c r="NG79"/>
      <c r="NH79"/>
      <c r="NI79"/>
      <c r="NJ79"/>
      <c r="NK79"/>
      <c r="NL79"/>
      <c r="NM79"/>
      <c r="NN79"/>
      <c r="NO79"/>
      <c r="NP79"/>
      <c r="NQ79"/>
      <c r="NR79"/>
      <c r="NS79"/>
      <c r="NT79"/>
      <c r="NU79"/>
      <c r="NV79"/>
      <c r="NW79"/>
      <c r="NX79"/>
      <c r="NY79"/>
      <c r="NZ79"/>
      <c r="OA79"/>
      <c r="OB79"/>
      <c r="OC79"/>
      <c r="OD79"/>
      <c r="OE79"/>
      <c r="OF79"/>
      <c r="OG79"/>
      <c r="OH79"/>
      <c r="OI79"/>
      <c r="OJ79"/>
      <c r="OK79"/>
      <c r="OL79"/>
      <c r="OM79"/>
      <c r="ON79"/>
      <c r="OO79"/>
      <c r="OP79"/>
      <c r="OQ79"/>
      <c r="OR79"/>
      <c r="OS79"/>
      <c r="OT79"/>
      <c r="OU79"/>
      <c r="OV79"/>
      <c r="OW79"/>
      <c r="OX79"/>
      <c r="OY79"/>
      <c r="OZ79"/>
      <c r="PA79"/>
      <c r="PB79"/>
      <c r="PC79"/>
      <c r="PD79"/>
      <c r="PE79"/>
      <c r="PF79"/>
      <c r="PG79"/>
      <c r="PH79"/>
      <c r="PI79"/>
      <c r="PJ79"/>
      <c r="PK79"/>
      <c r="PL79"/>
      <c r="PM79"/>
      <c r="PN79"/>
      <c r="PO79"/>
      <c r="PP79"/>
      <c r="PQ79"/>
      <c r="PR79"/>
      <c r="PS79"/>
      <c r="PT79"/>
      <c r="PU79"/>
      <c r="PV79"/>
      <c r="PW79"/>
      <c r="PX79"/>
      <c r="PY79"/>
      <c r="PZ79"/>
      <c r="QA79"/>
      <c r="QB79"/>
      <c r="QC79"/>
      <c r="QD79"/>
      <c r="QE79"/>
      <c r="QF79"/>
      <c r="QG79"/>
      <c r="QH79"/>
      <c r="QI79"/>
      <c r="QJ79"/>
      <c r="QK79"/>
      <c r="QL79"/>
      <c r="QM79"/>
      <c r="QN79"/>
      <c r="QO79"/>
      <c r="QP79"/>
      <c r="QQ79"/>
      <c r="QR79"/>
      <c r="QS79"/>
      <c r="QT79"/>
      <c r="QU79"/>
      <c r="QV79"/>
      <c r="QW79"/>
      <c r="QX79"/>
    </row>
    <row r="80" spans="1:466" x14ac:dyDescent="0.35">
      <c r="A80" s="53"/>
      <c r="B80" s="53"/>
      <c r="C80" s="53"/>
      <c r="D80" s="53"/>
      <c r="E80" s="53"/>
      <c r="F80" s="126" t="s">
        <v>1407</v>
      </c>
      <c r="G80" s="125">
        <v>15.35</v>
      </c>
      <c r="H80" s="125">
        <v>0</v>
      </c>
      <c r="I80" s="133">
        <v>0</v>
      </c>
      <c r="J80" s="53"/>
      <c r="K80" s="58">
        <v>45614</v>
      </c>
      <c r="L80" s="59" t="str">
        <f>IFERROR(VLOOKUP($A$2,Stok!$B$1:$AQ$446,42,0),"")</f>
        <v/>
      </c>
      <c r="M80" s="53"/>
      <c r="N80" s="53"/>
      <c r="O80" s="53"/>
      <c r="P80" s="53"/>
      <c r="Q80" s="53"/>
      <c r="R80" s="53"/>
      <c r="S80" s="53"/>
      <c r="T80" s="53"/>
      <c r="U80" s="53"/>
      <c r="V80" s="53"/>
      <c r="W80" s="53"/>
      <c r="X80" s="53"/>
      <c r="Y80" s="53"/>
      <c r="Z80" s="53"/>
      <c r="AA80" s="53"/>
      <c r="AB80" s="53"/>
      <c r="AC80" s="53"/>
      <c r="AD80" s="53"/>
      <c r="AE80" s="53"/>
      <c r="AF80" s="63"/>
      <c r="AG80" s="64"/>
      <c r="AH80" s="65"/>
      <c r="AI80" s="65"/>
      <c r="AJ80" s="53"/>
      <c r="AK80" s="62"/>
      <c r="AL80" s="62"/>
      <c r="AM80" s="62"/>
      <c r="AN80" s="62"/>
      <c r="AO80" s="62"/>
      <c r="AP80" s="62"/>
      <c r="AQ80" s="62"/>
      <c r="AR80" s="62"/>
      <c r="AS80" s="62"/>
      <c r="AT80" s="62"/>
      <c r="AU80" s="62"/>
      <c r="AV80" s="62"/>
      <c r="AW80" s="62"/>
      <c r="AX80" s="62"/>
      <c r="AY80" s="62"/>
      <c r="AZ80" s="62"/>
      <c r="BA80" s="62"/>
      <c r="BB80" s="62"/>
      <c r="BC80" s="62"/>
      <c r="BD80" s="62"/>
      <c r="BE80" s="62"/>
      <c r="BF80" s="62"/>
      <c r="BG80" s="62"/>
      <c r="BH80" s="62"/>
      <c r="BI80" s="62"/>
      <c r="BJ80" s="62"/>
      <c r="BK80" s="62"/>
      <c r="BL80" s="62"/>
      <c r="BM80" s="62"/>
      <c r="BN80" s="62"/>
      <c r="BO80" s="62"/>
      <c r="BP80" s="62"/>
      <c r="BQ80" s="62"/>
      <c r="BR80" s="62"/>
      <c r="BS80" s="62"/>
      <c r="BT80" s="62"/>
      <c r="BU80" s="62"/>
      <c r="BV80" s="62"/>
      <c r="BW80" s="62"/>
      <c r="BX80" s="62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  <c r="IV80"/>
      <c r="IW80"/>
      <c r="IX80"/>
      <c r="IY80"/>
      <c r="IZ80"/>
      <c r="JA80"/>
      <c r="JB80"/>
      <c r="JC80"/>
      <c r="JD80"/>
      <c r="JE80"/>
      <c r="JF80"/>
      <c r="JG80"/>
      <c r="JH80"/>
      <c r="JI80"/>
      <c r="JJ80"/>
      <c r="JK80"/>
      <c r="JL80"/>
      <c r="JM80"/>
      <c r="JN80"/>
      <c r="JO80"/>
      <c r="JP80"/>
      <c r="JQ80"/>
      <c r="JR80"/>
      <c r="JS80"/>
      <c r="JT80"/>
      <c r="JU80"/>
      <c r="JV80"/>
      <c r="JW80"/>
      <c r="JX80"/>
      <c r="JY80"/>
      <c r="JZ80"/>
      <c r="KA80"/>
      <c r="KB80"/>
      <c r="KC80"/>
      <c r="KD80"/>
      <c r="KE80"/>
      <c r="KF80"/>
      <c r="KG80"/>
      <c r="KH80"/>
      <c r="KI80"/>
      <c r="KJ80"/>
      <c r="KK80"/>
      <c r="KL80"/>
      <c r="KM80"/>
      <c r="KN80"/>
      <c r="KO80"/>
      <c r="KP80"/>
      <c r="KQ80"/>
      <c r="KR80"/>
      <c r="KS80"/>
      <c r="KT80"/>
      <c r="KU80"/>
      <c r="KV80"/>
      <c r="KW80"/>
      <c r="KX80"/>
      <c r="KY80"/>
      <c r="KZ80"/>
      <c r="LA80"/>
      <c r="LB80"/>
      <c r="LC80"/>
      <c r="LD80"/>
      <c r="LE80"/>
      <c r="LF80"/>
      <c r="LG80"/>
      <c r="LH80"/>
      <c r="LI80"/>
      <c r="LJ80"/>
      <c r="LK80"/>
      <c r="LL80"/>
      <c r="LM80"/>
      <c r="LN80"/>
      <c r="LO80"/>
      <c r="LP80"/>
      <c r="LQ80"/>
      <c r="LR80"/>
      <c r="LS80"/>
      <c r="LT80"/>
      <c r="LU80"/>
      <c r="LV80"/>
      <c r="LW80"/>
      <c r="LX80"/>
      <c r="LY80"/>
      <c r="LZ80"/>
      <c r="MA80"/>
      <c r="MB80"/>
      <c r="MC80"/>
      <c r="MD80"/>
      <c r="ME80"/>
      <c r="MF80"/>
      <c r="MG80"/>
      <c r="MH80"/>
      <c r="MI80"/>
      <c r="MJ80"/>
      <c r="MK80"/>
      <c r="ML80"/>
      <c r="MM80"/>
      <c r="MN80"/>
      <c r="MO80"/>
      <c r="MP80"/>
      <c r="MQ80"/>
      <c r="MR80"/>
      <c r="MS80"/>
      <c r="MT80"/>
      <c r="MU80"/>
      <c r="MV80"/>
      <c r="MW80"/>
      <c r="MX80"/>
      <c r="MY80"/>
      <c r="MZ80"/>
      <c r="NA80"/>
      <c r="NB80"/>
      <c r="NC80"/>
      <c r="ND80"/>
      <c r="NE80"/>
      <c r="NF80"/>
      <c r="NG80"/>
      <c r="NH80"/>
      <c r="NI80"/>
      <c r="NJ80"/>
      <c r="NK80"/>
      <c r="NL80"/>
      <c r="NM80"/>
      <c r="NN80"/>
      <c r="NO80"/>
      <c r="NP80"/>
      <c r="NQ80"/>
      <c r="NR80"/>
      <c r="NS80"/>
      <c r="NT80"/>
      <c r="NU80"/>
      <c r="NV80"/>
      <c r="NW80"/>
      <c r="NX80"/>
      <c r="NY80"/>
      <c r="NZ80"/>
      <c r="OA80"/>
      <c r="OB80"/>
      <c r="OC80"/>
      <c r="OD80"/>
      <c r="OE80"/>
      <c r="OF80"/>
      <c r="OG80"/>
      <c r="OH80"/>
      <c r="OI80"/>
      <c r="OJ80"/>
      <c r="OK80"/>
      <c r="OL80"/>
      <c r="OM80"/>
      <c r="ON80"/>
      <c r="OO80"/>
      <c r="OP80"/>
      <c r="OQ80"/>
      <c r="OR80"/>
      <c r="OS80"/>
      <c r="OT80"/>
      <c r="OU80"/>
      <c r="OV80"/>
      <c r="OW80"/>
      <c r="OX80"/>
      <c r="OY80"/>
      <c r="OZ80"/>
      <c r="PA80"/>
      <c r="PB80"/>
      <c r="PC80"/>
      <c r="PD80"/>
      <c r="PE80"/>
      <c r="PF80"/>
      <c r="PG80"/>
      <c r="PH80"/>
      <c r="PI80"/>
      <c r="PJ80"/>
      <c r="PK80"/>
      <c r="PL80"/>
      <c r="PM80"/>
      <c r="PN80"/>
      <c r="PO80"/>
      <c r="PP80"/>
      <c r="PQ80"/>
      <c r="PR80"/>
      <c r="PS80"/>
      <c r="PT80"/>
      <c r="PU80"/>
      <c r="PV80"/>
      <c r="PW80"/>
      <c r="PX80"/>
      <c r="PY80"/>
      <c r="PZ80"/>
      <c r="QA80"/>
      <c r="QB80"/>
      <c r="QC80"/>
      <c r="QD80"/>
      <c r="QE80"/>
      <c r="QF80"/>
      <c r="QG80"/>
      <c r="QH80"/>
      <c r="QI80"/>
      <c r="QJ80"/>
      <c r="QK80"/>
      <c r="QL80"/>
      <c r="QM80"/>
      <c r="QN80"/>
      <c r="QO80"/>
      <c r="QP80"/>
      <c r="QQ80"/>
      <c r="QR80"/>
      <c r="QS80"/>
      <c r="QT80"/>
      <c r="QU80"/>
      <c r="QV80"/>
      <c r="QW80"/>
      <c r="QX80"/>
    </row>
    <row r="81" spans="1:466" x14ac:dyDescent="0.35">
      <c r="A81" s="53"/>
      <c r="B81" s="53"/>
      <c r="C81" s="53"/>
      <c r="D81" s="53"/>
      <c r="E81" s="53"/>
      <c r="F81" s="126" t="s">
        <v>140</v>
      </c>
      <c r="G81" s="125">
        <v>0.37</v>
      </c>
      <c r="H81" s="125">
        <v>0</v>
      </c>
      <c r="I81" s="133">
        <v>0</v>
      </c>
      <c r="J81" s="53"/>
      <c r="K81" s="58">
        <v>45608</v>
      </c>
      <c r="L81" s="59" t="str">
        <f>IFERROR(VLOOKUP($A$2,Stok!$B$1:$AP$446,41,0),"")</f>
        <v/>
      </c>
      <c r="M81" s="53"/>
      <c r="N81" s="53"/>
      <c r="O81" s="53"/>
      <c r="P81" s="53"/>
      <c r="Q81" s="53"/>
      <c r="R81" s="53"/>
      <c r="S81" s="53"/>
      <c r="T81" s="53"/>
      <c r="U81" s="53"/>
      <c r="V81" s="53"/>
      <c r="W81" s="53"/>
      <c r="X81" s="53"/>
      <c r="Y81" s="53"/>
      <c r="Z81" s="53"/>
      <c r="AA81" s="53"/>
      <c r="AB81" s="53"/>
      <c r="AC81" s="53"/>
      <c r="AD81" s="53"/>
      <c r="AE81" s="53"/>
      <c r="AF81" s="63"/>
      <c r="AG81" s="64"/>
      <c r="AH81" s="65"/>
      <c r="AI81" s="65"/>
      <c r="AJ81" s="53"/>
      <c r="AK81" s="62"/>
      <c r="AL81" s="62"/>
      <c r="AM81" s="62"/>
      <c r="AN81" s="62"/>
      <c r="AO81" s="62"/>
      <c r="AP81" s="62"/>
      <c r="AQ81" s="62"/>
      <c r="AR81" s="62"/>
      <c r="AS81" s="62"/>
      <c r="AT81" s="62"/>
      <c r="AU81" s="62"/>
      <c r="AV81" s="62"/>
      <c r="AW81" s="62"/>
      <c r="AX81" s="62"/>
      <c r="AY81" s="62"/>
      <c r="AZ81" s="62"/>
      <c r="BA81" s="62"/>
      <c r="BB81" s="62"/>
      <c r="BC81" s="62"/>
      <c r="BD81" s="62"/>
      <c r="BE81" s="62"/>
      <c r="BF81" s="62"/>
      <c r="BG81" s="62"/>
      <c r="BH81" s="62"/>
      <c r="BI81" s="62"/>
      <c r="BJ81" s="62"/>
      <c r="BK81" s="62"/>
      <c r="BL81" s="62"/>
      <c r="BM81" s="62"/>
      <c r="BN81" s="62"/>
      <c r="BO81" s="62"/>
      <c r="BP81" s="62"/>
      <c r="BQ81" s="62"/>
      <c r="BR81" s="62"/>
      <c r="BS81" s="62"/>
      <c r="BT81" s="62"/>
      <c r="BU81" s="62"/>
      <c r="BV81" s="62"/>
      <c r="BW81" s="62"/>
      <c r="BX81" s="62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  <c r="IV81"/>
      <c r="IW81"/>
      <c r="IX81"/>
      <c r="IY81"/>
      <c r="IZ81"/>
      <c r="JA81"/>
      <c r="JB81"/>
      <c r="JC81"/>
      <c r="JD81"/>
      <c r="JE81"/>
      <c r="JF81"/>
      <c r="JG81"/>
      <c r="JH81"/>
      <c r="JI81"/>
      <c r="JJ81"/>
      <c r="JK81"/>
      <c r="JL81"/>
      <c r="JM81"/>
      <c r="JN81"/>
      <c r="JO81"/>
      <c r="JP81"/>
      <c r="JQ81"/>
      <c r="JR81"/>
      <c r="JS81"/>
      <c r="JT81"/>
      <c r="JU81"/>
      <c r="JV81"/>
      <c r="JW81"/>
      <c r="JX81"/>
      <c r="JY81"/>
      <c r="JZ81"/>
      <c r="KA81"/>
      <c r="KB81"/>
      <c r="KC81"/>
      <c r="KD81"/>
      <c r="KE81"/>
      <c r="KF81"/>
      <c r="KG81"/>
      <c r="KH81"/>
      <c r="KI81"/>
      <c r="KJ81"/>
      <c r="KK81"/>
      <c r="KL81"/>
      <c r="KM81"/>
      <c r="KN81"/>
      <c r="KO81"/>
      <c r="KP81"/>
      <c r="KQ81"/>
      <c r="KR81"/>
      <c r="KS81"/>
      <c r="KT81"/>
      <c r="KU81"/>
      <c r="KV81"/>
      <c r="KW81"/>
      <c r="KX81"/>
      <c r="KY81"/>
      <c r="KZ81"/>
      <c r="LA81"/>
      <c r="LB81"/>
      <c r="LC81"/>
      <c r="LD81"/>
      <c r="LE81"/>
      <c r="LF81"/>
      <c r="LG81"/>
      <c r="LH81"/>
      <c r="LI81"/>
      <c r="LJ81"/>
      <c r="LK81"/>
      <c r="LL81"/>
      <c r="LM81"/>
      <c r="LN81"/>
      <c r="LO81"/>
      <c r="LP81"/>
      <c r="LQ81"/>
      <c r="LR81"/>
      <c r="LS81"/>
      <c r="LT81"/>
      <c r="LU81"/>
      <c r="LV81"/>
      <c r="LW81"/>
      <c r="LX81"/>
      <c r="LY81"/>
      <c r="LZ81"/>
      <c r="MA81"/>
      <c r="MB81"/>
      <c r="MC81"/>
      <c r="MD81"/>
      <c r="ME81"/>
      <c r="MF81"/>
      <c r="MG81"/>
      <c r="MH81"/>
      <c r="MI81"/>
      <c r="MJ81"/>
      <c r="MK81"/>
      <c r="ML81"/>
      <c r="MM81"/>
      <c r="MN81"/>
      <c r="MO81"/>
      <c r="MP81"/>
      <c r="MQ81"/>
      <c r="MR81"/>
      <c r="MS81"/>
      <c r="MT81"/>
      <c r="MU81"/>
      <c r="MV81"/>
      <c r="MW81"/>
      <c r="MX81"/>
      <c r="MY81"/>
      <c r="MZ81"/>
      <c r="NA81"/>
      <c r="NB81"/>
      <c r="NC81"/>
      <c r="ND81"/>
      <c r="NE81"/>
      <c r="NF81"/>
      <c r="NG81"/>
      <c r="NH81"/>
      <c r="NI81"/>
      <c r="NJ81"/>
      <c r="NK81"/>
      <c r="NL81"/>
      <c r="NM81"/>
      <c r="NN81"/>
      <c r="NO81"/>
      <c r="NP81"/>
      <c r="NQ81"/>
      <c r="NR81"/>
      <c r="NS81"/>
      <c r="NT81"/>
      <c r="NU81"/>
      <c r="NV81"/>
      <c r="NW81"/>
      <c r="NX81"/>
      <c r="NY81"/>
      <c r="NZ81"/>
      <c r="OA81"/>
      <c r="OB81"/>
      <c r="OC81"/>
      <c r="OD81"/>
      <c r="OE81"/>
      <c r="OF81"/>
      <c r="OG81"/>
      <c r="OH81"/>
      <c r="OI81"/>
      <c r="OJ81"/>
      <c r="OK81"/>
      <c r="OL81"/>
      <c r="OM81"/>
      <c r="ON81"/>
      <c r="OO81"/>
      <c r="OP81"/>
      <c r="OQ81"/>
      <c r="OR81"/>
      <c r="OS81"/>
      <c r="OT81"/>
      <c r="OU81"/>
      <c r="OV81"/>
      <c r="OW81"/>
      <c r="OX81"/>
      <c r="OY81"/>
      <c r="OZ81"/>
      <c r="PA81"/>
      <c r="PB81"/>
      <c r="PC81"/>
      <c r="PD81"/>
      <c r="PE81"/>
      <c r="PF81"/>
      <c r="PG81"/>
      <c r="PH81"/>
      <c r="PI81"/>
      <c r="PJ81"/>
      <c r="PK81"/>
      <c r="PL81"/>
      <c r="PM81"/>
      <c r="PN81"/>
      <c r="PO81"/>
      <c r="PP81"/>
      <c r="PQ81"/>
      <c r="PR81"/>
      <c r="PS81"/>
      <c r="PT81"/>
      <c r="PU81"/>
      <c r="PV81"/>
      <c r="PW81"/>
      <c r="PX81"/>
      <c r="PY81"/>
      <c r="PZ81"/>
      <c r="QA81"/>
      <c r="QB81"/>
      <c r="QC81"/>
      <c r="QD81"/>
      <c r="QE81"/>
      <c r="QF81"/>
      <c r="QG81"/>
      <c r="QH81"/>
      <c r="QI81"/>
      <c r="QJ81"/>
      <c r="QK81"/>
      <c r="QL81"/>
      <c r="QM81"/>
      <c r="QN81"/>
      <c r="QO81"/>
      <c r="QP81"/>
      <c r="QQ81"/>
      <c r="QR81"/>
      <c r="QS81"/>
      <c r="QT81"/>
      <c r="QU81"/>
      <c r="QV81"/>
      <c r="QW81"/>
      <c r="QX81"/>
    </row>
    <row r="82" spans="1:466" x14ac:dyDescent="0.35">
      <c r="A82" s="53"/>
      <c r="B82" s="53"/>
      <c r="C82" s="53"/>
      <c r="D82" s="53"/>
      <c r="E82" s="53"/>
      <c r="F82" s="126" t="s">
        <v>121</v>
      </c>
      <c r="G82" s="125">
        <v>0.6</v>
      </c>
      <c r="H82" s="125">
        <v>0</v>
      </c>
      <c r="I82" s="133">
        <v>0</v>
      </c>
      <c r="J82" s="53"/>
      <c r="K82" s="58">
        <v>45596</v>
      </c>
      <c r="L82" s="59" t="str">
        <f>IFERROR(VLOOKUP($A$2,Stok!$B$1:$AO$446,40,0),"")</f>
        <v/>
      </c>
      <c r="M82" s="53"/>
      <c r="N82" s="53"/>
      <c r="O82" s="53"/>
      <c r="P82" s="53"/>
      <c r="Q82" s="53"/>
      <c r="R82" s="53"/>
      <c r="S82" s="53"/>
      <c r="T82" s="53"/>
      <c r="U82" s="53"/>
      <c r="V82" s="53"/>
      <c r="W82" s="53"/>
      <c r="X82" s="53"/>
      <c r="Y82" s="53"/>
      <c r="Z82" s="53"/>
      <c r="AA82" s="53"/>
      <c r="AB82" s="53"/>
      <c r="AC82" s="53"/>
      <c r="AD82" s="53"/>
      <c r="AE82" s="53"/>
      <c r="AF82" s="63"/>
      <c r="AG82" s="64"/>
      <c r="AH82" s="65"/>
      <c r="AI82" s="65"/>
      <c r="AJ82" s="53"/>
      <c r="AK82" s="62"/>
      <c r="AL82" s="62"/>
      <c r="AM82" s="62"/>
      <c r="AN82" s="62"/>
      <c r="AO82" s="62"/>
      <c r="AP82" s="62"/>
      <c r="AQ82" s="62"/>
      <c r="AR82" s="62"/>
      <c r="AS82" s="62"/>
      <c r="AT82" s="62"/>
      <c r="AU82" s="62"/>
      <c r="AV82" s="62"/>
      <c r="AW82" s="62"/>
      <c r="AX82" s="62"/>
      <c r="AY82" s="62"/>
      <c r="AZ82" s="62"/>
      <c r="BA82" s="62"/>
      <c r="BB82" s="62"/>
      <c r="BC82" s="62"/>
      <c r="BD82" s="62"/>
      <c r="BE82" s="62"/>
      <c r="BF82" s="62"/>
      <c r="BG82" s="62"/>
      <c r="BH82" s="62"/>
      <c r="BI82" s="62"/>
      <c r="BJ82" s="62"/>
      <c r="BK82" s="62"/>
      <c r="BL82" s="62"/>
      <c r="BM82" s="62"/>
      <c r="BN82" s="62"/>
      <c r="BO82" s="62"/>
      <c r="BP82" s="62"/>
      <c r="BQ82" s="62"/>
      <c r="BR82" s="62"/>
      <c r="BS82" s="62"/>
      <c r="BT82" s="62"/>
      <c r="BU82" s="62"/>
      <c r="BV82" s="62"/>
      <c r="BW82" s="62"/>
      <c r="BX82" s="6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  <c r="IW82"/>
      <c r="IX82"/>
      <c r="IY82"/>
      <c r="IZ82"/>
      <c r="JA82"/>
      <c r="JB82"/>
      <c r="JC82"/>
      <c r="JD82"/>
      <c r="JE82"/>
      <c r="JF82"/>
      <c r="JG82"/>
      <c r="JH82"/>
      <c r="JI82"/>
      <c r="JJ82"/>
      <c r="JK82"/>
      <c r="JL82"/>
      <c r="JM82"/>
      <c r="JN82"/>
      <c r="JO82"/>
      <c r="JP82"/>
      <c r="JQ82"/>
      <c r="JR82"/>
      <c r="JS82"/>
      <c r="JT82"/>
      <c r="JU82"/>
      <c r="JV82"/>
      <c r="JW82"/>
      <c r="JX82"/>
      <c r="JY82"/>
      <c r="JZ82"/>
      <c r="KA82"/>
      <c r="KB82"/>
      <c r="KC82"/>
      <c r="KD82"/>
      <c r="KE82"/>
      <c r="KF82"/>
      <c r="KG82"/>
      <c r="KH82"/>
      <c r="KI82"/>
      <c r="KJ82"/>
      <c r="KK82"/>
      <c r="KL82"/>
      <c r="KM82"/>
      <c r="KN82"/>
      <c r="KO82"/>
      <c r="KP82"/>
      <c r="KQ82"/>
      <c r="KR82"/>
      <c r="KS82"/>
      <c r="KT82"/>
      <c r="KU82"/>
      <c r="KV82"/>
      <c r="KW82"/>
      <c r="KX82"/>
      <c r="KY82"/>
      <c r="KZ82"/>
      <c r="LA82"/>
      <c r="LB82"/>
      <c r="LC82"/>
      <c r="LD82"/>
      <c r="LE82"/>
      <c r="LF82"/>
      <c r="LG82"/>
      <c r="LH82"/>
      <c r="LI82"/>
      <c r="LJ82"/>
      <c r="LK82"/>
      <c r="LL82"/>
      <c r="LM82"/>
      <c r="LN82"/>
      <c r="LO82"/>
      <c r="LP82"/>
      <c r="LQ82"/>
      <c r="LR82"/>
      <c r="LS82"/>
      <c r="LT82"/>
      <c r="LU82"/>
      <c r="LV82"/>
      <c r="LW82"/>
      <c r="LX82"/>
      <c r="LY82"/>
      <c r="LZ82"/>
      <c r="MA82"/>
      <c r="MB82"/>
      <c r="MC82"/>
      <c r="MD82"/>
      <c r="ME82"/>
      <c r="MF82"/>
      <c r="MG82"/>
      <c r="MH82"/>
      <c r="MI82"/>
      <c r="MJ82"/>
      <c r="MK82"/>
      <c r="ML82"/>
      <c r="MM82"/>
      <c r="MN82"/>
      <c r="MO82"/>
      <c r="MP82"/>
      <c r="MQ82"/>
      <c r="MR82"/>
      <c r="MS82"/>
      <c r="MT82"/>
      <c r="MU82"/>
      <c r="MV82"/>
      <c r="MW82"/>
      <c r="MX82"/>
      <c r="MY82"/>
      <c r="MZ82"/>
      <c r="NA82"/>
      <c r="NB82"/>
      <c r="NC82"/>
      <c r="ND82"/>
      <c r="NE82"/>
      <c r="NF82"/>
      <c r="NG82"/>
      <c r="NH82"/>
      <c r="NI82"/>
      <c r="NJ82"/>
      <c r="NK82"/>
      <c r="NL82"/>
      <c r="NM82"/>
      <c r="NN82"/>
      <c r="NO82"/>
      <c r="NP82"/>
      <c r="NQ82"/>
      <c r="NR82"/>
      <c r="NS82"/>
      <c r="NT82"/>
      <c r="NU82"/>
      <c r="NV82"/>
      <c r="NW82"/>
      <c r="NX82"/>
      <c r="NY82"/>
      <c r="NZ82"/>
      <c r="OA82"/>
      <c r="OB82"/>
      <c r="OC82"/>
      <c r="OD82"/>
      <c r="OE82"/>
      <c r="OF82"/>
      <c r="OG82"/>
      <c r="OH82"/>
      <c r="OI82"/>
      <c r="OJ82"/>
      <c r="OK82"/>
      <c r="OL82"/>
      <c r="OM82"/>
      <c r="ON82"/>
      <c r="OO82"/>
      <c r="OP82"/>
      <c r="OQ82"/>
      <c r="OR82"/>
      <c r="OS82"/>
      <c r="OT82"/>
      <c r="OU82"/>
      <c r="OV82"/>
      <c r="OW82"/>
      <c r="OX82"/>
      <c r="OY82"/>
      <c r="OZ82"/>
      <c r="PA82"/>
      <c r="PB82"/>
      <c r="PC82"/>
      <c r="PD82"/>
      <c r="PE82"/>
      <c r="PF82"/>
      <c r="PG82"/>
      <c r="PH82"/>
      <c r="PI82"/>
      <c r="PJ82"/>
      <c r="PK82"/>
      <c r="PL82"/>
      <c r="PM82"/>
      <c r="PN82"/>
      <c r="PO82"/>
      <c r="PP82"/>
      <c r="PQ82"/>
      <c r="PR82"/>
      <c r="PS82"/>
      <c r="PT82"/>
      <c r="PU82"/>
      <c r="PV82"/>
      <c r="PW82"/>
      <c r="PX82"/>
      <c r="PY82"/>
      <c r="PZ82"/>
      <c r="QA82"/>
      <c r="QB82"/>
      <c r="QC82"/>
      <c r="QD82"/>
      <c r="QE82"/>
      <c r="QF82"/>
      <c r="QG82"/>
      <c r="QH82"/>
      <c r="QI82"/>
      <c r="QJ82"/>
      <c r="QK82"/>
      <c r="QL82"/>
      <c r="QM82"/>
      <c r="QN82"/>
      <c r="QO82"/>
      <c r="QP82"/>
      <c r="QQ82"/>
      <c r="QR82"/>
      <c r="QS82"/>
      <c r="QT82"/>
      <c r="QU82"/>
      <c r="QV82"/>
      <c r="QW82"/>
      <c r="QX82"/>
    </row>
    <row r="83" spans="1:466" x14ac:dyDescent="0.35">
      <c r="A83" s="53"/>
      <c r="B83" s="53"/>
      <c r="C83" s="55"/>
      <c r="D83" s="53"/>
      <c r="E83" s="53"/>
      <c r="F83" s="126" t="s">
        <v>1408</v>
      </c>
      <c r="G83" s="125">
        <v>3.9</v>
      </c>
      <c r="H83" s="125">
        <v>0</v>
      </c>
      <c r="I83" s="133">
        <v>0</v>
      </c>
      <c r="J83" s="53"/>
      <c r="K83" s="58">
        <v>45580</v>
      </c>
      <c r="L83" s="59" t="str">
        <f>IFERROR(VLOOKUP($A$2,Stok!$B$1:$AN$446,39,0),"")</f>
        <v/>
      </c>
      <c r="M83" s="53"/>
      <c r="N83" s="53"/>
      <c r="O83" s="53"/>
      <c r="P83" s="53"/>
      <c r="Q83" s="53"/>
      <c r="R83" s="53"/>
      <c r="S83" s="53"/>
      <c r="T83" s="53"/>
      <c r="U83" s="53"/>
      <c r="V83" s="53"/>
      <c r="W83" s="53"/>
      <c r="X83" s="53"/>
      <c r="Y83" s="53"/>
      <c r="Z83" s="53"/>
      <c r="AA83" s="53"/>
      <c r="AB83" s="53"/>
      <c r="AC83" s="53"/>
      <c r="AD83" s="53"/>
      <c r="AE83" s="53"/>
      <c r="AF83" s="63"/>
      <c r="AG83" s="64"/>
      <c r="AH83" s="65"/>
      <c r="AI83" s="65"/>
      <c r="AJ83" s="53"/>
      <c r="AK83" s="62"/>
      <c r="AL83" s="62"/>
      <c r="AM83" s="62"/>
      <c r="AN83" s="62"/>
      <c r="AO83" s="62"/>
      <c r="AP83" s="62"/>
      <c r="AQ83" s="62"/>
      <c r="AR83" s="62"/>
      <c r="AS83" s="62"/>
      <c r="AT83" s="62"/>
      <c r="AU83" s="62"/>
      <c r="AV83" s="62"/>
      <c r="AW83" s="62"/>
      <c r="AX83" s="62"/>
      <c r="AY83" s="62"/>
      <c r="AZ83" s="62"/>
      <c r="BA83" s="62"/>
      <c r="BB83" s="62"/>
      <c r="BC83" s="62"/>
      <c r="BD83" s="62"/>
      <c r="BE83" s="62"/>
      <c r="BF83" s="62"/>
      <c r="BG83" s="62"/>
      <c r="BH83" s="62"/>
      <c r="BI83" s="62"/>
      <c r="BJ83" s="62"/>
      <c r="BK83" s="62"/>
      <c r="BL83" s="62"/>
      <c r="BM83" s="62"/>
      <c r="BN83" s="62"/>
      <c r="BO83" s="62"/>
      <c r="BP83" s="62"/>
      <c r="BQ83" s="62"/>
      <c r="BR83" s="62"/>
      <c r="BS83" s="62"/>
      <c r="BT83" s="62"/>
      <c r="BU83" s="62"/>
      <c r="BV83" s="62"/>
      <c r="BW83" s="62"/>
      <c r="BX83" s="62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/>
      <c r="IP83"/>
      <c r="IQ83"/>
      <c r="IR83"/>
      <c r="IS83"/>
      <c r="IT83"/>
      <c r="IU83"/>
      <c r="IV83"/>
      <c r="IW83"/>
      <c r="IX83"/>
      <c r="IY83"/>
      <c r="IZ83"/>
      <c r="JA83"/>
      <c r="JB83"/>
      <c r="JC83"/>
      <c r="JD83"/>
      <c r="JE83"/>
      <c r="JF83"/>
      <c r="JG83"/>
      <c r="JH83"/>
      <c r="JI83"/>
      <c r="JJ83"/>
      <c r="JK83"/>
      <c r="JL83"/>
      <c r="JM83"/>
      <c r="JN83"/>
      <c r="JO83"/>
      <c r="JP83"/>
      <c r="JQ83"/>
      <c r="JR83"/>
      <c r="JS83"/>
      <c r="JT83"/>
      <c r="JU83"/>
      <c r="JV83"/>
      <c r="JW83"/>
      <c r="JX83"/>
      <c r="JY83"/>
      <c r="JZ83"/>
      <c r="KA83"/>
      <c r="KB83"/>
      <c r="KC83"/>
      <c r="KD83"/>
      <c r="KE83"/>
      <c r="KF83"/>
      <c r="KG83"/>
      <c r="KH83"/>
      <c r="KI83"/>
      <c r="KJ83"/>
      <c r="KK83"/>
      <c r="KL83"/>
      <c r="KM83"/>
      <c r="KN83"/>
      <c r="KO83"/>
      <c r="KP83"/>
      <c r="KQ83"/>
      <c r="KR83"/>
      <c r="KS83"/>
      <c r="KT83"/>
      <c r="KU83"/>
      <c r="KV83"/>
      <c r="KW83"/>
      <c r="KX83"/>
      <c r="KY83"/>
      <c r="KZ83"/>
      <c r="LA83"/>
      <c r="LB83"/>
      <c r="LC83"/>
      <c r="LD83"/>
      <c r="LE83"/>
      <c r="LF83"/>
      <c r="LG83"/>
      <c r="LH83"/>
      <c r="LI83"/>
      <c r="LJ83"/>
      <c r="LK83"/>
      <c r="LL83"/>
      <c r="LM83"/>
      <c r="LN83"/>
      <c r="LO83"/>
      <c r="LP83"/>
      <c r="LQ83"/>
      <c r="LR83"/>
      <c r="LS83"/>
      <c r="LT83"/>
      <c r="LU83"/>
      <c r="LV83"/>
      <c r="LW83"/>
      <c r="LX83"/>
      <c r="LY83"/>
      <c r="LZ83"/>
      <c r="MA83"/>
      <c r="MB83"/>
      <c r="MC83"/>
      <c r="MD83"/>
      <c r="ME83"/>
      <c r="MF83"/>
      <c r="MG83"/>
      <c r="MH83"/>
      <c r="MI83"/>
      <c r="MJ83"/>
      <c r="MK83"/>
      <c r="ML83"/>
      <c r="MM83"/>
      <c r="MN83"/>
      <c r="MO83"/>
      <c r="MP83"/>
      <c r="MQ83"/>
      <c r="MR83"/>
      <c r="MS83"/>
      <c r="MT83"/>
      <c r="MU83"/>
      <c r="MV83"/>
      <c r="MW83"/>
      <c r="MX83"/>
      <c r="MY83"/>
      <c r="MZ83"/>
      <c r="NA83"/>
      <c r="NB83"/>
      <c r="NC83"/>
      <c r="ND83"/>
      <c r="NE83"/>
      <c r="NF83"/>
      <c r="NG83"/>
      <c r="NH83"/>
      <c r="NI83"/>
      <c r="NJ83"/>
      <c r="NK83"/>
      <c r="NL83"/>
      <c r="NM83"/>
      <c r="NN83"/>
      <c r="NO83"/>
      <c r="NP83"/>
      <c r="NQ83"/>
      <c r="NR83"/>
      <c r="NS83"/>
      <c r="NT83"/>
      <c r="NU83"/>
      <c r="NV83"/>
      <c r="NW83"/>
      <c r="NX83"/>
      <c r="NY83"/>
      <c r="NZ83"/>
      <c r="OA83"/>
      <c r="OB83"/>
      <c r="OC83"/>
      <c r="OD83"/>
      <c r="OE83"/>
      <c r="OF83"/>
      <c r="OG83"/>
      <c r="OH83"/>
      <c r="OI83"/>
      <c r="OJ83"/>
      <c r="OK83"/>
      <c r="OL83"/>
      <c r="OM83"/>
      <c r="ON83"/>
      <c r="OO83"/>
      <c r="OP83"/>
      <c r="OQ83"/>
      <c r="OR83"/>
      <c r="OS83"/>
      <c r="OT83"/>
      <c r="OU83"/>
      <c r="OV83"/>
      <c r="OW83"/>
      <c r="OX83"/>
      <c r="OY83"/>
      <c r="OZ83"/>
      <c r="PA83"/>
      <c r="PB83"/>
      <c r="PC83"/>
      <c r="PD83"/>
      <c r="PE83"/>
      <c r="PF83"/>
      <c r="PG83"/>
      <c r="PH83"/>
      <c r="PI83"/>
      <c r="PJ83"/>
      <c r="PK83"/>
      <c r="PL83"/>
      <c r="PM83"/>
      <c r="PN83"/>
      <c r="PO83"/>
      <c r="PP83"/>
      <c r="PQ83"/>
      <c r="PR83"/>
      <c r="PS83"/>
      <c r="PT83"/>
      <c r="PU83"/>
      <c r="PV83"/>
      <c r="PW83"/>
      <c r="PX83"/>
      <c r="PY83"/>
      <c r="PZ83"/>
      <c r="QA83"/>
      <c r="QB83"/>
      <c r="QC83"/>
      <c r="QD83"/>
      <c r="QE83"/>
      <c r="QF83"/>
      <c r="QG83"/>
      <c r="QH83"/>
      <c r="QI83"/>
      <c r="QJ83"/>
      <c r="QK83"/>
      <c r="QL83"/>
      <c r="QM83"/>
      <c r="QN83"/>
      <c r="QO83"/>
      <c r="QP83"/>
      <c r="QQ83"/>
      <c r="QR83"/>
      <c r="QS83"/>
      <c r="QT83"/>
      <c r="QU83"/>
      <c r="QV83"/>
      <c r="QW83"/>
      <c r="QX83"/>
    </row>
    <row r="84" spans="1:466" x14ac:dyDescent="0.35">
      <c r="A84" s="53"/>
      <c r="B84" s="53"/>
      <c r="C84" s="55"/>
      <c r="D84" s="53"/>
      <c r="E84" s="53"/>
      <c r="F84" s="126" t="s">
        <v>142</v>
      </c>
      <c r="G84" s="125">
        <v>4.45</v>
      </c>
      <c r="H84" s="125">
        <v>4.45</v>
      </c>
      <c r="I84" s="133">
        <v>1</v>
      </c>
      <c r="J84" s="53"/>
      <c r="K84" s="58">
        <v>45570</v>
      </c>
      <c r="L84" s="59" t="str">
        <f>IFERROR(VLOOKUP($A$2,Stok!$B$1:$AM$446,38,0),"")</f>
        <v/>
      </c>
      <c r="M84" s="53"/>
      <c r="N84" s="53"/>
      <c r="O84" s="53"/>
      <c r="P84" s="53"/>
      <c r="Q84" s="53"/>
      <c r="R84" s="53"/>
      <c r="S84" s="53"/>
      <c r="T84" s="53"/>
      <c r="U84" s="53"/>
      <c r="V84" s="53"/>
      <c r="W84" s="53"/>
      <c r="X84" s="53"/>
      <c r="Y84" s="53"/>
      <c r="Z84" s="53"/>
      <c r="AA84" s="53"/>
      <c r="AB84" s="53"/>
      <c r="AC84" s="53"/>
      <c r="AD84" s="53"/>
      <c r="AE84" s="53"/>
      <c r="AF84" s="63"/>
      <c r="AG84" s="64"/>
      <c r="AH84" s="65"/>
      <c r="AI84" s="65"/>
      <c r="AJ84" s="53"/>
      <c r="AK84" s="62"/>
      <c r="AL84" s="62"/>
      <c r="AM84" s="62"/>
      <c r="AN84" s="62"/>
      <c r="AO84" s="62"/>
      <c r="AP84" s="62"/>
      <c r="AQ84" s="62"/>
      <c r="AR84" s="62"/>
      <c r="AS84" s="62"/>
      <c r="AT84" s="62"/>
      <c r="AU84" s="62"/>
      <c r="AV84" s="62"/>
      <c r="AW84" s="62"/>
      <c r="AX84" s="62"/>
      <c r="AY84" s="62"/>
      <c r="AZ84" s="62"/>
      <c r="BA84" s="62"/>
      <c r="BB84" s="62"/>
      <c r="BC84" s="62"/>
      <c r="BD84" s="62"/>
      <c r="BE84" s="62"/>
      <c r="BF84" s="62"/>
      <c r="BG84" s="62"/>
      <c r="BH84" s="62"/>
      <c r="BI84" s="62"/>
      <c r="BJ84" s="62"/>
      <c r="BK84" s="62"/>
      <c r="BL84" s="62"/>
      <c r="BM84" s="62"/>
      <c r="BN84" s="62"/>
      <c r="BO84" s="62"/>
      <c r="BP84" s="62"/>
      <c r="BQ84" s="62"/>
      <c r="BR84" s="62"/>
      <c r="BS84" s="62"/>
      <c r="BT84" s="62"/>
      <c r="BU84" s="62"/>
      <c r="BV84" s="62"/>
      <c r="BW84" s="62"/>
      <c r="BX84" s="62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  <c r="IS84"/>
      <c r="IT84"/>
      <c r="IU84"/>
      <c r="IV84"/>
      <c r="IW84"/>
      <c r="IX84"/>
      <c r="IY84"/>
      <c r="IZ84"/>
      <c r="JA84"/>
      <c r="JB84"/>
      <c r="JC84"/>
      <c r="JD84"/>
      <c r="JE84"/>
      <c r="JF84"/>
      <c r="JG84"/>
      <c r="JH84"/>
      <c r="JI84"/>
      <c r="JJ84"/>
      <c r="JK84"/>
      <c r="JL84"/>
      <c r="JM84"/>
      <c r="JN84"/>
      <c r="JO84"/>
      <c r="JP84"/>
      <c r="JQ84"/>
      <c r="JR84"/>
      <c r="JS84"/>
      <c r="JT84"/>
      <c r="JU84"/>
      <c r="JV84"/>
      <c r="JW84"/>
      <c r="JX84"/>
      <c r="JY84"/>
      <c r="JZ84"/>
      <c r="KA84"/>
      <c r="KB84"/>
      <c r="KC84"/>
      <c r="KD84"/>
      <c r="KE84"/>
      <c r="KF84"/>
      <c r="KG84"/>
      <c r="KH84"/>
      <c r="KI84"/>
      <c r="KJ84"/>
      <c r="KK84"/>
      <c r="KL84"/>
      <c r="KM84"/>
      <c r="KN84"/>
      <c r="KO84"/>
      <c r="KP84"/>
      <c r="KQ84"/>
      <c r="KR84"/>
      <c r="KS84"/>
      <c r="KT84"/>
      <c r="KU84"/>
      <c r="KV84"/>
      <c r="KW84"/>
      <c r="KX84"/>
      <c r="KY84"/>
      <c r="KZ84"/>
      <c r="LA84"/>
      <c r="LB84"/>
      <c r="LC84"/>
      <c r="LD84"/>
      <c r="LE84"/>
      <c r="LF84"/>
      <c r="LG84"/>
      <c r="LH84"/>
      <c r="LI84"/>
      <c r="LJ84"/>
      <c r="LK84"/>
      <c r="LL84"/>
      <c r="LM84"/>
      <c r="LN84"/>
      <c r="LO84"/>
      <c r="LP84"/>
      <c r="LQ84"/>
      <c r="LR84"/>
      <c r="LS84"/>
      <c r="LT84"/>
      <c r="LU84"/>
      <c r="LV84"/>
      <c r="LW84"/>
      <c r="LX84"/>
      <c r="LY84"/>
      <c r="LZ84"/>
      <c r="MA84"/>
      <c r="MB84"/>
      <c r="MC84"/>
      <c r="MD84"/>
      <c r="ME84"/>
      <c r="MF84"/>
      <c r="MG84"/>
      <c r="MH84"/>
      <c r="MI84"/>
      <c r="MJ84"/>
      <c r="MK84"/>
      <c r="ML84"/>
      <c r="MM84"/>
      <c r="MN84"/>
      <c r="MO84"/>
      <c r="MP84"/>
      <c r="MQ84"/>
      <c r="MR84"/>
      <c r="MS84"/>
      <c r="MT84"/>
      <c r="MU84"/>
      <c r="MV84"/>
      <c r="MW84"/>
      <c r="MX84"/>
      <c r="MY84"/>
      <c r="MZ84"/>
      <c r="NA84"/>
      <c r="NB84"/>
      <c r="NC84"/>
      <c r="ND84"/>
      <c r="NE84"/>
      <c r="NF84"/>
      <c r="NG84"/>
      <c r="NH84"/>
      <c r="NI84"/>
      <c r="NJ84"/>
      <c r="NK84"/>
      <c r="NL84"/>
      <c r="NM84"/>
      <c r="NN84"/>
      <c r="NO84"/>
      <c r="NP84"/>
      <c r="NQ84"/>
      <c r="NR84"/>
      <c r="NS84"/>
      <c r="NT84"/>
      <c r="NU84"/>
      <c r="NV84"/>
      <c r="NW84"/>
      <c r="NX84"/>
      <c r="NY84"/>
      <c r="NZ84"/>
      <c r="OA84"/>
      <c r="OB84"/>
      <c r="OC84"/>
      <c r="OD84"/>
      <c r="OE84"/>
      <c r="OF84"/>
      <c r="OG84"/>
      <c r="OH84"/>
      <c r="OI84"/>
      <c r="OJ84"/>
      <c r="OK84"/>
      <c r="OL84"/>
      <c r="OM84"/>
      <c r="ON84"/>
      <c r="OO84"/>
      <c r="OP84"/>
      <c r="OQ84"/>
      <c r="OR84"/>
      <c r="OS84"/>
      <c r="OT84"/>
      <c r="OU84"/>
      <c r="OV84"/>
      <c r="OW84"/>
      <c r="OX84"/>
      <c r="OY84"/>
      <c r="OZ84"/>
      <c r="PA84"/>
      <c r="PB84"/>
      <c r="PC84"/>
      <c r="PD84"/>
      <c r="PE84"/>
      <c r="PF84"/>
      <c r="PG84"/>
      <c r="PH84"/>
      <c r="PI84"/>
      <c r="PJ84"/>
      <c r="PK84"/>
      <c r="PL84"/>
      <c r="PM84"/>
      <c r="PN84"/>
      <c r="PO84"/>
      <c r="PP84"/>
      <c r="PQ84"/>
      <c r="PR84"/>
      <c r="PS84"/>
      <c r="PT84"/>
      <c r="PU84"/>
      <c r="PV84"/>
      <c r="PW84"/>
      <c r="PX84"/>
      <c r="PY84"/>
      <c r="PZ84"/>
      <c r="QA84"/>
      <c r="QB84"/>
      <c r="QC84"/>
      <c r="QD84"/>
      <c r="QE84"/>
      <c r="QF84"/>
      <c r="QG84"/>
      <c r="QH84"/>
      <c r="QI84"/>
      <c r="QJ84"/>
      <c r="QK84"/>
      <c r="QL84"/>
      <c r="QM84"/>
      <c r="QN84"/>
      <c r="QO84"/>
      <c r="QP84"/>
      <c r="QQ84"/>
      <c r="QR84"/>
      <c r="QS84"/>
      <c r="QT84"/>
      <c r="QU84"/>
      <c r="QV84"/>
      <c r="QW84"/>
      <c r="QX84"/>
    </row>
    <row r="85" spans="1:466" x14ac:dyDescent="0.35">
      <c r="A85" s="53"/>
      <c r="B85" s="53"/>
      <c r="C85" s="55"/>
      <c r="D85" s="53"/>
      <c r="E85" s="53"/>
      <c r="F85" s="126" t="s">
        <v>1410</v>
      </c>
      <c r="G85" s="125">
        <v>22</v>
      </c>
      <c r="H85" s="125">
        <v>0</v>
      </c>
      <c r="I85" s="133">
        <v>0</v>
      </c>
      <c r="J85" s="53"/>
      <c r="K85" s="58">
        <v>45563</v>
      </c>
      <c r="L85" s="59" t="str">
        <f>IFERROR(VLOOKUP($A$2,Stok!$B$1:$AL$446,37,0),"")</f>
        <v/>
      </c>
      <c r="M85" s="53"/>
      <c r="N85" s="53"/>
      <c r="O85" s="53"/>
      <c r="P85" s="53"/>
      <c r="Q85" s="53"/>
      <c r="R85" s="53"/>
      <c r="S85" s="53"/>
      <c r="T85" s="53"/>
      <c r="U85" s="53"/>
      <c r="V85" s="53"/>
      <c r="W85" s="53"/>
      <c r="X85" s="53"/>
      <c r="Y85" s="53"/>
      <c r="Z85" s="53"/>
      <c r="AA85" s="53"/>
      <c r="AB85" s="53"/>
      <c r="AC85" s="53"/>
      <c r="AD85" s="53"/>
      <c r="AE85" s="53"/>
      <c r="AF85" s="63"/>
      <c r="AG85" s="64"/>
      <c r="AH85" s="65"/>
      <c r="AI85" s="65"/>
      <c r="AJ85" s="53"/>
      <c r="AK85" s="62"/>
      <c r="AL85" s="62"/>
      <c r="AM85" s="62"/>
      <c r="AN85" s="62"/>
      <c r="AO85" s="62"/>
      <c r="AP85" s="62"/>
      <c r="AQ85" s="62"/>
      <c r="AR85" s="62"/>
      <c r="AS85" s="62"/>
      <c r="AT85" s="62"/>
      <c r="AU85" s="62"/>
      <c r="AV85" s="62"/>
      <c r="AW85" s="62"/>
      <c r="AX85" s="62"/>
      <c r="AY85" s="62"/>
      <c r="AZ85" s="62"/>
      <c r="BA85" s="62"/>
      <c r="BB85" s="62"/>
      <c r="BC85" s="62"/>
      <c r="BD85" s="62"/>
      <c r="BE85" s="62"/>
      <c r="BF85" s="62"/>
      <c r="BG85" s="62"/>
      <c r="BH85" s="62"/>
      <c r="BI85" s="62"/>
      <c r="BJ85" s="62"/>
      <c r="BK85" s="62"/>
      <c r="BL85" s="62"/>
      <c r="BM85" s="62"/>
      <c r="BN85" s="62"/>
      <c r="BO85" s="62"/>
      <c r="BP85" s="62"/>
      <c r="BQ85" s="62"/>
      <c r="BR85" s="62"/>
      <c r="BS85" s="62"/>
      <c r="BT85" s="62"/>
      <c r="BU85" s="62"/>
      <c r="BV85" s="62"/>
      <c r="BW85" s="62"/>
      <c r="BX85" s="62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  <c r="IS85"/>
      <c r="IT85"/>
      <c r="IU85"/>
      <c r="IV85"/>
      <c r="IW85"/>
      <c r="IX85"/>
      <c r="IY85"/>
      <c r="IZ85"/>
      <c r="JA85"/>
      <c r="JB85"/>
      <c r="JC85"/>
      <c r="JD85"/>
      <c r="JE85"/>
      <c r="JF85"/>
      <c r="JG85"/>
      <c r="JH85"/>
      <c r="JI85"/>
      <c r="JJ85"/>
      <c r="JK85"/>
      <c r="JL85"/>
      <c r="JM85"/>
      <c r="JN85"/>
      <c r="JO85"/>
      <c r="JP85"/>
      <c r="JQ85"/>
      <c r="JR85"/>
      <c r="JS85"/>
      <c r="JT85"/>
      <c r="JU85"/>
      <c r="JV85"/>
      <c r="JW85"/>
      <c r="JX85"/>
      <c r="JY85"/>
      <c r="JZ85"/>
      <c r="KA85"/>
      <c r="KB85"/>
      <c r="KC85"/>
      <c r="KD85"/>
      <c r="KE85"/>
      <c r="KF85"/>
      <c r="KG85"/>
      <c r="KH85"/>
      <c r="KI85"/>
      <c r="KJ85"/>
      <c r="KK85"/>
      <c r="KL85"/>
      <c r="KM85"/>
      <c r="KN85"/>
      <c r="KO85"/>
      <c r="KP85"/>
      <c r="KQ85"/>
      <c r="KR85"/>
      <c r="KS85"/>
      <c r="KT85"/>
      <c r="KU85"/>
      <c r="KV85"/>
      <c r="KW85"/>
      <c r="KX85"/>
      <c r="KY85"/>
      <c r="KZ85"/>
      <c r="LA85"/>
      <c r="LB85"/>
      <c r="LC85"/>
      <c r="LD85"/>
      <c r="LE85"/>
      <c r="LF85"/>
      <c r="LG85"/>
      <c r="LH85"/>
      <c r="LI85"/>
      <c r="LJ85"/>
      <c r="LK85"/>
      <c r="LL85"/>
      <c r="LM85"/>
      <c r="LN85"/>
      <c r="LO85"/>
      <c r="LP85"/>
      <c r="LQ85"/>
      <c r="LR85"/>
      <c r="LS85"/>
      <c r="LT85"/>
      <c r="LU85"/>
      <c r="LV85"/>
      <c r="LW85"/>
      <c r="LX85"/>
      <c r="LY85"/>
      <c r="LZ85"/>
      <c r="MA85"/>
      <c r="MB85"/>
      <c r="MC85"/>
      <c r="MD85"/>
      <c r="ME85"/>
      <c r="MF85"/>
      <c r="MG85"/>
      <c r="MH85"/>
      <c r="MI85"/>
      <c r="MJ85"/>
      <c r="MK85"/>
      <c r="ML85"/>
      <c r="MM85"/>
      <c r="MN85"/>
      <c r="MO85"/>
      <c r="MP85"/>
      <c r="MQ85"/>
      <c r="MR85"/>
      <c r="MS85"/>
      <c r="MT85"/>
      <c r="MU85"/>
      <c r="MV85"/>
      <c r="MW85"/>
      <c r="MX85"/>
      <c r="MY85"/>
      <c r="MZ85"/>
      <c r="NA85"/>
      <c r="NB85"/>
      <c r="NC85"/>
      <c r="ND85"/>
      <c r="NE85"/>
      <c r="NF85"/>
      <c r="NG85"/>
      <c r="NH85"/>
      <c r="NI85"/>
      <c r="NJ85"/>
      <c r="NK85"/>
      <c r="NL85"/>
      <c r="NM85"/>
      <c r="NN85"/>
      <c r="NO85"/>
      <c r="NP85"/>
      <c r="NQ85"/>
      <c r="NR85"/>
      <c r="NS85"/>
      <c r="NT85"/>
      <c r="NU85"/>
      <c r="NV85"/>
      <c r="NW85"/>
      <c r="NX85"/>
      <c r="NY85"/>
      <c r="NZ85"/>
      <c r="OA85"/>
      <c r="OB85"/>
      <c r="OC85"/>
      <c r="OD85"/>
      <c r="OE85"/>
      <c r="OF85"/>
      <c r="OG85"/>
      <c r="OH85"/>
      <c r="OI85"/>
      <c r="OJ85"/>
      <c r="OK85"/>
      <c r="OL85"/>
      <c r="OM85"/>
      <c r="ON85"/>
      <c r="OO85"/>
      <c r="OP85"/>
      <c r="OQ85"/>
      <c r="OR85"/>
      <c r="OS85"/>
      <c r="OT85"/>
      <c r="OU85"/>
      <c r="OV85"/>
      <c r="OW85"/>
      <c r="OX85"/>
      <c r="OY85"/>
      <c r="OZ85"/>
      <c r="PA85"/>
      <c r="PB85"/>
      <c r="PC85"/>
      <c r="PD85"/>
      <c r="PE85"/>
      <c r="PF85"/>
      <c r="PG85"/>
      <c r="PH85"/>
      <c r="PI85"/>
      <c r="PJ85"/>
      <c r="PK85"/>
      <c r="PL85"/>
      <c r="PM85"/>
      <c r="PN85"/>
      <c r="PO85"/>
      <c r="PP85"/>
      <c r="PQ85"/>
      <c r="PR85"/>
      <c r="PS85"/>
      <c r="PT85"/>
      <c r="PU85"/>
      <c r="PV85"/>
      <c r="PW85"/>
      <c r="PX85"/>
      <c r="PY85"/>
      <c r="PZ85"/>
      <c r="QA85"/>
      <c r="QB85"/>
      <c r="QC85"/>
      <c r="QD85"/>
      <c r="QE85"/>
      <c r="QF85"/>
      <c r="QG85"/>
      <c r="QH85"/>
      <c r="QI85"/>
      <c r="QJ85"/>
      <c r="QK85"/>
      <c r="QL85"/>
      <c r="QM85"/>
      <c r="QN85"/>
      <c r="QO85"/>
      <c r="QP85"/>
      <c r="QQ85"/>
      <c r="QR85"/>
      <c r="QS85"/>
      <c r="QT85"/>
      <c r="QU85"/>
      <c r="QV85"/>
      <c r="QW85"/>
      <c r="QX85"/>
    </row>
    <row r="86" spans="1:466" x14ac:dyDescent="0.35">
      <c r="A86" s="53"/>
      <c r="B86" s="53"/>
      <c r="C86" s="55"/>
      <c r="D86" s="53"/>
      <c r="E86" s="53"/>
      <c r="F86" s="126" t="s">
        <v>144</v>
      </c>
      <c r="G86" s="125">
        <v>2.9</v>
      </c>
      <c r="H86" s="125">
        <v>408.9</v>
      </c>
      <c r="I86" s="133">
        <v>141</v>
      </c>
      <c r="J86" s="53"/>
      <c r="K86" s="58">
        <v>45552</v>
      </c>
      <c r="L86" s="59" t="str">
        <f>IFERROR(VLOOKUP($A$2,Stok!$B$1:$AK$446,36,0),"")</f>
        <v/>
      </c>
      <c r="M86" s="53"/>
      <c r="N86" s="53"/>
      <c r="O86" s="53"/>
      <c r="P86" s="53"/>
      <c r="Q86" s="53"/>
      <c r="R86" s="53"/>
      <c r="S86" s="53"/>
      <c r="T86" s="53"/>
      <c r="U86" s="53"/>
      <c r="V86" s="53"/>
      <c r="W86" s="53"/>
      <c r="X86" s="53"/>
      <c r="Y86" s="53"/>
      <c r="Z86" s="53"/>
      <c r="AA86" s="53"/>
      <c r="AB86" s="53"/>
      <c r="AC86" s="53"/>
      <c r="AD86" s="53"/>
      <c r="AE86" s="53"/>
      <c r="AF86" s="63"/>
      <c r="AG86" s="64"/>
      <c r="AH86" s="65"/>
      <c r="AI86" s="65"/>
      <c r="AJ86" s="53"/>
      <c r="AK86" s="62"/>
      <c r="AL86" s="62"/>
      <c r="AM86" s="62"/>
      <c r="AN86" s="62"/>
      <c r="AO86" s="62"/>
      <c r="AP86" s="62"/>
      <c r="AQ86" s="62"/>
      <c r="AR86" s="62"/>
      <c r="AS86" s="62"/>
      <c r="AT86" s="62"/>
      <c r="AU86" s="62"/>
      <c r="AV86" s="62"/>
      <c r="AW86" s="62"/>
      <c r="AX86" s="62"/>
      <c r="AY86" s="62"/>
      <c r="AZ86" s="62"/>
      <c r="BA86" s="62"/>
      <c r="BB86" s="62"/>
      <c r="BC86" s="62"/>
      <c r="BD86" s="62"/>
      <c r="BE86" s="62"/>
      <c r="BF86" s="62"/>
      <c r="BG86" s="62"/>
      <c r="BH86" s="62"/>
      <c r="BI86" s="62"/>
      <c r="BJ86" s="62"/>
      <c r="BK86" s="62"/>
      <c r="BL86" s="62"/>
      <c r="BM86" s="62"/>
      <c r="BN86" s="62"/>
      <c r="BO86" s="62"/>
      <c r="BP86" s="62"/>
      <c r="BQ86" s="62"/>
      <c r="BR86" s="62"/>
      <c r="BS86" s="62"/>
      <c r="BT86" s="62"/>
      <c r="BU86" s="62"/>
      <c r="BV86" s="62"/>
      <c r="BW86" s="62"/>
      <c r="BX86" s="62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  <c r="IW86"/>
      <c r="IX86"/>
      <c r="IY86"/>
      <c r="IZ86"/>
      <c r="JA86"/>
      <c r="JB86"/>
      <c r="JC86"/>
      <c r="JD86"/>
      <c r="JE86"/>
      <c r="JF86"/>
      <c r="JG86"/>
      <c r="JH86"/>
      <c r="JI86"/>
      <c r="JJ86"/>
      <c r="JK86"/>
      <c r="JL86"/>
      <c r="JM86"/>
      <c r="JN86"/>
      <c r="JO86"/>
      <c r="JP86"/>
      <c r="JQ86"/>
      <c r="JR86"/>
      <c r="JS86"/>
      <c r="JT86"/>
      <c r="JU86"/>
      <c r="JV86"/>
      <c r="JW86"/>
      <c r="JX86"/>
      <c r="JY86"/>
      <c r="JZ86"/>
      <c r="KA86"/>
      <c r="KB86"/>
      <c r="KC86"/>
      <c r="KD86"/>
      <c r="KE86"/>
      <c r="KF86"/>
      <c r="KG86"/>
      <c r="KH86"/>
      <c r="KI86"/>
      <c r="KJ86"/>
      <c r="KK86"/>
      <c r="KL86"/>
      <c r="KM86"/>
      <c r="KN86"/>
      <c r="KO86"/>
      <c r="KP86"/>
      <c r="KQ86"/>
      <c r="KR86"/>
      <c r="KS86"/>
      <c r="KT86"/>
      <c r="KU86"/>
      <c r="KV86"/>
      <c r="KW86"/>
      <c r="KX86"/>
      <c r="KY86"/>
      <c r="KZ86"/>
      <c r="LA86"/>
      <c r="LB86"/>
      <c r="LC86"/>
      <c r="LD86"/>
      <c r="LE86"/>
      <c r="LF86"/>
      <c r="LG86"/>
      <c r="LH86"/>
      <c r="LI86"/>
      <c r="LJ86"/>
      <c r="LK86"/>
      <c r="LL86"/>
      <c r="LM86"/>
      <c r="LN86"/>
      <c r="LO86"/>
      <c r="LP86"/>
      <c r="LQ86"/>
      <c r="LR86"/>
      <c r="LS86"/>
      <c r="LT86"/>
      <c r="LU86"/>
      <c r="LV86"/>
      <c r="LW86"/>
      <c r="LX86"/>
      <c r="LY86"/>
      <c r="LZ86"/>
      <c r="MA86"/>
      <c r="MB86"/>
      <c r="MC86"/>
      <c r="MD86"/>
      <c r="ME86"/>
      <c r="MF86"/>
      <c r="MG86"/>
      <c r="MH86"/>
      <c r="MI86"/>
      <c r="MJ86"/>
      <c r="MK86"/>
      <c r="ML86"/>
      <c r="MM86"/>
      <c r="MN86"/>
      <c r="MO86"/>
      <c r="MP86"/>
      <c r="MQ86"/>
      <c r="MR86"/>
      <c r="MS86"/>
      <c r="MT86"/>
      <c r="MU86"/>
      <c r="MV86"/>
      <c r="MW86"/>
      <c r="MX86"/>
      <c r="MY86"/>
      <c r="MZ86"/>
      <c r="NA86"/>
      <c r="NB86"/>
      <c r="NC86"/>
      <c r="ND86"/>
      <c r="NE86"/>
      <c r="NF86"/>
      <c r="NG86"/>
      <c r="NH86"/>
      <c r="NI86"/>
      <c r="NJ86"/>
      <c r="NK86"/>
      <c r="NL86"/>
      <c r="NM86"/>
      <c r="NN86"/>
      <c r="NO86"/>
      <c r="NP86"/>
      <c r="NQ86"/>
      <c r="NR86"/>
      <c r="NS86"/>
      <c r="NT86"/>
      <c r="NU86"/>
      <c r="NV86"/>
      <c r="NW86"/>
      <c r="NX86"/>
      <c r="NY86"/>
      <c r="NZ86"/>
      <c r="OA86"/>
      <c r="OB86"/>
      <c r="OC86"/>
      <c r="OD86"/>
      <c r="OE86"/>
      <c r="OF86"/>
      <c r="OG86"/>
      <c r="OH86"/>
      <c r="OI86"/>
      <c r="OJ86"/>
      <c r="OK86"/>
      <c r="OL86"/>
      <c r="OM86"/>
      <c r="ON86"/>
      <c r="OO86"/>
      <c r="OP86"/>
      <c r="OQ86"/>
      <c r="OR86"/>
      <c r="OS86"/>
      <c r="OT86"/>
      <c r="OU86"/>
      <c r="OV86"/>
      <c r="OW86"/>
      <c r="OX86"/>
      <c r="OY86"/>
      <c r="OZ86"/>
      <c r="PA86"/>
      <c r="PB86"/>
      <c r="PC86"/>
      <c r="PD86"/>
      <c r="PE86"/>
      <c r="PF86"/>
      <c r="PG86"/>
      <c r="PH86"/>
      <c r="PI86"/>
      <c r="PJ86"/>
      <c r="PK86"/>
      <c r="PL86"/>
      <c r="PM86"/>
      <c r="PN86"/>
      <c r="PO86"/>
      <c r="PP86"/>
      <c r="PQ86"/>
      <c r="PR86"/>
      <c r="PS86"/>
      <c r="PT86"/>
      <c r="PU86"/>
      <c r="PV86"/>
      <c r="PW86"/>
      <c r="PX86"/>
      <c r="PY86"/>
      <c r="PZ86"/>
      <c r="QA86"/>
      <c r="QB86"/>
      <c r="QC86"/>
      <c r="QD86"/>
      <c r="QE86"/>
      <c r="QF86"/>
      <c r="QG86"/>
      <c r="QH86"/>
      <c r="QI86"/>
      <c r="QJ86"/>
      <c r="QK86"/>
      <c r="QL86"/>
      <c r="QM86"/>
      <c r="QN86"/>
      <c r="QO86"/>
      <c r="QP86"/>
      <c r="QQ86"/>
      <c r="QR86"/>
      <c r="QS86"/>
      <c r="QT86"/>
      <c r="QU86"/>
      <c r="QV86"/>
      <c r="QW86"/>
      <c r="QX86"/>
    </row>
    <row r="87" spans="1:466" x14ac:dyDescent="0.35">
      <c r="A87" s="53"/>
      <c r="B87" s="53"/>
      <c r="C87" s="55"/>
      <c r="D87" s="53"/>
      <c r="E87" s="53"/>
      <c r="F87" s="126" t="s">
        <v>146</v>
      </c>
      <c r="G87" s="125">
        <v>3.9</v>
      </c>
      <c r="H87" s="125">
        <v>113.1</v>
      </c>
      <c r="I87" s="133">
        <v>29</v>
      </c>
      <c r="J87" s="53"/>
      <c r="K87" s="58">
        <v>45539</v>
      </c>
      <c r="L87" s="59" t="str">
        <f>IFERROR(VLOOKUP($A$2,Stok!$B$1:$AJ$446,35,0),"")</f>
        <v/>
      </c>
      <c r="M87" s="53"/>
      <c r="N87" s="53"/>
      <c r="O87" s="53"/>
      <c r="P87" s="53"/>
      <c r="Q87" s="53"/>
      <c r="R87" s="53"/>
      <c r="S87" s="53"/>
      <c r="T87" s="53"/>
      <c r="U87" s="53"/>
      <c r="V87" s="53"/>
      <c r="W87" s="53"/>
      <c r="X87" s="53"/>
      <c r="Y87" s="53"/>
      <c r="Z87" s="53"/>
      <c r="AA87" s="53"/>
      <c r="AB87" s="53"/>
      <c r="AC87" s="53"/>
      <c r="AD87" s="53"/>
      <c r="AE87" s="53"/>
      <c r="AF87" s="63"/>
      <c r="AG87" s="64"/>
      <c r="AH87" s="65"/>
      <c r="AI87" s="65"/>
      <c r="AJ87" s="53"/>
      <c r="AK87" s="62"/>
      <c r="AL87" s="62"/>
      <c r="AM87" s="62"/>
      <c r="AN87" s="62"/>
      <c r="AO87" s="62"/>
      <c r="AP87" s="62"/>
      <c r="AQ87" s="62"/>
      <c r="AR87" s="62"/>
      <c r="AS87" s="62"/>
      <c r="AT87" s="62"/>
      <c r="AU87" s="62"/>
      <c r="AV87" s="62"/>
      <c r="AW87" s="62"/>
      <c r="AX87" s="62"/>
      <c r="AY87" s="62"/>
      <c r="AZ87" s="62"/>
      <c r="BA87" s="62"/>
      <c r="BB87" s="62"/>
      <c r="BC87" s="62"/>
      <c r="BD87" s="62"/>
      <c r="BE87" s="62"/>
      <c r="BF87" s="62"/>
      <c r="BG87" s="62"/>
      <c r="BH87" s="62"/>
      <c r="BI87" s="62"/>
      <c r="BJ87" s="62"/>
      <c r="BK87" s="62"/>
      <c r="BL87" s="62"/>
      <c r="BM87" s="62"/>
      <c r="BN87" s="62"/>
      <c r="BO87" s="62"/>
      <c r="BP87" s="62"/>
      <c r="BQ87" s="62"/>
      <c r="BR87" s="62"/>
      <c r="BS87" s="62"/>
      <c r="BT87" s="62"/>
      <c r="BU87" s="62"/>
      <c r="BV87" s="62"/>
      <c r="BW87" s="62"/>
      <c r="BX87" s="62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  <c r="IS87"/>
      <c r="IT87"/>
      <c r="IU87"/>
      <c r="IV87"/>
      <c r="IW87"/>
      <c r="IX87"/>
      <c r="IY87"/>
      <c r="IZ87"/>
      <c r="JA87"/>
      <c r="JB87"/>
      <c r="JC87"/>
      <c r="JD87"/>
      <c r="JE87"/>
      <c r="JF87"/>
      <c r="JG87"/>
      <c r="JH87"/>
      <c r="JI87"/>
      <c r="JJ87"/>
      <c r="JK87"/>
      <c r="JL87"/>
      <c r="JM87"/>
      <c r="JN87"/>
      <c r="JO87"/>
      <c r="JP87"/>
      <c r="JQ87"/>
      <c r="JR87"/>
      <c r="JS87"/>
      <c r="JT87"/>
      <c r="JU87"/>
      <c r="JV87"/>
      <c r="JW87"/>
      <c r="JX87"/>
      <c r="JY87"/>
      <c r="JZ87"/>
      <c r="KA87"/>
      <c r="KB87"/>
      <c r="KC87"/>
      <c r="KD87"/>
      <c r="KE87"/>
      <c r="KF87"/>
      <c r="KG87"/>
      <c r="KH87"/>
      <c r="KI87"/>
      <c r="KJ87"/>
      <c r="KK87"/>
      <c r="KL87"/>
      <c r="KM87"/>
      <c r="KN87"/>
      <c r="KO87"/>
      <c r="KP87"/>
      <c r="KQ87"/>
      <c r="KR87"/>
      <c r="KS87"/>
      <c r="KT87"/>
      <c r="KU87"/>
      <c r="KV87"/>
      <c r="KW87"/>
      <c r="KX87"/>
      <c r="KY87"/>
      <c r="KZ87"/>
      <c r="LA87"/>
      <c r="LB87"/>
      <c r="LC87"/>
      <c r="LD87"/>
      <c r="LE87"/>
      <c r="LF87"/>
      <c r="LG87"/>
      <c r="LH87"/>
      <c r="LI87"/>
      <c r="LJ87"/>
      <c r="LK87"/>
      <c r="LL87"/>
      <c r="LM87"/>
      <c r="LN87"/>
      <c r="LO87"/>
      <c r="LP87"/>
      <c r="LQ87"/>
      <c r="LR87"/>
      <c r="LS87"/>
      <c r="LT87"/>
      <c r="LU87"/>
      <c r="LV87"/>
      <c r="LW87"/>
      <c r="LX87"/>
      <c r="LY87"/>
      <c r="LZ87"/>
      <c r="MA87"/>
      <c r="MB87"/>
      <c r="MC87"/>
      <c r="MD87"/>
      <c r="ME87"/>
      <c r="MF87"/>
      <c r="MG87"/>
      <c r="MH87"/>
      <c r="MI87"/>
      <c r="MJ87"/>
      <c r="MK87"/>
      <c r="ML87"/>
      <c r="MM87"/>
      <c r="MN87"/>
      <c r="MO87"/>
      <c r="MP87"/>
      <c r="MQ87"/>
      <c r="MR87"/>
      <c r="MS87"/>
      <c r="MT87"/>
      <c r="MU87"/>
      <c r="MV87"/>
      <c r="MW87"/>
      <c r="MX87"/>
      <c r="MY87"/>
      <c r="MZ87"/>
      <c r="NA87"/>
      <c r="NB87"/>
      <c r="NC87"/>
      <c r="ND87"/>
      <c r="NE87"/>
      <c r="NF87"/>
      <c r="NG87"/>
      <c r="NH87"/>
      <c r="NI87"/>
      <c r="NJ87"/>
      <c r="NK87"/>
      <c r="NL87"/>
      <c r="NM87"/>
      <c r="NN87"/>
      <c r="NO87"/>
      <c r="NP87"/>
      <c r="NQ87"/>
      <c r="NR87"/>
      <c r="NS87"/>
      <c r="NT87"/>
      <c r="NU87"/>
      <c r="NV87"/>
      <c r="NW87"/>
      <c r="NX87"/>
      <c r="NY87"/>
      <c r="NZ87"/>
      <c r="OA87"/>
      <c r="OB87"/>
      <c r="OC87"/>
      <c r="OD87"/>
      <c r="OE87"/>
      <c r="OF87"/>
      <c r="OG87"/>
      <c r="OH87"/>
      <c r="OI87"/>
      <c r="OJ87"/>
      <c r="OK87"/>
      <c r="OL87"/>
      <c r="OM87"/>
      <c r="ON87"/>
      <c r="OO87"/>
      <c r="OP87"/>
      <c r="OQ87"/>
      <c r="OR87"/>
      <c r="OS87"/>
      <c r="OT87"/>
      <c r="OU87"/>
      <c r="OV87"/>
      <c r="OW87"/>
      <c r="OX87"/>
      <c r="OY87"/>
      <c r="OZ87"/>
      <c r="PA87"/>
      <c r="PB87"/>
      <c r="PC87"/>
      <c r="PD87"/>
      <c r="PE87"/>
      <c r="PF87"/>
      <c r="PG87"/>
      <c r="PH87"/>
      <c r="PI87"/>
      <c r="PJ87"/>
      <c r="PK87"/>
      <c r="PL87"/>
      <c r="PM87"/>
      <c r="PN87"/>
      <c r="PO87"/>
      <c r="PP87"/>
      <c r="PQ87"/>
      <c r="PR87"/>
      <c r="PS87"/>
      <c r="PT87"/>
      <c r="PU87"/>
      <c r="PV87"/>
      <c r="PW87"/>
      <c r="PX87"/>
      <c r="PY87"/>
      <c r="PZ87"/>
      <c r="QA87"/>
      <c r="QB87"/>
      <c r="QC87"/>
      <c r="QD87"/>
      <c r="QE87"/>
      <c r="QF87"/>
      <c r="QG87"/>
      <c r="QH87"/>
      <c r="QI87"/>
      <c r="QJ87"/>
      <c r="QK87"/>
      <c r="QL87"/>
      <c r="QM87"/>
      <c r="QN87"/>
      <c r="QO87"/>
      <c r="QP87"/>
      <c r="QQ87"/>
      <c r="QR87"/>
      <c r="QS87"/>
      <c r="QT87"/>
      <c r="QU87"/>
      <c r="QV87"/>
      <c r="QW87"/>
      <c r="QX87"/>
    </row>
    <row r="88" spans="1:466" x14ac:dyDescent="0.35">
      <c r="A88" s="53"/>
      <c r="B88" s="53"/>
      <c r="C88" s="55"/>
      <c r="D88" s="53"/>
      <c r="E88" s="53"/>
      <c r="F88" s="126" t="s">
        <v>1475</v>
      </c>
      <c r="G88" s="125">
        <v>6</v>
      </c>
      <c r="H88" s="125">
        <v>0</v>
      </c>
      <c r="I88" s="133">
        <v>0</v>
      </c>
      <c r="J88" s="53"/>
      <c r="K88" s="58">
        <v>45524</v>
      </c>
      <c r="L88" s="59" t="str">
        <f>IFERROR(VLOOKUP($A$2,Stok!$B$1:$AI$446,34,0),"")</f>
        <v/>
      </c>
      <c r="M88" s="53"/>
      <c r="N88" s="53"/>
      <c r="O88" s="53"/>
      <c r="P88" s="53"/>
      <c r="Q88" s="53"/>
      <c r="R88" s="53"/>
      <c r="S88" s="53"/>
      <c r="T88" s="53"/>
      <c r="U88" s="53"/>
      <c r="V88" s="53"/>
      <c r="W88" s="53"/>
      <c r="X88" s="53"/>
      <c r="Y88" s="53"/>
      <c r="Z88" s="53"/>
      <c r="AA88" s="53"/>
      <c r="AB88" s="53"/>
      <c r="AC88" s="53"/>
      <c r="AD88" s="53"/>
      <c r="AE88" s="53"/>
      <c r="AF88" s="63"/>
      <c r="AG88" s="64"/>
      <c r="AH88" s="65"/>
      <c r="AI88" s="65"/>
      <c r="AJ88" s="53"/>
      <c r="AK88" s="62"/>
      <c r="AL88" s="62"/>
      <c r="AM88" s="62"/>
      <c r="AN88" s="62"/>
      <c r="AO88" s="62"/>
      <c r="AP88" s="62"/>
      <c r="AQ88" s="62"/>
      <c r="AR88" s="62"/>
      <c r="AS88" s="62"/>
      <c r="AT88" s="62"/>
      <c r="AU88" s="62"/>
      <c r="AV88" s="62"/>
      <c r="AW88" s="62"/>
      <c r="AX88" s="62"/>
      <c r="AY88" s="62"/>
      <c r="AZ88" s="62"/>
      <c r="BA88" s="62"/>
      <c r="BB88" s="62"/>
      <c r="BC88" s="62"/>
      <c r="BD88" s="62"/>
      <c r="BE88" s="62"/>
      <c r="BF88" s="62"/>
      <c r="BG88" s="62"/>
      <c r="BH88" s="62"/>
      <c r="BI88" s="62"/>
      <c r="BJ88" s="62"/>
      <c r="BK88" s="62"/>
      <c r="BL88" s="62"/>
      <c r="BM88" s="62"/>
      <c r="BN88" s="62"/>
      <c r="BO88" s="62"/>
      <c r="BP88" s="62"/>
      <c r="BQ88" s="62"/>
      <c r="BR88" s="62"/>
      <c r="BS88" s="62"/>
      <c r="BT88" s="62"/>
      <c r="BU88" s="62"/>
      <c r="BV88" s="62"/>
      <c r="BW88" s="62"/>
      <c r="BX88" s="62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  <c r="IP88"/>
      <c r="IQ88"/>
      <c r="IR88"/>
      <c r="IS88"/>
      <c r="IT88"/>
      <c r="IU88"/>
      <c r="IV88"/>
      <c r="IW88"/>
      <c r="IX88"/>
      <c r="IY88"/>
      <c r="IZ88"/>
      <c r="JA88"/>
      <c r="JB88"/>
      <c r="JC88"/>
      <c r="JD88"/>
      <c r="JE88"/>
      <c r="JF88"/>
      <c r="JG88"/>
      <c r="JH88"/>
      <c r="JI88"/>
      <c r="JJ88"/>
      <c r="JK88"/>
      <c r="JL88"/>
      <c r="JM88"/>
      <c r="JN88"/>
      <c r="JO88"/>
      <c r="JP88"/>
      <c r="JQ88"/>
      <c r="JR88"/>
      <c r="JS88"/>
      <c r="JT88"/>
      <c r="JU88"/>
      <c r="JV88"/>
      <c r="JW88"/>
      <c r="JX88"/>
      <c r="JY88"/>
      <c r="JZ88"/>
      <c r="KA88"/>
      <c r="KB88"/>
      <c r="KC88"/>
      <c r="KD88"/>
      <c r="KE88"/>
      <c r="KF88"/>
      <c r="KG88"/>
      <c r="KH88"/>
      <c r="KI88"/>
      <c r="KJ88"/>
      <c r="KK88"/>
      <c r="KL88"/>
      <c r="KM88"/>
      <c r="KN88"/>
      <c r="KO88"/>
      <c r="KP88"/>
      <c r="KQ88"/>
      <c r="KR88"/>
      <c r="KS88"/>
      <c r="KT88"/>
      <c r="KU88"/>
      <c r="KV88"/>
      <c r="KW88"/>
      <c r="KX88"/>
      <c r="KY88"/>
      <c r="KZ88"/>
      <c r="LA88"/>
      <c r="LB88"/>
      <c r="LC88"/>
      <c r="LD88"/>
      <c r="LE88"/>
      <c r="LF88"/>
      <c r="LG88"/>
      <c r="LH88"/>
      <c r="LI88"/>
      <c r="LJ88"/>
      <c r="LK88"/>
      <c r="LL88"/>
      <c r="LM88"/>
      <c r="LN88"/>
      <c r="LO88"/>
      <c r="LP88"/>
      <c r="LQ88"/>
      <c r="LR88"/>
      <c r="LS88"/>
      <c r="LT88"/>
      <c r="LU88"/>
      <c r="LV88"/>
      <c r="LW88"/>
      <c r="LX88"/>
      <c r="LY88"/>
      <c r="LZ88"/>
      <c r="MA88"/>
      <c r="MB88"/>
      <c r="MC88"/>
      <c r="MD88"/>
      <c r="ME88"/>
      <c r="MF88"/>
      <c r="MG88"/>
      <c r="MH88"/>
      <c r="MI88"/>
      <c r="MJ88"/>
      <c r="MK88"/>
      <c r="ML88"/>
      <c r="MM88"/>
      <c r="MN88"/>
      <c r="MO88"/>
      <c r="MP88"/>
      <c r="MQ88"/>
      <c r="MR88"/>
      <c r="MS88"/>
      <c r="MT88"/>
      <c r="MU88"/>
      <c r="MV88"/>
      <c r="MW88"/>
      <c r="MX88"/>
      <c r="MY88"/>
      <c r="MZ88"/>
      <c r="NA88"/>
      <c r="NB88"/>
      <c r="NC88"/>
      <c r="ND88"/>
      <c r="NE88"/>
      <c r="NF88"/>
      <c r="NG88"/>
      <c r="NH88"/>
      <c r="NI88"/>
      <c r="NJ88"/>
      <c r="NK88"/>
      <c r="NL88"/>
      <c r="NM88"/>
      <c r="NN88"/>
      <c r="NO88"/>
      <c r="NP88"/>
      <c r="NQ88"/>
      <c r="NR88"/>
      <c r="NS88"/>
      <c r="NT88"/>
      <c r="NU88"/>
      <c r="NV88"/>
      <c r="NW88"/>
      <c r="NX88"/>
      <c r="NY88"/>
      <c r="NZ88"/>
      <c r="OA88"/>
      <c r="OB88"/>
      <c r="OC88"/>
      <c r="OD88"/>
      <c r="OE88"/>
      <c r="OF88"/>
      <c r="OG88"/>
      <c r="OH88"/>
      <c r="OI88"/>
      <c r="OJ88"/>
      <c r="OK88"/>
      <c r="OL88"/>
      <c r="OM88"/>
      <c r="ON88"/>
      <c r="OO88"/>
      <c r="OP88"/>
      <c r="OQ88"/>
      <c r="OR88"/>
      <c r="OS88"/>
      <c r="OT88"/>
      <c r="OU88"/>
      <c r="OV88"/>
      <c r="OW88"/>
      <c r="OX88"/>
      <c r="OY88"/>
      <c r="OZ88"/>
      <c r="PA88"/>
      <c r="PB88"/>
      <c r="PC88"/>
      <c r="PD88"/>
      <c r="PE88"/>
      <c r="PF88"/>
      <c r="PG88"/>
      <c r="PH88"/>
      <c r="PI88"/>
      <c r="PJ88"/>
      <c r="PK88"/>
      <c r="PL88"/>
      <c r="PM88"/>
      <c r="PN88"/>
      <c r="PO88"/>
      <c r="PP88"/>
      <c r="PQ88"/>
      <c r="PR88"/>
      <c r="PS88"/>
      <c r="PT88"/>
      <c r="PU88"/>
      <c r="PV88"/>
      <c r="PW88"/>
      <c r="PX88"/>
      <c r="PY88"/>
      <c r="PZ88"/>
      <c r="QA88"/>
      <c r="QB88"/>
      <c r="QC88"/>
      <c r="QD88"/>
      <c r="QE88"/>
      <c r="QF88"/>
      <c r="QG88"/>
      <c r="QH88"/>
      <c r="QI88"/>
      <c r="QJ88"/>
      <c r="QK88"/>
      <c r="QL88"/>
      <c r="QM88"/>
      <c r="QN88"/>
      <c r="QO88"/>
      <c r="QP88"/>
      <c r="QQ88"/>
      <c r="QR88"/>
      <c r="QS88"/>
      <c r="QT88"/>
      <c r="QU88"/>
      <c r="QV88"/>
      <c r="QW88"/>
      <c r="QX88"/>
    </row>
    <row r="89" spans="1:466" x14ac:dyDescent="0.35">
      <c r="A89" s="53"/>
      <c r="B89" s="53"/>
      <c r="C89" s="55"/>
      <c r="D89" s="53"/>
      <c r="E89" s="53"/>
      <c r="F89" s="126" t="s">
        <v>1476</v>
      </c>
      <c r="G89" s="125">
        <v>6.15</v>
      </c>
      <c r="H89" s="125">
        <v>0</v>
      </c>
      <c r="I89" s="133">
        <v>0</v>
      </c>
      <c r="J89" s="53"/>
      <c r="K89" s="58">
        <v>45511</v>
      </c>
      <c r="L89" s="59" t="str">
        <f>IFERROR(VLOOKUP($A$2,Stok!$B$1:$AH$446,33,0),"")</f>
        <v/>
      </c>
      <c r="M89" s="53"/>
      <c r="N89" s="53"/>
      <c r="O89" s="53"/>
      <c r="P89" s="53"/>
      <c r="Q89" s="53"/>
      <c r="R89" s="53"/>
      <c r="S89" s="53"/>
      <c r="T89" s="53"/>
      <c r="U89" s="53"/>
      <c r="V89" s="53"/>
      <c r="W89" s="53"/>
      <c r="X89" s="53"/>
      <c r="Y89" s="53"/>
      <c r="Z89" s="53"/>
      <c r="AA89" s="53"/>
      <c r="AB89" s="53"/>
      <c r="AC89" s="53"/>
      <c r="AD89" s="53"/>
      <c r="AE89" s="53"/>
      <c r="AF89" s="63"/>
      <c r="AG89" s="64"/>
      <c r="AH89" s="65"/>
      <c r="AI89" s="65"/>
      <c r="AJ89" s="53"/>
      <c r="AK89" s="62"/>
      <c r="AL89" s="62"/>
      <c r="AM89" s="62"/>
      <c r="AN89" s="62"/>
      <c r="AO89" s="62"/>
      <c r="AP89" s="62"/>
      <c r="AQ89" s="62"/>
      <c r="AR89" s="62"/>
      <c r="AS89" s="62"/>
      <c r="AT89" s="62"/>
      <c r="AU89" s="62"/>
      <c r="AV89" s="62"/>
      <c r="AW89" s="62"/>
      <c r="AX89" s="62"/>
      <c r="AY89" s="62"/>
      <c r="AZ89" s="62"/>
      <c r="BA89" s="62"/>
      <c r="BB89" s="62"/>
      <c r="BC89" s="62"/>
      <c r="BD89" s="62"/>
      <c r="BE89" s="62"/>
      <c r="BF89" s="62"/>
      <c r="BG89" s="62"/>
      <c r="BH89" s="62"/>
      <c r="BI89" s="62"/>
      <c r="BJ89" s="62"/>
      <c r="BK89" s="62"/>
      <c r="BL89" s="62"/>
      <c r="BM89" s="62"/>
      <c r="BN89" s="62"/>
      <c r="BO89" s="62"/>
      <c r="BP89" s="62"/>
      <c r="BQ89" s="62"/>
      <c r="BR89" s="62"/>
      <c r="BS89" s="62"/>
      <c r="BT89" s="62"/>
      <c r="BU89" s="62"/>
      <c r="BV89" s="62"/>
      <c r="BW89" s="62"/>
      <c r="BX89" s="62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  <c r="IS89"/>
      <c r="IT89"/>
      <c r="IU89"/>
      <c r="IV89"/>
      <c r="IW89"/>
      <c r="IX89"/>
      <c r="IY89"/>
      <c r="IZ89"/>
      <c r="JA89"/>
      <c r="JB89"/>
      <c r="JC89"/>
      <c r="JD89"/>
      <c r="JE89"/>
      <c r="JF89"/>
      <c r="JG89"/>
      <c r="JH89"/>
      <c r="JI89"/>
      <c r="JJ89"/>
      <c r="JK89"/>
      <c r="JL89"/>
      <c r="JM89"/>
      <c r="JN89"/>
      <c r="JO89"/>
      <c r="JP89"/>
      <c r="JQ89"/>
      <c r="JR89"/>
      <c r="JS89"/>
      <c r="JT89"/>
      <c r="JU89"/>
      <c r="JV89"/>
      <c r="JW89"/>
      <c r="JX89"/>
      <c r="JY89"/>
      <c r="JZ89"/>
      <c r="KA89"/>
      <c r="KB89"/>
      <c r="KC89"/>
      <c r="KD89"/>
      <c r="KE89"/>
      <c r="KF89"/>
      <c r="KG89"/>
      <c r="KH89"/>
      <c r="KI89"/>
      <c r="KJ89"/>
      <c r="KK89"/>
      <c r="KL89"/>
      <c r="KM89"/>
      <c r="KN89"/>
      <c r="KO89"/>
      <c r="KP89"/>
      <c r="KQ89"/>
      <c r="KR89"/>
      <c r="KS89"/>
      <c r="KT89"/>
      <c r="KU89"/>
      <c r="KV89"/>
      <c r="KW89"/>
      <c r="KX89"/>
      <c r="KY89"/>
      <c r="KZ89"/>
      <c r="LA89"/>
      <c r="LB89"/>
      <c r="LC89"/>
      <c r="LD89"/>
      <c r="LE89"/>
      <c r="LF89"/>
      <c r="LG89"/>
      <c r="LH89"/>
      <c r="LI89"/>
      <c r="LJ89"/>
      <c r="LK89"/>
      <c r="LL89"/>
      <c r="LM89"/>
      <c r="LN89"/>
      <c r="LO89"/>
      <c r="LP89"/>
      <c r="LQ89"/>
      <c r="LR89"/>
      <c r="LS89"/>
      <c r="LT89"/>
      <c r="LU89"/>
      <c r="LV89"/>
      <c r="LW89"/>
      <c r="LX89"/>
      <c r="LY89"/>
      <c r="LZ89"/>
      <c r="MA89"/>
      <c r="MB89"/>
      <c r="MC89"/>
      <c r="MD89"/>
      <c r="ME89"/>
      <c r="MF89"/>
      <c r="MG89"/>
      <c r="MH89"/>
      <c r="MI89"/>
      <c r="MJ89"/>
      <c r="MK89"/>
      <c r="ML89"/>
      <c r="MM89"/>
      <c r="MN89"/>
      <c r="MO89"/>
      <c r="MP89"/>
      <c r="MQ89"/>
      <c r="MR89"/>
      <c r="MS89"/>
      <c r="MT89"/>
      <c r="MU89"/>
      <c r="MV89"/>
      <c r="MW89"/>
      <c r="MX89"/>
      <c r="MY89"/>
      <c r="MZ89"/>
      <c r="NA89"/>
      <c r="NB89"/>
      <c r="NC89"/>
      <c r="ND89"/>
      <c r="NE89"/>
      <c r="NF89"/>
      <c r="NG89"/>
      <c r="NH89"/>
      <c r="NI89"/>
      <c r="NJ89"/>
      <c r="NK89"/>
      <c r="NL89"/>
      <c r="NM89"/>
      <c r="NN89"/>
      <c r="NO89"/>
      <c r="NP89"/>
      <c r="NQ89"/>
      <c r="NR89"/>
      <c r="NS89"/>
      <c r="NT89"/>
      <c r="NU89"/>
      <c r="NV89"/>
      <c r="NW89"/>
      <c r="NX89"/>
      <c r="NY89"/>
      <c r="NZ89"/>
      <c r="OA89"/>
      <c r="OB89"/>
      <c r="OC89"/>
      <c r="OD89"/>
      <c r="OE89"/>
      <c r="OF89"/>
      <c r="OG89"/>
      <c r="OH89"/>
      <c r="OI89"/>
      <c r="OJ89"/>
      <c r="OK89"/>
      <c r="OL89"/>
      <c r="OM89"/>
      <c r="ON89"/>
      <c r="OO89"/>
      <c r="OP89"/>
      <c r="OQ89"/>
      <c r="OR89"/>
      <c r="OS89"/>
      <c r="OT89"/>
      <c r="OU89"/>
      <c r="OV89"/>
      <c r="OW89"/>
      <c r="OX89"/>
      <c r="OY89"/>
      <c r="OZ89"/>
      <c r="PA89"/>
      <c r="PB89"/>
      <c r="PC89"/>
      <c r="PD89"/>
      <c r="PE89"/>
      <c r="PF89"/>
      <c r="PG89"/>
      <c r="PH89"/>
      <c r="PI89"/>
      <c r="PJ89"/>
      <c r="PK89"/>
      <c r="PL89"/>
      <c r="PM89"/>
      <c r="PN89"/>
      <c r="PO89"/>
      <c r="PP89"/>
      <c r="PQ89"/>
      <c r="PR89"/>
      <c r="PS89"/>
      <c r="PT89"/>
      <c r="PU89"/>
      <c r="PV89"/>
      <c r="PW89"/>
      <c r="PX89"/>
      <c r="PY89"/>
      <c r="PZ89"/>
      <c r="QA89"/>
      <c r="QB89"/>
      <c r="QC89"/>
      <c r="QD89"/>
      <c r="QE89"/>
      <c r="QF89"/>
      <c r="QG89"/>
      <c r="QH89"/>
      <c r="QI89"/>
      <c r="QJ89"/>
      <c r="QK89"/>
      <c r="QL89"/>
      <c r="QM89"/>
      <c r="QN89"/>
      <c r="QO89"/>
      <c r="QP89"/>
      <c r="QQ89"/>
      <c r="QR89"/>
      <c r="QS89"/>
      <c r="QT89"/>
      <c r="QU89"/>
      <c r="QV89"/>
      <c r="QW89"/>
      <c r="QX89"/>
    </row>
    <row r="90" spans="1:466" x14ac:dyDescent="0.35">
      <c r="A90" s="53"/>
      <c r="B90" s="53"/>
      <c r="C90" s="55"/>
      <c r="D90" s="53"/>
      <c r="E90" s="53"/>
      <c r="F90" s="126" t="s">
        <v>1477</v>
      </c>
      <c r="G90" s="125">
        <v>7.5</v>
      </c>
      <c r="H90" s="125">
        <v>0</v>
      </c>
      <c r="I90" s="133">
        <v>0</v>
      </c>
      <c r="J90" s="53"/>
      <c r="K90" s="58">
        <v>45500</v>
      </c>
      <c r="L90" s="59" t="str">
        <f>IFERROR(VLOOKUP($A$2,Stok!$B$1:$AG$446,32,0),"")</f>
        <v/>
      </c>
      <c r="M90" s="53"/>
      <c r="N90" s="53"/>
      <c r="O90" s="53"/>
      <c r="P90" s="53"/>
      <c r="Q90" s="53"/>
      <c r="R90" s="53"/>
      <c r="S90" s="53"/>
      <c r="T90" s="53"/>
      <c r="U90" s="53"/>
      <c r="V90" s="53"/>
      <c r="W90" s="53"/>
      <c r="X90" s="53"/>
      <c r="Y90" s="53"/>
      <c r="Z90" s="53"/>
      <c r="AA90" s="53"/>
      <c r="AB90" s="53"/>
      <c r="AC90" s="53"/>
      <c r="AD90" s="53"/>
      <c r="AE90" s="53"/>
      <c r="AF90" s="63"/>
      <c r="AG90" s="64"/>
      <c r="AH90" s="65"/>
      <c r="AI90" s="65"/>
      <c r="AJ90" s="53"/>
      <c r="AK90" s="62"/>
      <c r="AL90" s="62"/>
      <c r="AM90" s="62"/>
      <c r="AN90" s="62"/>
      <c r="AO90" s="62"/>
      <c r="AP90" s="62"/>
      <c r="AQ90" s="62"/>
      <c r="AR90" s="62"/>
      <c r="AS90" s="62"/>
      <c r="AT90" s="62"/>
      <c r="AU90" s="62"/>
      <c r="AV90" s="62"/>
      <c r="AW90" s="62"/>
      <c r="AX90" s="62"/>
      <c r="AY90" s="62"/>
      <c r="AZ90" s="62"/>
      <c r="BA90" s="62"/>
      <c r="BB90" s="62"/>
      <c r="BC90" s="62"/>
      <c r="BD90" s="62"/>
      <c r="BE90" s="62"/>
      <c r="BF90" s="62"/>
      <c r="BG90" s="62"/>
      <c r="BH90" s="62"/>
      <c r="BI90" s="62"/>
      <c r="BJ90" s="62"/>
      <c r="BK90" s="62"/>
      <c r="BL90" s="62"/>
      <c r="BM90" s="62"/>
      <c r="BN90" s="62"/>
      <c r="BO90" s="62"/>
      <c r="BP90" s="62"/>
      <c r="BQ90" s="62"/>
      <c r="BR90" s="62"/>
      <c r="BS90" s="62"/>
      <c r="BT90" s="62"/>
      <c r="BU90" s="62"/>
      <c r="BV90" s="62"/>
      <c r="BW90" s="62"/>
      <c r="BX90" s="62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  <c r="IS90"/>
      <c r="IT90"/>
      <c r="IU90"/>
      <c r="IV90"/>
      <c r="IW90"/>
      <c r="IX90"/>
      <c r="IY90"/>
      <c r="IZ90"/>
      <c r="JA90"/>
      <c r="JB90"/>
      <c r="JC90"/>
      <c r="JD90"/>
      <c r="JE90"/>
      <c r="JF90"/>
      <c r="JG90"/>
      <c r="JH90"/>
      <c r="JI90"/>
      <c r="JJ90"/>
      <c r="JK90"/>
      <c r="JL90"/>
      <c r="JM90"/>
      <c r="JN90"/>
      <c r="JO90"/>
      <c r="JP90"/>
      <c r="JQ90"/>
      <c r="JR90"/>
      <c r="JS90"/>
      <c r="JT90"/>
      <c r="JU90"/>
      <c r="JV90"/>
      <c r="JW90"/>
      <c r="JX90"/>
      <c r="JY90"/>
      <c r="JZ90"/>
      <c r="KA90"/>
      <c r="KB90"/>
      <c r="KC90"/>
      <c r="KD90"/>
      <c r="KE90"/>
      <c r="KF90"/>
      <c r="KG90"/>
      <c r="KH90"/>
      <c r="KI90"/>
      <c r="KJ90"/>
      <c r="KK90"/>
      <c r="KL90"/>
      <c r="KM90"/>
      <c r="KN90"/>
      <c r="KO90"/>
      <c r="KP90"/>
      <c r="KQ90"/>
      <c r="KR90"/>
      <c r="KS90"/>
      <c r="KT90"/>
      <c r="KU90"/>
      <c r="KV90"/>
      <c r="KW90"/>
      <c r="KX90"/>
      <c r="KY90"/>
      <c r="KZ90"/>
      <c r="LA90"/>
      <c r="LB90"/>
      <c r="LC90"/>
      <c r="LD90"/>
      <c r="LE90"/>
      <c r="LF90"/>
      <c r="LG90"/>
      <c r="LH90"/>
      <c r="LI90"/>
      <c r="LJ90"/>
      <c r="LK90"/>
      <c r="LL90"/>
      <c r="LM90"/>
      <c r="LN90"/>
      <c r="LO90"/>
      <c r="LP90"/>
      <c r="LQ90"/>
      <c r="LR90"/>
      <c r="LS90"/>
      <c r="LT90"/>
      <c r="LU90"/>
      <c r="LV90"/>
      <c r="LW90"/>
      <c r="LX90"/>
      <c r="LY90"/>
      <c r="LZ90"/>
      <c r="MA90"/>
      <c r="MB90"/>
      <c r="MC90"/>
      <c r="MD90"/>
      <c r="ME90"/>
      <c r="MF90"/>
      <c r="MG90"/>
      <c r="MH90"/>
      <c r="MI90"/>
      <c r="MJ90"/>
      <c r="MK90"/>
      <c r="ML90"/>
      <c r="MM90"/>
      <c r="MN90"/>
      <c r="MO90"/>
      <c r="MP90"/>
      <c r="MQ90"/>
      <c r="MR90"/>
      <c r="MS90"/>
      <c r="MT90"/>
      <c r="MU90"/>
      <c r="MV90"/>
      <c r="MW90"/>
      <c r="MX90"/>
      <c r="MY90"/>
      <c r="MZ90"/>
      <c r="NA90"/>
      <c r="NB90"/>
      <c r="NC90"/>
      <c r="ND90"/>
      <c r="NE90"/>
      <c r="NF90"/>
      <c r="NG90"/>
      <c r="NH90"/>
      <c r="NI90"/>
      <c r="NJ90"/>
      <c r="NK90"/>
      <c r="NL90"/>
      <c r="NM90"/>
      <c r="NN90"/>
      <c r="NO90"/>
      <c r="NP90"/>
      <c r="NQ90"/>
      <c r="NR90"/>
      <c r="NS90"/>
      <c r="NT90"/>
      <c r="NU90"/>
      <c r="NV90"/>
      <c r="NW90"/>
      <c r="NX90"/>
      <c r="NY90"/>
      <c r="NZ90"/>
      <c r="OA90"/>
      <c r="OB90"/>
      <c r="OC90"/>
      <c r="OD90"/>
      <c r="OE90"/>
      <c r="OF90"/>
      <c r="OG90"/>
      <c r="OH90"/>
      <c r="OI90"/>
      <c r="OJ90"/>
      <c r="OK90"/>
      <c r="OL90"/>
      <c r="OM90"/>
      <c r="ON90"/>
      <c r="OO90"/>
      <c r="OP90"/>
      <c r="OQ90"/>
      <c r="OR90"/>
      <c r="OS90"/>
      <c r="OT90"/>
      <c r="OU90"/>
      <c r="OV90"/>
      <c r="OW90"/>
      <c r="OX90"/>
      <c r="OY90"/>
      <c r="OZ90"/>
      <c r="PA90"/>
      <c r="PB90"/>
      <c r="PC90"/>
      <c r="PD90"/>
      <c r="PE90"/>
      <c r="PF90"/>
      <c r="PG90"/>
      <c r="PH90"/>
      <c r="PI90"/>
      <c r="PJ90"/>
      <c r="PK90"/>
      <c r="PL90"/>
      <c r="PM90"/>
      <c r="PN90"/>
      <c r="PO90"/>
      <c r="PP90"/>
      <c r="PQ90"/>
      <c r="PR90"/>
      <c r="PS90"/>
      <c r="PT90"/>
      <c r="PU90"/>
      <c r="PV90"/>
      <c r="PW90"/>
      <c r="PX90"/>
      <c r="PY90"/>
      <c r="PZ90"/>
      <c r="QA90"/>
      <c r="QB90"/>
      <c r="QC90"/>
      <c r="QD90"/>
      <c r="QE90"/>
      <c r="QF90"/>
      <c r="QG90"/>
      <c r="QH90"/>
      <c r="QI90"/>
      <c r="QJ90"/>
      <c r="QK90"/>
      <c r="QL90"/>
      <c r="QM90"/>
      <c r="QN90"/>
      <c r="QO90"/>
      <c r="QP90"/>
      <c r="QQ90"/>
      <c r="QR90"/>
      <c r="QS90"/>
      <c r="QT90"/>
      <c r="QU90"/>
      <c r="QV90"/>
      <c r="QW90"/>
      <c r="QX90"/>
    </row>
    <row r="91" spans="1:466" x14ac:dyDescent="0.35">
      <c r="A91" s="53"/>
      <c r="B91" s="53"/>
      <c r="C91" s="55"/>
      <c r="D91" s="53"/>
      <c r="E91" s="53"/>
      <c r="F91" s="126" t="s">
        <v>1478</v>
      </c>
      <c r="G91" s="125">
        <v>11.5</v>
      </c>
      <c r="H91" s="125">
        <v>0</v>
      </c>
      <c r="I91" s="133">
        <v>0</v>
      </c>
      <c r="J91" s="53"/>
      <c r="K91" s="58">
        <v>45490</v>
      </c>
      <c r="L91" s="59" t="str">
        <f>IFERROR(VLOOKUP($A$2,Stok!$B$1:$AF$446,31,0),"")</f>
        <v/>
      </c>
      <c r="M91" s="53"/>
      <c r="N91" s="53"/>
      <c r="O91" s="53"/>
      <c r="P91" s="53"/>
      <c r="Q91" s="53"/>
      <c r="R91" s="53"/>
      <c r="S91" s="53"/>
      <c r="T91" s="53"/>
      <c r="U91" s="53"/>
      <c r="V91" s="53"/>
      <c r="W91" s="53"/>
      <c r="X91" s="53"/>
      <c r="Y91" s="53"/>
      <c r="Z91" s="53"/>
      <c r="AA91" s="53"/>
      <c r="AB91" s="53"/>
      <c r="AC91" s="53"/>
      <c r="AD91" s="53"/>
      <c r="AE91" s="53"/>
      <c r="AF91" s="63"/>
      <c r="AG91" s="64"/>
      <c r="AH91" s="65"/>
      <c r="AI91" s="65"/>
      <c r="AJ91" s="53"/>
      <c r="AK91" s="62"/>
      <c r="AL91" s="62"/>
      <c r="AM91" s="62"/>
      <c r="AN91" s="62"/>
      <c r="AO91" s="62"/>
      <c r="AP91" s="62"/>
      <c r="AQ91" s="62"/>
      <c r="AR91" s="62"/>
      <c r="AS91" s="62"/>
      <c r="AT91" s="62"/>
      <c r="AU91" s="62"/>
      <c r="AV91" s="62"/>
      <c r="AW91" s="62"/>
      <c r="AX91" s="62"/>
      <c r="AY91" s="62"/>
      <c r="AZ91" s="62"/>
      <c r="BA91" s="62"/>
      <c r="BB91" s="62"/>
      <c r="BC91" s="62"/>
      <c r="BD91" s="62"/>
      <c r="BE91" s="62"/>
      <c r="BF91" s="62"/>
      <c r="BG91" s="62"/>
      <c r="BH91" s="62"/>
      <c r="BI91" s="62"/>
      <c r="BJ91" s="62"/>
      <c r="BK91" s="62"/>
      <c r="BL91" s="62"/>
      <c r="BM91" s="62"/>
      <c r="BN91" s="62"/>
      <c r="BO91" s="62"/>
      <c r="BP91" s="62"/>
      <c r="BQ91" s="62"/>
      <c r="BR91" s="62"/>
      <c r="BS91" s="62"/>
      <c r="BT91" s="62"/>
      <c r="BU91" s="62"/>
      <c r="BV91" s="62"/>
      <c r="BW91" s="62"/>
      <c r="BX91" s="62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/>
      <c r="IP91"/>
      <c r="IQ91"/>
      <c r="IR91"/>
      <c r="IS91"/>
      <c r="IT91"/>
      <c r="IU91"/>
      <c r="IV91"/>
      <c r="IW91"/>
      <c r="IX91"/>
      <c r="IY91"/>
      <c r="IZ91"/>
      <c r="JA91"/>
      <c r="JB91"/>
      <c r="JC91"/>
      <c r="JD91"/>
      <c r="JE91"/>
      <c r="JF91"/>
      <c r="JG91"/>
      <c r="JH91"/>
      <c r="JI91"/>
      <c r="JJ91"/>
      <c r="JK91"/>
      <c r="JL91"/>
      <c r="JM91"/>
      <c r="JN91"/>
      <c r="JO91"/>
      <c r="JP91"/>
      <c r="JQ91"/>
      <c r="JR91"/>
      <c r="JS91"/>
      <c r="JT91"/>
      <c r="JU91"/>
      <c r="JV91"/>
      <c r="JW91"/>
      <c r="JX91"/>
      <c r="JY91"/>
      <c r="JZ91"/>
      <c r="KA91"/>
      <c r="KB91"/>
      <c r="KC91"/>
      <c r="KD91"/>
      <c r="KE91"/>
      <c r="KF91"/>
      <c r="KG91"/>
      <c r="KH91"/>
      <c r="KI91"/>
      <c r="KJ91"/>
      <c r="KK91"/>
      <c r="KL91"/>
      <c r="KM91"/>
      <c r="KN91"/>
      <c r="KO91"/>
      <c r="KP91"/>
      <c r="KQ91"/>
      <c r="KR91"/>
      <c r="KS91"/>
      <c r="KT91"/>
      <c r="KU91"/>
      <c r="KV91"/>
      <c r="KW91"/>
      <c r="KX91"/>
      <c r="KY91"/>
      <c r="KZ91"/>
      <c r="LA91"/>
      <c r="LB91"/>
      <c r="LC91"/>
      <c r="LD91"/>
      <c r="LE91"/>
      <c r="LF91"/>
      <c r="LG91"/>
      <c r="LH91"/>
      <c r="LI91"/>
      <c r="LJ91"/>
      <c r="LK91"/>
      <c r="LL91"/>
      <c r="LM91"/>
      <c r="LN91"/>
      <c r="LO91"/>
      <c r="LP91"/>
      <c r="LQ91"/>
      <c r="LR91"/>
      <c r="LS91"/>
      <c r="LT91"/>
      <c r="LU91"/>
      <c r="LV91"/>
      <c r="LW91"/>
      <c r="LX91"/>
      <c r="LY91"/>
      <c r="LZ91"/>
      <c r="MA91"/>
      <c r="MB91"/>
      <c r="MC91"/>
      <c r="MD91"/>
      <c r="ME91"/>
      <c r="MF91"/>
      <c r="MG91"/>
      <c r="MH91"/>
      <c r="MI91"/>
      <c r="MJ91"/>
      <c r="MK91"/>
      <c r="ML91"/>
      <c r="MM91"/>
      <c r="MN91"/>
      <c r="MO91"/>
      <c r="MP91"/>
      <c r="MQ91"/>
      <c r="MR91"/>
      <c r="MS91"/>
      <c r="MT91"/>
      <c r="MU91"/>
      <c r="MV91"/>
      <c r="MW91"/>
      <c r="MX91"/>
      <c r="MY91"/>
      <c r="MZ91"/>
      <c r="NA91"/>
      <c r="NB91"/>
      <c r="NC91"/>
      <c r="ND91"/>
      <c r="NE91"/>
      <c r="NF91"/>
      <c r="NG91"/>
      <c r="NH91"/>
      <c r="NI91"/>
      <c r="NJ91"/>
      <c r="NK91"/>
      <c r="NL91"/>
      <c r="NM91"/>
      <c r="NN91"/>
      <c r="NO91"/>
      <c r="NP91"/>
      <c r="NQ91"/>
      <c r="NR91"/>
      <c r="NS91"/>
      <c r="NT91"/>
      <c r="NU91"/>
      <c r="NV91"/>
      <c r="NW91"/>
      <c r="NX91"/>
      <c r="NY91"/>
      <c r="NZ91"/>
      <c r="OA91"/>
      <c r="OB91"/>
      <c r="OC91"/>
      <c r="OD91"/>
      <c r="OE91"/>
      <c r="OF91"/>
      <c r="OG91"/>
      <c r="OH91"/>
      <c r="OI91"/>
      <c r="OJ91"/>
      <c r="OK91"/>
      <c r="OL91"/>
      <c r="OM91"/>
      <c r="ON91"/>
      <c r="OO91"/>
      <c r="OP91"/>
      <c r="OQ91"/>
      <c r="OR91"/>
      <c r="OS91"/>
      <c r="OT91"/>
      <c r="OU91"/>
      <c r="OV91"/>
      <c r="OW91"/>
      <c r="OX91"/>
      <c r="OY91"/>
      <c r="OZ91"/>
      <c r="PA91"/>
      <c r="PB91"/>
      <c r="PC91"/>
      <c r="PD91"/>
      <c r="PE91"/>
      <c r="PF91"/>
      <c r="PG91"/>
      <c r="PH91"/>
      <c r="PI91"/>
      <c r="PJ91"/>
      <c r="PK91"/>
      <c r="PL91"/>
      <c r="PM91"/>
      <c r="PN91"/>
      <c r="PO91"/>
      <c r="PP91"/>
      <c r="PQ91"/>
      <c r="PR91"/>
      <c r="PS91"/>
      <c r="PT91"/>
      <c r="PU91"/>
      <c r="PV91"/>
      <c r="PW91"/>
      <c r="PX91"/>
      <c r="PY91"/>
      <c r="PZ91"/>
      <c r="QA91"/>
      <c r="QB91"/>
      <c r="QC91"/>
      <c r="QD91"/>
      <c r="QE91"/>
      <c r="QF91"/>
      <c r="QG91"/>
      <c r="QH91"/>
      <c r="QI91"/>
      <c r="QJ91"/>
      <c r="QK91"/>
      <c r="QL91"/>
      <c r="QM91"/>
      <c r="QN91"/>
      <c r="QO91"/>
      <c r="QP91"/>
      <c r="QQ91"/>
      <c r="QR91"/>
      <c r="QS91"/>
      <c r="QT91"/>
      <c r="QU91"/>
      <c r="QV91"/>
      <c r="QW91"/>
      <c r="QX91"/>
    </row>
    <row r="92" spans="1:466" x14ac:dyDescent="0.35">
      <c r="A92" s="53"/>
      <c r="B92" s="53"/>
      <c r="C92" s="55"/>
      <c r="D92" s="53"/>
      <c r="E92" s="53"/>
      <c r="F92" s="126" t="s">
        <v>1479</v>
      </c>
      <c r="G92" s="125">
        <v>15.2</v>
      </c>
      <c r="H92" s="125">
        <v>0</v>
      </c>
      <c r="I92" s="133">
        <v>0</v>
      </c>
      <c r="J92" s="53"/>
      <c r="K92" s="58">
        <v>45478</v>
      </c>
      <c r="L92" s="59" t="str">
        <f>IFERROR(VLOOKUP($A$2,Stok!$B$1:$AE$446,30,0),"")</f>
        <v/>
      </c>
      <c r="M92" s="53"/>
      <c r="N92" s="53"/>
      <c r="O92" s="53"/>
      <c r="P92" s="53"/>
      <c r="Q92" s="53"/>
      <c r="R92" s="53"/>
      <c r="S92" s="53"/>
      <c r="T92" s="53"/>
      <c r="U92" s="53"/>
      <c r="V92" s="53"/>
      <c r="W92" s="53"/>
      <c r="X92" s="53"/>
      <c r="Y92" s="53"/>
      <c r="Z92" s="53"/>
      <c r="AA92" s="53"/>
      <c r="AB92" s="53"/>
      <c r="AC92" s="53"/>
      <c r="AD92" s="53"/>
      <c r="AE92" s="53"/>
      <c r="AF92" s="63"/>
      <c r="AG92" s="64"/>
      <c r="AH92" s="65"/>
      <c r="AI92" s="65"/>
      <c r="AJ92" s="53"/>
      <c r="AK92" s="62"/>
      <c r="AL92" s="62"/>
      <c r="AM92" s="62"/>
      <c r="AN92" s="62"/>
      <c r="AO92" s="62"/>
      <c r="AP92" s="62"/>
      <c r="AQ92" s="62"/>
      <c r="AR92" s="62"/>
      <c r="AS92" s="62"/>
      <c r="AT92" s="62"/>
      <c r="AU92" s="62"/>
      <c r="AV92" s="62"/>
      <c r="AW92" s="62"/>
      <c r="AX92" s="62"/>
      <c r="AY92" s="62"/>
      <c r="AZ92" s="62"/>
      <c r="BA92" s="62"/>
      <c r="BB92" s="62"/>
      <c r="BC92" s="62"/>
      <c r="BD92" s="62"/>
      <c r="BE92" s="62"/>
      <c r="BF92" s="62"/>
      <c r="BG92" s="62"/>
      <c r="BH92" s="62"/>
      <c r="BI92" s="62"/>
      <c r="BJ92" s="62"/>
      <c r="BK92" s="62"/>
      <c r="BL92" s="62"/>
      <c r="BM92" s="62"/>
      <c r="BN92" s="62"/>
      <c r="BO92" s="62"/>
      <c r="BP92" s="62"/>
      <c r="BQ92" s="62"/>
      <c r="BR92" s="62"/>
      <c r="BS92" s="62"/>
      <c r="BT92" s="62"/>
      <c r="BU92" s="62"/>
      <c r="BV92" s="62"/>
      <c r="BW92" s="62"/>
      <c r="BX92" s="6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  <c r="IW92"/>
      <c r="IX92"/>
      <c r="IY92"/>
      <c r="IZ92"/>
      <c r="JA92"/>
      <c r="JB92"/>
      <c r="JC92"/>
      <c r="JD92"/>
      <c r="JE92"/>
      <c r="JF92"/>
      <c r="JG92"/>
      <c r="JH92"/>
      <c r="JI92"/>
      <c r="JJ92"/>
      <c r="JK92"/>
      <c r="JL92"/>
      <c r="JM92"/>
      <c r="JN92"/>
      <c r="JO92"/>
      <c r="JP92"/>
      <c r="JQ92"/>
      <c r="JR92"/>
      <c r="JS92"/>
      <c r="JT92"/>
      <c r="JU92"/>
      <c r="JV92"/>
      <c r="JW92"/>
      <c r="JX92"/>
      <c r="JY92"/>
      <c r="JZ92"/>
      <c r="KA92"/>
      <c r="KB92"/>
      <c r="KC92"/>
      <c r="KD92"/>
      <c r="KE92"/>
      <c r="KF92"/>
      <c r="KG92"/>
      <c r="KH92"/>
      <c r="KI92"/>
      <c r="KJ92"/>
      <c r="KK92"/>
      <c r="KL92"/>
      <c r="KM92"/>
      <c r="KN92"/>
      <c r="KO92"/>
      <c r="KP92"/>
      <c r="KQ92"/>
      <c r="KR92"/>
      <c r="KS92"/>
      <c r="KT92"/>
      <c r="KU92"/>
      <c r="KV92"/>
      <c r="KW92"/>
      <c r="KX92"/>
      <c r="KY92"/>
      <c r="KZ92"/>
      <c r="LA92"/>
      <c r="LB92"/>
      <c r="LC92"/>
      <c r="LD92"/>
      <c r="LE92"/>
      <c r="LF92"/>
      <c r="LG92"/>
      <c r="LH92"/>
      <c r="LI92"/>
      <c r="LJ92"/>
      <c r="LK92"/>
      <c r="LL92"/>
      <c r="LM92"/>
      <c r="LN92"/>
      <c r="LO92"/>
      <c r="LP92"/>
      <c r="LQ92"/>
      <c r="LR92"/>
      <c r="LS92"/>
      <c r="LT92"/>
      <c r="LU92"/>
      <c r="LV92"/>
      <c r="LW92"/>
      <c r="LX92"/>
      <c r="LY92"/>
      <c r="LZ92"/>
      <c r="MA92"/>
      <c r="MB92"/>
      <c r="MC92"/>
      <c r="MD92"/>
      <c r="ME92"/>
      <c r="MF92"/>
      <c r="MG92"/>
      <c r="MH92"/>
      <c r="MI92"/>
      <c r="MJ92"/>
      <c r="MK92"/>
      <c r="ML92"/>
      <c r="MM92"/>
      <c r="MN92"/>
      <c r="MO92"/>
      <c r="MP92"/>
      <c r="MQ92"/>
      <c r="MR92"/>
      <c r="MS92"/>
      <c r="MT92"/>
      <c r="MU92"/>
      <c r="MV92"/>
      <c r="MW92"/>
      <c r="MX92"/>
      <c r="MY92"/>
      <c r="MZ92"/>
      <c r="NA92"/>
      <c r="NB92"/>
      <c r="NC92"/>
      <c r="ND92"/>
      <c r="NE92"/>
      <c r="NF92"/>
      <c r="NG92"/>
      <c r="NH92"/>
      <c r="NI92"/>
      <c r="NJ92"/>
      <c r="NK92"/>
      <c r="NL92"/>
      <c r="NM92"/>
      <c r="NN92"/>
      <c r="NO92"/>
      <c r="NP92"/>
      <c r="NQ92"/>
      <c r="NR92"/>
      <c r="NS92"/>
      <c r="NT92"/>
      <c r="NU92"/>
      <c r="NV92"/>
      <c r="NW92"/>
      <c r="NX92"/>
      <c r="NY92"/>
      <c r="NZ92"/>
      <c r="OA92"/>
      <c r="OB92"/>
      <c r="OC92"/>
      <c r="OD92"/>
      <c r="OE92"/>
      <c r="OF92"/>
      <c r="OG92"/>
      <c r="OH92"/>
      <c r="OI92"/>
      <c r="OJ92"/>
      <c r="OK92"/>
      <c r="OL92"/>
      <c r="OM92"/>
      <c r="ON92"/>
      <c r="OO92"/>
      <c r="OP92"/>
      <c r="OQ92"/>
      <c r="OR92"/>
      <c r="OS92"/>
      <c r="OT92"/>
      <c r="OU92"/>
      <c r="OV92"/>
      <c r="OW92"/>
      <c r="OX92"/>
      <c r="OY92"/>
      <c r="OZ92"/>
      <c r="PA92"/>
      <c r="PB92"/>
      <c r="PC92"/>
      <c r="PD92"/>
      <c r="PE92"/>
      <c r="PF92"/>
      <c r="PG92"/>
      <c r="PH92"/>
      <c r="PI92"/>
      <c r="PJ92"/>
      <c r="PK92"/>
      <c r="PL92"/>
      <c r="PM92"/>
      <c r="PN92"/>
      <c r="PO92"/>
      <c r="PP92"/>
      <c r="PQ92"/>
      <c r="PR92"/>
      <c r="PS92"/>
      <c r="PT92"/>
      <c r="PU92"/>
      <c r="PV92"/>
      <c r="PW92"/>
      <c r="PX92"/>
      <c r="PY92"/>
      <c r="PZ92"/>
      <c r="QA92"/>
      <c r="QB92"/>
      <c r="QC92"/>
      <c r="QD92"/>
      <c r="QE92"/>
      <c r="QF92"/>
      <c r="QG92"/>
      <c r="QH92"/>
      <c r="QI92"/>
      <c r="QJ92"/>
      <c r="QK92"/>
      <c r="QL92"/>
      <c r="QM92"/>
      <c r="QN92"/>
      <c r="QO92"/>
      <c r="QP92"/>
      <c r="QQ92"/>
      <c r="QR92"/>
      <c r="QS92"/>
      <c r="QT92"/>
      <c r="QU92"/>
      <c r="QV92"/>
      <c r="QW92"/>
      <c r="QX92"/>
    </row>
    <row r="93" spans="1:466" x14ac:dyDescent="0.35">
      <c r="A93" s="53"/>
      <c r="B93" s="53"/>
      <c r="C93" s="55"/>
      <c r="D93" s="53"/>
      <c r="E93" s="53"/>
      <c r="F93" s="126" t="s">
        <v>1317</v>
      </c>
      <c r="G93" s="125">
        <v>0.56999999999999995</v>
      </c>
      <c r="H93" s="125">
        <v>0</v>
      </c>
      <c r="I93" s="133">
        <v>0</v>
      </c>
      <c r="J93" s="53"/>
      <c r="K93" s="58">
        <v>45467</v>
      </c>
      <c r="L93" s="59" t="str">
        <f>IFERROR(VLOOKUP($A$2,Stok!$B$1:$AD$446,29,0),"")</f>
        <v/>
      </c>
      <c r="M93" s="53"/>
      <c r="N93" s="53"/>
      <c r="O93" s="53"/>
      <c r="P93" s="53"/>
      <c r="Q93" s="53"/>
      <c r="R93" s="53"/>
      <c r="S93" s="53"/>
      <c r="T93" s="53"/>
      <c r="U93" s="53"/>
      <c r="V93" s="53"/>
      <c r="W93" s="53"/>
      <c r="X93" s="53"/>
      <c r="Y93" s="53"/>
      <c r="Z93" s="53"/>
      <c r="AA93" s="53"/>
      <c r="AB93" s="53"/>
      <c r="AC93" s="53"/>
      <c r="AD93" s="53"/>
      <c r="AE93" s="53"/>
      <c r="AF93" s="63"/>
      <c r="AG93" s="64"/>
      <c r="AH93" s="65"/>
      <c r="AI93" s="65"/>
      <c r="AJ93" s="53"/>
      <c r="AK93" s="62"/>
      <c r="AL93" s="62"/>
      <c r="AM93" s="62"/>
      <c r="AN93" s="62"/>
      <c r="AO93" s="62"/>
      <c r="AP93" s="62"/>
      <c r="AQ93" s="62"/>
      <c r="AR93" s="62"/>
      <c r="AS93" s="62"/>
      <c r="AT93" s="62"/>
      <c r="AU93" s="62"/>
      <c r="AV93" s="62"/>
      <c r="AW93" s="62"/>
      <c r="AX93" s="62"/>
      <c r="AY93" s="62"/>
      <c r="AZ93" s="62"/>
      <c r="BA93" s="62"/>
      <c r="BB93" s="62"/>
      <c r="BC93" s="62"/>
      <c r="BD93" s="62"/>
      <c r="BE93" s="62"/>
      <c r="BF93" s="62"/>
      <c r="BG93" s="62"/>
      <c r="BH93" s="62"/>
      <c r="BI93" s="62"/>
      <c r="BJ93" s="62"/>
      <c r="BK93" s="62"/>
      <c r="BL93" s="62"/>
      <c r="BM93" s="62"/>
      <c r="BN93" s="62"/>
      <c r="BO93" s="62"/>
      <c r="BP93" s="62"/>
      <c r="BQ93" s="62"/>
      <c r="BR93" s="62"/>
      <c r="BS93" s="62"/>
      <c r="BT93" s="62"/>
      <c r="BU93" s="62"/>
      <c r="BV93" s="62"/>
      <c r="BW93" s="62"/>
      <c r="BX93" s="62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/>
      <c r="IP93"/>
      <c r="IQ93"/>
      <c r="IR93"/>
      <c r="IS93"/>
      <c r="IT93"/>
      <c r="IU93"/>
      <c r="IV93"/>
      <c r="IW93"/>
      <c r="IX93"/>
      <c r="IY93"/>
      <c r="IZ93"/>
      <c r="JA93"/>
      <c r="JB93"/>
      <c r="JC93"/>
      <c r="JD93"/>
      <c r="JE93"/>
      <c r="JF93"/>
      <c r="JG93"/>
      <c r="JH93"/>
      <c r="JI93"/>
      <c r="JJ93"/>
      <c r="JK93"/>
      <c r="JL93"/>
      <c r="JM93"/>
      <c r="JN93"/>
      <c r="JO93"/>
      <c r="JP93"/>
      <c r="JQ93"/>
      <c r="JR93"/>
      <c r="JS93"/>
      <c r="JT93"/>
      <c r="JU93"/>
      <c r="JV93"/>
      <c r="JW93"/>
      <c r="JX93"/>
      <c r="JY93"/>
      <c r="JZ93"/>
      <c r="KA93"/>
      <c r="KB93"/>
      <c r="KC93"/>
      <c r="KD93"/>
      <c r="KE93"/>
      <c r="KF93"/>
      <c r="KG93"/>
      <c r="KH93"/>
      <c r="KI93"/>
      <c r="KJ93"/>
      <c r="KK93"/>
      <c r="KL93"/>
      <c r="KM93"/>
      <c r="KN93"/>
      <c r="KO93"/>
      <c r="KP93"/>
      <c r="KQ93"/>
      <c r="KR93"/>
      <c r="KS93"/>
      <c r="KT93"/>
      <c r="KU93"/>
      <c r="KV93"/>
      <c r="KW93"/>
      <c r="KX93"/>
      <c r="KY93"/>
      <c r="KZ93"/>
      <c r="LA93"/>
      <c r="LB93"/>
      <c r="LC93"/>
      <c r="LD93"/>
      <c r="LE93"/>
      <c r="LF93"/>
      <c r="LG93"/>
      <c r="LH93"/>
      <c r="LI93"/>
      <c r="LJ93"/>
      <c r="LK93"/>
      <c r="LL93"/>
      <c r="LM93"/>
      <c r="LN93"/>
      <c r="LO93"/>
      <c r="LP93"/>
      <c r="LQ93"/>
      <c r="LR93"/>
      <c r="LS93"/>
      <c r="LT93"/>
      <c r="LU93"/>
      <c r="LV93"/>
      <c r="LW93"/>
      <c r="LX93"/>
      <c r="LY93"/>
      <c r="LZ93"/>
      <c r="MA93"/>
      <c r="MB93"/>
      <c r="MC93"/>
      <c r="MD93"/>
      <c r="ME93"/>
      <c r="MF93"/>
      <c r="MG93"/>
      <c r="MH93"/>
      <c r="MI93"/>
      <c r="MJ93"/>
      <c r="MK93"/>
      <c r="ML93"/>
      <c r="MM93"/>
      <c r="MN93"/>
      <c r="MO93"/>
      <c r="MP93"/>
      <c r="MQ93"/>
      <c r="MR93"/>
      <c r="MS93"/>
      <c r="MT93"/>
      <c r="MU93"/>
      <c r="MV93"/>
      <c r="MW93"/>
      <c r="MX93"/>
      <c r="MY93"/>
      <c r="MZ93"/>
      <c r="NA93"/>
      <c r="NB93"/>
      <c r="NC93"/>
      <c r="ND93"/>
      <c r="NE93"/>
      <c r="NF93"/>
      <c r="NG93"/>
      <c r="NH93"/>
      <c r="NI93"/>
      <c r="NJ93"/>
      <c r="NK93"/>
      <c r="NL93"/>
      <c r="NM93"/>
      <c r="NN93"/>
      <c r="NO93"/>
      <c r="NP93"/>
      <c r="NQ93"/>
      <c r="NR93"/>
      <c r="NS93"/>
      <c r="NT93"/>
      <c r="NU93"/>
      <c r="NV93"/>
      <c r="NW93"/>
      <c r="NX93"/>
      <c r="NY93"/>
      <c r="NZ93"/>
      <c r="OA93"/>
      <c r="OB93"/>
      <c r="OC93"/>
      <c r="OD93"/>
      <c r="OE93"/>
      <c r="OF93"/>
      <c r="OG93"/>
      <c r="OH93"/>
      <c r="OI93"/>
      <c r="OJ93"/>
      <c r="OK93"/>
      <c r="OL93"/>
      <c r="OM93"/>
      <c r="ON93"/>
      <c r="OO93"/>
      <c r="OP93"/>
      <c r="OQ93"/>
      <c r="OR93"/>
      <c r="OS93"/>
      <c r="OT93"/>
      <c r="OU93"/>
      <c r="OV93"/>
      <c r="OW93"/>
      <c r="OX93"/>
      <c r="OY93"/>
      <c r="OZ93"/>
      <c r="PA93"/>
      <c r="PB93"/>
      <c r="PC93"/>
      <c r="PD93"/>
      <c r="PE93"/>
      <c r="PF93"/>
      <c r="PG93"/>
      <c r="PH93"/>
      <c r="PI93"/>
      <c r="PJ93"/>
      <c r="PK93"/>
      <c r="PL93"/>
      <c r="PM93"/>
      <c r="PN93"/>
      <c r="PO93"/>
      <c r="PP93"/>
      <c r="PQ93"/>
      <c r="PR93"/>
      <c r="PS93"/>
      <c r="PT93"/>
      <c r="PU93"/>
      <c r="PV93"/>
      <c r="PW93"/>
      <c r="PX93"/>
      <c r="PY93"/>
      <c r="PZ93"/>
      <c r="QA93"/>
      <c r="QB93"/>
      <c r="QC93"/>
      <c r="QD93"/>
      <c r="QE93"/>
      <c r="QF93"/>
      <c r="QG93"/>
      <c r="QH93"/>
      <c r="QI93"/>
      <c r="QJ93"/>
      <c r="QK93"/>
      <c r="QL93"/>
      <c r="QM93"/>
      <c r="QN93"/>
      <c r="QO93"/>
      <c r="QP93"/>
      <c r="QQ93"/>
      <c r="QR93"/>
      <c r="QS93"/>
      <c r="QT93"/>
      <c r="QU93"/>
      <c r="QV93"/>
      <c r="QW93"/>
      <c r="QX93"/>
    </row>
    <row r="94" spans="1:466" x14ac:dyDescent="0.35">
      <c r="A94" s="53"/>
      <c r="B94" s="53"/>
      <c r="C94" s="55"/>
      <c r="D94" s="53"/>
      <c r="E94" s="53"/>
      <c r="F94" s="124" t="s">
        <v>152</v>
      </c>
      <c r="G94" s="125">
        <v>319</v>
      </c>
      <c r="H94" s="125">
        <v>0</v>
      </c>
      <c r="I94" s="133">
        <v>8</v>
      </c>
      <c r="J94" s="53"/>
      <c r="K94" s="58">
        <v>45455</v>
      </c>
      <c r="L94" s="59" t="str">
        <f>IFERROR(VLOOKUP($A$2,Stok!$B$1:$AC$446,28,0),"")</f>
        <v/>
      </c>
      <c r="M94" s="53"/>
      <c r="N94" s="53"/>
      <c r="O94" s="53"/>
      <c r="P94" s="53"/>
      <c r="Q94" s="53"/>
      <c r="R94" s="53"/>
      <c r="S94" s="53"/>
      <c r="T94" s="53"/>
      <c r="U94" s="53"/>
      <c r="V94" s="53"/>
      <c r="W94" s="53"/>
      <c r="X94" s="53"/>
      <c r="Y94" s="53"/>
      <c r="Z94" s="53"/>
      <c r="AA94" s="53"/>
      <c r="AB94" s="53"/>
      <c r="AC94" s="53"/>
      <c r="AD94" s="53"/>
      <c r="AE94" s="53"/>
      <c r="AF94" s="63"/>
      <c r="AG94" s="64"/>
      <c r="AH94" s="65"/>
      <c r="AI94" s="65"/>
      <c r="AJ94" s="53"/>
      <c r="AK94" s="62"/>
      <c r="AL94" s="62"/>
      <c r="AM94" s="62"/>
      <c r="AN94" s="62"/>
      <c r="AO94" s="62"/>
      <c r="AP94" s="62"/>
      <c r="AQ94" s="62"/>
      <c r="AR94" s="62"/>
      <c r="AS94" s="62"/>
      <c r="AT94" s="62"/>
      <c r="AU94" s="62"/>
      <c r="AV94" s="62"/>
      <c r="AW94" s="62"/>
      <c r="AX94" s="62"/>
      <c r="AY94" s="62"/>
      <c r="AZ94" s="62"/>
      <c r="BA94" s="62"/>
      <c r="BB94" s="62"/>
      <c r="BC94" s="62"/>
      <c r="BD94" s="62"/>
      <c r="BE94" s="62"/>
      <c r="BF94" s="62"/>
      <c r="BG94" s="62"/>
      <c r="BH94" s="62"/>
      <c r="BI94" s="62"/>
      <c r="BJ94" s="62"/>
      <c r="BK94" s="62"/>
      <c r="BL94" s="62"/>
      <c r="BM94" s="62"/>
      <c r="BN94" s="62"/>
      <c r="BO94" s="62"/>
      <c r="BP94" s="62"/>
      <c r="BQ94" s="62"/>
      <c r="BR94" s="62"/>
      <c r="BS94" s="62"/>
      <c r="BT94" s="62"/>
      <c r="BU94" s="62"/>
      <c r="BV94" s="62"/>
      <c r="BW94" s="62"/>
      <c r="BX94" s="62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/>
      <c r="IP94"/>
      <c r="IQ94"/>
      <c r="IR94"/>
      <c r="IS94"/>
      <c r="IT94"/>
      <c r="IU94"/>
      <c r="IV94"/>
      <c r="IW94"/>
      <c r="IX94"/>
      <c r="IY94"/>
      <c r="IZ94"/>
      <c r="JA94"/>
      <c r="JB94"/>
      <c r="JC94"/>
      <c r="JD94"/>
      <c r="JE94"/>
      <c r="JF94"/>
      <c r="JG94"/>
      <c r="JH94"/>
      <c r="JI94"/>
      <c r="JJ94"/>
      <c r="JK94"/>
      <c r="JL94"/>
      <c r="JM94"/>
      <c r="JN94"/>
      <c r="JO94"/>
      <c r="JP94"/>
      <c r="JQ94"/>
      <c r="JR94"/>
      <c r="JS94"/>
      <c r="JT94"/>
      <c r="JU94"/>
      <c r="JV94"/>
      <c r="JW94"/>
      <c r="JX94"/>
      <c r="JY94"/>
      <c r="JZ94"/>
      <c r="KA94"/>
      <c r="KB94"/>
      <c r="KC94"/>
      <c r="KD94"/>
      <c r="KE94"/>
      <c r="KF94"/>
      <c r="KG94"/>
      <c r="KH94"/>
      <c r="KI94"/>
      <c r="KJ94"/>
      <c r="KK94"/>
      <c r="KL94"/>
      <c r="KM94"/>
      <c r="KN94"/>
      <c r="KO94"/>
      <c r="KP94"/>
      <c r="KQ94"/>
      <c r="KR94"/>
      <c r="KS94"/>
      <c r="KT94"/>
      <c r="KU94"/>
      <c r="KV94"/>
      <c r="KW94"/>
      <c r="KX94"/>
      <c r="KY94"/>
      <c r="KZ94"/>
      <c r="LA94"/>
      <c r="LB94"/>
      <c r="LC94"/>
      <c r="LD94"/>
      <c r="LE94"/>
      <c r="LF94"/>
      <c r="LG94"/>
      <c r="LH94"/>
      <c r="LI94"/>
      <c r="LJ94"/>
      <c r="LK94"/>
      <c r="LL94"/>
      <c r="LM94"/>
      <c r="LN94"/>
      <c r="LO94"/>
      <c r="LP94"/>
      <c r="LQ94"/>
      <c r="LR94"/>
      <c r="LS94"/>
      <c r="LT94"/>
      <c r="LU94"/>
      <c r="LV94"/>
      <c r="LW94"/>
      <c r="LX94"/>
      <c r="LY94"/>
      <c r="LZ94"/>
      <c r="MA94"/>
      <c r="MB94"/>
      <c r="MC94"/>
      <c r="MD94"/>
      <c r="ME94"/>
      <c r="MF94"/>
      <c r="MG94"/>
      <c r="MH94"/>
      <c r="MI94"/>
      <c r="MJ94"/>
      <c r="MK94"/>
      <c r="ML94"/>
      <c r="MM94"/>
      <c r="MN94"/>
      <c r="MO94"/>
      <c r="MP94"/>
      <c r="MQ94"/>
      <c r="MR94"/>
      <c r="MS94"/>
      <c r="MT94"/>
      <c r="MU94"/>
      <c r="MV94"/>
      <c r="MW94"/>
      <c r="MX94"/>
      <c r="MY94"/>
      <c r="MZ94"/>
      <c r="NA94"/>
      <c r="NB94"/>
      <c r="NC94"/>
      <c r="ND94"/>
      <c r="NE94"/>
      <c r="NF94"/>
      <c r="NG94"/>
      <c r="NH94"/>
      <c r="NI94"/>
      <c r="NJ94"/>
      <c r="NK94"/>
      <c r="NL94"/>
      <c r="NM94"/>
      <c r="NN94"/>
      <c r="NO94"/>
      <c r="NP94"/>
      <c r="NQ94"/>
      <c r="NR94"/>
      <c r="NS94"/>
      <c r="NT94"/>
      <c r="NU94"/>
      <c r="NV94"/>
      <c r="NW94"/>
      <c r="NX94"/>
      <c r="NY94"/>
      <c r="NZ94"/>
      <c r="OA94"/>
      <c r="OB94"/>
      <c r="OC94"/>
      <c r="OD94"/>
      <c r="OE94"/>
      <c r="OF94"/>
      <c r="OG94"/>
      <c r="OH94"/>
      <c r="OI94"/>
      <c r="OJ94"/>
      <c r="OK94"/>
      <c r="OL94"/>
      <c r="OM94"/>
      <c r="ON94"/>
      <c r="OO94"/>
      <c r="OP94"/>
      <c r="OQ94"/>
      <c r="OR94"/>
      <c r="OS94"/>
      <c r="OT94"/>
      <c r="OU94"/>
      <c r="OV94"/>
      <c r="OW94"/>
      <c r="OX94"/>
      <c r="OY94"/>
      <c r="OZ94"/>
      <c r="PA94"/>
      <c r="PB94"/>
      <c r="PC94"/>
      <c r="PD94"/>
      <c r="PE94"/>
      <c r="PF94"/>
      <c r="PG94"/>
      <c r="PH94"/>
      <c r="PI94"/>
      <c r="PJ94"/>
      <c r="PK94"/>
      <c r="PL94"/>
      <c r="PM94"/>
      <c r="PN94"/>
      <c r="PO94"/>
      <c r="PP94"/>
      <c r="PQ94"/>
      <c r="PR94"/>
      <c r="PS94"/>
      <c r="PT94"/>
      <c r="PU94"/>
      <c r="PV94"/>
      <c r="PW94"/>
      <c r="PX94"/>
      <c r="PY94"/>
      <c r="PZ94"/>
      <c r="QA94"/>
      <c r="QB94"/>
      <c r="QC94"/>
      <c r="QD94"/>
      <c r="QE94"/>
      <c r="QF94"/>
      <c r="QG94"/>
      <c r="QH94"/>
      <c r="QI94"/>
      <c r="QJ94"/>
      <c r="QK94"/>
      <c r="QL94"/>
      <c r="QM94"/>
      <c r="QN94"/>
      <c r="QO94"/>
      <c r="QP94"/>
      <c r="QQ94"/>
      <c r="QR94"/>
      <c r="QS94"/>
      <c r="QT94"/>
      <c r="QU94"/>
      <c r="QV94"/>
      <c r="QW94"/>
      <c r="QX94"/>
    </row>
    <row r="95" spans="1:466" x14ac:dyDescent="0.35">
      <c r="A95" s="53"/>
      <c r="B95" s="53"/>
      <c r="C95" s="55"/>
      <c r="D95" s="53"/>
      <c r="E95" s="53"/>
      <c r="F95" s="126">
        <v>6327900</v>
      </c>
      <c r="G95" s="125">
        <v>319</v>
      </c>
      <c r="H95" s="125">
        <v>0</v>
      </c>
      <c r="I95" s="133">
        <v>0</v>
      </c>
      <c r="J95" s="53"/>
      <c r="K95" s="58">
        <v>45442</v>
      </c>
      <c r="L95" s="59" t="str">
        <f>IFERROR(VLOOKUP($A$2,Stok!$B$1:$AB$446,27,0),"")</f>
        <v/>
      </c>
      <c r="M95" s="53"/>
      <c r="N95" s="53"/>
      <c r="O95" s="53"/>
      <c r="P95" s="53"/>
      <c r="Q95" s="53"/>
      <c r="R95" s="53"/>
      <c r="S95" s="53"/>
      <c r="T95" s="53"/>
      <c r="U95" s="53"/>
      <c r="V95" s="53"/>
      <c r="W95" s="53"/>
      <c r="X95" s="53"/>
      <c r="Y95" s="53"/>
      <c r="Z95" s="53"/>
      <c r="AA95" s="53"/>
      <c r="AB95" s="53"/>
      <c r="AC95" s="53"/>
      <c r="AD95" s="53"/>
      <c r="AE95" s="53"/>
      <c r="AF95" s="63"/>
      <c r="AG95" s="64"/>
      <c r="AH95" s="65"/>
      <c r="AI95" s="65"/>
      <c r="AJ95" s="53"/>
      <c r="AK95" s="62"/>
      <c r="AL95" s="62"/>
      <c r="AM95" s="62"/>
      <c r="AN95" s="62"/>
      <c r="AO95" s="62"/>
      <c r="AP95" s="62"/>
      <c r="AQ95" s="62"/>
      <c r="AR95" s="62"/>
      <c r="AS95" s="62"/>
      <c r="AT95" s="62"/>
      <c r="AU95" s="62"/>
      <c r="AV95" s="62"/>
      <c r="AW95" s="62"/>
      <c r="AX95" s="62"/>
      <c r="AY95" s="62"/>
      <c r="AZ95" s="62"/>
      <c r="BA95" s="62"/>
      <c r="BB95" s="62"/>
      <c r="BC95" s="62"/>
      <c r="BD95" s="62"/>
      <c r="BE95" s="62"/>
      <c r="BF95" s="62"/>
      <c r="BG95" s="62"/>
      <c r="BH95" s="62"/>
      <c r="BI95" s="62"/>
      <c r="BJ95" s="62"/>
      <c r="BK95" s="62"/>
      <c r="BL95" s="62"/>
      <c r="BM95" s="62"/>
      <c r="BN95" s="62"/>
      <c r="BO95" s="62"/>
      <c r="BP95" s="62"/>
      <c r="BQ95" s="62"/>
      <c r="BR95" s="62"/>
      <c r="BS95" s="62"/>
      <c r="BT95" s="62"/>
      <c r="BU95" s="62"/>
      <c r="BV95" s="62"/>
      <c r="BW95" s="62"/>
      <c r="BX95" s="62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/>
      <c r="IP95"/>
      <c r="IQ95"/>
      <c r="IR95"/>
      <c r="IS95"/>
      <c r="IT95"/>
      <c r="IU95"/>
      <c r="IV95"/>
      <c r="IW95"/>
      <c r="IX95"/>
      <c r="IY95"/>
      <c r="IZ95"/>
      <c r="JA95"/>
      <c r="JB95"/>
      <c r="JC95"/>
      <c r="JD95"/>
      <c r="JE95"/>
      <c r="JF95"/>
      <c r="JG95"/>
      <c r="JH95"/>
      <c r="JI95"/>
      <c r="JJ95"/>
      <c r="JK95"/>
      <c r="JL95"/>
      <c r="JM95"/>
      <c r="JN95"/>
      <c r="JO95"/>
      <c r="JP95"/>
      <c r="JQ95"/>
      <c r="JR95"/>
      <c r="JS95"/>
      <c r="JT95"/>
      <c r="JU95"/>
      <c r="JV95"/>
      <c r="JW95"/>
      <c r="JX95"/>
      <c r="JY95"/>
      <c r="JZ95"/>
      <c r="KA95"/>
      <c r="KB95"/>
      <c r="KC95"/>
      <c r="KD95"/>
      <c r="KE95"/>
      <c r="KF95"/>
      <c r="KG95"/>
      <c r="KH95"/>
      <c r="KI95"/>
      <c r="KJ95"/>
      <c r="KK95"/>
      <c r="KL95"/>
      <c r="KM95"/>
      <c r="KN95"/>
      <c r="KO95"/>
      <c r="KP95"/>
      <c r="KQ95"/>
      <c r="KR95"/>
      <c r="KS95"/>
      <c r="KT95"/>
      <c r="KU95"/>
      <c r="KV95"/>
      <c r="KW95"/>
      <c r="KX95"/>
      <c r="KY95"/>
      <c r="KZ95"/>
      <c r="LA95"/>
      <c r="LB95"/>
      <c r="LC95"/>
      <c r="LD95"/>
      <c r="LE95"/>
      <c r="LF95"/>
      <c r="LG95"/>
      <c r="LH95"/>
      <c r="LI95"/>
      <c r="LJ95"/>
      <c r="LK95"/>
      <c r="LL95"/>
      <c r="LM95"/>
      <c r="LN95"/>
      <c r="LO95"/>
      <c r="LP95"/>
      <c r="LQ95"/>
      <c r="LR95"/>
      <c r="LS95"/>
      <c r="LT95"/>
      <c r="LU95"/>
      <c r="LV95"/>
      <c r="LW95"/>
      <c r="LX95"/>
      <c r="LY95"/>
      <c r="LZ95"/>
      <c r="MA95"/>
      <c r="MB95"/>
      <c r="MC95"/>
      <c r="MD95"/>
      <c r="ME95"/>
      <c r="MF95"/>
      <c r="MG95"/>
      <c r="MH95"/>
      <c r="MI95"/>
      <c r="MJ95"/>
      <c r="MK95"/>
      <c r="ML95"/>
      <c r="MM95"/>
      <c r="MN95"/>
      <c r="MO95"/>
      <c r="MP95"/>
      <c r="MQ95"/>
      <c r="MR95"/>
      <c r="MS95"/>
      <c r="MT95"/>
      <c r="MU95"/>
      <c r="MV95"/>
      <c r="MW95"/>
      <c r="MX95"/>
      <c r="MY95"/>
      <c r="MZ95"/>
      <c r="NA95"/>
      <c r="NB95"/>
      <c r="NC95"/>
      <c r="ND95"/>
      <c r="NE95"/>
      <c r="NF95"/>
      <c r="NG95"/>
      <c r="NH95"/>
      <c r="NI95"/>
      <c r="NJ95"/>
      <c r="NK95"/>
      <c r="NL95"/>
      <c r="NM95"/>
      <c r="NN95"/>
      <c r="NO95"/>
      <c r="NP95"/>
      <c r="NQ95"/>
      <c r="NR95"/>
      <c r="NS95"/>
      <c r="NT95"/>
      <c r="NU95"/>
      <c r="NV95"/>
      <c r="NW95"/>
      <c r="NX95"/>
      <c r="NY95"/>
      <c r="NZ95"/>
      <c r="OA95"/>
      <c r="OB95"/>
      <c r="OC95"/>
      <c r="OD95"/>
      <c r="OE95"/>
      <c r="OF95"/>
      <c r="OG95"/>
      <c r="OH95"/>
      <c r="OI95"/>
      <c r="OJ95"/>
      <c r="OK95"/>
      <c r="OL95"/>
      <c r="OM95"/>
      <c r="ON95"/>
      <c r="OO95"/>
      <c r="OP95"/>
      <c r="OQ95"/>
      <c r="OR95"/>
      <c r="OS95"/>
      <c r="OT95"/>
      <c r="OU95"/>
      <c r="OV95"/>
      <c r="OW95"/>
      <c r="OX95"/>
      <c r="OY95"/>
      <c r="OZ95"/>
      <c r="PA95"/>
      <c r="PB95"/>
      <c r="PC95"/>
      <c r="PD95"/>
      <c r="PE95"/>
      <c r="PF95"/>
      <c r="PG95"/>
      <c r="PH95"/>
      <c r="PI95"/>
      <c r="PJ95"/>
      <c r="PK95"/>
      <c r="PL95"/>
      <c r="PM95"/>
      <c r="PN95"/>
      <c r="PO95"/>
      <c r="PP95"/>
      <c r="PQ95"/>
      <c r="PR95"/>
      <c r="PS95"/>
      <c r="PT95"/>
      <c r="PU95"/>
      <c r="PV95"/>
      <c r="PW95"/>
      <c r="PX95"/>
      <c r="PY95"/>
      <c r="PZ95"/>
      <c r="QA95"/>
      <c r="QB95"/>
      <c r="QC95"/>
      <c r="QD95"/>
      <c r="QE95"/>
      <c r="QF95"/>
      <c r="QG95"/>
      <c r="QH95"/>
      <c r="QI95"/>
      <c r="QJ95"/>
      <c r="QK95"/>
      <c r="QL95"/>
      <c r="QM95"/>
      <c r="QN95"/>
      <c r="QO95"/>
      <c r="QP95"/>
      <c r="QQ95"/>
      <c r="QR95"/>
      <c r="QS95"/>
      <c r="QT95"/>
      <c r="QU95"/>
      <c r="QV95"/>
      <c r="QW95"/>
      <c r="QX95"/>
    </row>
    <row r="96" spans="1:466" x14ac:dyDescent="0.35">
      <c r="A96" s="53"/>
      <c r="B96" s="53"/>
      <c r="C96" s="55"/>
      <c r="D96" s="53"/>
      <c r="E96" s="53"/>
      <c r="F96" s="126" t="s">
        <v>155</v>
      </c>
      <c r="G96" s="125"/>
      <c r="H96" s="125">
        <v>0</v>
      </c>
      <c r="I96" s="133">
        <v>0</v>
      </c>
      <c r="J96" s="53"/>
      <c r="K96" s="58">
        <v>45427</v>
      </c>
      <c r="L96" s="59" t="str">
        <f>IFERROR(VLOOKUP($A$2,Stok!$B$1:$AA$446,25,0),"")</f>
        <v/>
      </c>
      <c r="M96" s="53"/>
      <c r="N96" s="53"/>
      <c r="O96" s="53"/>
      <c r="P96" s="53"/>
      <c r="Q96" s="53"/>
      <c r="R96" s="53"/>
      <c r="S96" s="53"/>
      <c r="T96" s="53"/>
      <c r="U96" s="53"/>
      <c r="V96" s="53"/>
      <c r="W96" s="53"/>
      <c r="X96" s="53"/>
      <c r="Y96" s="53"/>
      <c r="Z96" s="53"/>
      <c r="AA96" s="53"/>
      <c r="AB96" s="53"/>
      <c r="AC96" s="53"/>
      <c r="AD96" s="53"/>
      <c r="AE96" s="53"/>
      <c r="AF96" s="63"/>
      <c r="AG96" s="64"/>
      <c r="AH96" s="65"/>
      <c r="AI96" s="65"/>
      <c r="AJ96" s="53"/>
      <c r="AK96" s="62"/>
      <c r="AL96" s="62"/>
      <c r="AM96" s="62"/>
      <c r="AN96" s="62"/>
      <c r="AO96" s="62"/>
      <c r="AP96" s="62"/>
      <c r="AQ96" s="62"/>
      <c r="AR96" s="62"/>
      <c r="AS96" s="62"/>
      <c r="AT96" s="62"/>
      <c r="AU96" s="62"/>
      <c r="AV96" s="62"/>
      <c r="AW96" s="62"/>
      <c r="AX96" s="62"/>
      <c r="AY96" s="62"/>
      <c r="AZ96" s="62"/>
      <c r="BA96" s="62"/>
      <c r="BB96" s="62"/>
      <c r="BC96" s="62"/>
      <c r="BD96" s="62"/>
      <c r="BE96" s="62"/>
      <c r="BF96" s="62"/>
      <c r="BG96" s="62"/>
      <c r="BH96" s="62"/>
      <c r="BI96" s="62"/>
      <c r="BJ96" s="62"/>
      <c r="BK96" s="62"/>
      <c r="BL96" s="62"/>
      <c r="BM96" s="62"/>
      <c r="BN96" s="62"/>
      <c r="BO96" s="62"/>
      <c r="BP96" s="62"/>
      <c r="BQ96" s="62"/>
      <c r="BR96" s="62"/>
      <c r="BS96" s="62"/>
      <c r="BT96" s="62"/>
      <c r="BU96" s="62"/>
      <c r="BV96" s="62"/>
      <c r="BW96" s="62"/>
      <c r="BX96" s="62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/>
      <c r="IP96"/>
      <c r="IQ96"/>
      <c r="IR96"/>
      <c r="IS96"/>
      <c r="IT96"/>
      <c r="IU96"/>
      <c r="IV96"/>
      <c r="IW96"/>
      <c r="IX96"/>
      <c r="IY96"/>
      <c r="IZ96"/>
      <c r="JA96"/>
      <c r="JB96"/>
      <c r="JC96"/>
      <c r="JD96"/>
      <c r="JE96"/>
      <c r="JF96"/>
      <c r="JG96"/>
      <c r="JH96"/>
      <c r="JI96"/>
      <c r="JJ96"/>
      <c r="JK96"/>
      <c r="JL96"/>
      <c r="JM96"/>
      <c r="JN96"/>
      <c r="JO96"/>
      <c r="JP96"/>
      <c r="JQ96"/>
      <c r="JR96"/>
      <c r="JS96"/>
      <c r="JT96"/>
      <c r="JU96"/>
      <c r="JV96"/>
      <c r="JW96"/>
      <c r="JX96"/>
      <c r="JY96"/>
      <c r="JZ96"/>
      <c r="KA96"/>
      <c r="KB96"/>
      <c r="KC96"/>
      <c r="KD96"/>
      <c r="KE96"/>
      <c r="KF96"/>
      <c r="KG96"/>
      <c r="KH96"/>
      <c r="KI96"/>
      <c r="KJ96"/>
      <c r="KK96"/>
      <c r="KL96"/>
      <c r="KM96"/>
      <c r="KN96"/>
      <c r="KO96"/>
      <c r="KP96"/>
      <c r="KQ96"/>
      <c r="KR96"/>
      <c r="KS96"/>
      <c r="KT96"/>
      <c r="KU96"/>
      <c r="KV96"/>
      <c r="KW96"/>
      <c r="KX96"/>
      <c r="KY96"/>
      <c r="KZ96"/>
      <c r="LA96"/>
      <c r="LB96"/>
      <c r="LC96"/>
      <c r="LD96"/>
      <c r="LE96"/>
      <c r="LF96"/>
      <c r="LG96"/>
      <c r="LH96"/>
      <c r="LI96"/>
      <c r="LJ96"/>
      <c r="LK96"/>
      <c r="LL96"/>
      <c r="LM96"/>
      <c r="LN96"/>
      <c r="LO96"/>
      <c r="LP96"/>
      <c r="LQ96"/>
      <c r="LR96"/>
      <c r="LS96"/>
      <c r="LT96"/>
      <c r="LU96"/>
      <c r="LV96"/>
      <c r="LW96"/>
      <c r="LX96"/>
      <c r="LY96"/>
      <c r="LZ96"/>
      <c r="MA96"/>
      <c r="MB96"/>
      <c r="MC96"/>
      <c r="MD96"/>
      <c r="ME96"/>
      <c r="MF96"/>
      <c r="MG96"/>
      <c r="MH96"/>
      <c r="MI96"/>
      <c r="MJ96"/>
      <c r="MK96"/>
      <c r="ML96"/>
      <c r="MM96"/>
      <c r="MN96"/>
      <c r="MO96"/>
      <c r="MP96"/>
      <c r="MQ96"/>
      <c r="MR96"/>
      <c r="MS96"/>
      <c r="MT96"/>
      <c r="MU96"/>
      <c r="MV96"/>
      <c r="MW96"/>
      <c r="MX96"/>
      <c r="MY96"/>
      <c r="MZ96"/>
      <c r="NA96"/>
      <c r="NB96"/>
      <c r="NC96"/>
      <c r="ND96"/>
      <c r="NE96"/>
      <c r="NF96"/>
      <c r="NG96"/>
      <c r="NH96"/>
      <c r="NI96"/>
      <c r="NJ96"/>
      <c r="NK96"/>
      <c r="NL96"/>
      <c r="NM96"/>
      <c r="NN96"/>
      <c r="NO96"/>
      <c r="NP96"/>
      <c r="NQ96"/>
      <c r="NR96"/>
      <c r="NS96"/>
      <c r="NT96"/>
      <c r="NU96"/>
      <c r="NV96"/>
      <c r="NW96"/>
      <c r="NX96"/>
      <c r="NY96"/>
      <c r="NZ96"/>
      <c r="OA96"/>
      <c r="OB96"/>
      <c r="OC96"/>
      <c r="OD96"/>
      <c r="OE96"/>
      <c r="OF96"/>
      <c r="OG96"/>
      <c r="OH96"/>
      <c r="OI96"/>
      <c r="OJ96"/>
      <c r="OK96"/>
      <c r="OL96"/>
      <c r="OM96"/>
      <c r="ON96"/>
      <c r="OO96"/>
      <c r="OP96"/>
      <c r="OQ96"/>
      <c r="OR96"/>
      <c r="OS96"/>
      <c r="OT96"/>
      <c r="OU96"/>
      <c r="OV96"/>
      <c r="OW96"/>
      <c r="OX96"/>
      <c r="OY96"/>
      <c r="OZ96"/>
      <c r="PA96"/>
      <c r="PB96"/>
      <c r="PC96"/>
      <c r="PD96"/>
      <c r="PE96"/>
      <c r="PF96"/>
      <c r="PG96"/>
      <c r="PH96"/>
      <c r="PI96"/>
      <c r="PJ96"/>
      <c r="PK96"/>
      <c r="PL96"/>
      <c r="PM96"/>
      <c r="PN96"/>
      <c r="PO96"/>
      <c r="PP96"/>
      <c r="PQ96"/>
      <c r="PR96"/>
      <c r="PS96"/>
      <c r="PT96"/>
      <c r="PU96"/>
      <c r="PV96"/>
      <c r="PW96"/>
      <c r="PX96"/>
      <c r="PY96"/>
      <c r="PZ96"/>
      <c r="QA96"/>
      <c r="QB96"/>
      <c r="QC96"/>
      <c r="QD96"/>
      <c r="QE96"/>
      <c r="QF96"/>
      <c r="QG96"/>
      <c r="QH96"/>
      <c r="QI96"/>
      <c r="QJ96"/>
      <c r="QK96"/>
      <c r="QL96"/>
      <c r="QM96"/>
      <c r="QN96"/>
      <c r="QO96"/>
      <c r="QP96"/>
      <c r="QQ96"/>
      <c r="QR96"/>
      <c r="QS96"/>
      <c r="QT96"/>
      <c r="QU96"/>
      <c r="QV96"/>
      <c r="QW96"/>
      <c r="QX96"/>
    </row>
    <row r="97" spans="1:466" x14ac:dyDescent="0.35">
      <c r="A97" s="53"/>
      <c r="B97" s="53"/>
      <c r="C97" s="55"/>
      <c r="D97" s="53"/>
      <c r="E97" s="53"/>
      <c r="F97" s="126" t="s">
        <v>150</v>
      </c>
      <c r="G97" s="125"/>
      <c r="H97" s="125">
        <v>0</v>
      </c>
      <c r="I97" s="133">
        <v>0</v>
      </c>
      <c r="J97" s="53"/>
      <c r="K97" s="58">
        <v>45427</v>
      </c>
      <c r="L97" s="59" t="str">
        <f>IFERROR(VLOOKUP($A$2,Stok!$B$1:$AA$446,26,0),"")</f>
        <v/>
      </c>
      <c r="M97" s="53"/>
      <c r="N97" s="53"/>
      <c r="O97" s="53"/>
      <c r="P97" s="53"/>
      <c r="Q97" s="53"/>
      <c r="R97" s="53"/>
      <c r="S97" s="53"/>
      <c r="T97" s="53"/>
      <c r="U97" s="53"/>
      <c r="V97" s="53"/>
      <c r="W97" s="53"/>
      <c r="X97" s="53"/>
      <c r="Y97" s="53"/>
      <c r="Z97" s="53"/>
      <c r="AA97" s="53"/>
      <c r="AB97" s="53"/>
      <c r="AC97" s="53"/>
      <c r="AD97" s="53"/>
      <c r="AE97" s="53"/>
      <c r="AF97" s="63"/>
      <c r="AG97" s="64"/>
      <c r="AH97" s="65"/>
      <c r="AI97" s="65"/>
      <c r="AJ97" s="53"/>
      <c r="AK97" s="62"/>
      <c r="AL97" s="62"/>
      <c r="AM97" s="62"/>
      <c r="AN97" s="62"/>
      <c r="AO97" s="62"/>
      <c r="AP97" s="62"/>
      <c r="AQ97" s="62"/>
      <c r="AR97" s="62"/>
      <c r="AS97" s="62"/>
      <c r="AT97" s="62"/>
      <c r="AU97" s="62"/>
      <c r="AV97" s="62"/>
      <c r="AW97" s="62"/>
      <c r="AX97" s="62"/>
      <c r="AY97" s="62"/>
      <c r="AZ97" s="62"/>
      <c r="BA97" s="62"/>
      <c r="BB97" s="62"/>
      <c r="BC97" s="62"/>
      <c r="BD97" s="62"/>
      <c r="BE97" s="62"/>
      <c r="BF97" s="62"/>
      <c r="BG97" s="62"/>
      <c r="BH97" s="62"/>
      <c r="BI97" s="62"/>
      <c r="BJ97" s="62"/>
      <c r="BK97" s="62"/>
      <c r="BL97" s="62"/>
      <c r="BM97" s="62"/>
      <c r="BN97" s="62"/>
      <c r="BO97" s="62"/>
      <c r="BP97" s="62"/>
      <c r="BQ97" s="62"/>
      <c r="BR97" s="62"/>
      <c r="BS97" s="62"/>
      <c r="BT97" s="62"/>
      <c r="BU97" s="62"/>
      <c r="BV97" s="62"/>
      <c r="BW97" s="62"/>
      <c r="BX97" s="62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  <c r="IO97"/>
      <c r="IP97"/>
      <c r="IQ97"/>
      <c r="IR97"/>
      <c r="IS97"/>
      <c r="IT97"/>
      <c r="IU97"/>
      <c r="IV97"/>
      <c r="IW97"/>
      <c r="IX97"/>
      <c r="IY97"/>
      <c r="IZ97"/>
      <c r="JA97"/>
      <c r="JB97"/>
      <c r="JC97"/>
      <c r="JD97"/>
      <c r="JE97"/>
      <c r="JF97"/>
      <c r="JG97"/>
      <c r="JH97"/>
      <c r="JI97"/>
      <c r="JJ97"/>
      <c r="JK97"/>
      <c r="JL97"/>
      <c r="JM97"/>
      <c r="JN97"/>
      <c r="JO97"/>
      <c r="JP97"/>
      <c r="JQ97"/>
      <c r="JR97"/>
      <c r="JS97"/>
      <c r="JT97"/>
      <c r="JU97"/>
      <c r="JV97"/>
      <c r="JW97"/>
      <c r="JX97"/>
      <c r="JY97"/>
      <c r="JZ97"/>
      <c r="KA97"/>
      <c r="KB97"/>
      <c r="KC97"/>
      <c r="KD97"/>
      <c r="KE97"/>
      <c r="KF97"/>
      <c r="KG97"/>
      <c r="KH97"/>
      <c r="KI97"/>
      <c r="KJ97"/>
      <c r="KK97"/>
      <c r="KL97"/>
      <c r="KM97"/>
      <c r="KN97"/>
      <c r="KO97"/>
      <c r="KP97"/>
      <c r="KQ97"/>
      <c r="KR97"/>
      <c r="KS97"/>
      <c r="KT97"/>
      <c r="KU97"/>
      <c r="KV97"/>
      <c r="KW97"/>
      <c r="KX97"/>
      <c r="KY97"/>
      <c r="KZ97"/>
      <c r="LA97"/>
      <c r="LB97"/>
      <c r="LC97"/>
      <c r="LD97"/>
      <c r="LE97"/>
      <c r="LF97"/>
      <c r="LG97"/>
      <c r="LH97"/>
      <c r="LI97"/>
      <c r="LJ97"/>
      <c r="LK97"/>
      <c r="LL97"/>
      <c r="LM97"/>
      <c r="LN97"/>
      <c r="LO97"/>
      <c r="LP97"/>
      <c r="LQ97"/>
      <c r="LR97"/>
      <c r="LS97"/>
      <c r="LT97"/>
      <c r="LU97"/>
      <c r="LV97"/>
      <c r="LW97"/>
      <c r="LX97"/>
      <c r="LY97"/>
      <c r="LZ97"/>
      <c r="MA97"/>
      <c r="MB97"/>
      <c r="MC97"/>
      <c r="MD97"/>
      <c r="ME97"/>
      <c r="MF97"/>
      <c r="MG97"/>
      <c r="MH97"/>
      <c r="MI97"/>
      <c r="MJ97"/>
      <c r="MK97"/>
      <c r="ML97"/>
      <c r="MM97"/>
      <c r="MN97"/>
      <c r="MO97"/>
      <c r="MP97"/>
      <c r="MQ97"/>
      <c r="MR97"/>
      <c r="MS97"/>
      <c r="MT97"/>
      <c r="MU97"/>
      <c r="MV97"/>
      <c r="MW97"/>
      <c r="MX97"/>
      <c r="MY97"/>
      <c r="MZ97"/>
      <c r="NA97"/>
      <c r="NB97"/>
      <c r="NC97"/>
      <c r="ND97"/>
      <c r="NE97"/>
      <c r="NF97"/>
      <c r="NG97"/>
      <c r="NH97"/>
      <c r="NI97"/>
      <c r="NJ97"/>
      <c r="NK97"/>
      <c r="NL97"/>
      <c r="NM97"/>
      <c r="NN97"/>
      <c r="NO97"/>
      <c r="NP97"/>
      <c r="NQ97"/>
      <c r="NR97"/>
      <c r="NS97"/>
      <c r="NT97"/>
      <c r="NU97"/>
      <c r="NV97"/>
      <c r="NW97"/>
      <c r="NX97"/>
      <c r="NY97"/>
      <c r="NZ97"/>
      <c r="OA97"/>
      <c r="OB97"/>
      <c r="OC97"/>
      <c r="OD97"/>
      <c r="OE97"/>
      <c r="OF97"/>
      <c r="OG97"/>
      <c r="OH97"/>
      <c r="OI97"/>
      <c r="OJ97"/>
      <c r="OK97"/>
      <c r="OL97"/>
      <c r="OM97"/>
      <c r="ON97"/>
      <c r="OO97"/>
      <c r="OP97"/>
      <c r="OQ97"/>
      <c r="OR97"/>
      <c r="OS97"/>
      <c r="OT97"/>
      <c r="OU97"/>
      <c r="OV97"/>
      <c r="OW97"/>
      <c r="OX97"/>
      <c r="OY97"/>
      <c r="OZ97"/>
      <c r="PA97"/>
      <c r="PB97"/>
      <c r="PC97"/>
      <c r="PD97"/>
      <c r="PE97"/>
      <c r="PF97"/>
      <c r="PG97"/>
      <c r="PH97"/>
      <c r="PI97"/>
      <c r="PJ97"/>
      <c r="PK97"/>
      <c r="PL97"/>
      <c r="PM97"/>
      <c r="PN97"/>
      <c r="PO97"/>
      <c r="PP97"/>
      <c r="PQ97"/>
      <c r="PR97"/>
      <c r="PS97"/>
      <c r="PT97"/>
      <c r="PU97"/>
      <c r="PV97"/>
      <c r="PW97"/>
      <c r="PX97"/>
      <c r="PY97"/>
      <c r="PZ97"/>
      <c r="QA97"/>
      <c r="QB97"/>
      <c r="QC97"/>
      <c r="QD97"/>
      <c r="QE97"/>
      <c r="QF97"/>
      <c r="QG97"/>
      <c r="QH97"/>
      <c r="QI97"/>
      <c r="QJ97"/>
      <c r="QK97"/>
      <c r="QL97"/>
      <c r="QM97"/>
      <c r="QN97"/>
      <c r="QO97"/>
      <c r="QP97"/>
      <c r="QQ97"/>
      <c r="QR97"/>
      <c r="QS97"/>
      <c r="QT97"/>
      <c r="QU97"/>
      <c r="QV97"/>
      <c r="QW97"/>
      <c r="QX97"/>
    </row>
    <row r="98" spans="1:466" x14ac:dyDescent="0.35">
      <c r="A98" s="53"/>
      <c r="B98" s="53"/>
      <c r="C98" s="55"/>
      <c r="D98" s="53"/>
      <c r="E98" s="53"/>
      <c r="F98" s="126" t="s">
        <v>1263</v>
      </c>
      <c r="G98" s="125"/>
      <c r="H98" s="125">
        <v>0</v>
      </c>
      <c r="I98" s="133">
        <v>0</v>
      </c>
      <c r="J98" s="53"/>
      <c r="K98" s="58">
        <v>45411</v>
      </c>
      <c r="L98" s="59" t="str">
        <f>IFERROR(VLOOKUP($A$2,Stok!$B$1:$AA$446,24,0),"")</f>
        <v/>
      </c>
      <c r="M98" s="53"/>
      <c r="N98" s="53"/>
      <c r="O98" s="53"/>
      <c r="P98" s="53"/>
      <c r="Q98" s="53"/>
      <c r="R98" s="53"/>
      <c r="S98" s="53"/>
      <c r="T98" s="53"/>
      <c r="U98" s="53"/>
      <c r="V98" s="53"/>
      <c r="W98" s="53"/>
      <c r="X98" s="53"/>
      <c r="Y98" s="53"/>
      <c r="Z98" s="53"/>
      <c r="AA98" s="53"/>
      <c r="AB98" s="53"/>
      <c r="AC98" s="53"/>
      <c r="AD98" s="53"/>
      <c r="AE98" s="53"/>
      <c r="AF98" s="63"/>
      <c r="AG98" s="64"/>
      <c r="AH98" s="65"/>
      <c r="AI98" s="65"/>
      <c r="AJ98" s="53"/>
      <c r="AK98" s="62"/>
      <c r="AL98" s="62"/>
      <c r="AM98" s="62"/>
      <c r="AN98" s="62"/>
      <c r="AO98" s="62"/>
      <c r="AP98" s="62"/>
      <c r="AQ98" s="62"/>
      <c r="AR98" s="62"/>
      <c r="AS98" s="62"/>
      <c r="AT98" s="62"/>
      <c r="AU98" s="62"/>
      <c r="AV98" s="62"/>
      <c r="AW98" s="62"/>
      <c r="AX98" s="62"/>
      <c r="AY98" s="62"/>
      <c r="AZ98" s="62"/>
      <c r="BA98" s="62"/>
      <c r="BB98" s="62"/>
      <c r="BC98" s="62"/>
      <c r="BD98" s="62"/>
      <c r="BE98" s="62"/>
      <c r="BF98" s="62"/>
      <c r="BG98" s="62"/>
      <c r="BH98" s="62"/>
      <c r="BI98" s="62"/>
      <c r="BJ98" s="62"/>
      <c r="BK98" s="62"/>
      <c r="BL98" s="62"/>
      <c r="BM98" s="62"/>
      <c r="BN98" s="62"/>
      <c r="BO98" s="62"/>
      <c r="BP98" s="62"/>
      <c r="BQ98" s="62"/>
      <c r="BR98" s="62"/>
      <c r="BS98" s="62"/>
      <c r="BT98" s="62"/>
      <c r="BU98" s="62"/>
      <c r="BV98" s="62"/>
      <c r="BW98" s="62"/>
      <c r="BX98" s="62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  <c r="IM98"/>
      <c r="IN98"/>
      <c r="IO98"/>
      <c r="IP98"/>
      <c r="IQ98"/>
      <c r="IR98"/>
      <c r="IS98"/>
      <c r="IT98"/>
      <c r="IU98"/>
      <c r="IV98"/>
      <c r="IW98"/>
      <c r="IX98"/>
      <c r="IY98"/>
      <c r="IZ98"/>
      <c r="JA98"/>
      <c r="JB98"/>
      <c r="JC98"/>
      <c r="JD98"/>
      <c r="JE98"/>
      <c r="JF98"/>
      <c r="JG98"/>
      <c r="JH98"/>
      <c r="JI98"/>
      <c r="JJ98"/>
      <c r="JK98"/>
      <c r="JL98"/>
      <c r="JM98"/>
      <c r="JN98"/>
      <c r="JO98"/>
      <c r="JP98"/>
      <c r="JQ98"/>
      <c r="JR98"/>
      <c r="JS98"/>
      <c r="JT98"/>
      <c r="JU98"/>
      <c r="JV98"/>
      <c r="JW98"/>
      <c r="JX98"/>
      <c r="JY98"/>
      <c r="JZ98"/>
      <c r="KA98"/>
      <c r="KB98"/>
      <c r="KC98"/>
      <c r="KD98"/>
      <c r="KE98"/>
      <c r="KF98"/>
      <c r="KG98"/>
      <c r="KH98"/>
      <c r="KI98"/>
      <c r="KJ98"/>
      <c r="KK98"/>
      <c r="KL98"/>
      <c r="KM98"/>
      <c r="KN98"/>
      <c r="KO98"/>
      <c r="KP98"/>
      <c r="KQ98"/>
      <c r="KR98"/>
      <c r="KS98"/>
      <c r="KT98"/>
      <c r="KU98"/>
      <c r="KV98"/>
      <c r="KW98"/>
      <c r="KX98"/>
      <c r="KY98"/>
      <c r="KZ98"/>
      <c r="LA98"/>
      <c r="LB98"/>
      <c r="LC98"/>
      <c r="LD98"/>
      <c r="LE98"/>
      <c r="LF98"/>
      <c r="LG98"/>
      <c r="LH98"/>
      <c r="LI98"/>
      <c r="LJ98"/>
      <c r="LK98"/>
      <c r="LL98"/>
      <c r="LM98"/>
      <c r="LN98"/>
      <c r="LO98"/>
      <c r="LP98"/>
      <c r="LQ98"/>
      <c r="LR98"/>
      <c r="LS98"/>
      <c r="LT98"/>
      <c r="LU98"/>
      <c r="LV98"/>
      <c r="LW98"/>
      <c r="LX98"/>
      <c r="LY98"/>
      <c r="LZ98"/>
      <c r="MA98"/>
      <c r="MB98"/>
      <c r="MC98"/>
      <c r="MD98"/>
      <c r="ME98"/>
      <c r="MF98"/>
      <c r="MG98"/>
      <c r="MH98"/>
      <c r="MI98"/>
      <c r="MJ98"/>
      <c r="MK98"/>
      <c r="ML98"/>
      <c r="MM98"/>
      <c r="MN98"/>
      <c r="MO98"/>
      <c r="MP98"/>
      <c r="MQ98"/>
      <c r="MR98"/>
      <c r="MS98"/>
      <c r="MT98"/>
      <c r="MU98"/>
      <c r="MV98"/>
      <c r="MW98"/>
      <c r="MX98"/>
      <c r="MY98"/>
      <c r="MZ98"/>
      <c r="NA98"/>
      <c r="NB98"/>
      <c r="NC98"/>
      <c r="ND98"/>
      <c r="NE98"/>
      <c r="NF98"/>
      <c r="NG98"/>
      <c r="NH98"/>
      <c r="NI98"/>
      <c r="NJ98"/>
      <c r="NK98"/>
      <c r="NL98"/>
      <c r="NM98"/>
      <c r="NN98"/>
      <c r="NO98"/>
      <c r="NP98"/>
      <c r="NQ98"/>
      <c r="NR98"/>
      <c r="NS98"/>
      <c r="NT98"/>
      <c r="NU98"/>
      <c r="NV98"/>
      <c r="NW98"/>
      <c r="NX98"/>
      <c r="NY98"/>
      <c r="NZ98"/>
      <c r="OA98"/>
      <c r="OB98"/>
      <c r="OC98"/>
      <c r="OD98"/>
      <c r="OE98"/>
      <c r="OF98"/>
      <c r="OG98"/>
      <c r="OH98"/>
      <c r="OI98"/>
      <c r="OJ98"/>
      <c r="OK98"/>
      <c r="OL98"/>
      <c r="OM98"/>
      <c r="ON98"/>
      <c r="OO98"/>
      <c r="OP98"/>
      <c r="OQ98"/>
      <c r="OR98"/>
      <c r="OS98"/>
      <c r="OT98"/>
      <c r="OU98"/>
      <c r="OV98"/>
      <c r="OW98"/>
      <c r="OX98"/>
      <c r="OY98"/>
      <c r="OZ98"/>
      <c r="PA98"/>
      <c r="PB98"/>
      <c r="PC98"/>
      <c r="PD98"/>
      <c r="PE98"/>
      <c r="PF98"/>
      <c r="PG98"/>
      <c r="PH98"/>
      <c r="PI98"/>
      <c r="PJ98"/>
      <c r="PK98"/>
      <c r="PL98"/>
      <c r="PM98"/>
      <c r="PN98"/>
      <c r="PO98"/>
      <c r="PP98"/>
      <c r="PQ98"/>
      <c r="PR98"/>
      <c r="PS98"/>
      <c r="PT98"/>
      <c r="PU98"/>
      <c r="PV98"/>
      <c r="PW98"/>
      <c r="PX98"/>
      <c r="PY98"/>
      <c r="PZ98"/>
      <c r="QA98"/>
      <c r="QB98"/>
      <c r="QC98"/>
      <c r="QD98"/>
      <c r="QE98"/>
      <c r="QF98"/>
      <c r="QG98"/>
      <c r="QH98"/>
      <c r="QI98"/>
      <c r="QJ98"/>
      <c r="QK98"/>
      <c r="QL98"/>
      <c r="QM98"/>
      <c r="QN98"/>
      <c r="QO98"/>
      <c r="QP98"/>
      <c r="QQ98"/>
      <c r="QR98"/>
      <c r="QS98"/>
      <c r="QT98"/>
      <c r="QU98"/>
      <c r="QV98"/>
      <c r="QW98"/>
      <c r="QX98"/>
    </row>
    <row r="99" spans="1:466" x14ac:dyDescent="0.35">
      <c r="A99" s="53"/>
      <c r="B99" s="53"/>
      <c r="C99" s="55"/>
      <c r="D99" s="53"/>
      <c r="E99" s="53"/>
      <c r="F99" s="126" t="s">
        <v>157</v>
      </c>
      <c r="G99" s="125"/>
      <c r="H99" s="125">
        <v>0</v>
      </c>
      <c r="I99" s="133">
        <v>6</v>
      </c>
      <c r="J99" s="53"/>
      <c r="K99" s="58">
        <v>45397</v>
      </c>
      <c r="L99" s="59" t="str">
        <f>IFERROR(VLOOKUP($A$2,Stok!$B$1:$AA$446,23,0),"")</f>
        <v/>
      </c>
      <c r="M99" s="53"/>
      <c r="N99" s="53"/>
      <c r="O99" s="53"/>
      <c r="P99" s="53"/>
      <c r="Q99" s="53"/>
      <c r="R99" s="53"/>
      <c r="S99" s="53"/>
      <c r="T99" s="53"/>
      <c r="U99" s="53"/>
      <c r="V99" s="53"/>
      <c r="W99" s="53"/>
      <c r="X99" s="53"/>
      <c r="Y99" s="53"/>
      <c r="Z99" s="53"/>
      <c r="AA99" s="53"/>
      <c r="AB99" s="53"/>
      <c r="AC99" s="53"/>
      <c r="AD99" s="53"/>
      <c r="AE99" s="53"/>
      <c r="AF99" s="63"/>
      <c r="AG99" s="64"/>
      <c r="AH99" s="65"/>
      <c r="AI99" s="65"/>
      <c r="AJ99" s="53"/>
      <c r="AK99" s="62"/>
      <c r="AL99" s="62"/>
      <c r="AM99" s="62"/>
      <c r="AN99" s="62"/>
      <c r="AO99" s="62"/>
      <c r="AP99" s="62"/>
      <c r="AQ99" s="62"/>
      <c r="AR99" s="62"/>
      <c r="AS99" s="62"/>
      <c r="AT99" s="62"/>
      <c r="AU99" s="62"/>
      <c r="AV99" s="62"/>
      <c r="AW99" s="62"/>
      <c r="AX99" s="62"/>
      <c r="AY99" s="62"/>
      <c r="AZ99" s="62"/>
      <c r="BA99" s="62"/>
      <c r="BB99" s="62"/>
      <c r="BC99" s="62"/>
      <c r="BD99" s="62"/>
      <c r="BE99" s="62"/>
      <c r="BF99" s="62"/>
      <c r="BG99" s="62"/>
      <c r="BH99" s="62"/>
      <c r="BI99" s="62"/>
      <c r="BJ99" s="62"/>
      <c r="BK99" s="62"/>
      <c r="BL99" s="62"/>
      <c r="BM99" s="62"/>
      <c r="BN99" s="62"/>
      <c r="BO99" s="62"/>
      <c r="BP99" s="62"/>
      <c r="BQ99" s="62"/>
      <c r="BR99" s="62"/>
      <c r="BS99" s="62"/>
      <c r="BT99" s="62"/>
      <c r="BU99" s="62"/>
      <c r="BV99" s="62"/>
      <c r="BW99" s="62"/>
      <c r="BX99" s="62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HV99"/>
      <c r="HW99"/>
      <c r="HX99"/>
      <c r="HY99"/>
      <c r="HZ99"/>
      <c r="IA99"/>
      <c r="IB99"/>
      <c r="IC99"/>
      <c r="ID99"/>
      <c r="IE99"/>
      <c r="IF99"/>
      <c r="IG99"/>
      <c r="IH99"/>
      <c r="II99"/>
      <c r="IJ99"/>
      <c r="IK99"/>
      <c r="IL99"/>
      <c r="IM99"/>
      <c r="IN99"/>
      <c r="IO99"/>
      <c r="IP99"/>
      <c r="IQ99"/>
      <c r="IR99"/>
      <c r="IS99"/>
      <c r="IT99"/>
      <c r="IU99"/>
      <c r="IV99"/>
      <c r="IW99"/>
      <c r="IX99"/>
      <c r="IY99"/>
      <c r="IZ99"/>
      <c r="JA99"/>
      <c r="JB99"/>
      <c r="JC99"/>
      <c r="JD99"/>
      <c r="JE99"/>
      <c r="JF99"/>
      <c r="JG99"/>
      <c r="JH99"/>
      <c r="JI99"/>
      <c r="JJ99"/>
      <c r="JK99"/>
      <c r="JL99"/>
      <c r="JM99"/>
      <c r="JN99"/>
      <c r="JO99"/>
      <c r="JP99"/>
      <c r="JQ99"/>
      <c r="JR99"/>
      <c r="JS99"/>
      <c r="JT99"/>
      <c r="JU99"/>
      <c r="JV99"/>
      <c r="JW99"/>
      <c r="JX99"/>
      <c r="JY99"/>
      <c r="JZ99"/>
      <c r="KA99"/>
      <c r="KB99"/>
      <c r="KC99"/>
      <c r="KD99"/>
      <c r="KE99"/>
      <c r="KF99"/>
      <c r="KG99"/>
      <c r="KH99"/>
      <c r="KI99"/>
      <c r="KJ99"/>
      <c r="KK99"/>
      <c r="KL99"/>
      <c r="KM99"/>
      <c r="KN99"/>
      <c r="KO99"/>
      <c r="KP99"/>
      <c r="KQ99"/>
      <c r="KR99"/>
      <c r="KS99"/>
      <c r="KT99"/>
      <c r="KU99"/>
      <c r="KV99"/>
      <c r="KW99"/>
      <c r="KX99"/>
      <c r="KY99"/>
      <c r="KZ99"/>
      <c r="LA99"/>
      <c r="LB99"/>
      <c r="LC99"/>
      <c r="LD99"/>
      <c r="LE99"/>
      <c r="LF99"/>
      <c r="LG99"/>
      <c r="LH99"/>
      <c r="LI99"/>
      <c r="LJ99"/>
      <c r="LK99"/>
      <c r="LL99"/>
      <c r="LM99"/>
      <c r="LN99"/>
      <c r="LO99"/>
      <c r="LP99"/>
      <c r="LQ99"/>
      <c r="LR99"/>
      <c r="LS99"/>
      <c r="LT99"/>
      <c r="LU99"/>
      <c r="LV99"/>
      <c r="LW99"/>
      <c r="LX99"/>
      <c r="LY99"/>
      <c r="LZ99"/>
      <c r="MA99"/>
      <c r="MB99"/>
      <c r="MC99"/>
      <c r="MD99"/>
      <c r="ME99"/>
      <c r="MF99"/>
      <c r="MG99"/>
      <c r="MH99"/>
      <c r="MI99"/>
      <c r="MJ99"/>
      <c r="MK99"/>
      <c r="ML99"/>
      <c r="MM99"/>
      <c r="MN99"/>
      <c r="MO99"/>
      <c r="MP99"/>
      <c r="MQ99"/>
      <c r="MR99"/>
      <c r="MS99"/>
      <c r="MT99"/>
      <c r="MU99"/>
      <c r="MV99"/>
      <c r="MW99"/>
      <c r="MX99"/>
      <c r="MY99"/>
      <c r="MZ99"/>
      <c r="NA99"/>
      <c r="NB99"/>
      <c r="NC99"/>
      <c r="ND99"/>
      <c r="NE99"/>
      <c r="NF99"/>
      <c r="NG99"/>
      <c r="NH99"/>
      <c r="NI99"/>
      <c r="NJ99"/>
      <c r="NK99"/>
      <c r="NL99"/>
      <c r="NM99"/>
      <c r="NN99"/>
      <c r="NO99"/>
      <c r="NP99"/>
      <c r="NQ99"/>
      <c r="NR99"/>
      <c r="NS99"/>
      <c r="NT99"/>
      <c r="NU99"/>
      <c r="NV99"/>
      <c r="NW99"/>
      <c r="NX99"/>
      <c r="NY99"/>
      <c r="NZ99"/>
      <c r="OA99"/>
      <c r="OB99"/>
      <c r="OC99"/>
      <c r="OD99"/>
      <c r="OE99"/>
      <c r="OF99"/>
      <c r="OG99"/>
      <c r="OH99"/>
      <c r="OI99"/>
      <c r="OJ99"/>
      <c r="OK99"/>
      <c r="OL99"/>
      <c r="OM99"/>
      <c r="ON99"/>
      <c r="OO99"/>
      <c r="OP99"/>
      <c r="OQ99"/>
      <c r="OR99"/>
      <c r="OS99"/>
      <c r="OT99"/>
      <c r="OU99"/>
      <c r="OV99"/>
      <c r="OW99"/>
      <c r="OX99"/>
      <c r="OY99"/>
      <c r="OZ99"/>
      <c r="PA99"/>
      <c r="PB99"/>
      <c r="PC99"/>
      <c r="PD99"/>
      <c r="PE99"/>
      <c r="PF99"/>
      <c r="PG99"/>
      <c r="PH99"/>
      <c r="PI99"/>
      <c r="PJ99"/>
      <c r="PK99"/>
      <c r="PL99"/>
      <c r="PM99"/>
      <c r="PN99"/>
      <c r="PO99"/>
      <c r="PP99"/>
      <c r="PQ99"/>
      <c r="PR99"/>
      <c r="PS99"/>
      <c r="PT99"/>
      <c r="PU99"/>
      <c r="PV99"/>
      <c r="PW99"/>
      <c r="PX99"/>
      <c r="PY99"/>
      <c r="PZ99"/>
      <c r="QA99"/>
      <c r="QB99"/>
      <c r="QC99"/>
      <c r="QD99"/>
      <c r="QE99"/>
      <c r="QF99"/>
      <c r="QG99"/>
      <c r="QH99"/>
      <c r="QI99"/>
      <c r="QJ99"/>
      <c r="QK99"/>
      <c r="QL99"/>
      <c r="QM99"/>
      <c r="QN99"/>
      <c r="QO99"/>
      <c r="QP99"/>
      <c r="QQ99"/>
      <c r="QR99"/>
      <c r="QS99"/>
      <c r="QT99"/>
      <c r="QU99"/>
      <c r="QV99"/>
      <c r="QW99"/>
      <c r="QX99"/>
    </row>
    <row r="100" spans="1:466" x14ac:dyDescent="0.35">
      <c r="A100" s="53"/>
      <c r="B100" s="53"/>
      <c r="C100" s="55"/>
      <c r="D100" s="53"/>
      <c r="E100" s="53"/>
      <c r="F100" s="126" t="s">
        <v>1230</v>
      </c>
      <c r="G100" s="125"/>
      <c r="H100" s="125">
        <v>0</v>
      </c>
      <c r="I100" s="133">
        <v>2</v>
      </c>
      <c r="J100" s="53"/>
      <c r="K100" s="58">
        <v>45376</v>
      </c>
      <c r="L100" s="59" t="str">
        <f>IFERROR(VLOOKUP($A$2,Stok!$B$1:$AA$446,22,0),"")</f>
        <v/>
      </c>
      <c r="M100" s="53"/>
      <c r="N100" s="53"/>
      <c r="O100" s="53"/>
      <c r="P100" s="53"/>
      <c r="Q100" s="53"/>
      <c r="R100" s="53"/>
      <c r="S100" s="53"/>
      <c r="T100" s="53"/>
      <c r="U100" s="53"/>
      <c r="V100" s="53"/>
      <c r="W100" s="53"/>
      <c r="X100" s="53"/>
      <c r="Y100" s="53"/>
      <c r="Z100" s="53"/>
      <c r="AA100" s="53"/>
      <c r="AB100" s="53"/>
      <c r="AC100" s="53"/>
      <c r="AD100" s="53"/>
      <c r="AE100" s="53"/>
      <c r="AF100" s="63"/>
      <c r="AG100" s="64"/>
      <c r="AH100" s="65"/>
      <c r="AI100" s="65"/>
      <c r="AJ100" s="53"/>
      <c r="AK100" s="62"/>
      <c r="AL100" s="62"/>
      <c r="AM100" s="62"/>
      <c r="AN100" s="62"/>
      <c r="AO100" s="62"/>
      <c r="AP100" s="62"/>
      <c r="AQ100" s="62"/>
      <c r="AR100" s="62"/>
      <c r="AS100" s="62"/>
      <c r="AT100" s="62"/>
      <c r="AU100" s="62"/>
      <c r="AV100" s="62"/>
      <c r="AW100" s="62"/>
      <c r="AX100" s="62"/>
      <c r="AY100" s="62"/>
      <c r="AZ100" s="62"/>
      <c r="BA100" s="62"/>
      <c r="BB100" s="62"/>
      <c r="BC100" s="62"/>
      <c r="BD100" s="62"/>
      <c r="BE100" s="62"/>
      <c r="BF100" s="62"/>
      <c r="BG100" s="62"/>
      <c r="BH100" s="62"/>
      <c r="BI100" s="62"/>
      <c r="BJ100" s="62"/>
      <c r="BK100" s="62"/>
      <c r="BL100" s="62"/>
      <c r="BM100" s="62"/>
      <c r="BN100" s="62"/>
      <c r="BO100" s="62"/>
      <c r="BP100" s="62"/>
      <c r="BQ100" s="62"/>
      <c r="BR100" s="62"/>
      <c r="BS100" s="62"/>
      <c r="BT100" s="62"/>
      <c r="BU100" s="62"/>
      <c r="BV100" s="62"/>
      <c r="BW100" s="62"/>
      <c r="BX100" s="62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/>
      <c r="HU100"/>
      <c r="HV100"/>
      <c r="HW100"/>
      <c r="HX100"/>
      <c r="HY100"/>
      <c r="HZ100"/>
      <c r="IA100"/>
      <c r="IB100"/>
      <c r="IC100"/>
      <c r="ID100"/>
      <c r="IE100"/>
      <c r="IF100"/>
      <c r="IG100"/>
      <c r="IH100"/>
      <c r="II100"/>
      <c r="IJ100"/>
      <c r="IK100"/>
      <c r="IL100"/>
      <c r="IM100"/>
      <c r="IN100"/>
      <c r="IO100"/>
      <c r="IP100"/>
      <c r="IQ100"/>
      <c r="IR100"/>
      <c r="IS100"/>
      <c r="IT100"/>
      <c r="IU100"/>
      <c r="IV100"/>
      <c r="IW100"/>
      <c r="IX100"/>
      <c r="IY100"/>
      <c r="IZ100"/>
      <c r="JA100"/>
      <c r="JB100"/>
      <c r="JC100"/>
      <c r="JD100"/>
      <c r="JE100"/>
      <c r="JF100"/>
      <c r="JG100"/>
      <c r="JH100"/>
      <c r="JI100"/>
      <c r="JJ100"/>
      <c r="JK100"/>
      <c r="JL100"/>
      <c r="JM100"/>
      <c r="JN100"/>
      <c r="JO100"/>
      <c r="JP100"/>
      <c r="JQ100"/>
      <c r="JR100"/>
      <c r="JS100"/>
      <c r="JT100"/>
      <c r="JU100"/>
      <c r="JV100"/>
      <c r="JW100"/>
      <c r="JX100"/>
      <c r="JY100"/>
      <c r="JZ100"/>
      <c r="KA100"/>
      <c r="KB100"/>
      <c r="KC100"/>
      <c r="KD100"/>
      <c r="KE100"/>
      <c r="KF100"/>
      <c r="KG100"/>
      <c r="KH100"/>
      <c r="KI100"/>
      <c r="KJ100"/>
      <c r="KK100"/>
      <c r="KL100"/>
      <c r="KM100"/>
      <c r="KN100"/>
      <c r="KO100"/>
      <c r="KP100"/>
      <c r="KQ100"/>
      <c r="KR100"/>
      <c r="KS100"/>
      <c r="KT100"/>
      <c r="KU100"/>
      <c r="KV100"/>
      <c r="KW100"/>
      <c r="KX100"/>
      <c r="KY100"/>
      <c r="KZ100"/>
      <c r="LA100"/>
      <c r="LB100"/>
      <c r="LC100"/>
      <c r="LD100"/>
      <c r="LE100"/>
      <c r="LF100"/>
      <c r="LG100"/>
      <c r="LH100"/>
      <c r="LI100"/>
      <c r="LJ100"/>
      <c r="LK100"/>
      <c r="LL100"/>
      <c r="LM100"/>
      <c r="LN100"/>
      <c r="LO100"/>
      <c r="LP100"/>
      <c r="LQ100"/>
      <c r="LR100"/>
      <c r="LS100"/>
      <c r="LT100"/>
      <c r="LU100"/>
      <c r="LV100"/>
      <c r="LW100"/>
      <c r="LX100"/>
      <c r="LY100"/>
      <c r="LZ100"/>
      <c r="MA100"/>
      <c r="MB100"/>
      <c r="MC100"/>
      <c r="MD100"/>
      <c r="ME100"/>
      <c r="MF100"/>
      <c r="MG100"/>
      <c r="MH100"/>
      <c r="MI100"/>
      <c r="MJ100"/>
      <c r="MK100"/>
      <c r="ML100"/>
      <c r="MM100"/>
      <c r="MN100"/>
      <c r="MO100"/>
      <c r="MP100"/>
      <c r="MQ100"/>
      <c r="MR100"/>
      <c r="MS100"/>
      <c r="MT100"/>
      <c r="MU100"/>
      <c r="MV100"/>
      <c r="MW100"/>
      <c r="MX100"/>
      <c r="MY100"/>
      <c r="MZ100"/>
      <c r="NA100"/>
      <c r="NB100"/>
      <c r="NC100"/>
      <c r="ND100"/>
      <c r="NE100"/>
      <c r="NF100"/>
      <c r="NG100"/>
      <c r="NH100"/>
      <c r="NI100"/>
      <c r="NJ100"/>
      <c r="NK100"/>
      <c r="NL100"/>
      <c r="NM100"/>
      <c r="NN100"/>
      <c r="NO100"/>
      <c r="NP100"/>
      <c r="NQ100"/>
      <c r="NR100"/>
      <c r="NS100"/>
      <c r="NT100"/>
      <c r="NU100"/>
      <c r="NV100"/>
      <c r="NW100"/>
      <c r="NX100"/>
      <c r="NY100"/>
      <c r="NZ100"/>
      <c r="OA100"/>
      <c r="OB100"/>
      <c r="OC100"/>
      <c r="OD100"/>
      <c r="OE100"/>
      <c r="OF100"/>
      <c r="OG100"/>
      <c r="OH100"/>
      <c r="OI100"/>
      <c r="OJ100"/>
      <c r="OK100"/>
      <c r="OL100"/>
      <c r="OM100"/>
      <c r="ON100"/>
      <c r="OO100"/>
      <c r="OP100"/>
      <c r="OQ100"/>
      <c r="OR100"/>
      <c r="OS100"/>
      <c r="OT100"/>
      <c r="OU100"/>
      <c r="OV100"/>
      <c r="OW100"/>
      <c r="OX100"/>
      <c r="OY100"/>
      <c r="OZ100"/>
      <c r="PA100"/>
      <c r="PB100"/>
      <c r="PC100"/>
      <c r="PD100"/>
      <c r="PE100"/>
      <c r="PF100"/>
      <c r="PG100"/>
      <c r="PH100"/>
      <c r="PI100"/>
      <c r="PJ100"/>
      <c r="PK100"/>
      <c r="PL100"/>
      <c r="PM100"/>
      <c r="PN100"/>
      <c r="PO100"/>
      <c r="PP100"/>
      <c r="PQ100"/>
      <c r="PR100"/>
      <c r="PS100"/>
      <c r="PT100"/>
      <c r="PU100"/>
      <c r="PV100"/>
      <c r="PW100"/>
      <c r="PX100"/>
      <c r="PY100"/>
      <c r="PZ100"/>
      <c r="QA100"/>
      <c r="QB100"/>
      <c r="QC100"/>
      <c r="QD100"/>
      <c r="QE100"/>
      <c r="QF100"/>
      <c r="QG100"/>
      <c r="QH100"/>
      <c r="QI100"/>
      <c r="QJ100"/>
      <c r="QK100"/>
      <c r="QL100"/>
      <c r="QM100"/>
      <c r="QN100"/>
      <c r="QO100"/>
      <c r="QP100"/>
      <c r="QQ100"/>
      <c r="QR100"/>
      <c r="QS100"/>
      <c r="QT100"/>
      <c r="QU100"/>
      <c r="QV100"/>
      <c r="QW100"/>
      <c r="QX100"/>
    </row>
    <row r="101" spans="1:466" x14ac:dyDescent="0.35">
      <c r="A101" s="53"/>
      <c r="B101" s="53"/>
      <c r="C101" s="55"/>
      <c r="D101" s="53"/>
      <c r="E101" s="53"/>
      <c r="F101" s="124" t="s">
        <v>161</v>
      </c>
      <c r="G101" s="125">
        <v>79.350000000000009</v>
      </c>
      <c r="H101" s="125">
        <v>292.52999999999997</v>
      </c>
      <c r="I101" s="133">
        <v>209</v>
      </c>
      <c r="J101" s="53"/>
      <c r="K101" s="58">
        <v>45364</v>
      </c>
      <c r="L101" s="59" t="str">
        <f>IFERROR(VLOOKUP($A$2,Stok!$B$1:$AA$446,21,0),"")</f>
        <v/>
      </c>
      <c r="M101" s="53"/>
      <c r="N101" s="53"/>
      <c r="O101" s="53"/>
      <c r="P101" s="53"/>
      <c r="Q101" s="53"/>
      <c r="R101" s="53"/>
      <c r="S101" s="53"/>
      <c r="T101" s="53"/>
      <c r="U101" s="53"/>
      <c r="V101" s="53"/>
      <c r="W101" s="53"/>
      <c r="X101" s="53"/>
      <c r="Y101" s="53"/>
      <c r="Z101" s="53"/>
      <c r="AA101" s="53"/>
      <c r="AB101" s="53"/>
      <c r="AC101" s="53"/>
      <c r="AD101" s="53"/>
      <c r="AE101" s="53"/>
      <c r="AF101" s="63"/>
      <c r="AG101" s="64"/>
      <c r="AH101" s="65"/>
      <c r="AI101" s="65"/>
      <c r="AJ101" s="53"/>
      <c r="AK101" s="62"/>
      <c r="AL101" s="62"/>
      <c r="AM101" s="62"/>
      <c r="AN101" s="62"/>
      <c r="AO101" s="62"/>
      <c r="AP101" s="62"/>
      <c r="AQ101" s="62"/>
      <c r="AR101" s="62"/>
      <c r="AS101" s="62"/>
      <c r="AT101" s="62"/>
      <c r="AU101" s="62"/>
      <c r="AV101" s="62"/>
      <c r="AW101" s="62"/>
      <c r="AX101" s="62"/>
      <c r="AY101" s="62"/>
      <c r="AZ101" s="62"/>
      <c r="BA101" s="62"/>
      <c r="BB101" s="62"/>
      <c r="BC101" s="62"/>
      <c r="BD101" s="62"/>
      <c r="BE101" s="62"/>
      <c r="BF101" s="62"/>
      <c r="BG101" s="62"/>
      <c r="BH101" s="62"/>
      <c r="BI101" s="62"/>
      <c r="BJ101" s="62"/>
      <c r="BK101" s="62"/>
      <c r="BL101" s="62"/>
      <c r="BM101" s="62"/>
      <c r="BN101" s="62"/>
      <c r="BO101" s="62"/>
      <c r="BP101" s="62"/>
      <c r="BQ101" s="62"/>
      <c r="BR101" s="62"/>
      <c r="BS101" s="62"/>
      <c r="BT101" s="62"/>
      <c r="BU101" s="62"/>
      <c r="BV101" s="62"/>
      <c r="BW101" s="62"/>
      <c r="BX101" s="62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  <c r="HB101"/>
      <c r="HC101"/>
      <c r="HD101"/>
      <c r="HE101"/>
      <c r="HF101"/>
      <c r="HG101"/>
      <c r="HH101"/>
      <c r="HI101"/>
      <c r="HJ101"/>
      <c r="HK101"/>
      <c r="HL101"/>
      <c r="HM101"/>
      <c r="HN101"/>
      <c r="HO101"/>
      <c r="HP101"/>
      <c r="HQ101"/>
      <c r="HR101"/>
      <c r="HS101"/>
      <c r="HT101"/>
      <c r="HU101"/>
      <c r="HV101"/>
      <c r="HW101"/>
      <c r="HX101"/>
      <c r="HY101"/>
      <c r="HZ101"/>
      <c r="IA101"/>
      <c r="IB101"/>
      <c r="IC101"/>
      <c r="ID101"/>
      <c r="IE101"/>
      <c r="IF101"/>
      <c r="IG101"/>
      <c r="IH101"/>
      <c r="II101"/>
      <c r="IJ101"/>
      <c r="IK101"/>
      <c r="IL101"/>
      <c r="IM101"/>
      <c r="IN101"/>
      <c r="IO101"/>
      <c r="IP101"/>
      <c r="IQ101"/>
      <c r="IR101"/>
      <c r="IS101"/>
      <c r="IT101"/>
      <c r="IU101"/>
      <c r="IV101"/>
      <c r="IW101"/>
      <c r="IX101"/>
      <c r="IY101"/>
      <c r="IZ101"/>
      <c r="JA101"/>
      <c r="JB101"/>
      <c r="JC101"/>
      <c r="JD101"/>
      <c r="JE101"/>
      <c r="JF101"/>
      <c r="JG101"/>
      <c r="JH101"/>
      <c r="JI101"/>
      <c r="JJ101"/>
      <c r="JK101"/>
      <c r="JL101"/>
      <c r="JM101"/>
      <c r="JN101"/>
      <c r="JO101"/>
      <c r="JP101"/>
      <c r="JQ101"/>
      <c r="JR101"/>
      <c r="JS101"/>
      <c r="JT101"/>
      <c r="JU101"/>
      <c r="JV101"/>
      <c r="JW101"/>
      <c r="JX101"/>
      <c r="JY101"/>
      <c r="JZ101"/>
      <c r="KA101"/>
      <c r="KB101"/>
      <c r="KC101"/>
      <c r="KD101"/>
      <c r="KE101"/>
      <c r="KF101"/>
      <c r="KG101"/>
      <c r="KH101"/>
      <c r="KI101"/>
      <c r="KJ101"/>
      <c r="KK101"/>
      <c r="KL101"/>
      <c r="KM101"/>
      <c r="KN101"/>
      <c r="KO101"/>
      <c r="KP101"/>
      <c r="KQ101"/>
      <c r="KR101"/>
      <c r="KS101"/>
      <c r="KT101"/>
      <c r="KU101"/>
      <c r="KV101"/>
      <c r="KW101"/>
      <c r="KX101"/>
      <c r="KY101"/>
      <c r="KZ101"/>
      <c r="LA101"/>
      <c r="LB101"/>
      <c r="LC101"/>
      <c r="LD101"/>
      <c r="LE101"/>
      <c r="LF101"/>
      <c r="LG101"/>
      <c r="LH101"/>
      <c r="LI101"/>
      <c r="LJ101"/>
      <c r="LK101"/>
      <c r="LL101"/>
      <c r="LM101"/>
      <c r="LN101"/>
      <c r="LO101"/>
      <c r="LP101"/>
      <c r="LQ101"/>
      <c r="LR101"/>
      <c r="LS101"/>
      <c r="LT101"/>
      <c r="LU101"/>
      <c r="LV101"/>
      <c r="LW101"/>
      <c r="LX101"/>
      <c r="LY101"/>
      <c r="LZ101"/>
      <c r="MA101"/>
      <c r="MB101"/>
      <c r="MC101"/>
      <c r="MD101"/>
      <c r="ME101"/>
      <c r="MF101"/>
      <c r="MG101"/>
      <c r="MH101"/>
      <c r="MI101"/>
      <c r="MJ101"/>
      <c r="MK101"/>
      <c r="ML101"/>
      <c r="MM101"/>
      <c r="MN101"/>
      <c r="MO101"/>
      <c r="MP101"/>
      <c r="MQ101"/>
      <c r="MR101"/>
      <c r="MS101"/>
      <c r="MT101"/>
      <c r="MU101"/>
      <c r="MV101"/>
      <c r="MW101"/>
      <c r="MX101"/>
      <c r="MY101"/>
      <c r="MZ101"/>
      <c r="NA101"/>
      <c r="NB101"/>
      <c r="NC101"/>
      <c r="ND101"/>
      <c r="NE101"/>
      <c r="NF101"/>
      <c r="NG101"/>
      <c r="NH101"/>
      <c r="NI101"/>
      <c r="NJ101"/>
      <c r="NK101"/>
      <c r="NL101"/>
      <c r="NM101"/>
      <c r="NN101"/>
      <c r="NO101"/>
      <c r="NP101"/>
      <c r="NQ101"/>
      <c r="NR101"/>
      <c r="NS101"/>
      <c r="NT101"/>
      <c r="NU101"/>
      <c r="NV101"/>
      <c r="NW101"/>
      <c r="NX101"/>
      <c r="NY101"/>
      <c r="NZ101"/>
      <c r="OA101"/>
      <c r="OB101"/>
      <c r="OC101"/>
      <c r="OD101"/>
      <c r="OE101"/>
      <c r="OF101"/>
      <c r="OG101"/>
      <c r="OH101"/>
      <c r="OI101"/>
      <c r="OJ101"/>
      <c r="OK101"/>
      <c r="OL101"/>
      <c r="OM101"/>
      <c r="ON101"/>
      <c r="OO101"/>
      <c r="OP101"/>
      <c r="OQ101"/>
      <c r="OR101"/>
      <c r="OS101"/>
      <c r="OT101"/>
      <c r="OU101"/>
      <c r="OV101"/>
      <c r="OW101"/>
      <c r="OX101"/>
      <c r="OY101"/>
      <c r="OZ101"/>
      <c r="PA101"/>
      <c r="PB101"/>
      <c r="PC101"/>
      <c r="PD101"/>
      <c r="PE101"/>
      <c r="PF101"/>
      <c r="PG101"/>
      <c r="PH101"/>
      <c r="PI101"/>
      <c r="PJ101"/>
      <c r="PK101"/>
      <c r="PL101"/>
      <c r="PM101"/>
      <c r="PN101"/>
      <c r="PO101"/>
      <c r="PP101"/>
      <c r="PQ101"/>
      <c r="PR101"/>
      <c r="PS101"/>
      <c r="PT101"/>
      <c r="PU101"/>
      <c r="PV101"/>
      <c r="PW101"/>
      <c r="PX101"/>
      <c r="PY101"/>
      <c r="PZ101"/>
      <c r="QA101"/>
      <c r="QB101"/>
      <c r="QC101"/>
      <c r="QD101"/>
      <c r="QE101"/>
      <c r="QF101"/>
      <c r="QG101"/>
      <c r="QH101"/>
      <c r="QI101"/>
      <c r="QJ101"/>
      <c r="QK101"/>
      <c r="QL101"/>
      <c r="QM101"/>
      <c r="QN101"/>
      <c r="QO101"/>
      <c r="QP101"/>
      <c r="QQ101"/>
      <c r="QR101"/>
      <c r="QS101"/>
      <c r="QT101"/>
      <c r="QU101"/>
      <c r="QV101"/>
      <c r="QW101"/>
      <c r="QX101"/>
    </row>
    <row r="102" spans="1:466" x14ac:dyDescent="0.35">
      <c r="A102" s="53"/>
      <c r="B102" s="53"/>
      <c r="C102" s="55"/>
      <c r="D102" s="53"/>
      <c r="E102" s="53"/>
      <c r="F102" s="126" t="s">
        <v>159</v>
      </c>
      <c r="G102" s="125">
        <v>2.73</v>
      </c>
      <c r="H102" s="125">
        <v>0</v>
      </c>
      <c r="I102" s="133">
        <v>0</v>
      </c>
      <c r="J102" s="53"/>
      <c r="K102" s="58">
        <v>45352</v>
      </c>
      <c r="L102" s="59" t="str">
        <f>IFERROR(VLOOKUP($A$2,Stok!$B$1:$AA$446,20,0),"")</f>
        <v/>
      </c>
      <c r="M102" s="53"/>
      <c r="N102" s="53"/>
      <c r="O102" s="53"/>
      <c r="P102" s="53"/>
      <c r="Q102" s="53"/>
      <c r="R102" s="53"/>
      <c r="S102" s="53"/>
      <c r="T102" s="53"/>
      <c r="U102" s="53"/>
      <c r="V102" s="53"/>
      <c r="W102" s="53"/>
      <c r="X102" s="53"/>
      <c r="Y102" s="53"/>
      <c r="Z102" s="53"/>
      <c r="AA102" s="53"/>
      <c r="AB102" s="53"/>
      <c r="AC102" s="53"/>
      <c r="AD102" s="53"/>
      <c r="AE102" s="53"/>
      <c r="AF102" s="63"/>
      <c r="AG102" s="64"/>
      <c r="AH102" s="65"/>
      <c r="AI102" s="65"/>
      <c r="AJ102" s="53"/>
      <c r="AK102" s="62"/>
      <c r="AL102" s="62"/>
      <c r="AM102" s="62"/>
      <c r="AN102" s="62"/>
      <c r="AO102" s="62"/>
      <c r="AP102" s="62"/>
      <c r="AQ102" s="62"/>
      <c r="AR102" s="62"/>
      <c r="AS102" s="62"/>
      <c r="AT102" s="62"/>
      <c r="AU102" s="62"/>
      <c r="AV102" s="62"/>
      <c r="AW102" s="62"/>
      <c r="AX102" s="62"/>
      <c r="AY102" s="62"/>
      <c r="AZ102" s="62"/>
      <c r="BA102" s="62"/>
      <c r="BB102" s="62"/>
      <c r="BC102" s="62"/>
      <c r="BD102" s="62"/>
      <c r="BE102" s="62"/>
      <c r="BF102" s="62"/>
      <c r="BG102" s="62"/>
      <c r="BH102" s="62"/>
      <c r="BI102" s="62"/>
      <c r="BJ102" s="62"/>
      <c r="BK102" s="62"/>
      <c r="BL102" s="62"/>
      <c r="BM102" s="62"/>
      <c r="BN102" s="62"/>
      <c r="BO102" s="62"/>
      <c r="BP102" s="62"/>
      <c r="BQ102" s="62"/>
      <c r="BR102" s="62"/>
      <c r="BS102" s="62"/>
      <c r="BT102" s="62"/>
      <c r="BU102" s="62"/>
      <c r="BV102" s="62"/>
      <c r="BW102" s="62"/>
      <c r="BX102" s="6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  <c r="IW102"/>
      <c r="IX102"/>
      <c r="IY102"/>
      <c r="IZ102"/>
      <c r="JA102"/>
      <c r="JB102"/>
      <c r="JC102"/>
      <c r="JD102"/>
      <c r="JE102"/>
      <c r="JF102"/>
      <c r="JG102"/>
      <c r="JH102"/>
      <c r="JI102"/>
      <c r="JJ102"/>
      <c r="JK102"/>
      <c r="JL102"/>
      <c r="JM102"/>
      <c r="JN102"/>
      <c r="JO102"/>
      <c r="JP102"/>
      <c r="JQ102"/>
      <c r="JR102"/>
      <c r="JS102"/>
      <c r="JT102"/>
      <c r="JU102"/>
      <c r="JV102"/>
      <c r="JW102"/>
      <c r="JX102"/>
      <c r="JY102"/>
      <c r="JZ102"/>
      <c r="KA102"/>
      <c r="KB102"/>
      <c r="KC102"/>
      <c r="KD102"/>
      <c r="KE102"/>
      <c r="KF102"/>
      <c r="KG102"/>
      <c r="KH102"/>
      <c r="KI102"/>
      <c r="KJ102"/>
      <c r="KK102"/>
      <c r="KL102"/>
      <c r="KM102"/>
      <c r="KN102"/>
      <c r="KO102"/>
      <c r="KP102"/>
      <c r="KQ102"/>
      <c r="KR102"/>
      <c r="KS102"/>
      <c r="KT102"/>
      <c r="KU102"/>
      <c r="KV102"/>
      <c r="KW102"/>
      <c r="KX102"/>
      <c r="KY102"/>
      <c r="KZ102"/>
      <c r="LA102"/>
      <c r="LB102"/>
      <c r="LC102"/>
      <c r="LD102"/>
      <c r="LE102"/>
      <c r="LF102"/>
      <c r="LG102"/>
      <c r="LH102"/>
      <c r="LI102"/>
      <c r="LJ102"/>
      <c r="LK102"/>
      <c r="LL102"/>
      <c r="LM102"/>
      <c r="LN102"/>
      <c r="LO102"/>
      <c r="LP102"/>
      <c r="LQ102"/>
      <c r="LR102"/>
      <c r="LS102"/>
      <c r="LT102"/>
      <c r="LU102"/>
      <c r="LV102"/>
      <c r="LW102"/>
      <c r="LX102"/>
      <c r="LY102"/>
      <c r="LZ102"/>
      <c r="MA102"/>
      <c r="MB102"/>
      <c r="MC102"/>
      <c r="MD102"/>
      <c r="ME102"/>
      <c r="MF102"/>
      <c r="MG102"/>
      <c r="MH102"/>
      <c r="MI102"/>
      <c r="MJ102"/>
      <c r="MK102"/>
      <c r="ML102"/>
      <c r="MM102"/>
      <c r="MN102"/>
      <c r="MO102"/>
      <c r="MP102"/>
      <c r="MQ102"/>
      <c r="MR102"/>
      <c r="MS102"/>
      <c r="MT102"/>
      <c r="MU102"/>
      <c r="MV102"/>
      <c r="MW102"/>
      <c r="MX102"/>
      <c r="MY102"/>
      <c r="MZ102"/>
      <c r="NA102"/>
      <c r="NB102"/>
      <c r="NC102"/>
      <c r="ND102"/>
      <c r="NE102"/>
      <c r="NF102"/>
      <c r="NG102"/>
      <c r="NH102"/>
      <c r="NI102"/>
      <c r="NJ102"/>
      <c r="NK102"/>
      <c r="NL102"/>
      <c r="NM102"/>
      <c r="NN102"/>
      <c r="NO102"/>
      <c r="NP102"/>
      <c r="NQ102"/>
      <c r="NR102"/>
      <c r="NS102"/>
      <c r="NT102"/>
      <c r="NU102"/>
      <c r="NV102"/>
      <c r="NW102"/>
      <c r="NX102"/>
      <c r="NY102"/>
      <c r="NZ102"/>
      <c r="OA102"/>
      <c r="OB102"/>
      <c r="OC102"/>
      <c r="OD102"/>
      <c r="OE102"/>
      <c r="OF102"/>
      <c r="OG102"/>
      <c r="OH102"/>
      <c r="OI102"/>
      <c r="OJ102"/>
      <c r="OK102"/>
      <c r="OL102"/>
      <c r="OM102"/>
      <c r="ON102"/>
      <c r="OO102"/>
      <c r="OP102"/>
      <c r="OQ102"/>
      <c r="OR102"/>
      <c r="OS102"/>
      <c r="OT102"/>
      <c r="OU102"/>
      <c r="OV102"/>
      <c r="OW102"/>
      <c r="OX102"/>
      <c r="OY102"/>
      <c r="OZ102"/>
      <c r="PA102"/>
      <c r="PB102"/>
      <c r="PC102"/>
      <c r="PD102"/>
      <c r="PE102"/>
      <c r="PF102"/>
      <c r="PG102"/>
      <c r="PH102"/>
      <c r="PI102"/>
      <c r="PJ102"/>
      <c r="PK102"/>
      <c r="PL102"/>
      <c r="PM102"/>
      <c r="PN102"/>
      <c r="PO102"/>
      <c r="PP102"/>
      <c r="PQ102"/>
      <c r="PR102"/>
      <c r="PS102"/>
      <c r="PT102"/>
      <c r="PU102"/>
      <c r="PV102"/>
      <c r="PW102"/>
      <c r="PX102"/>
      <c r="PY102"/>
      <c r="PZ102"/>
      <c r="QA102"/>
      <c r="QB102"/>
      <c r="QC102"/>
      <c r="QD102"/>
      <c r="QE102"/>
      <c r="QF102"/>
      <c r="QG102"/>
      <c r="QH102"/>
      <c r="QI102"/>
      <c r="QJ102"/>
      <c r="QK102"/>
      <c r="QL102"/>
      <c r="QM102"/>
      <c r="QN102"/>
      <c r="QO102"/>
      <c r="QP102"/>
      <c r="QQ102"/>
      <c r="QR102"/>
      <c r="QS102"/>
      <c r="QT102"/>
      <c r="QU102"/>
      <c r="QV102"/>
      <c r="QW102"/>
      <c r="QX102"/>
    </row>
    <row r="103" spans="1:466" x14ac:dyDescent="0.35">
      <c r="A103" s="53"/>
      <c r="B103" s="53"/>
      <c r="C103" s="55"/>
      <c r="D103" s="53"/>
      <c r="E103" s="53"/>
      <c r="F103" s="126" t="s">
        <v>163</v>
      </c>
      <c r="G103" s="125">
        <v>2.4700000000000002</v>
      </c>
      <c r="H103" s="125">
        <v>0</v>
      </c>
      <c r="I103" s="133">
        <v>0</v>
      </c>
      <c r="J103" s="53"/>
      <c r="K103" s="58">
        <v>45334</v>
      </c>
      <c r="L103" s="59" t="str">
        <f>IFERROR(VLOOKUP($A$2,Stok!$B$1:$AA$446,19,0),"")</f>
        <v/>
      </c>
      <c r="M103" s="53"/>
      <c r="N103" s="53"/>
      <c r="O103" s="53"/>
      <c r="P103" s="53"/>
      <c r="Q103" s="53"/>
      <c r="R103" s="53"/>
      <c r="S103" s="53"/>
      <c r="T103" s="53"/>
      <c r="U103" s="53"/>
      <c r="V103" s="53"/>
      <c r="W103" s="53"/>
      <c r="X103" s="53"/>
      <c r="Y103" s="53"/>
      <c r="Z103" s="53"/>
      <c r="AA103" s="53"/>
      <c r="AB103" s="53"/>
      <c r="AC103" s="53"/>
      <c r="AD103" s="53"/>
      <c r="AE103" s="53"/>
      <c r="AF103" s="63"/>
      <c r="AG103" s="64"/>
      <c r="AH103" s="65"/>
      <c r="AI103" s="65"/>
      <c r="AJ103" s="53"/>
      <c r="AK103" s="62"/>
      <c r="AL103" s="62"/>
      <c r="AM103" s="62"/>
      <c r="AN103" s="62"/>
      <c r="AO103" s="62"/>
      <c r="AP103" s="62"/>
      <c r="AQ103" s="62"/>
      <c r="AR103" s="62"/>
      <c r="AS103" s="62"/>
      <c r="AT103" s="62"/>
      <c r="AU103" s="62"/>
      <c r="AV103" s="62"/>
      <c r="AW103" s="62"/>
      <c r="AX103" s="62"/>
      <c r="AY103" s="62"/>
      <c r="AZ103" s="62"/>
      <c r="BA103" s="62"/>
      <c r="BB103" s="62"/>
      <c r="BC103" s="62"/>
      <c r="BD103" s="62"/>
      <c r="BE103" s="62"/>
      <c r="BF103" s="62"/>
      <c r="BG103" s="62"/>
      <c r="BH103" s="62"/>
      <c r="BI103" s="62"/>
      <c r="BJ103" s="62"/>
      <c r="BK103" s="62"/>
      <c r="BL103" s="62"/>
      <c r="BM103" s="62"/>
      <c r="BN103" s="62"/>
      <c r="BO103" s="62"/>
      <c r="BP103" s="62"/>
      <c r="BQ103" s="62"/>
      <c r="BR103" s="62"/>
      <c r="BS103" s="62"/>
      <c r="BT103" s="62"/>
      <c r="BU103" s="62"/>
      <c r="BV103" s="62"/>
      <c r="BW103" s="62"/>
      <c r="BX103" s="62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  <c r="IW103"/>
      <c r="IX103"/>
      <c r="IY103"/>
      <c r="IZ103"/>
      <c r="JA103"/>
      <c r="JB103"/>
      <c r="JC103"/>
      <c r="JD103"/>
      <c r="JE103"/>
      <c r="JF103"/>
      <c r="JG103"/>
      <c r="JH103"/>
      <c r="JI103"/>
      <c r="JJ103"/>
      <c r="JK103"/>
      <c r="JL103"/>
      <c r="JM103"/>
      <c r="JN103"/>
      <c r="JO103"/>
      <c r="JP103"/>
      <c r="JQ103"/>
      <c r="JR103"/>
      <c r="JS103"/>
      <c r="JT103"/>
      <c r="JU103"/>
      <c r="JV103"/>
      <c r="JW103"/>
      <c r="JX103"/>
      <c r="JY103"/>
      <c r="JZ103"/>
      <c r="KA103"/>
      <c r="KB103"/>
      <c r="KC103"/>
      <c r="KD103"/>
      <c r="KE103"/>
      <c r="KF103"/>
      <c r="KG103"/>
      <c r="KH103"/>
      <c r="KI103"/>
      <c r="KJ103"/>
      <c r="KK103"/>
      <c r="KL103"/>
      <c r="KM103"/>
      <c r="KN103"/>
      <c r="KO103"/>
      <c r="KP103"/>
      <c r="KQ103"/>
      <c r="KR103"/>
      <c r="KS103"/>
      <c r="KT103"/>
      <c r="KU103"/>
      <c r="KV103"/>
      <c r="KW103"/>
      <c r="KX103"/>
      <c r="KY103"/>
      <c r="KZ103"/>
      <c r="LA103"/>
      <c r="LB103"/>
      <c r="LC103"/>
      <c r="LD103"/>
      <c r="LE103"/>
      <c r="LF103"/>
      <c r="LG103"/>
      <c r="LH103"/>
      <c r="LI103"/>
      <c r="LJ103"/>
      <c r="LK103"/>
      <c r="LL103"/>
      <c r="LM103"/>
      <c r="LN103"/>
      <c r="LO103"/>
      <c r="LP103"/>
      <c r="LQ103"/>
      <c r="LR103"/>
      <c r="LS103"/>
      <c r="LT103"/>
      <c r="LU103"/>
      <c r="LV103"/>
      <c r="LW103"/>
      <c r="LX103"/>
      <c r="LY103"/>
      <c r="LZ103"/>
      <c r="MA103"/>
      <c r="MB103"/>
      <c r="MC103"/>
      <c r="MD103"/>
      <c r="ME103"/>
      <c r="MF103"/>
      <c r="MG103"/>
      <c r="MH103"/>
      <c r="MI103"/>
      <c r="MJ103"/>
      <c r="MK103"/>
      <c r="ML103"/>
      <c r="MM103"/>
      <c r="MN103"/>
      <c r="MO103"/>
      <c r="MP103"/>
      <c r="MQ103"/>
      <c r="MR103"/>
      <c r="MS103"/>
      <c r="MT103"/>
      <c r="MU103"/>
      <c r="MV103"/>
      <c r="MW103"/>
      <c r="MX103"/>
      <c r="MY103"/>
      <c r="MZ103"/>
      <c r="NA103"/>
      <c r="NB103"/>
      <c r="NC103"/>
      <c r="ND103"/>
      <c r="NE103"/>
      <c r="NF103"/>
      <c r="NG103"/>
      <c r="NH103"/>
      <c r="NI103"/>
      <c r="NJ103"/>
      <c r="NK103"/>
      <c r="NL103"/>
      <c r="NM103"/>
      <c r="NN103"/>
      <c r="NO103"/>
      <c r="NP103"/>
      <c r="NQ103"/>
      <c r="NR103"/>
      <c r="NS103"/>
      <c r="NT103"/>
      <c r="NU103"/>
      <c r="NV103"/>
      <c r="NW103"/>
      <c r="NX103"/>
      <c r="NY103"/>
      <c r="NZ103"/>
      <c r="OA103"/>
      <c r="OB103"/>
      <c r="OC103"/>
      <c r="OD103"/>
      <c r="OE103"/>
      <c r="OF103"/>
      <c r="OG103"/>
      <c r="OH103"/>
      <c r="OI103"/>
      <c r="OJ103"/>
      <c r="OK103"/>
      <c r="OL103"/>
      <c r="OM103"/>
      <c r="ON103"/>
      <c r="OO103"/>
      <c r="OP103"/>
      <c r="OQ103"/>
      <c r="OR103"/>
      <c r="OS103"/>
      <c r="OT103"/>
      <c r="OU103"/>
      <c r="OV103"/>
      <c r="OW103"/>
      <c r="OX103"/>
      <c r="OY103"/>
      <c r="OZ103"/>
      <c r="PA103"/>
      <c r="PB103"/>
      <c r="PC103"/>
      <c r="PD103"/>
      <c r="PE103"/>
      <c r="PF103"/>
      <c r="PG103"/>
      <c r="PH103"/>
      <c r="PI103"/>
      <c r="PJ103"/>
      <c r="PK103"/>
      <c r="PL103"/>
      <c r="PM103"/>
      <c r="PN103"/>
      <c r="PO103"/>
      <c r="PP103"/>
      <c r="PQ103"/>
      <c r="PR103"/>
      <c r="PS103"/>
      <c r="PT103"/>
      <c r="PU103"/>
      <c r="PV103"/>
      <c r="PW103"/>
      <c r="PX103"/>
      <c r="PY103"/>
      <c r="PZ103"/>
      <c r="QA103"/>
      <c r="QB103"/>
      <c r="QC103"/>
      <c r="QD103"/>
      <c r="QE103"/>
      <c r="QF103"/>
      <c r="QG103"/>
      <c r="QH103"/>
      <c r="QI103"/>
      <c r="QJ103"/>
      <c r="QK103"/>
      <c r="QL103"/>
      <c r="QM103"/>
      <c r="QN103"/>
      <c r="QO103"/>
      <c r="QP103"/>
      <c r="QQ103"/>
      <c r="QR103"/>
      <c r="QS103"/>
      <c r="QT103"/>
      <c r="QU103"/>
      <c r="QV103"/>
      <c r="QW103"/>
      <c r="QX103"/>
    </row>
    <row r="104" spans="1:466" x14ac:dyDescent="0.35">
      <c r="A104" s="53"/>
      <c r="B104" s="53"/>
      <c r="C104" s="55"/>
      <c r="D104" s="53"/>
      <c r="E104" s="53"/>
      <c r="F104" s="126" t="s">
        <v>1365</v>
      </c>
      <c r="G104" s="125">
        <v>3.3</v>
      </c>
      <c r="H104" s="125">
        <v>0</v>
      </c>
      <c r="I104" s="133">
        <v>0</v>
      </c>
      <c r="J104" s="53"/>
      <c r="K104" s="58">
        <v>45320</v>
      </c>
      <c r="L104" s="59" t="str">
        <f>IFERROR(VLOOKUP($A$2,Stok!$B$1:$AA$446,18,0),"")</f>
        <v/>
      </c>
      <c r="M104" s="53"/>
      <c r="N104" s="53"/>
      <c r="O104" s="53"/>
      <c r="P104" s="53"/>
      <c r="Q104" s="53"/>
      <c r="R104" s="53"/>
      <c r="S104" s="53"/>
      <c r="T104" s="53"/>
      <c r="U104" s="53"/>
      <c r="V104" s="53"/>
      <c r="W104" s="53"/>
      <c r="X104" s="53"/>
      <c r="Y104" s="53"/>
      <c r="Z104" s="53"/>
      <c r="AA104" s="53"/>
      <c r="AB104" s="53"/>
      <c r="AC104" s="53"/>
      <c r="AD104" s="53"/>
      <c r="AE104" s="53"/>
      <c r="AF104" s="63"/>
      <c r="AG104" s="64"/>
      <c r="AH104" s="65"/>
      <c r="AI104" s="65"/>
      <c r="AJ104" s="53"/>
      <c r="AK104" s="62"/>
      <c r="AL104" s="62"/>
      <c r="AM104" s="62"/>
      <c r="AN104" s="62"/>
      <c r="AO104" s="62"/>
      <c r="AP104" s="62"/>
      <c r="AQ104" s="62"/>
      <c r="AR104" s="62"/>
      <c r="AS104" s="62"/>
      <c r="AT104" s="62"/>
      <c r="AU104" s="62"/>
      <c r="AV104" s="62"/>
      <c r="AW104" s="62"/>
      <c r="AX104" s="62"/>
      <c r="AY104" s="62"/>
      <c r="AZ104" s="62"/>
      <c r="BA104" s="62"/>
      <c r="BB104" s="62"/>
      <c r="BC104" s="62"/>
      <c r="BD104" s="62"/>
      <c r="BE104" s="62"/>
      <c r="BF104" s="62"/>
      <c r="BG104" s="62"/>
      <c r="BH104" s="62"/>
      <c r="BI104" s="62"/>
      <c r="BJ104" s="62"/>
      <c r="BK104" s="62"/>
      <c r="BL104" s="62"/>
      <c r="BM104" s="62"/>
      <c r="BN104" s="62"/>
      <c r="BO104" s="62"/>
      <c r="BP104" s="62"/>
      <c r="BQ104" s="62"/>
      <c r="BR104" s="62"/>
      <c r="BS104" s="62"/>
      <c r="BT104" s="62"/>
      <c r="BU104" s="62"/>
      <c r="BV104" s="62"/>
      <c r="BW104" s="62"/>
      <c r="BX104" s="62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/>
      <c r="HU104"/>
      <c r="HV104"/>
      <c r="HW104"/>
      <c r="HX104"/>
      <c r="HY104"/>
      <c r="HZ104"/>
      <c r="IA104"/>
      <c r="IB104"/>
      <c r="IC104"/>
      <c r="ID104"/>
      <c r="IE104"/>
      <c r="IF104"/>
      <c r="IG104"/>
      <c r="IH104"/>
      <c r="II104"/>
      <c r="IJ104"/>
      <c r="IK104"/>
      <c r="IL104"/>
      <c r="IM104"/>
      <c r="IN104"/>
      <c r="IO104"/>
      <c r="IP104"/>
      <c r="IQ104"/>
      <c r="IR104"/>
      <c r="IS104"/>
      <c r="IT104"/>
      <c r="IU104"/>
      <c r="IV104"/>
      <c r="IW104"/>
      <c r="IX104"/>
      <c r="IY104"/>
      <c r="IZ104"/>
      <c r="JA104"/>
      <c r="JB104"/>
      <c r="JC104"/>
      <c r="JD104"/>
      <c r="JE104"/>
      <c r="JF104"/>
      <c r="JG104"/>
      <c r="JH104"/>
      <c r="JI104"/>
      <c r="JJ104"/>
      <c r="JK104"/>
      <c r="JL104"/>
      <c r="JM104"/>
      <c r="JN104"/>
      <c r="JO104"/>
      <c r="JP104"/>
      <c r="JQ104"/>
      <c r="JR104"/>
      <c r="JS104"/>
      <c r="JT104"/>
      <c r="JU104"/>
      <c r="JV104"/>
      <c r="JW104"/>
      <c r="JX104"/>
      <c r="JY104"/>
      <c r="JZ104"/>
      <c r="KA104"/>
      <c r="KB104"/>
      <c r="KC104"/>
      <c r="KD104"/>
      <c r="KE104"/>
      <c r="KF104"/>
      <c r="KG104"/>
      <c r="KH104"/>
      <c r="KI104"/>
      <c r="KJ104"/>
      <c r="KK104"/>
      <c r="KL104"/>
      <c r="KM104"/>
      <c r="KN104"/>
      <c r="KO104"/>
      <c r="KP104"/>
      <c r="KQ104"/>
      <c r="KR104"/>
      <c r="KS104"/>
      <c r="KT104"/>
      <c r="KU104"/>
      <c r="KV104"/>
      <c r="KW104"/>
      <c r="KX104"/>
      <c r="KY104"/>
      <c r="KZ104"/>
      <c r="LA104"/>
      <c r="LB104"/>
      <c r="LC104"/>
      <c r="LD104"/>
      <c r="LE104"/>
      <c r="LF104"/>
      <c r="LG104"/>
      <c r="LH104"/>
      <c r="LI104"/>
      <c r="LJ104"/>
      <c r="LK104"/>
      <c r="LL104"/>
      <c r="LM104"/>
      <c r="LN104"/>
      <c r="LO104"/>
      <c r="LP104"/>
      <c r="LQ104"/>
      <c r="LR104"/>
      <c r="LS104"/>
      <c r="LT104"/>
      <c r="LU104"/>
      <c r="LV104"/>
      <c r="LW104"/>
      <c r="LX104"/>
      <c r="LY104"/>
      <c r="LZ104"/>
      <c r="MA104"/>
      <c r="MB104"/>
      <c r="MC104"/>
      <c r="MD104"/>
      <c r="ME104"/>
      <c r="MF104"/>
      <c r="MG104"/>
      <c r="MH104"/>
      <c r="MI104"/>
      <c r="MJ104"/>
      <c r="MK104"/>
      <c r="ML104"/>
      <c r="MM104"/>
      <c r="MN104"/>
      <c r="MO104"/>
      <c r="MP104"/>
      <c r="MQ104"/>
      <c r="MR104"/>
      <c r="MS104"/>
      <c r="MT104"/>
      <c r="MU104"/>
      <c r="MV104"/>
      <c r="MW104"/>
      <c r="MX104"/>
      <c r="MY104"/>
      <c r="MZ104"/>
      <c r="NA104"/>
      <c r="NB104"/>
      <c r="NC104"/>
      <c r="ND104"/>
      <c r="NE104"/>
      <c r="NF104"/>
      <c r="NG104"/>
      <c r="NH104"/>
      <c r="NI104"/>
      <c r="NJ104"/>
      <c r="NK104"/>
      <c r="NL104"/>
      <c r="NM104"/>
      <c r="NN104"/>
      <c r="NO104"/>
      <c r="NP104"/>
      <c r="NQ104"/>
      <c r="NR104"/>
      <c r="NS104"/>
      <c r="NT104"/>
      <c r="NU104"/>
      <c r="NV104"/>
      <c r="NW104"/>
      <c r="NX104"/>
      <c r="NY104"/>
      <c r="NZ104"/>
      <c r="OA104"/>
      <c r="OB104"/>
      <c r="OC104"/>
      <c r="OD104"/>
      <c r="OE104"/>
      <c r="OF104"/>
      <c r="OG104"/>
      <c r="OH104"/>
      <c r="OI104"/>
      <c r="OJ104"/>
      <c r="OK104"/>
      <c r="OL104"/>
      <c r="OM104"/>
      <c r="ON104"/>
      <c r="OO104"/>
      <c r="OP104"/>
      <c r="OQ104"/>
      <c r="OR104"/>
      <c r="OS104"/>
      <c r="OT104"/>
      <c r="OU104"/>
      <c r="OV104"/>
      <c r="OW104"/>
      <c r="OX104"/>
      <c r="OY104"/>
      <c r="OZ104"/>
      <c r="PA104"/>
      <c r="PB104"/>
      <c r="PC104"/>
      <c r="PD104"/>
      <c r="PE104"/>
      <c r="PF104"/>
      <c r="PG104"/>
      <c r="PH104"/>
      <c r="PI104"/>
      <c r="PJ104"/>
      <c r="PK104"/>
      <c r="PL104"/>
      <c r="PM104"/>
      <c r="PN104"/>
      <c r="PO104"/>
      <c r="PP104"/>
      <c r="PQ104"/>
      <c r="PR104"/>
      <c r="PS104"/>
      <c r="PT104"/>
      <c r="PU104"/>
      <c r="PV104"/>
      <c r="PW104"/>
      <c r="PX104"/>
      <c r="PY104"/>
      <c r="PZ104"/>
      <c r="QA104"/>
      <c r="QB104"/>
      <c r="QC104"/>
      <c r="QD104"/>
      <c r="QE104"/>
      <c r="QF104"/>
      <c r="QG104"/>
      <c r="QH104"/>
      <c r="QI104"/>
      <c r="QJ104"/>
      <c r="QK104"/>
      <c r="QL104"/>
      <c r="QM104"/>
      <c r="QN104"/>
      <c r="QO104"/>
      <c r="QP104"/>
      <c r="QQ104"/>
      <c r="QR104"/>
      <c r="QS104"/>
      <c r="QT104"/>
      <c r="QU104"/>
      <c r="QV104"/>
      <c r="QW104"/>
      <c r="QX104"/>
    </row>
    <row r="105" spans="1:466" x14ac:dyDescent="0.35">
      <c r="A105" s="53"/>
      <c r="B105" s="53"/>
      <c r="C105" s="55"/>
      <c r="D105" s="53"/>
      <c r="E105" s="53"/>
      <c r="F105" s="126" t="s">
        <v>165</v>
      </c>
      <c r="G105" s="125">
        <v>4.38</v>
      </c>
      <c r="H105" s="125">
        <v>0</v>
      </c>
      <c r="I105" s="133">
        <v>0</v>
      </c>
      <c r="J105" s="53"/>
      <c r="K105" s="58">
        <v>45313</v>
      </c>
      <c r="L105" s="59" t="str">
        <f>IFERROR(VLOOKUP($A$2,Stok!$B$1:$AA$446,17,0),"")</f>
        <v/>
      </c>
      <c r="M105" s="53"/>
      <c r="N105" s="53"/>
      <c r="O105" s="53"/>
      <c r="P105" s="53"/>
      <c r="Q105" s="53"/>
      <c r="R105" s="53"/>
      <c r="S105" s="53"/>
      <c r="T105" s="53"/>
      <c r="U105" s="53"/>
      <c r="V105" s="53"/>
      <c r="W105" s="53"/>
      <c r="X105" s="53"/>
      <c r="Y105" s="53"/>
      <c r="Z105" s="53"/>
      <c r="AA105" s="53"/>
      <c r="AB105" s="53"/>
      <c r="AC105" s="53"/>
      <c r="AD105" s="53"/>
      <c r="AE105" s="53"/>
      <c r="AF105" s="63"/>
      <c r="AG105" s="64"/>
      <c r="AH105" s="65"/>
      <c r="AI105" s="65"/>
      <c r="AJ105" s="53"/>
      <c r="AK105" s="62"/>
      <c r="AL105" s="62"/>
      <c r="AM105" s="62"/>
      <c r="AN105" s="62"/>
      <c r="AO105" s="62"/>
      <c r="AP105" s="62"/>
      <c r="AQ105" s="62"/>
      <c r="AR105" s="62"/>
      <c r="AS105" s="62"/>
      <c r="AT105" s="62"/>
      <c r="AU105" s="62"/>
      <c r="AV105" s="62"/>
      <c r="AW105" s="62"/>
      <c r="AX105" s="62"/>
      <c r="AY105" s="62"/>
      <c r="AZ105" s="62"/>
      <c r="BA105" s="62"/>
      <c r="BB105" s="62"/>
      <c r="BC105" s="62"/>
      <c r="BD105" s="62"/>
      <c r="BE105" s="62"/>
      <c r="BF105" s="62"/>
      <c r="BG105" s="62"/>
      <c r="BH105" s="62"/>
      <c r="BI105" s="62"/>
      <c r="BJ105" s="62"/>
      <c r="BK105" s="62"/>
      <c r="BL105" s="62"/>
      <c r="BM105" s="62"/>
      <c r="BN105" s="62"/>
      <c r="BO105" s="62"/>
      <c r="BP105" s="62"/>
      <c r="BQ105" s="62"/>
      <c r="BR105" s="62"/>
      <c r="BS105" s="62"/>
      <c r="BT105" s="62"/>
      <c r="BU105" s="62"/>
      <c r="BV105" s="62"/>
      <c r="BW105" s="62"/>
      <c r="BX105" s="62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  <c r="HB105"/>
      <c r="HC105"/>
      <c r="HD105"/>
      <c r="HE105"/>
      <c r="HF105"/>
      <c r="HG105"/>
      <c r="HH105"/>
      <c r="HI105"/>
      <c r="HJ105"/>
      <c r="HK105"/>
      <c r="HL105"/>
      <c r="HM105"/>
      <c r="HN105"/>
      <c r="HO105"/>
      <c r="HP105"/>
      <c r="HQ105"/>
      <c r="HR105"/>
      <c r="HS105"/>
      <c r="HT105"/>
      <c r="HU105"/>
      <c r="HV105"/>
      <c r="HW105"/>
      <c r="HX105"/>
      <c r="HY105"/>
      <c r="HZ105"/>
      <c r="IA105"/>
      <c r="IB105"/>
      <c r="IC105"/>
      <c r="ID105"/>
      <c r="IE105"/>
      <c r="IF105"/>
      <c r="IG105"/>
      <c r="IH105"/>
      <c r="II105"/>
      <c r="IJ105"/>
      <c r="IK105"/>
      <c r="IL105"/>
      <c r="IM105"/>
      <c r="IN105"/>
      <c r="IO105"/>
      <c r="IP105"/>
      <c r="IQ105"/>
      <c r="IR105"/>
      <c r="IS105"/>
      <c r="IT105"/>
      <c r="IU105"/>
      <c r="IV105"/>
      <c r="IW105"/>
      <c r="IX105"/>
      <c r="IY105"/>
      <c r="IZ105"/>
      <c r="JA105"/>
      <c r="JB105"/>
      <c r="JC105"/>
      <c r="JD105"/>
      <c r="JE105"/>
      <c r="JF105"/>
      <c r="JG105"/>
      <c r="JH105"/>
      <c r="JI105"/>
      <c r="JJ105"/>
      <c r="JK105"/>
      <c r="JL105"/>
      <c r="JM105"/>
      <c r="JN105"/>
      <c r="JO105"/>
      <c r="JP105"/>
      <c r="JQ105"/>
      <c r="JR105"/>
      <c r="JS105"/>
      <c r="JT105"/>
      <c r="JU105"/>
      <c r="JV105"/>
      <c r="JW105"/>
      <c r="JX105"/>
      <c r="JY105"/>
      <c r="JZ105"/>
      <c r="KA105"/>
      <c r="KB105"/>
      <c r="KC105"/>
      <c r="KD105"/>
      <c r="KE105"/>
      <c r="KF105"/>
      <c r="KG105"/>
      <c r="KH105"/>
      <c r="KI105"/>
      <c r="KJ105"/>
      <c r="KK105"/>
      <c r="KL105"/>
      <c r="KM105"/>
      <c r="KN105"/>
      <c r="KO105"/>
      <c r="KP105"/>
      <c r="KQ105"/>
      <c r="KR105"/>
      <c r="KS105"/>
      <c r="KT105"/>
      <c r="KU105"/>
      <c r="KV105"/>
      <c r="KW105"/>
      <c r="KX105"/>
      <c r="KY105"/>
      <c r="KZ105"/>
      <c r="LA105"/>
      <c r="LB105"/>
      <c r="LC105"/>
      <c r="LD105"/>
      <c r="LE105"/>
      <c r="LF105"/>
      <c r="LG105"/>
      <c r="LH105"/>
      <c r="LI105"/>
      <c r="LJ105"/>
      <c r="LK105"/>
      <c r="LL105"/>
      <c r="LM105"/>
      <c r="LN105"/>
      <c r="LO105"/>
      <c r="LP105"/>
      <c r="LQ105"/>
      <c r="LR105"/>
      <c r="LS105"/>
      <c r="LT105"/>
      <c r="LU105"/>
      <c r="LV105"/>
      <c r="LW105"/>
      <c r="LX105"/>
      <c r="LY105"/>
      <c r="LZ105"/>
      <c r="MA105"/>
      <c r="MB105"/>
      <c r="MC105"/>
      <c r="MD105"/>
      <c r="ME105"/>
      <c r="MF105"/>
      <c r="MG105"/>
      <c r="MH105"/>
      <c r="MI105"/>
      <c r="MJ105"/>
      <c r="MK105"/>
      <c r="ML105"/>
      <c r="MM105"/>
      <c r="MN105"/>
      <c r="MO105"/>
      <c r="MP105"/>
      <c r="MQ105"/>
      <c r="MR105"/>
      <c r="MS105"/>
      <c r="MT105"/>
      <c r="MU105"/>
      <c r="MV105"/>
      <c r="MW105"/>
      <c r="MX105"/>
      <c r="MY105"/>
      <c r="MZ105"/>
      <c r="NA105"/>
      <c r="NB105"/>
      <c r="NC105"/>
      <c r="ND105"/>
      <c r="NE105"/>
      <c r="NF105"/>
      <c r="NG105"/>
      <c r="NH105"/>
      <c r="NI105"/>
      <c r="NJ105"/>
      <c r="NK105"/>
      <c r="NL105"/>
      <c r="NM105"/>
      <c r="NN105"/>
      <c r="NO105"/>
      <c r="NP105"/>
      <c r="NQ105"/>
      <c r="NR105"/>
      <c r="NS105"/>
      <c r="NT105"/>
      <c r="NU105"/>
      <c r="NV105"/>
      <c r="NW105"/>
      <c r="NX105"/>
      <c r="NY105"/>
      <c r="NZ105"/>
      <c r="OA105"/>
      <c r="OB105"/>
      <c r="OC105"/>
      <c r="OD105"/>
      <c r="OE105"/>
      <c r="OF105"/>
      <c r="OG105"/>
      <c r="OH105"/>
      <c r="OI105"/>
      <c r="OJ105"/>
      <c r="OK105"/>
      <c r="OL105"/>
      <c r="OM105"/>
      <c r="ON105"/>
      <c r="OO105"/>
      <c r="OP105"/>
      <c r="OQ105"/>
      <c r="OR105"/>
      <c r="OS105"/>
      <c r="OT105"/>
      <c r="OU105"/>
      <c r="OV105"/>
      <c r="OW105"/>
      <c r="OX105"/>
      <c r="OY105"/>
      <c r="OZ105"/>
      <c r="PA105"/>
      <c r="PB105"/>
      <c r="PC105"/>
      <c r="PD105"/>
      <c r="PE105"/>
      <c r="PF105"/>
      <c r="PG105"/>
      <c r="PH105"/>
      <c r="PI105"/>
      <c r="PJ105"/>
      <c r="PK105"/>
      <c r="PL105"/>
      <c r="PM105"/>
      <c r="PN105"/>
      <c r="PO105"/>
      <c r="PP105"/>
      <c r="PQ105"/>
      <c r="PR105"/>
      <c r="PS105"/>
      <c r="PT105"/>
      <c r="PU105"/>
      <c r="PV105"/>
      <c r="PW105"/>
      <c r="PX105"/>
      <c r="PY105"/>
      <c r="PZ105"/>
      <c r="QA105"/>
      <c r="QB105"/>
      <c r="QC105"/>
      <c r="QD105"/>
      <c r="QE105"/>
      <c r="QF105"/>
      <c r="QG105"/>
      <c r="QH105"/>
      <c r="QI105"/>
      <c r="QJ105"/>
      <c r="QK105"/>
      <c r="QL105"/>
      <c r="QM105"/>
      <c r="QN105"/>
      <c r="QO105"/>
      <c r="QP105"/>
      <c r="QQ105"/>
      <c r="QR105"/>
      <c r="QS105"/>
      <c r="QT105"/>
      <c r="QU105"/>
      <c r="QV105"/>
      <c r="QW105"/>
      <c r="QX105"/>
    </row>
    <row r="106" spans="1:466" x14ac:dyDescent="0.35">
      <c r="A106" s="53"/>
      <c r="B106" s="53"/>
      <c r="C106" s="55"/>
      <c r="D106" s="53"/>
      <c r="E106" s="53"/>
      <c r="F106" s="126" t="s">
        <v>1366</v>
      </c>
      <c r="G106" s="125">
        <v>9.8800000000000008</v>
      </c>
      <c r="H106" s="125">
        <v>0</v>
      </c>
      <c r="I106" s="133">
        <v>0</v>
      </c>
      <c r="J106" s="53"/>
      <c r="K106" s="60">
        <v>45293</v>
      </c>
      <c r="L106" s="59" t="str">
        <f>IFERROR(VLOOKUP($A$2,Stok!$B$1:$AA$446,16,0),"")</f>
        <v/>
      </c>
      <c r="M106" s="53"/>
      <c r="N106" s="53"/>
      <c r="O106" s="53"/>
      <c r="P106" s="53"/>
      <c r="Q106" s="53"/>
      <c r="R106" s="53"/>
      <c r="S106" s="53"/>
      <c r="T106" s="53"/>
      <c r="U106" s="53"/>
      <c r="V106" s="53"/>
      <c r="W106" s="53"/>
      <c r="X106" s="53"/>
      <c r="Y106" s="53"/>
      <c r="Z106" s="53"/>
      <c r="AA106" s="53"/>
      <c r="AB106" s="53"/>
      <c r="AC106" s="53"/>
      <c r="AD106" s="53"/>
      <c r="AE106" s="53"/>
      <c r="AF106" s="63"/>
      <c r="AG106" s="64"/>
      <c r="AH106" s="65"/>
      <c r="AI106" s="65"/>
      <c r="AJ106" s="53"/>
      <c r="AK106" s="62"/>
      <c r="AL106" s="62"/>
      <c r="AM106" s="62"/>
      <c r="AN106" s="62"/>
      <c r="AO106" s="62"/>
      <c r="AP106" s="62"/>
      <c r="AQ106" s="62"/>
      <c r="AR106" s="62"/>
      <c r="AS106" s="62"/>
      <c r="AT106" s="62"/>
      <c r="AU106" s="62"/>
      <c r="AV106" s="62"/>
      <c r="AW106" s="62"/>
      <c r="AX106" s="62"/>
      <c r="AY106" s="62"/>
      <c r="AZ106" s="62"/>
      <c r="BA106" s="62"/>
      <c r="BB106" s="62"/>
      <c r="BC106" s="62"/>
      <c r="BD106" s="62"/>
      <c r="BE106" s="62"/>
      <c r="BF106" s="62"/>
      <c r="BG106" s="62"/>
      <c r="BH106" s="62"/>
      <c r="BI106" s="62"/>
      <c r="BJ106" s="62"/>
      <c r="BK106" s="62"/>
      <c r="BL106" s="62"/>
      <c r="BM106" s="62"/>
      <c r="BN106" s="62"/>
      <c r="BO106" s="62"/>
      <c r="BP106" s="62"/>
      <c r="BQ106" s="62"/>
      <c r="BR106" s="62"/>
      <c r="BS106" s="62"/>
      <c r="BT106" s="62"/>
      <c r="BU106" s="62"/>
      <c r="BV106" s="62"/>
      <c r="BW106" s="62"/>
      <c r="BX106" s="62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  <c r="IW106"/>
      <c r="IX106"/>
      <c r="IY106"/>
      <c r="IZ106"/>
      <c r="JA106"/>
      <c r="JB106"/>
      <c r="JC106"/>
      <c r="JD106"/>
      <c r="JE106"/>
      <c r="JF106"/>
      <c r="JG106"/>
      <c r="JH106"/>
      <c r="JI106"/>
      <c r="JJ106"/>
      <c r="JK106"/>
      <c r="JL106"/>
      <c r="JM106"/>
      <c r="JN106"/>
      <c r="JO106"/>
      <c r="JP106"/>
      <c r="JQ106"/>
      <c r="JR106"/>
      <c r="JS106"/>
      <c r="JT106"/>
      <c r="JU106"/>
      <c r="JV106"/>
      <c r="JW106"/>
      <c r="JX106"/>
      <c r="JY106"/>
      <c r="JZ106"/>
      <c r="KA106"/>
      <c r="KB106"/>
      <c r="KC106"/>
      <c r="KD106"/>
      <c r="KE106"/>
      <c r="KF106"/>
      <c r="KG106"/>
      <c r="KH106"/>
      <c r="KI106"/>
      <c r="KJ106"/>
      <c r="KK106"/>
      <c r="KL106"/>
      <c r="KM106"/>
      <c r="KN106"/>
      <c r="KO106"/>
      <c r="KP106"/>
      <c r="KQ106"/>
      <c r="KR106"/>
      <c r="KS106"/>
      <c r="KT106"/>
      <c r="KU106"/>
      <c r="KV106"/>
      <c r="KW106"/>
      <c r="KX106"/>
      <c r="KY106"/>
      <c r="KZ106"/>
      <c r="LA106"/>
      <c r="LB106"/>
      <c r="LC106"/>
      <c r="LD106"/>
      <c r="LE106"/>
      <c r="LF106"/>
      <c r="LG106"/>
      <c r="LH106"/>
      <c r="LI106"/>
      <c r="LJ106"/>
      <c r="LK106"/>
      <c r="LL106"/>
      <c r="LM106"/>
      <c r="LN106"/>
      <c r="LO106"/>
      <c r="LP106"/>
      <c r="LQ106"/>
      <c r="LR106"/>
      <c r="LS106"/>
      <c r="LT106"/>
      <c r="LU106"/>
      <c r="LV106"/>
      <c r="LW106"/>
      <c r="LX106"/>
      <c r="LY106"/>
      <c r="LZ106"/>
      <c r="MA106"/>
      <c r="MB106"/>
      <c r="MC106"/>
      <c r="MD106"/>
      <c r="ME106"/>
      <c r="MF106"/>
      <c r="MG106"/>
      <c r="MH106"/>
      <c r="MI106"/>
      <c r="MJ106"/>
      <c r="MK106"/>
      <c r="ML106"/>
      <c r="MM106"/>
      <c r="MN106"/>
      <c r="MO106"/>
      <c r="MP106"/>
      <c r="MQ106"/>
      <c r="MR106"/>
      <c r="MS106"/>
      <c r="MT106"/>
      <c r="MU106"/>
      <c r="MV106"/>
      <c r="MW106"/>
      <c r="MX106"/>
      <c r="MY106"/>
      <c r="MZ106"/>
      <c r="NA106"/>
      <c r="NB106"/>
      <c r="NC106"/>
      <c r="ND106"/>
      <c r="NE106"/>
      <c r="NF106"/>
      <c r="NG106"/>
      <c r="NH106"/>
      <c r="NI106"/>
      <c r="NJ106"/>
      <c r="NK106"/>
      <c r="NL106"/>
      <c r="NM106"/>
      <c r="NN106"/>
      <c r="NO106"/>
      <c r="NP106"/>
      <c r="NQ106"/>
      <c r="NR106"/>
      <c r="NS106"/>
      <c r="NT106"/>
      <c r="NU106"/>
      <c r="NV106"/>
      <c r="NW106"/>
      <c r="NX106"/>
      <c r="NY106"/>
      <c r="NZ106"/>
      <c r="OA106"/>
      <c r="OB106"/>
      <c r="OC106"/>
      <c r="OD106"/>
      <c r="OE106"/>
      <c r="OF106"/>
      <c r="OG106"/>
      <c r="OH106"/>
      <c r="OI106"/>
      <c r="OJ106"/>
      <c r="OK106"/>
      <c r="OL106"/>
      <c r="OM106"/>
      <c r="ON106"/>
      <c r="OO106"/>
      <c r="OP106"/>
      <c r="OQ106"/>
      <c r="OR106"/>
      <c r="OS106"/>
      <c r="OT106"/>
      <c r="OU106"/>
      <c r="OV106"/>
      <c r="OW106"/>
      <c r="OX106"/>
      <c r="OY106"/>
      <c r="OZ106"/>
      <c r="PA106"/>
      <c r="PB106"/>
      <c r="PC106"/>
      <c r="PD106"/>
      <c r="PE106"/>
      <c r="PF106"/>
      <c r="PG106"/>
      <c r="PH106"/>
      <c r="PI106"/>
      <c r="PJ106"/>
      <c r="PK106"/>
      <c r="PL106"/>
      <c r="PM106"/>
      <c r="PN106"/>
      <c r="PO106"/>
      <c r="PP106"/>
      <c r="PQ106"/>
      <c r="PR106"/>
      <c r="PS106"/>
      <c r="PT106"/>
      <c r="PU106"/>
      <c r="PV106"/>
      <c r="PW106"/>
      <c r="PX106"/>
      <c r="PY106"/>
      <c r="PZ106"/>
      <c r="QA106"/>
      <c r="QB106"/>
      <c r="QC106"/>
      <c r="QD106"/>
      <c r="QE106"/>
      <c r="QF106"/>
      <c r="QG106"/>
      <c r="QH106"/>
      <c r="QI106"/>
      <c r="QJ106"/>
      <c r="QK106"/>
      <c r="QL106"/>
      <c r="QM106"/>
      <c r="QN106"/>
      <c r="QO106"/>
      <c r="QP106"/>
      <c r="QQ106"/>
      <c r="QR106"/>
      <c r="QS106"/>
      <c r="QT106"/>
      <c r="QU106"/>
      <c r="QV106"/>
      <c r="QW106"/>
      <c r="QX106"/>
    </row>
    <row r="107" spans="1:466" x14ac:dyDescent="0.35">
      <c r="A107" s="53"/>
      <c r="B107" s="53"/>
      <c r="C107" s="55"/>
      <c r="D107" s="53"/>
      <c r="E107" s="53"/>
      <c r="F107" s="126" t="s">
        <v>167</v>
      </c>
      <c r="G107" s="125">
        <v>45.18</v>
      </c>
      <c r="H107" s="125">
        <v>0</v>
      </c>
      <c r="I107" s="133">
        <v>0</v>
      </c>
      <c r="J107" s="53"/>
      <c r="K107" s="60">
        <v>45285</v>
      </c>
      <c r="L107" s="70" t="str">
        <f>IFERROR(VLOOKUP($A$2,Stok!$B$1:$AA$446,15,0),"")</f>
        <v/>
      </c>
      <c r="M107" s="53"/>
      <c r="N107" s="53"/>
      <c r="O107" s="53"/>
      <c r="P107" s="53"/>
      <c r="Q107" s="53"/>
      <c r="R107" s="53"/>
      <c r="S107" s="53"/>
      <c r="T107" s="53"/>
      <c r="U107" s="53"/>
      <c r="V107" s="53"/>
      <c r="W107" s="53"/>
      <c r="X107" s="53"/>
      <c r="Y107" s="53"/>
      <c r="Z107" s="53"/>
      <c r="AA107" s="53"/>
      <c r="AB107" s="53"/>
      <c r="AC107" s="53"/>
      <c r="AD107" s="53"/>
      <c r="AE107" s="53"/>
      <c r="AF107" s="63"/>
      <c r="AG107" s="64"/>
      <c r="AH107" s="65"/>
      <c r="AI107" s="65"/>
      <c r="AJ107" s="53"/>
      <c r="AK107" s="62"/>
      <c r="AL107" s="62"/>
      <c r="AM107" s="62"/>
      <c r="AN107" s="62"/>
      <c r="AO107" s="62"/>
      <c r="AP107" s="62"/>
      <c r="AQ107" s="62"/>
      <c r="AR107" s="62"/>
      <c r="AS107" s="62"/>
      <c r="AT107" s="62"/>
      <c r="AU107" s="62"/>
      <c r="AV107" s="62"/>
      <c r="AW107" s="62"/>
      <c r="AX107" s="62"/>
      <c r="AY107" s="62"/>
      <c r="AZ107" s="62"/>
      <c r="BA107" s="62"/>
      <c r="BB107" s="62"/>
      <c r="BC107" s="62"/>
      <c r="BD107" s="62"/>
      <c r="BE107" s="62"/>
      <c r="BF107" s="62"/>
      <c r="BG107" s="62"/>
      <c r="BH107" s="62"/>
      <c r="BI107" s="62"/>
      <c r="BJ107" s="62"/>
      <c r="BK107" s="62"/>
      <c r="BL107" s="62"/>
      <c r="BM107" s="62"/>
      <c r="BN107" s="62"/>
      <c r="BO107" s="62"/>
      <c r="BP107" s="62"/>
      <c r="BQ107" s="62"/>
      <c r="BR107" s="62"/>
      <c r="BS107" s="62"/>
      <c r="BT107" s="62"/>
      <c r="BU107" s="62"/>
      <c r="BV107" s="62"/>
      <c r="BW107" s="62"/>
      <c r="BX107" s="62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  <c r="IW107"/>
      <c r="IX107"/>
      <c r="IY107"/>
      <c r="IZ107"/>
      <c r="JA107"/>
      <c r="JB107"/>
      <c r="JC107"/>
      <c r="JD107"/>
      <c r="JE107"/>
      <c r="JF107"/>
      <c r="JG107"/>
      <c r="JH107"/>
      <c r="JI107"/>
      <c r="JJ107"/>
      <c r="JK107"/>
      <c r="JL107"/>
      <c r="JM107"/>
      <c r="JN107"/>
      <c r="JO107"/>
      <c r="JP107"/>
      <c r="JQ107"/>
      <c r="JR107"/>
      <c r="JS107"/>
      <c r="JT107"/>
      <c r="JU107"/>
      <c r="JV107"/>
      <c r="JW107"/>
      <c r="JX107"/>
      <c r="JY107"/>
      <c r="JZ107"/>
      <c r="KA107"/>
      <c r="KB107"/>
      <c r="KC107"/>
      <c r="KD107"/>
      <c r="KE107"/>
      <c r="KF107"/>
      <c r="KG107"/>
      <c r="KH107"/>
      <c r="KI107"/>
      <c r="KJ107"/>
      <c r="KK107"/>
      <c r="KL107"/>
      <c r="KM107"/>
      <c r="KN107"/>
      <c r="KO107"/>
      <c r="KP107"/>
      <c r="KQ107"/>
      <c r="KR107"/>
      <c r="KS107"/>
      <c r="KT107"/>
      <c r="KU107"/>
      <c r="KV107"/>
      <c r="KW107"/>
      <c r="KX107"/>
      <c r="KY107"/>
      <c r="KZ107"/>
      <c r="LA107"/>
      <c r="LB107"/>
      <c r="LC107"/>
      <c r="LD107"/>
      <c r="LE107"/>
      <c r="LF107"/>
      <c r="LG107"/>
      <c r="LH107"/>
      <c r="LI107"/>
      <c r="LJ107"/>
      <c r="LK107"/>
      <c r="LL107"/>
      <c r="LM107"/>
      <c r="LN107"/>
      <c r="LO107"/>
      <c r="LP107"/>
      <c r="LQ107"/>
      <c r="LR107"/>
      <c r="LS107"/>
      <c r="LT107"/>
      <c r="LU107"/>
      <c r="LV107"/>
      <c r="LW107"/>
      <c r="LX107"/>
      <c r="LY107"/>
      <c r="LZ107"/>
      <c r="MA107"/>
      <c r="MB107"/>
      <c r="MC107"/>
      <c r="MD107"/>
      <c r="ME107"/>
      <c r="MF107"/>
      <c r="MG107"/>
      <c r="MH107"/>
      <c r="MI107"/>
      <c r="MJ107"/>
      <c r="MK107"/>
      <c r="ML107"/>
      <c r="MM107"/>
      <c r="MN107"/>
      <c r="MO107"/>
      <c r="MP107"/>
      <c r="MQ107"/>
      <c r="MR107"/>
      <c r="MS107"/>
      <c r="MT107"/>
      <c r="MU107"/>
      <c r="MV107"/>
      <c r="MW107"/>
      <c r="MX107"/>
      <c r="MY107"/>
      <c r="MZ107"/>
      <c r="NA107"/>
      <c r="NB107"/>
      <c r="NC107"/>
      <c r="ND107"/>
      <c r="NE107"/>
      <c r="NF107"/>
      <c r="NG107"/>
      <c r="NH107"/>
      <c r="NI107"/>
      <c r="NJ107"/>
      <c r="NK107"/>
      <c r="NL107"/>
      <c r="NM107"/>
      <c r="NN107"/>
      <c r="NO107"/>
      <c r="NP107"/>
      <c r="NQ107"/>
      <c r="NR107"/>
      <c r="NS107"/>
      <c r="NT107"/>
      <c r="NU107"/>
      <c r="NV107"/>
      <c r="NW107"/>
      <c r="NX107"/>
      <c r="NY107"/>
      <c r="NZ107"/>
      <c r="OA107"/>
      <c r="OB107"/>
      <c r="OC107"/>
      <c r="OD107"/>
      <c r="OE107"/>
      <c r="OF107"/>
      <c r="OG107"/>
      <c r="OH107"/>
      <c r="OI107"/>
      <c r="OJ107"/>
      <c r="OK107"/>
      <c r="OL107"/>
      <c r="OM107"/>
      <c r="ON107"/>
      <c r="OO107"/>
      <c r="OP107"/>
      <c r="OQ107"/>
      <c r="OR107"/>
      <c r="OS107"/>
      <c r="OT107"/>
      <c r="OU107"/>
      <c r="OV107"/>
      <c r="OW107"/>
      <c r="OX107"/>
      <c r="OY107"/>
      <c r="OZ107"/>
      <c r="PA107"/>
      <c r="PB107"/>
      <c r="PC107"/>
      <c r="PD107"/>
      <c r="PE107"/>
      <c r="PF107"/>
      <c r="PG107"/>
      <c r="PH107"/>
      <c r="PI107"/>
      <c r="PJ107"/>
      <c r="PK107"/>
      <c r="PL107"/>
      <c r="PM107"/>
      <c r="PN107"/>
      <c r="PO107"/>
      <c r="PP107"/>
      <c r="PQ107"/>
      <c r="PR107"/>
      <c r="PS107"/>
      <c r="PT107"/>
      <c r="PU107"/>
      <c r="PV107"/>
      <c r="PW107"/>
      <c r="PX107"/>
      <c r="PY107"/>
      <c r="PZ107"/>
      <c r="QA107"/>
      <c r="QB107"/>
      <c r="QC107"/>
      <c r="QD107"/>
      <c r="QE107"/>
      <c r="QF107"/>
      <c r="QG107"/>
      <c r="QH107"/>
      <c r="QI107"/>
      <c r="QJ107"/>
      <c r="QK107"/>
      <c r="QL107"/>
      <c r="QM107"/>
      <c r="QN107"/>
      <c r="QO107"/>
      <c r="QP107"/>
      <c r="QQ107"/>
      <c r="QR107"/>
      <c r="QS107"/>
      <c r="QT107"/>
      <c r="QU107"/>
      <c r="QV107"/>
      <c r="QW107"/>
      <c r="QX107"/>
    </row>
    <row r="108" spans="1:466" x14ac:dyDescent="0.35">
      <c r="A108" s="53"/>
      <c r="B108" s="53"/>
      <c r="C108" s="55"/>
      <c r="D108" s="53"/>
      <c r="E108" s="53"/>
      <c r="F108" s="126" t="s">
        <v>1304</v>
      </c>
      <c r="G108" s="125">
        <v>2.93</v>
      </c>
      <c r="H108" s="125">
        <v>76.180000000000007</v>
      </c>
      <c r="I108" s="133">
        <v>26</v>
      </c>
      <c r="J108" s="53"/>
      <c r="K108" s="58">
        <v>45275</v>
      </c>
      <c r="L108" s="70" t="str">
        <f>IFERROR(VLOOKUP($A$2,Stok!$B$1:$AA$446,14,0),"")</f>
        <v/>
      </c>
      <c r="M108" s="53"/>
      <c r="N108" s="53"/>
      <c r="O108" s="53"/>
      <c r="P108" s="53"/>
      <c r="Q108" s="53"/>
      <c r="R108" s="53"/>
      <c r="S108" s="53"/>
      <c r="T108" s="53"/>
      <c r="U108" s="53"/>
      <c r="V108" s="53"/>
      <c r="W108" s="53"/>
      <c r="X108" s="53"/>
      <c r="Y108" s="53"/>
      <c r="Z108" s="53"/>
      <c r="AA108" s="53"/>
      <c r="AB108" s="53"/>
      <c r="AC108" s="53"/>
      <c r="AD108" s="53"/>
      <c r="AE108" s="53"/>
      <c r="AF108" s="63"/>
      <c r="AG108" s="64"/>
      <c r="AH108" s="65"/>
      <c r="AI108" s="65"/>
      <c r="AJ108" s="53"/>
      <c r="AK108" s="62"/>
      <c r="AL108" s="62"/>
      <c r="AM108" s="62"/>
      <c r="AN108" s="62"/>
      <c r="AO108" s="62"/>
      <c r="AP108" s="62"/>
      <c r="AQ108" s="62"/>
      <c r="AR108" s="62"/>
      <c r="AS108" s="62"/>
      <c r="AT108" s="62"/>
      <c r="AU108" s="62"/>
      <c r="AV108" s="62"/>
      <c r="AW108" s="62"/>
      <c r="AX108" s="62"/>
      <c r="AY108" s="62"/>
      <c r="AZ108" s="62"/>
      <c r="BA108" s="62"/>
      <c r="BB108" s="62"/>
      <c r="BC108" s="62"/>
      <c r="BD108" s="62"/>
      <c r="BE108" s="62"/>
      <c r="BF108" s="62"/>
      <c r="BG108" s="62"/>
      <c r="BH108" s="62"/>
      <c r="BI108" s="62"/>
      <c r="BJ108" s="62"/>
      <c r="BK108" s="62"/>
      <c r="BL108" s="62"/>
      <c r="BM108" s="62"/>
      <c r="BN108" s="62"/>
      <c r="BO108" s="62"/>
      <c r="BP108" s="62"/>
      <c r="BQ108" s="62"/>
      <c r="BR108" s="62"/>
      <c r="BS108" s="62"/>
      <c r="BT108" s="62"/>
      <c r="BU108" s="62"/>
      <c r="BV108" s="62"/>
      <c r="BW108" s="62"/>
      <c r="BX108" s="62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  <c r="IW108"/>
      <c r="IX108"/>
      <c r="IY108"/>
      <c r="IZ108"/>
      <c r="JA108"/>
      <c r="JB108"/>
      <c r="JC108"/>
      <c r="JD108"/>
      <c r="JE108"/>
      <c r="JF108"/>
      <c r="JG108"/>
      <c r="JH108"/>
      <c r="JI108"/>
      <c r="JJ108"/>
      <c r="JK108"/>
      <c r="JL108"/>
      <c r="JM108"/>
      <c r="JN108"/>
      <c r="JO108"/>
      <c r="JP108"/>
      <c r="JQ108"/>
      <c r="JR108"/>
      <c r="JS108"/>
      <c r="JT108"/>
      <c r="JU108"/>
      <c r="JV108"/>
      <c r="JW108"/>
      <c r="JX108"/>
      <c r="JY108"/>
      <c r="JZ108"/>
      <c r="KA108"/>
      <c r="KB108"/>
      <c r="KC108"/>
      <c r="KD108"/>
      <c r="KE108"/>
      <c r="KF108"/>
      <c r="KG108"/>
      <c r="KH108"/>
      <c r="KI108"/>
      <c r="KJ108"/>
      <c r="KK108"/>
      <c r="KL108"/>
      <c r="KM108"/>
      <c r="KN108"/>
      <c r="KO108"/>
      <c r="KP108"/>
      <c r="KQ108"/>
      <c r="KR108"/>
      <c r="KS108"/>
      <c r="KT108"/>
      <c r="KU108"/>
      <c r="KV108"/>
      <c r="KW108"/>
      <c r="KX108"/>
      <c r="KY108"/>
      <c r="KZ108"/>
      <c r="LA108"/>
      <c r="LB108"/>
      <c r="LC108"/>
      <c r="LD108"/>
      <c r="LE108"/>
      <c r="LF108"/>
      <c r="LG108"/>
      <c r="LH108"/>
      <c r="LI108"/>
      <c r="LJ108"/>
      <c r="LK108"/>
      <c r="LL108"/>
      <c r="LM108"/>
      <c r="LN108"/>
      <c r="LO108"/>
      <c r="LP108"/>
      <c r="LQ108"/>
      <c r="LR108"/>
      <c r="LS108"/>
      <c r="LT108"/>
      <c r="LU108"/>
      <c r="LV108"/>
      <c r="LW108"/>
      <c r="LX108"/>
      <c r="LY108"/>
      <c r="LZ108"/>
      <c r="MA108"/>
      <c r="MB108"/>
      <c r="MC108"/>
      <c r="MD108"/>
      <c r="ME108"/>
      <c r="MF108"/>
      <c r="MG108"/>
      <c r="MH108"/>
      <c r="MI108"/>
      <c r="MJ108"/>
      <c r="MK108"/>
      <c r="ML108"/>
      <c r="MM108"/>
      <c r="MN108"/>
      <c r="MO108"/>
      <c r="MP108"/>
      <c r="MQ108"/>
      <c r="MR108"/>
      <c r="MS108"/>
      <c r="MT108"/>
      <c r="MU108"/>
      <c r="MV108"/>
      <c r="MW108"/>
      <c r="MX108"/>
      <c r="MY108"/>
      <c r="MZ108"/>
      <c r="NA108"/>
      <c r="NB108"/>
      <c r="NC108"/>
      <c r="ND108"/>
      <c r="NE108"/>
      <c r="NF108"/>
      <c r="NG108"/>
      <c r="NH108"/>
      <c r="NI108"/>
      <c r="NJ108"/>
      <c r="NK108"/>
      <c r="NL108"/>
      <c r="NM108"/>
      <c r="NN108"/>
      <c r="NO108"/>
      <c r="NP108"/>
      <c r="NQ108"/>
      <c r="NR108"/>
      <c r="NS108"/>
      <c r="NT108"/>
      <c r="NU108"/>
      <c r="NV108"/>
      <c r="NW108"/>
      <c r="NX108"/>
      <c r="NY108"/>
      <c r="NZ108"/>
      <c r="OA108"/>
      <c r="OB108"/>
      <c r="OC108"/>
      <c r="OD108"/>
      <c r="OE108"/>
      <c r="OF108"/>
      <c r="OG108"/>
      <c r="OH108"/>
      <c r="OI108"/>
      <c r="OJ108"/>
      <c r="OK108"/>
      <c r="OL108"/>
      <c r="OM108"/>
      <c r="ON108"/>
      <c r="OO108"/>
      <c r="OP108"/>
      <c r="OQ108"/>
      <c r="OR108"/>
      <c r="OS108"/>
      <c r="OT108"/>
      <c r="OU108"/>
      <c r="OV108"/>
      <c r="OW108"/>
      <c r="OX108"/>
      <c r="OY108"/>
      <c r="OZ108"/>
      <c r="PA108"/>
      <c r="PB108"/>
      <c r="PC108"/>
      <c r="PD108"/>
      <c r="PE108"/>
      <c r="PF108"/>
      <c r="PG108"/>
      <c r="PH108"/>
      <c r="PI108"/>
      <c r="PJ108"/>
      <c r="PK108"/>
      <c r="PL108"/>
      <c r="PM108"/>
      <c r="PN108"/>
      <c r="PO108"/>
      <c r="PP108"/>
      <c r="PQ108"/>
      <c r="PR108"/>
      <c r="PS108"/>
      <c r="PT108"/>
      <c r="PU108"/>
      <c r="PV108"/>
      <c r="PW108"/>
      <c r="PX108"/>
      <c r="PY108"/>
      <c r="PZ108"/>
      <c r="QA108"/>
      <c r="QB108"/>
      <c r="QC108"/>
      <c r="QD108"/>
      <c r="QE108"/>
      <c r="QF108"/>
      <c r="QG108"/>
      <c r="QH108"/>
      <c r="QI108"/>
      <c r="QJ108"/>
      <c r="QK108"/>
      <c r="QL108"/>
      <c r="QM108"/>
      <c r="QN108"/>
      <c r="QO108"/>
      <c r="QP108"/>
      <c r="QQ108"/>
      <c r="QR108"/>
      <c r="QS108"/>
      <c r="QT108"/>
      <c r="QU108"/>
      <c r="QV108"/>
      <c r="QW108"/>
      <c r="QX108"/>
    </row>
    <row r="109" spans="1:466" x14ac:dyDescent="0.35">
      <c r="A109" s="53"/>
      <c r="B109" s="53"/>
      <c r="C109" s="55"/>
      <c r="D109" s="53"/>
      <c r="E109" s="53"/>
      <c r="F109" s="126" t="s">
        <v>169</v>
      </c>
      <c r="G109" s="125">
        <v>0.77</v>
      </c>
      <c r="H109" s="125">
        <v>3.85</v>
      </c>
      <c r="I109" s="133">
        <v>5</v>
      </c>
      <c r="J109" s="53"/>
      <c r="K109" s="60">
        <v>45173</v>
      </c>
      <c r="L109" s="70" t="str">
        <f>IFERROR(VLOOKUP($A$2,Stok!$B$1:$AA$446,8,0),"")</f>
        <v/>
      </c>
      <c r="M109" s="53"/>
      <c r="N109" s="53"/>
      <c r="O109" s="53"/>
      <c r="P109" s="53"/>
      <c r="Q109" s="53"/>
      <c r="R109" s="53"/>
      <c r="S109" s="53"/>
      <c r="T109" s="53"/>
      <c r="U109" s="53"/>
      <c r="V109" s="53"/>
      <c r="W109" s="53"/>
      <c r="X109" s="53"/>
      <c r="Y109" s="53"/>
      <c r="Z109" s="53"/>
      <c r="AA109" s="53"/>
      <c r="AB109" s="53"/>
      <c r="AC109" s="53"/>
      <c r="AD109" s="53"/>
      <c r="AE109" s="53"/>
      <c r="AF109" s="63"/>
      <c r="AG109" s="64"/>
      <c r="AH109" s="65"/>
      <c r="AI109" s="65"/>
      <c r="AJ109" s="53"/>
      <c r="AK109" s="62"/>
      <c r="AL109" s="62"/>
      <c r="AM109" s="62"/>
      <c r="AN109" s="62"/>
      <c r="AO109" s="62"/>
      <c r="AP109" s="62"/>
      <c r="AQ109" s="62"/>
      <c r="AR109" s="62"/>
      <c r="AS109" s="62"/>
      <c r="AT109" s="62"/>
      <c r="AU109" s="62"/>
      <c r="AV109" s="62"/>
      <c r="AW109" s="62"/>
      <c r="AX109" s="62"/>
      <c r="AY109" s="62"/>
      <c r="AZ109" s="62"/>
      <c r="BA109" s="62"/>
      <c r="BB109" s="62"/>
      <c r="BC109" s="62"/>
      <c r="BD109" s="62"/>
      <c r="BE109" s="62"/>
      <c r="BF109" s="62"/>
      <c r="BG109" s="62"/>
      <c r="BH109" s="62"/>
      <c r="BI109" s="62"/>
      <c r="BJ109" s="62"/>
      <c r="BK109" s="62"/>
      <c r="BL109" s="62"/>
      <c r="BM109" s="62"/>
      <c r="BN109" s="62"/>
      <c r="BO109" s="62"/>
      <c r="BP109" s="62"/>
      <c r="BQ109" s="62"/>
      <c r="BR109" s="62"/>
      <c r="BS109" s="62"/>
      <c r="BT109" s="62"/>
      <c r="BU109" s="62"/>
      <c r="BV109" s="62"/>
      <c r="BW109" s="62"/>
      <c r="BX109" s="62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  <c r="IW109"/>
      <c r="IX109"/>
      <c r="IY109"/>
      <c r="IZ109"/>
      <c r="JA109"/>
      <c r="JB109"/>
      <c r="JC109"/>
      <c r="JD109"/>
      <c r="JE109"/>
      <c r="JF109"/>
      <c r="JG109"/>
      <c r="JH109"/>
      <c r="JI109"/>
      <c r="JJ109"/>
      <c r="JK109"/>
      <c r="JL109"/>
      <c r="JM109"/>
      <c r="JN109"/>
      <c r="JO109"/>
      <c r="JP109"/>
      <c r="JQ109"/>
      <c r="JR109"/>
      <c r="JS109"/>
      <c r="JT109"/>
      <c r="JU109"/>
      <c r="JV109"/>
      <c r="JW109"/>
      <c r="JX109"/>
      <c r="JY109"/>
      <c r="JZ109"/>
      <c r="KA109"/>
      <c r="KB109"/>
      <c r="KC109"/>
      <c r="KD109"/>
      <c r="KE109"/>
      <c r="KF109"/>
      <c r="KG109"/>
      <c r="KH109"/>
      <c r="KI109"/>
      <c r="KJ109"/>
      <c r="KK109"/>
      <c r="KL109"/>
      <c r="KM109"/>
      <c r="KN109"/>
      <c r="KO109"/>
      <c r="KP109"/>
      <c r="KQ109"/>
      <c r="KR109"/>
      <c r="KS109"/>
      <c r="KT109"/>
      <c r="KU109"/>
      <c r="KV109"/>
      <c r="KW109"/>
      <c r="KX109"/>
      <c r="KY109"/>
      <c r="KZ109"/>
      <c r="LA109"/>
      <c r="LB109"/>
      <c r="LC109"/>
      <c r="LD109"/>
      <c r="LE109"/>
      <c r="LF109"/>
      <c r="LG109"/>
      <c r="LH109"/>
      <c r="LI109"/>
      <c r="LJ109"/>
      <c r="LK109"/>
      <c r="LL109"/>
      <c r="LM109"/>
      <c r="LN109"/>
      <c r="LO109"/>
      <c r="LP109"/>
      <c r="LQ109"/>
      <c r="LR109"/>
      <c r="LS109"/>
      <c r="LT109"/>
      <c r="LU109"/>
      <c r="LV109"/>
      <c r="LW109"/>
      <c r="LX109"/>
      <c r="LY109"/>
      <c r="LZ109"/>
      <c r="MA109"/>
      <c r="MB109"/>
      <c r="MC109"/>
      <c r="MD109"/>
      <c r="ME109"/>
      <c r="MF109"/>
      <c r="MG109"/>
      <c r="MH109"/>
      <c r="MI109"/>
      <c r="MJ109"/>
      <c r="MK109"/>
      <c r="ML109"/>
      <c r="MM109"/>
      <c r="MN109"/>
      <c r="MO109"/>
      <c r="MP109"/>
      <c r="MQ109"/>
      <c r="MR109"/>
      <c r="MS109"/>
      <c r="MT109"/>
      <c r="MU109"/>
      <c r="MV109"/>
      <c r="MW109"/>
      <c r="MX109"/>
      <c r="MY109"/>
      <c r="MZ109"/>
      <c r="NA109"/>
      <c r="NB109"/>
      <c r="NC109"/>
      <c r="ND109"/>
      <c r="NE109"/>
      <c r="NF109"/>
      <c r="NG109"/>
      <c r="NH109"/>
      <c r="NI109"/>
      <c r="NJ109"/>
      <c r="NK109"/>
      <c r="NL109"/>
      <c r="NM109"/>
      <c r="NN109"/>
      <c r="NO109"/>
      <c r="NP109"/>
      <c r="NQ109"/>
      <c r="NR109"/>
      <c r="NS109"/>
      <c r="NT109"/>
      <c r="NU109"/>
      <c r="NV109"/>
      <c r="NW109"/>
      <c r="NX109"/>
      <c r="NY109"/>
      <c r="NZ109"/>
      <c r="OA109"/>
      <c r="OB109"/>
      <c r="OC109"/>
      <c r="OD109"/>
      <c r="OE109"/>
      <c r="OF109"/>
      <c r="OG109"/>
      <c r="OH109"/>
      <c r="OI109"/>
      <c r="OJ109"/>
      <c r="OK109"/>
      <c r="OL109"/>
      <c r="OM109"/>
      <c r="ON109"/>
      <c r="OO109"/>
      <c r="OP109"/>
      <c r="OQ109"/>
      <c r="OR109"/>
      <c r="OS109"/>
      <c r="OT109"/>
      <c r="OU109"/>
      <c r="OV109"/>
      <c r="OW109"/>
      <c r="OX109"/>
      <c r="OY109"/>
      <c r="OZ109"/>
      <c r="PA109"/>
      <c r="PB109"/>
      <c r="PC109"/>
      <c r="PD109"/>
      <c r="PE109"/>
      <c r="PF109"/>
      <c r="PG109"/>
      <c r="PH109"/>
      <c r="PI109"/>
      <c r="PJ109"/>
      <c r="PK109"/>
      <c r="PL109"/>
      <c r="PM109"/>
      <c r="PN109"/>
      <c r="PO109"/>
      <c r="PP109"/>
      <c r="PQ109"/>
      <c r="PR109"/>
      <c r="PS109"/>
      <c r="PT109"/>
      <c r="PU109"/>
      <c r="PV109"/>
      <c r="PW109"/>
      <c r="PX109"/>
      <c r="PY109"/>
      <c r="PZ109"/>
      <c r="QA109"/>
      <c r="QB109"/>
      <c r="QC109"/>
      <c r="QD109"/>
      <c r="QE109"/>
      <c r="QF109"/>
      <c r="QG109"/>
      <c r="QH109"/>
      <c r="QI109"/>
      <c r="QJ109"/>
      <c r="QK109"/>
      <c r="QL109"/>
      <c r="QM109"/>
      <c r="QN109"/>
      <c r="QO109"/>
      <c r="QP109"/>
      <c r="QQ109"/>
      <c r="QR109"/>
      <c r="QS109"/>
      <c r="QT109"/>
      <c r="QU109"/>
      <c r="QV109"/>
      <c r="QW109"/>
      <c r="QX109"/>
    </row>
    <row r="110" spans="1:466" x14ac:dyDescent="0.35">
      <c r="A110" s="53"/>
      <c r="B110" s="53"/>
      <c r="C110" s="55"/>
      <c r="D110" s="53"/>
      <c r="E110" s="53"/>
      <c r="F110" s="126" t="s">
        <v>171</v>
      </c>
      <c r="G110" s="125">
        <v>4.03</v>
      </c>
      <c r="H110" s="125">
        <v>72.540000000000006</v>
      </c>
      <c r="I110" s="133">
        <v>18</v>
      </c>
      <c r="J110" s="53"/>
      <c r="K110" s="53"/>
      <c r="L110" s="53"/>
      <c r="M110" s="53"/>
      <c r="N110" s="53"/>
      <c r="O110" s="53"/>
      <c r="P110" s="53"/>
      <c r="Q110" s="53"/>
      <c r="R110" s="53"/>
      <c r="S110" s="53"/>
      <c r="T110" s="53"/>
      <c r="U110" s="53"/>
      <c r="V110" s="53"/>
      <c r="W110" s="53"/>
      <c r="X110" s="53"/>
      <c r="Y110" s="53"/>
      <c r="Z110" s="53"/>
      <c r="AA110" s="53"/>
      <c r="AB110" s="53"/>
      <c r="AC110" s="53"/>
      <c r="AD110" s="53"/>
      <c r="AE110" s="53"/>
      <c r="AF110" s="63"/>
      <c r="AG110" s="64"/>
      <c r="AH110" s="65"/>
      <c r="AI110" s="65"/>
      <c r="AJ110" s="53"/>
      <c r="AK110" s="62"/>
      <c r="AL110" s="62"/>
      <c r="AM110" s="62"/>
      <c r="AN110" s="62"/>
      <c r="AO110" s="62"/>
      <c r="AP110" s="62"/>
      <c r="AQ110" s="62"/>
      <c r="AR110" s="62"/>
      <c r="AS110" s="62"/>
      <c r="AT110" s="62"/>
      <c r="AU110" s="62"/>
      <c r="AV110" s="62"/>
      <c r="AW110" s="62"/>
      <c r="AX110" s="62"/>
      <c r="AY110" s="62"/>
      <c r="AZ110" s="62"/>
      <c r="BA110" s="62"/>
      <c r="BB110" s="62"/>
      <c r="BC110" s="62"/>
      <c r="BD110" s="62"/>
      <c r="BE110" s="62"/>
      <c r="BF110" s="62"/>
      <c r="BG110" s="62"/>
      <c r="BH110" s="62"/>
      <c r="BI110" s="62"/>
      <c r="BJ110" s="62"/>
      <c r="BK110" s="62"/>
      <c r="BL110" s="62"/>
      <c r="BM110" s="62"/>
      <c r="BN110" s="62"/>
      <c r="BO110" s="62"/>
      <c r="BP110" s="62"/>
      <c r="BQ110" s="62"/>
      <c r="BR110" s="62"/>
      <c r="BS110" s="62"/>
      <c r="BT110" s="62"/>
      <c r="BU110" s="62"/>
      <c r="BV110" s="62"/>
      <c r="BW110" s="62"/>
      <c r="BX110" s="62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  <c r="IW110"/>
      <c r="IX110"/>
      <c r="IY110"/>
      <c r="IZ110"/>
      <c r="JA110"/>
      <c r="JB110"/>
      <c r="JC110"/>
      <c r="JD110"/>
      <c r="JE110"/>
      <c r="JF110"/>
      <c r="JG110"/>
      <c r="JH110"/>
      <c r="JI110"/>
      <c r="JJ110"/>
      <c r="JK110"/>
      <c r="JL110"/>
      <c r="JM110"/>
      <c r="JN110"/>
      <c r="JO110"/>
      <c r="JP110"/>
      <c r="JQ110"/>
      <c r="JR110"/>
      <c r="JS110"/>
      <c r="JT110"/>
      <c r="JU110"/>
      <c r="JV110"/>
      <c r="JW110"/>
      <c r="JX110"/>
      <c r="JY110"/>
      <c r="JZ110"/>
      <c r="KA110"/>
      <c r="KB110"/>
      <c r="KC110"/>
      <c r="KD110"/>
      <c r="KE110"/>
      <c r="KF110"/>
      <c r="KG110"/>
      <c r="KH110"/>
      <c r="KI110"/>
      <c r="KJ110"/>
      <c r="KK110"/>
      <c r="KL110"/>
      <c r="KM110"/>
      <c r="KN110"/>
      <c r="KO110"/>
      <c r="KP110"/>
      <c r="KQ110"/>
      <c r="KR110"/>
      <c r="KS110"/>
      <c r="KT110"/>
      <c r="KU110"/>
      <c r="KV110"/>
      <c r="KW110"/>
      <c r="KX110"/>
      <c r="KY110"/>
      <c r="KZ110"/>
      <c r="LA110"/>
      <c r="LB110"/>
      <c r="LC110"/>
      <c r="LD110"/>
      <c r="LE110"/>
      <c r="LF110"/>
      <c r="LG110"/>
      <c r="LH110"/>
      <c r="LI110"/>
      <c r="LJ110"/>
      <c r="LK110"/>
      <c r="LL110"/>
      <c r="LM110"/>
      <c r="LN110"/>
      <c r="LO110"/>
      <c r="LP110"/>
      <c r="LQ110"/>
      <c r="LR110"/>
      <c r="LS110"/>
      <c r="LT110"/>
      <c r="LU110"/>
      <c r="LV110"/>
      <c r="LW110"/>
      <c r="LX110"/>
      <c r="LY110"/>
      <c r="LZ110"/>
      <c r="MA110"/>
      <c r="MB110"/>
      <c r="MC110"/>
      <c r="MD110"/>
      <c r="ME110"/>
      <c r="MF110"/>
      <c r="MG110"/>
      <c r="MH110"/>
      <c r="MI110"/>
      <c r="MJ110"/>
      <c r="MK110"/>
      <c r="ML110"/>
      <c r="MM110"/>
      <c r="MN110"/>
      <c r="MO110"/>
      <c r="MP110"/>
      <c r="MQ110"/>
      <c r="MR110"/>
      <c r="MS110"/>
      <c r="MT110"/>
      <c r="MU110"/>
      <c r="MV110"/>
      <c r="MW110"/>
      <c r="MX110"/>
      <c r="MY110"/>
      <c r="MZ110"/>
      <c r="NA110"/>
      <c r="NB110"/>
      <c r="NC110"/>
      <c r="ND110"/>
      <c r="NE110"/>
      <c r="NF110"/>
      <c r="NG110"/>
      <c r="NH110"/>
      <c r="NI110"/>
      <c r="NJ110"/>
      <c r="NK110"/>
      <c r="NL110"/>
      <c r="NM110"/>
      <c r="NN110"/>
      <c r="NO110"/>
      <c r="NP110"/>
      <c r="NQ110"/>
      <c r="NR110"/>
      <c r="NS110"/>
      <c r="NT110"/>
      <c r="NU110"/>
      <c r="NV110"/>
      <c r="NW110"/>
      <c r="NX110"/>
      <c r="NY110"/>
      <c r="NZ110"/>
      <c r="OA110"/>
      <c r="OB110"/>
      <c r="OC110"/>
      <c r="OD110"/>
      <c r="OE110"/>
      <c r="OF110"/>
      <c r="OG110"/>
      <c r="OH110"/>
      <c r="OI110"/>
      <c r="OJ110"/>
      <c r="OK110"/>
      <c r="OL110"/>
      <c r="OM110"/>
      <c r="ON110"/>
      <c r="OO110"/>
      <c r="OP110"/>
      <c r="OQ110"/>
      <c r="OR110"/>
      <c r="OS110"/>
      <c r="OT110"/>
      <c r="OU110"/>
      <c r="OV110"/>
      <c r="OW110"/>
      <c r="OX110"/>
      <c r="OY110"/>
      <c r="OZ110"/>
      <c r="PA110"/>
      <c r="PB110"/>
      <c r="PC110"/>
      <c r="PD110"/>
      <c r="PE110"/>
      <c r="PF110"/>
      <c r="PG110"/>
      <c r="PH110"/>
      <c r="PI110"/>
      <c r="PJ110"/>
      <c r="PK110"/>
      <c r="PL110"/>
      <c r="PM110"/>
      <c r="PN110"/>
      <c r="PO110"/>
      <c r="PP110"/>
      <c r="PQ110"/>
      <c r="PR110"/>
      <c r="PS110"/>
      <c r="PT110"/>
      <c r="PU110"/>
      <c r="PV110"/>
      <c r="PW110"/>
      <c r="PX110"/>
      <c r="PY110"/>
      <c r="PZ110"/>
      <c r="QA110"/>
      <c r="QB110"/>
      <c r="QC110"/>
      <c r="QD110"/>
      <c r="QE110"/>
      <c r="QF110"/>
      <c r="QG110"/>
      <c r="QH110"/>
      <c r="QI110"/>
      <c r="QJ110"/>
      <c r="QK110"/>
      <c r="QL110"/>
      <c r="QM110"/>
      <c r="QN110"/>
      <c r="QO110"/>
      <c r="QP110"/>
      <c r="QQ110"/>
      <c r="QR110"/>
      <c r="QS110"/>
      <c r="QT110"/>
      <c r="QU110"/>
      <c r="QV110"/>
      <c r="QW110"/>
      <c r="QX110"/>
    </row>
    <row r="111" spans="1:466" x14ac:dyDescent="0.35">
      <c r="A111" s="53"/>
      <c r="B111" s="53"/>
      <c r="C111" s="55"/>
      <c r="D111" s="53"/>
      <c r="E111" s="53"/>
      <c r="F111" s="126" t="s">
        <v>173</v>
      </c>
      <c r="G111" s="125">
        <v>0.68</v>
      </c>
      <c r="H111" s="125">
        <v>78.88000000000001</v>
      </c>
      <c r="I111" s="133">
        <v>116</v>
      </c>
      <c r="J111" s="53"/>
      <c r="K111" s="53"/>
      <c r="L111" s="53"/>
      <c r="M111" s="53"/>
      <c r="N111" s="53"/>
      <c r="O111" s="53"/>
      <c r="P111" s="53"/>
      <c r="Q111" s="53"/>
      <c r="R111" s="53"/>
      <c r="S111" s="53"/>
      <c r="T111" s="53"/>
      <c r="U111" s="53"/>
      <c r="V111" s="53"/>
      <c r="W111" s="53"/>
      <c r="X111" s="53"/>
      <c r="Y111" s="53"/>
      <c r="Z111" s="53"/>
      <c r="AA111" s="53"/>
      <c r="AB111" s="53"/>
      <c r="AC111" s="53"/>
      <c r="AD111" s="53"/>
      <c r="AE111" s="53"/>
      <c r="AF111" s="63"/>
      <c r="AG111" s="64"/>
      <c r="AH111" s="65"/>
      <c r="AI111" s="65"/>
      <c r="AJ111" s="53"/>
      <c r="AK111" s="62"/>
      <c r="AL111" s="62"/>
      <c r="AM111" s="62"/>
      <c r="AN111" s="62"/>
      <c r="AO111" s="62"/>
      <c r="AP111" s="62"/>
      <c r="AQ111" s="62"/>
      <c r="AR111" s="62"/>
      <c r="AS111" s="62"/>
      <c r="AT111" s="62"/>
      <c r="AU111" s="62"/>
      <c r="AV111" s="62"/>
      <c r="AW111" s="62"/>
      <c r="AX111" s="62"/>
      <c r="AY111" s="62"/>
      <c r="AZ111" s="62"/>
      <c r="BA111" s="62"/>
      <c r="BB111" s="62"/>
      <c r="BC111" s="62"/>
      <c r="BD111" s="62"/>
      <c r="BE111" s="62"/>
      <c r="BF111" s="62"/>
      <c r="BG111" s="62"/>
      <c r="BH111" s="62"/>
      <c r="BI111" s="62"/>
      <c r="BJ111" s="62"/>
      <c r="BK111" s="62"/>
      <c r="BL111" s="62"/>
      <c r="BM111" s="62"/>
      <c r="BN111" s="62"/>
      <c r="BO111" s="62"/>
      <c r="BP111" s="62"/>
      <c r="BQ111" s="62"/>
      <c r="BR111" s="62"/>
      <c r="BS111" s="62"/>
      <c r="BT111" s="62"/>
      <c r="BU111" s="62"/>
      <c r="BV111" s="62"/>
      <c r="BW111" s="62"/>
      <c r="BX111" s="62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  <c r="IW111"/>
      <c r="IX111"/>
      <c r="IY111"/>
      <c r="IZ111"/>
      <c r="JA111"/>
      <c r="JB111"/>
      <c r="JC111"/>
      <c r="JD111"/>
      <c r="JE111"/>
      <c r="JF111"/>
      <c r="JG111"/>
      <c r="JH111"/>
      <c r="JI111"/>
      <c r="JJ111"/>
      <c r="JK111"/>
      <c r="JL111"/>
      <c r="JM111"/>
      <c r="JN111"/>
      <c r="JO111"/>
      <c r="JP111"/>
      <c r="JQ111"/>
      <c r="JR111"/>
      <c r="JS111"/>
      <c r="JT111"/>
      <c r="JU111"/>
      <c r="JV111"/>
      <c r="JW111"/>
      <c r="JX111"/>
      <c r="JY111"/>
      <c r="JZ111"/>
      <c r="KA111"/>
      <c r="KB111"/>
      <c r="KC111"/>
      <c r="KD111"/>
      <c r="KE111"/>
      <c r="KF111"/>
      <c r="KG111"/>
      <c r="KH111"/>
      <c r="KI111"/>
      <c r="KJ111"/>
      <c r="KK111"/>
      <c r="KL111"/>
      <c r="KM111"/>
      <c r="KN111"/>
      <c r="KO111"/>
      <c r="KP111"/>
      <c r="KQ111"/>
      <c r="KR111"/>
      <c r="KS111"/>
      <c r="KT111"/>
      <c r="KU111"/>
      <c r="KV111"/>
      <c r="KW111"/>
      <c r="KX111"/>
      <c r="KY111"/>
      <c r="KZ111"/>
      <c r="LA111"/>
      <c r="LB111"/>
      <c r="LC111"/>
      <c r="LD111"/>
      <c r="LE111"/>
      <c r="LF111"/>
      <c r="LG111"/>
      <c r="LH111"/>
      <c r="LI111"/>
      <c r="LJ111"/>
      <c r="LK111"/>
      <c r="LL111"/>
      <c r="LM111"/>
      <c r="LN111"/>
      <c r="LO111"/>
      <c r="LP111"/>
      <c r="LQ111"/>
      <c r="LR111"/>
      <c r="LS111"/>
      <c r="LT111"/>
      <c r="LU111"/>
      <c r="LV111"/>
      <c r="LW111"/>
      <c r="LX111"/>
      <c r="LY111"/>
      <c r="LZ111"/>
      <c r="MA111"/>
      <c r="MB111"/>
      <c r="MC111"/>
      <c r="MD111"/>
      <c r="ME111"/>
      <c r="MF111"/>
      <c r="MG111"/>
      <c r="MH111"/>
      <c r="MI111"/>
      <c r="MJ111"/>
      <c r="MK111"/>
      <c r="ML111"/>
      <c r="MM111"/>
      <c r="MN111"/>
      <c r="MO111"/>
      <c r="MP111"/>
      <c r="MQ111"/>
      <c r="MR111"/>
      <c r="MS111"/>
      <c r="MT111"/>
      <c r="MU111"/>
      <c r="MV111"/>
      <c r="MW111"/>
      <c r="MX111"/>
      <c r="MY111"/>
      <c r="MZ111"/>
      <c r="NA111"/>
      <c r="NB111"/>
      <c r="NC111"/>
      <c r="ND111"/>
      <c r="NE111"/>
      <c r="NF111"/>
      <c r="NG111"/>
      <c r="NH111"/>
      <c r="NI111"/>
      <c r="NJ111"/>
      <c r="NK111"/>
      <c r="NL111"/>
      <c r="NM111"/>
      <c r="NN111"/>
      <c r="NO111"/>
      <c r="NP111"/>
      <c r="NQ111"/>
      <c r="NR111"/>
      <c r="NS111"/>
      <c r="NT111"/>
      <c r="NU111"/>
      <c r="NV111"/>
      <c r="NW111"/>
      <c r="NX111"/>
      <c r="NY111"/>
      <c r="NZ111"/>
      <c r="OA111"/>
      <c r="OB111"/>
      <c r="OC111"/>
      <c r="OD111"/>
      <c r="OE111"/>
      <c r="OF111"/>
      <c r="OG111"/>
      <c r="OH111"/>
      <c r="OI111"/>
      <c r="OJ111"/>
      <c r="OK111"/>
      <c r="OL111"/>
      <c r="OM111"/>
      <c r="ON111"/>
      <c r="OO111"/>
      <c r="OP111"/>
      <c r="OQ111"/>
      <c r="OR111"/>
      <c r="OS111"/>
      <c r="OT111"/>
      <c r="OU111"/>
      <c r="OV111"/>
      <c r="OW111"/>
      <c r="OX111"/>
      <c r="OY111"/>
      <c r="OZ111"/>
      <c r="PA111"/>
      <c r="PB111"/>
      <c r="PC111"/>
      <c r="PD111"/>
      <c r="PE111"/>
      <c r="PF111"/>
      <c r="PG111"/>
      <c r="PH111"/>
      <c r="PI111"/>
      <c r="PJ111"/>
      <c r="PK111"/>
      <c r="PL111"/>
      <c r="PM111"/>
      <c r="PN111"/>
      <c r="PO111"/>
      <c r="PP111"/>
      <c r="PQ111"/>
      <c r="PR111"/>
      <c r="PS111"/>
      <c r="PT111"/>
      <c r="PU111"/>
      <c r="PV111"/>
      <c r="PW111"/>
      <c r="PX111"/>
      <c r="PY111"/>
      <c r="PZ111"/>
      <c r="QA111"/>
      <c r="QB111"/>
      <c r="QC111"/>
      <c r="QD111"/>
      <c r="QE111"/>
      <c r="QF111"/>
      <c r="QG111"/>
      <c r="QH111"/>
      <c r="QI111"/>
      <c r="QJ111"/>
      <c r="QK111"/>
      <c r="QL111"/>
      <c r="QM111"/>
      <c r="QN111"/>
      <c r="QO111"/>
      <c r="QP111"/>
      <c r="QQ111"/>
      <c r="QR111"/>
      <c r="QS111"/>
      <c r="QT111"/>
      <c r="QU111"/>
      <c r="QV111"/>
      <c r="QW111"/>
      <c r="QX111"/>
    </row>
    <row r="112" spans="1:466" x14ac:dyDescent="0.35">
      <c r="A112" s="53"/>
      <c r="B112" s="53"/>
      <c r="C112" s="55"/>
      <c r="D112" s="53"/>
      <c r="E112" s="53"/>
      <c r="F112" s="126" t="s">
        <v>177</v>
      </c>
      <c r="G112" s="125">
        <v>1.0900000000000001</v>
      </c>
      <c r="H112" s="125">
        <v>30.520000000000003</v>
      </c>
      <c r="I112" s="133">
        <v>28</v>
      </c>
      <c r="J112" s="53"/>
      <c r="K112" s="53"/>
      <c r="L112" s="53"/>
      <c r="M112" s="53"/>
      <c r="N112" s="53"/>
      <c r="O112" s="53"/>
      <c r="P112" s="53"/>
      <c r="Q112" s="53"/>
      <c r="R112" s="53"/>
      <c r="S112" s="53"/>
      <c r="T112" s="53"/>
      <c r="U112" s="53"/>
      <c r="V112" s="53"/>
      <c r="W112" s="53"/>
      <c r="X112" s="53"/>
      <c r="Y112" s="53"/>
      <c r="Z112" s="53"/>
      <c r="AA112" s="53"/>
      <c r="AB112" s="53"/>
      <c r="AC112" s="53"/>
      <c r="AD112" s="53"/>
      <c r="AE112" s="53"/>
      <c r="AF112" s="63"/>
      <c r="AG112" s="64"/>
      <c r="AH112" s="65"/>
      <c r="AI112" s="65"/>
      <c r="AJ112" s="53"/>
      <c r="AK112" s="62"/>
      <c r="AL112" s="62"/>
      <c r="AM112" s="62"/>
      <c r="AN112" s="62"/>
      <c r="AO112" s="62"/>
      <c r="AP112" s="62"/>
      <c r="AQ112" s="62"/>
      <c r="AR112" s="62"/>
      <c r="AS112" s="62"/>
      <c r="AT112" s="62"/>
      <c r="AU112" s="62"/>
      <c r="AV112" s="62"/>
      <c r="AW112" s="62"/>
      <c r="AX112" s="62"/>
      <c r="AY112" s="62"/>
      <c r="AZ112" s="62"/>
      <c r="BA112" s="62"/>
      <c r="BB112" s="62"/>
      <c r="BC112" s="62"/>
      <c r="BD112" s="62"/>
      <c r="BE112" s="62"/>
      <c r="BF112" s="62"/>
      <c r="BG112" s="62"/>
      <c r="BH112" s="62"/>
      <c r="BI112" s="62"/>
      <c r="BJ112" s="62"/>
      <c r="BK112" s="62"/>
      <c r="BL112" s="62"/>
      <c r="BM112" s="62"/>
      <c r="BN112" s="62"/>
      <c r="BO112" s="62"/>
      <c r="BP112" s="62"/>
      <c r="BQ112" s="62"/>
      <c r="BR112" s="62"/>
      <c r="BS112" s="62"/>
      <c r="BT112" s="62"/>
      <c r="BU112" s="62"/>
      <c r="BV112" s="62"/>
      <c r="BW112" s="62"/>
      <c r="BX112" s="6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/>
      <c r="IP112"/>
      <c r="IQ112"/>
      <c r="IR112"/>
      <c r="IS112"/>
      <c r="IT112"/>
      <c r="IU112"/>
      <c r="IV112"/>
      <c r="IW112"/>
      <c r="IX112"/>
      <c r="IY112"/>
      <c r="IZ112"/>
      <c r="JA112"/>
      <c r="JB112"/>
      <c r="JC112"/>
      <c r="JD112"/>
      <c r="JE112"/>
      <c r="JF112"/>
      <c r="JG112"/>
      <c r="JH112"/>
      <c r="JI112"/>
      <c r="JJ112"/>
      <c r="JK112"/>
      <c r="JL112"/>
      <c r="JM112"/>
      <c r="JN112"/>
      <c r="JO112"/>
      <c r="JP112"/>
      <c r="JQ112"/>
      <c r="JR112"/>
      <c r="JS112"/>
      <c r="JT112"/>
      <c r="JU112"/>
      <c r="JV112"/>
      <c r="JW112"/>
      <c r="JX112"/>
      <c r="JY112"/>
      <c r="JZ112"/>
      <c r="KA112"/>
      <c r="KB112"/>
      <c r="KC112"/>
      <c r="KD112"/>
      <c r="KE112"/>
      <c r="KF112"/>
      <c r="KG112"/>
      <c r="KH112"/>
      <c r="KI112"/>
      <c r="KJ112"/>
      <c r="KK112"/>
      <c r="KL112"/>
      <c r="KM112"/>
      <c r="KN112"/>
      <c r="KO112"/>
      <c r="KP112"/>
      <c r="KQ112"/>
      <c r="KR112"/>
      <c r="KS112"/>
      <c r="KT112"/>
      <c r="KU112"/>
      <c r="KV112"/>
      <c r="KW112"/>
      <c r="KX112"/>
      <c r="KY112"/>
      <c r="KZ112"/>
      <c r="LA112"/>
      <c r="LB112"/>
      <c r="LC112"/>
      <c r="LD112"/>
      <c r="LE112"/>
      <c r="LF112"/>
      <c r="LG112"/>
      <c r="LH112"/>
      <c r="LI112"/>
      <c r="LJ112"/>
      <c r="LK112"/>
      <c r="LL112"/>
      <c r="LM112"/>
      <c r="LN112"/>
      <c r="LO112"/>
      <c r="LP112"/>
      <c r="LQ112"/>
      <c r="LR112"/>
      <c r="LS112"/>
      <c r="LT112"/>
      <c r="LU112"/>
      <c r="LV112"/>
      <c r="LW112"/>
      <c r="LX112"/>
      <c r="LY112"/>
      <c r="LZ112"/>
      <c r="MA112"/>
      <c r="MB112"/>
      <c r="MC112"/>
      <c r="MD112"/>
      <c r="ME112"/>
      <c r="MF112"/>
      <c r="MG112"/>
      <c r="MH112"/>
      <c r="MI112"/>
      <c r="MJ112"/>
      <c r="MK112"/>
      <c r="ML112"/>
      <c r="MM112"/>
      <c r="MN112"/>
      <c r="MO112"/>
      <c r="MP112"/>
      <c r="MQ112"/>
      <c r="MR112"/>
      <c r="MS112"/>
      <c r="MT112"/>
      <c r="MU112"/>
      <c r="MV112"/>
      <c r="MW112"/>
      <c r="MX112"/>
      <c r="MY112"/>
      <c r="MZ112"/>
      <c r="NA112"/>
      <c r="NB112"/>
      <c r="NC112"/>
      <c r="ND112"/>
      <c r="NE112"/>
      <c r="NF112"/>
      <c r="NG112"/>
      <c r="NH112"/>
      <c r="NI112"/>
      <c r="NJ112"/>
      <c r="NK112"/>
      <c r="NL112"/>
      <c r="NM112"/>
      <c r="NN112"/>
      <c r="NO112"/>
      <c r="NP112"/>
      <c r="NQ112"/>
      <c r="NR112"/>
      <c r="NS112"/>
      <c r="NT112"/>
      <c r="NU112"/>
      <c r="NV112"/>
      <c r="NW112"/>
      <c r="NX112"/>
      <c r="NY112"/>
      <c r="NZ112"/>
      <c r="OA112"/>
      <c r="OB112"/>
      <c r="OC112"/>
      <c r="OD112"/>
      <c r="OE112"/>
      <c r="OF112"/>
      <c r="OG112"/>
      <c r="OH112"/>
      <c r="OI112"/>
      <c r="OJ112"/>
      <c r="OK112"/>
      <c r="OL112"/>
      <c r="OM112"/>
      <c r="ON112"/>
      <c r="OO112"/>
      <c r="OP112"/>
      <c r="OQ112"/>
      <c r="OR112"/>
      <c r="OS112"/>
      <c r="OT112"/>
      <c r="OU112"/>
      <c r="OV112"/>
      <c r="OW112"/>
      <c r="OX112"/>
      <c r="OY112"/>
      <c r="OZ112"/>
      <c r="PA112"/>
      <c r="PB112"/>
      <c r="PC112"/>
      <c r="PD112"/>
      <c r="PE112"/>
      <c r="PF112"/>
      <c r="PG112"/>
      <c r="PH112"/>
      <c r="PI112"/>
      <c r="PJ112"/>
      <c r="PK112"/>
      <c r="PL112"/>
      <c r="PM112"/>
      <c r="PN112"/>
      <c r="PO112"/>
      <c r="PP112"/>
      <c r="PQ112"/>
      <c r="PR112"/>
      <c r="PS112"/>
      <c r="PT112"/>
      <c r="PU112"/>
      <c r="PV112"/>
      <c r="PW112"/>
      <c r="PX112"/>
      <c r="PY112"/>
      <c r="PZ112"/>
      <c r="QA112"/>
      <c r="QB112"/>
      <c r="QC112"/>
      <c r="QD112"/>
      <c r="QE112"/>
      <c r="QF112"/>
      <c r="QG112"/>
      <c r="QH112"/>
      <c r="QI112"/>
      <c r="QJ112"/>
      <c r="QK112"/>
      <c r="QL112"/>
      <c r="QM112"/>
      <c r="QN112"/>
      <c r="QO112"/>
      <c r="QP112"/>
      <c r="QQ112"/>
      <c r="QR112"/>
      <c r="QS112"/>
      <c r="QT112"/>
      <c r="QU112"/>
      <c r="QV112"/>
      <c r="QW112"/>
      <c r="QX112"/>
    </row>
    <row r="113" spans="1:466" x14ac:dyDescent="0.35">
      <c r="A113" s="53"/>
      <c r="B113" s="53"/>
      <c r="C113" s="55"/>
      <c r="D113" s="53"/>
      <c r="E113" s="53"/>
      <c r="F113" s="126" t="s">
        <v>180</v>
      </c>
      <c r="G113" s="125">
        <v>1.91</v>
      </c>
      <c r="H113" s="125">
        <v>30.56</v>
      </c>
      <c r="I113" s="133">
        <v>16</v>
      </c>
      <c r="J113" s="53"/>
      <c r="K113" s="53"/>
      <c r="L113" s="53"/>
      <c r="M113" s="53"/>
      <c r="N113" s="53"/>
      <c r="O113" s="53"/>
      <c r="P113" s="53"/>
      <c r="Q113" s="53"/>
      <c r="R113" s="53"/>
      <c r="S113" s="53"/>
      <c r="T113" s="53"/>
      <c r="U113" s="53"/>
      <c r="V113" s="53"/>
      <c r="W113" s="53"/>
      <c r="X113" s="53"/>
      <c r="Y113" s="53"/>
      <c r="Z113" s="53"/>
      <c r="AA113" s="53"/>
      <c r="AB113" s="53"/>
      <c r="AC113" s="53"/>
      <c r="AD113" s="53"/>
      <c r="AE113" s="53"/>
      <c r="AF113" s="63"/>
      <c r="AG113" s="64"/>
      <c r="AH113" s="65"/>
      <c r="AI113" s="65"/>
      <c r="AJ113" s="53"/>
      <c r="AK113" s="62"/>
      <c r="AL113" s="62"/>
      <c r="AM113" s="62"/>
      <c r="AN113" s="62"/>
      <c r="AO113" s="62"/>
      <c r="AP113" s="62"/>
      <c r="AQ113" s="62"/>
      <c r="AR113" s="62"/>
      <c r="AS113" s="62"/>
      <c r="AT113" s="62"/>
      <c r="AU113" s="62"/>
      <c r="AV113" s="62"/>
      <c r="AW113" s="62"/>
      <c r="AX113" s="62"/>
      <c r="AY113" s="62"/>
      <c r="AZ113" s="62"/>
      <c r="BA113" s="62"/>
      <c r="BB113" s="62"/>
      <c r="BC113" s="62"/>
      <c r="BD113" s="62"/>
      <c r="BE113" s="62"/>
      <c r="BF113" s="62"/>
      <c r="BG113" s="62"/>
      <c r="BH113" s="62"/>
      <c r="BI113" s="62"/>
      <c r="BJ113" s="62"/>
      <c r="BK113" s="62"/>
      <c r="BL113" s="62"/>
      <c r="BM113" s="62"/>
      <c r="BN113" s="62"/>
      <c r="BO113" s="62"/>
      <c r="BP113" s="62"/>
      <c r="BQ113" s="62"/>
      <c r="BR113" s="62"/>
      <c r="BS113" s="62"/>
      <c r="BT113" s="62"/>
      <c r="BU113" s="62"/>
      <c r="BV113" s="62"/>
      <c r="BW113" s="62"/>
      <c r="BX113" s="62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/>
      <c r="IP113"/>
      <c r="IQ113"/>
      <c r="IR113"/>
      <c r="IS113"/>
      <c r="IT113"/>
      <c r="IU113"/>
      <c r="IV113"/>
      <c r="IW113"/>
      <c r="IX113"/>
      <c r="IY113"/>
      <c r="IZ113"/>
      <c r="JA113"/>
      <c r="JB113"/>
      <c r="JC113"/>
      <c r="JD113"/>
      <c r="JE113"/>
      <c r="JF113"/>
      <c r="JG113"/>
      <c r="JH113"/>
      <c r="JI113"/>
      <c r="JJ113"/>
      <c r="JK113"/>
      <c r="JL113"/>
      <c r="JM113"/>
      <c r="JN113"/>
      <c r="JO113"/>
      <c r="JP113"/>
      <c r="JQ113"/>
      <c r="JR113"/>
      <c r="JS113"/>
      <c r="JT113"/>
      <c r="JU113"/>
      <c r="JV113"/>
      <c r="JW113"/>
      <c r="JX113"/>
      <c r="JY113"/>
      <c r="JZ113"/>
      <c r="KA113"/>
      <c r="KB113"/>
      <c r="KC113"/>
      <c r="KD113"/>
      <c r="KE113"/>
      <c r="KF113"/>
      <c r="KG113"/>
      <c r="KH113"/>
      <c r="KI113"/>
      <c r="KJ113"/>
      <c r="KK113"/>
      <c r="KL113"/>
      <c r="KM113"/>
      <c r="KN113"/>
      <c r="KO113"/>
      <c r="KP113"/>
      <c r="KQ113"/>
      <c r="KR113"/>
      <c r="KS113"/>
      <c r="KT113"/>
      <c r="KU113"/>
      <c r="KV113"/>
      <c r="KW113"/>
      <c r="KX113"/>
      <c r="KY113"/>
      <c r="KZ113"/>
      <c r="LA113"/>
      <c r="LB113"/>
      <c r="LC113"/>
      <c r="LD113"/>
      <c r="LE113"/>
      <c r="LF113"/>
      <c r="LG113"/>
      <c r="LH113"/>
      <c r="LI113"/>
      <c r="LJ113"/>
      <c r="LK113"/>
      <c r="LL113"/>
      <c r="LM113"/>
      <c r="LN113"/>
      <c r="LO113"/>
      <c r="LP113"/>
      <c r="LQ113"/>
      <c r="LR113"/>
      <c r="LS113"/>
      <c r="LT113"/>
      <c r="LU113"/>
      <c r="LV113"/>
      <c r="LW113"/>
      <c r="LX113"/>
      <c r="LY113"/>
      <c r="LZ113"/>
      <c r="MA113"/>
      <c r="MB113"/>
      <c r="MC113"/>
      <c r="MD113"/>
      <c r="ME113"/>
      <c r="MF113"/>
      <c r="MG113"/>
      <c r="MH113"/>
      <c r="MI113"/>
      <c r="MJ113"/>
      <c r="MK113"/>
      <c r="ML113"/>
      <c r="MM113"/>
      <c r="MN113"/>
      <c r="MO113"/>
      <c r="MP113"/>
      <c r="MQ113"/>
      <c r="MR113"/>
      <c r="MS113"/>
      <c r="MT113"/>
      <c r="MU113"/>
      <c r="MV113"/>
      <c r="MW113"/>
      <c r="MX113"/>
      <c r="MY113"/>
      <c r="MZ113"/>
      <c r="NA113"/>
      <c r="NB113"/>
      <c r="NC113"/>
      <c r="ND113"/>
      <c r="NE113"/>
      <c r="NF113"/>
      <c r="NG113"/>
      <c r="NH113"/>
      <c r="NI113"/>
      <c r="NJ113"/>
      <c r="NK113"/>
      <c r="NL113"/>
      <c r="NM113"/>
      <c r="NN113"/>
      <c r="NO113"/>
      <c r="NP113"/>
      <c r="NQ113"/>
      <c r="NR113"/>
      <c r="NS113"/>
      <c r="NT113"/>
      <c r="NU113"/>
      <c r="NV113"/>
      <c r="NW113"/>
      <c r="NX113"/>
      <c r="NY113"/>
      <c r="NZ113"/>
      <c r="OA113"/>
      <c r="OB113"/>
      <c r="OC113"/>
      <c r="OD113"/>
      <c r="OE113"/>
      <c r="OF113"/>
      <c r="OG113"/>
      <c r="OH113"/>
      <c r="OI113"/>
      <c r="OJ113"/>
      <c r="OK113"/>
      <c r="OL113"/>
      <c r="OM113"/>
      <c r="ON113"/>
      <c r="OO113"/>
      <c r="OP113"/>
      <c r="OQ113"/>
      <c r="OR113"/>
      <c r="OS113"/>
      <c r="OT113"/>
      <c r="OU113"/>
      <c r="OV113"/>
      <c r="OW113"/>
      <c r="OX113"/>
      <c r="OY113"/>
      <c r="OZ113"/>
      <c r="PA113"/>
      <c r="PB113"/>
      <c r="PC113"/>
      <c r="PD113"/>
      <c r="PE113"/>
      <c r="PF113"/>
      <c r="PG113"/>
      <c r="PH113"/>
      <c r="PI113"/>
      <c r="PJ113"/>
      <c r="PK113"/>
      <c r="PL113"/>
      <c r="PM113"/>
      <c r="PN113"/>
      <c r="PO113"/>
      <c r="PP113"/>
      <c r="PQ113"/>
      <c r="PR113"/>
      <c r="PS113"/>
      <c r="PT113"/>
      <c r="PU113"/>
      <c r="PV113"/>
      <c r="PW113"/>
      <c r="PX113"/>
      <c r="PY113"/>
      <c r="PZ113"/>
      <c r="QA113"/>
      <c r="QB113"/>
      <c r="QC113"/>
      <c r="QD113"/>
      <c r="QE113"/>
      <c r="QF113"/>
      <c r="QG113"/>
      <c r="QH113"/>
      <c r="QI113"/>
      <c r="QJ113"/>
      <c r="QK113"/>
      <c r="QL113"/>
      <c r="QM113"/>
      <c r="QN113"/>
      <c r="QO113"/>
      <c r="QP113"/>
      <c r="QQ113"/>
      <c r="QR113"/>
      <c r="QS113"/>
      <c r="QT113"/>
      <c r="QU113"/>
      <c r="QV113"/>
      <c r="QW113"/>
      <c r="QX113"/>
    </row>
    <row r="114" spans="1:466" x14ac:dyDescent="0.35">
      <c r="A114" s="53"/>
      <c r="B114" s="53"/>
      <c r="C114" s="55"/>
      <c r="D114" s="53"/>
      <c r="E114" s="53"/>
      <c r="F114" s="124" t="s">
        <v>184</v>
      </c>
      <c r="G114" s="125"/>
      <c r="H114" s="125">
        <v>0</v>
      </c>
      <c r="I114" s="133">
        <v>239</v>
      </c>
      <c r="J114" s="53"/>
      <c r="K114" s="53"/>
      <c r="L114" s="53"/>
      <c r="M114" s="53"/>
      <c r="N114" s="53"/>
      <c r="O114" s="53"/>
      <c r="P114" s="53"/>
      <c r="Q114" s="53"/>
      <c r="R114" s="53"/>
      <c r="S114" s="53"/>
      <c r="T114" s="53"/>
      <c r="U114" s="53"/>
      <c r="V114" s="53"/>
      <c r="W114" s="53"/>
      <c r="X114" s="53"/>
      <c r="Y114" s="53"/>
      <c r="Z114" s="53"/>
      <c r="AA114" s="53"/>
      <c r="AB114" s="53"/>
      <c r="AC114" s="53"/>
      <c r="AD114" s="53"/>
      <c r="AE114" s="53"/>
      <c r="AF114" s="63"/>
      <c r="AG114" s="64"/>
      <c r="AH114" s="65"/>
      <c r="AI114" s="65"/>
      <c r="AJ114" s="53"/>
      <c r="AK114" s="62"/>
      <c r="AL114" s="62"/>
      <c r="AM114" s="62"/>
      <c r="AN114" s="62"/>
      <c r="AO114" s="62"/>
      <c r="AP114" s="62"/>
      <c r="AQ114" s="62"/>
      <c r="AR114" s="62"/>
      <c r="AS114" s="62"/>
      <c r="AT114" s="62"/>
      <c r="AU114" s="62"/>
      <c r="AV114" s="62"/>
      <c r="AW114" s="62"/>
      <c r="AX114" s="62"/>
      <c r="AY114" s="62"/>
      <c r="AZ114" s="62"/>
      <c r="BA114" s="62"/>
      <c r="BB114" s="62"/>
      <c r="BC114" s="62"/>
      <c r="BD114" s="62"/>
      <c r="BE114" s="62"/>
      <c r="BF114" s="62"/>
      <c r="BG114" s="62"/>
      <c r="BH114" s="62"/>
      <c r="BI114" s="62"/>
      <c r="BJ114" s="62"/>
      <c r="BK114" s="62"/>
      <c r="BL114" s="62"/>
      <c r="BM114" s="62"/>
      <c r="BN114" s="62"/>
      <c r="BO114" s="62"/>
      <c r="BP114" s="62"/>
      <c r="BQ114" s="62"/>
      <c r="BR114" s="62"/>
      <c r="BS114" s="62"/>
      <c r="BT114" s="62"/>
      <c r="BU114" s="62"/>
      <c r="BV114" s="62"/>
      <c r="BW114" s="62"/>
      <c r="BX114" s="62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  <c r="IS114"/>
      <c r="IT114"/>
      <c r="IU114"/>
      <c r="IV114"/>
      <c r="IW114"/>
      <c r="IX114"/>
      <c r="IY114"/>
      <c r="IZ114"/>
      <c r="JA114"/>
      <c r="JB114"/>
      <c r="JC114"/>
      <c r="JD114"/>
      <c r="JE114"/>
      <c r="JF114"/>
      <c r="JG114"/>
      <c r="JH114"/>
      <c r="JI114"/>
      <c r="JJ114"/>
      <c r="JK114"/>
      <c r="JL114"/>
      <c r="JM114"/>
      <c r="JN114"/>
      <c r="JO114"/>
      <c r="JP114"/>
      <c r="JQ114"/>
      <c r="JR114"/>
      <c r="JS114"/>
      <c r="JT114"/>
      <c r="JU114"/>
      <c r="JV114"/>
      <c r="JW114"/>
      <c r="JX114"/>
      <c r="JY114"/>
      <c r="JZ114"/>
      <c r="KA114"/>
      <c r="KB114"/>
      <c r="KC114"/>
      <c r="KD114"/>
      <c r="KE114"/>
      <c r="KF114"/>
      <c r="KG114"/>
      <c r="KH114"/>
      <c r="KI114"/>
      <c r="KJ114"/>
      <c r="KK114"/>
      <c r="KL114"/>
      <c r="KM114"/>
      <c r="KN114"/>
      <c r="KO114"/>
      <c r="KP114"/>
      <c r="KQ114"/>
      <c r="KR114"/>
      <c r="KS114"/>
      <c r="KT114"/>
      <c r="KU114"/>
      <c r="KV114"/>
      <c r="KW114"/>
      <c r="KX114"/>
      <c r="KY114"/>
      <c r="KZ114"/>
      <c r="LA114"/>
      <c r="LB114"/>
      <c r="LC114"/>
      <c r="LD114"/>
      <c r="LE114"/>
      <c r="LF114"/>
      <c r="LG114"/>
      <c r="LH114"/>
      <c r="LI114"/>
      <c r="LJ114"/>
      <c r="LK114"/>
      <c r="LL114"/>
      <c r="LM114"/>
      <c r="LN114"/>
      <c r="LO114"/>
      <c r="LP114"/>
      <c r="LQ114"/>
      <c r="LR114"/>
      <c r="LS114"/>
      <c r="LT114"/>
      <c r="LU114"/>
      <c r="LV114"/>
      <c r="LW114"/>
      <c r="LX114"/>
      <c r="LY114"/>
      <c r="LZ114"/>
      <c r="MA114"/>
      <c r="MB114"/>
      <c r="MC114"/>
      <c r="MD114"/>
      <c r="ME114"/>
      <c r="MF114"/>
      <c r="MG114"/>
      <c r="MH114"/>
      <c r="MI114"/>
      <c r="MJ114"/>
      <c r="MK114"/>
      <c r="ML114"/>
      <c r="MM114"/>
      <c r="MN114"/>
      <c r="MO114"/>
      <c r="MP114"/>
      <c r="MQ114"/>
      <c r="MR114"/>
      <c r="MS114"/>
      <c r="MT114"/>
      <c r="MU114"/>
      <c r="MV114"/>
      <c r="MW114"/>
      <c r="MX114"/>
      <c r="MY114"/>
      <c r="MZ114"/>
      <c r="NA114"/>
      <c r="NB114"/>
      <c r="NC114"/>
      <c r="ND114"/>
      <c r="NE114"/>
      <c r="NF114"/>
      <c r="NG114"/>
      <c r="NH114"/>
      <c r="NI114"/>
      <c r="NJ114"/>
      <c r="NK114"/>
      <c r="NL114"/>
      <c r="NM114"/>
      <c r="NN114"/>
      <c r="NO114"/>
      <c r="NP114"/>
      <c r="NQ114"/>
      <c r="NR114"/>
      <c r="NS114"/>
      <c r="NT114"/>
      <c r="NU114"/>
      <c r="NV114"/>
      <c r="NW114"/>
      <c r="NX114"/>
      <c r="NY114"/>
      <c r="NZ114"/>
      <c r="OA114"/>
      <c r="OB114"/>
      <c r="OC114"/>
      <c r="OD114"/>
      <c r="OE114"/>
      <c r="OF114"/>
      <c r="OG114"/>
      <c r="OH114"/>
      <c r="OI114"/>
      <c r="OJ114"/>
      <c r="OK114"/>
      <c r="OL114"/>
      <c r="OM114"/>
      <c r="ON114"/>
      <c r="OO114"/>
      <c r="OP114"/>
      <c r="OQ114"/>
      <c r="OR114"/>
      <c r="OS114"/>
      <c r="OT114"/>
      <c r="OU114"/>
      <c r="OV114"/>
      <c r="OW114"/>
      <c r="OX114"/>
      <c r="OY114"/>
      <c r="OZ114"/>
      <c r="PA114"/>
      <c r="PB114"/>
      <c r="PC114"/>
      <c r="PD114"/>
      <c r="PE114"/>
      <c r="PF114"/>
      <c r="PG114"/>
      <c r="PH114"/>
      <c r="PI114"/>
      <c r="PJ114"/>
      <c r="PK114"/>
      <c r="PL114"/>
      <c r="PM114"/>
      <c r="PN114"/>
      <c r="PO114"/>
      <c r="PP114"/>
      <c r="PQ114"/>
      <c r="PR114"/>
      <c r="PS114"/>
      <c r="PT114"/>
      <c r="PU114"/>
      <c r="PV114"/>
      <c r="PW114"/>
      <c r="PX114"/>
      <c r="PY114"/>
      <c r="PZ114"/>
      <c r="QA114"/>
      <c r="QB114"/>
      <c r="QC114"/>
      <c r="QD114"/>
      <c r="QE114"/>
      <c r="QF114"/>
      <c r="QG114"/>
      <c r="QH114"/>
      <c r="QI114"/>
      <c r="QJ114"/>
      <c r="QK114"/>
      <c r="QL114"/>
      <c r="QM114"/>
      <c r="QN114"/>
      <c r="QO114"/>
      <c r="QP114"/>
      <c r="QQ114"/>
      <c r="QR114"/>
      <c r="QS114"/>
      <c r="QT114"/>
      <c r="QU114"/>
      <c r="QV114"/>
      <c r="QW114"/>
      <c r="QX114"/>
    </row>
    <row r="115" spans="1:466" x14ac:dyDescent="0.35">
      <c r="A115" s="53"/>
      <c r="B115" s="53"/>
      <c r="C115" s="55"/>
      <c r="D115" s="53"/>
      <c r="E115" s="53"/>
      <c r="F115" s="126" t="s">
        <v>1318</v>
      </c>
      <c r="G115" s="125"/>
      <c r="H115" s="125">
        <v>0</v>
      </c>
      <c r="I115" s="133">
        <v>64</v>
      </c>
      <c r="J115" s="53"/>
      <c r="K115" s="53"/>
      <c r="L115" s="53"/>
      <c r="M115" s="53"/>
      <c r="N115" s="53"/>
      <c r="O115" s="53"/>
      <c r="P115" s="53"/>
      <c r="Q115" s="53"/>
      <c r="R115" s="53"/>
      <c r="S115" s="53"/>
      <c r="T115" s="53"/>
      <c r="U115" s="53"/>
      <c r="V115" s="53"/>
      <c r="W115" s="53"/>
      <c r="X115" s="53"/>
      <c r="Y115" s="53"/>
      <c r="Z115" s="53"/>
      <c r="AA115" s="53"/>
      <c r="AB115" s="53"/>
      <c r="AC115" s="53"/>
      <c r="AD115" s="53"/>
      <c r="AE115" s="53"/>
      <c r="AF115" s="63"/>
      <c r="AG115" s="64"/>
      <c r="AH115" s="65"/>
      <c r="AI115" s="65"/>
      <c r="AJ115" s="53"/>
      <c r="AK115" s="62"/>
      <c r="AL115" s="62"/>
      <c r="AM115" s="62"/>
      <c r="AN115" s="62"/>
      <c r="AO115" s="62"/>
      <c r="AP115" s="62"/>
      <c r="AQ115" s="62"/>
      <c r="AR115" s="62"/>
      <c r="AS115" s="62"/>
      <c r="AT115" s="62"/>
      <c r="AU115" s="62"/>
      <c r="AV115" s="62"/>
      <c r="AW115" s="62"/>
      <c r="AX115" s="62"/>
      <c r="AY115" s="62"/>
      <c r="AZ115" s="62"/>
      <c r="BA115" s="62"/>
      <c r="BB115" s="62"/>
      <c r="BC115" s="62"/>
      <c r="BD115" s="62"/>
      <c r="BE115" s="62"/>
      <c r="BF115" s="62"/>
      <c r="BG115" s="62"/>
      <c r="BH115" s="62"/>
      <c r="BI115" s="62"/>
      <c r="BJ115" s="62"/>
      <c r="BK115" s="62"/>
      <c r="BL115" s="62"/>
      <c r="BM115" s="62"/>
      <c r="BN115" s="62"/>
      <c r="BO115" s="62"/>
      <c r="BP115" s="62"/>
      <c r="BQ115" s="62"/>
      <c r="BR115" s="62"/>
      <c r="BS115" s="62"/>
      <c r="BT115" s="62"/>
      <c r="BU115" s="62"/>
      <c r="BV115" s="62"/>
      <c r="BW115" s="62"/>
      <c r="BX115" s="62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  <c r="IS115"/>
      <c r="IT115"/>
      <c r="IU115"/>
      <c r="IV115"/>
      <c r="IW115"/>
      <c r="IX115"/>
      <c r="IY115"/>
      <c r="IZ115"/>
      <c r="JA115"/>
      <c r="JB115"/>
      <c r="JC115"/>
      <c r="JD115"/>
      <c r="JE115"/>
      <c r="JF115"/>
      <c r="JG115"/>
      <c r="JH115"/>
      <c r="JI115"/>
      <c r="JJ115"/>
      <c r="JK115"/>
      <c r="JL115"/>
      <c r="JM115"/>
      <c r="JN115"/>
      <c r="JO115"/>
      <c r="JP115"/>
      <c r="JQ115"/>
      <c r="JR115"/>
      <c r="JS115"/>
      <c r="JT115"/>
      <c r="JU115"/>
      <c r="JV115"/>
      <c r="JW115"/>
      <c r="JX115"/>
      <c r="JY115"/>
      <c r="JZ115"/>
      <c r="KA115"/>
      <c r="KB115"/>
      <c r="KC115"/>
      <c r="KD115"/>
      <c r="KE115"/>
      <c r="KF115"/>
      <c r="KG115"/>
      <c r="KH115"/>
      <c r="KI115"/>
      <c r="KJ115"/>
      <c r="KK115"/>
      <c r="KL115"/>
      <c r="KM115"/>
      <c r="KN115"/>
      <c r="KO115"/>
      <c r="KP115"/>
      <c r="KQ115"/>
      <c r="KR115"/>
      <c r="KS115"/>
      <c r="KT115"/>
      <c r="KU115"/>
      <c r="KV115"/>
      <c r="KW115"/>
      <c r="KX115"/>
      <c r="KY115"/>
      <c r="KZ115"/>
      <c r="LA115"/>
      <c r="LB115"/>
      <c r="LC115"/>
      <c r="LD115"/>
      <c r="LE115"/>
      <c r="LF115"/>
      <c r="LG115"/>
      <c r="LH115"/>
      <c r="LI115"/>
      <c r="LJ115"/>
      <c r="LK115"/>
      <c r="LL115"/>
      <c r="LM115"/>
      <c r="LN115"/>
      <c r="LO115"/>
      <c r="LP115"/>
      <c r="LQ115"/>
      <c r="LR115"/>
      <c r="LS115"/>
      <c r="LT115"/>
      <c r="LU115"/>
      <c r="LV115"/>
      <c r="LW115"/>
      <c r="LX115"/>
      <c r="LY115"/>
      <c r="LZ115"/>
      <c r="MA115"/>
      <c r="MB115"/>
      <c r="MC115"/>
      <c r="MD115"/>
      <c r="ME115"/>
      <c r="MF115"/>
      <c r="MG115"/>
      <c r="MH115"/>
      <c r="MI115"/>
      <c r="MJ115"/>
      <c r="MK115"/>
      <c r="ML115"/>
      <c r="MM115"/>
      <c r="MN115"/>
      <c r="MO115"/>
      <c r="MP115"/>
      <c r="MQ115"/>
      <c r="MR115"/>
      <c r="MS115"/>
      <c r="MT115"/>
      <c r="MU115"/>
      <c r="MV115"/>
      <c r="MW115"/>
      <c r="MX115"/>
      <c r="MY115"/>
      <c r="MZ115"/>
      <c r="NA115"/>
      <c r="NB115"/>
      <c r="NC115"/>
      <c r="ND115"/>
      <c r="NE115"/>
      <c r="NF115"/>
      <c r="NG115"/>
      <c r="NH115"/>
      <c r="NI115"/>
      <c r="NJ115"/>
      <c r="NK115"/>
      <c r="NL115"/>
      <c r="NM115"/>
      <c r="NN115"/>
      <c r="NO115"/>
      <c r="NP115"/>
      <c r="NQ115"/>
      <c r="NR115"/>
      <c r="NS115"/>
      <c r="NT115"/>
      <c r="NU115"/>
      <c r="NV115"/>
      <c r="NW115"/>
      <c r="NX115"/>
      <c r="NY115"/>
      <c r="NZ115"/>
      <c r="OA115"/>
      <c r="OB115"/>
      <c r="OC115"/>
      <c r="OD115"/>
      <c r="OE115"/>
      <c r="OF115"/>
      <c r="OG115"/>
      <c r="OH115"/>
      <c r="OI115"/>
      <c r="OJ115"/>
      <c r="OK115"/>
      <c r="OL115"/>
      <c r="OM115"/>
      <c r="ON115"/>
      <c r="OO115"/>
      <c r="OP115"/>
      <c r="OQ115"/>
      <c r="OR115"/>
      <c r="OS115"/>
      <c r="OT115"/>
      <c r="OU115"/>
      <c r="OV115"/>
      <c r="OW115"/>
      <c r="OX115"/>
      <c r="OY115"/>
      <c r="OZ115"/>
      <c r="PA115"/>
      <c r="PB115"/>
      <c r="PC115"/>
      <c r="PD115"/>
      <c r="PE115"/>
      <c r="PF115"/>
      <c r="PG115"/>
      <c r="PH115"/>
      <c r="PI115"/>
      <c r="PJ115"/>
      <c r="PK115"/>
      <c r="PL115"/>
      <c r="PM115"/>
      <c r="PN115"/>
      <c r="PO115"/>
      <c r="PP115"/>
      <c r="PQ115"/>
      <c r="PR115"/>
      <c r="PS115"/>
      <c r="PT115"/>
      <c r="PU115"/>
      <c r="PV115"/>
      <c r="PW115"/>
      <c r="PX115"/>
      <c r="PY115"/>
      <c r="PZ115"/>
      <c r="QA115"/>
      <c r="QB115"/>
      <c r="QC115"/>
      <c r="QD115"/>
      <c r="QE115"/>
      <c r="QF115"/>
      <c r="QG115"/>
      <c r="QH115"/>
      <c r="QI115"/>
      <c r="QJ115"/>
      <c r="QK115"/>
      <c r="QL115"/>
      <c r="QM115"/>
      <c r="QN115"/>
      <c r="QO115"/>
      <c r="QP115"/>
      <c r="QQ115"/>
      <c r="QR115"/>
      <c r="QS115"/>
      <c r="QT115"/>
      <c r="QU115"/>
      <c r="QV115"/>
      <c r="QW115"/>
      <c r="QX115"/>
    </row>
    <row r="116" spans="1:466" x14ac:dyDescent="0.35">
      <c r="A116" s="53"/>
      <c r="B116" s="53"/>
      <c r="C116" s="55"/>
      <c r="D116" s="53"/>
      <c r="E116" s="53"/>
      <c r="F116" s="126" t="s">
        <v>1319</v>
      </c>
      <c r="G116" s="125"/>
      <c r="H116" s="125">
        <v>0</v>
      </c>
      <c r="I116" s="133">
        <v>97</v>
      </c>
      <c r="J116" s="53"/>
      <c r="K116" s="53"/>
      <c r="L116" s="53"/>
      <c r="M116" s="53"/>
      <c r="N116" s="53"/>
      <c r="O116" s="53"/>
      <c r="P116" s="53"/>
      <c r="Q116" s="53"/>
      <c r="R116" s="53"/>
      <c r="S116" s="53"/>
      <c r="T116" s="53"/>
      <c r="U116" s="53"/>
      <c r="V116" s="53"/>
      <c r="W116" s="53"/>
      <c r="X116" s="53"/>
      <c r="Y116" s="53"/>
      <c r="Z116" s="53"/>
      <c r="AA116" s="53"/>
      <c r="AB116" s="53"/>
      <c r="AC116" s="53"/>
      <c r="AD116" s="53"/>
      <c r="AE116" s="53"/>
      <c r="AF116" s="63"/>
      <c r="AG116" s="64"/>
      <c r="AH116" s="65"/>
      <c r="AI116" s="65"/>
      <c r="AJ116" s="53"/>
      <c r="AK116" s="62"/>
      <c r="AL116" s="62"/>
      <c r="AM116" s="62"/>
      <c r="AN116" s="62"/>
      <c r="AO116" s="62"/>
      <c r="AP116" s="62"/>
      <c r="AQ116" s="62"/>
      <c r="AR116" s="62"/>
      <c r="AS116" s="62"/>
      <c r="AT116" s="62"/>
      <c r="AU116" s="62"/>
      <c r="AV116" s="62"/>
      <c r="AW116" s="62"/>
      <c r="AX116" s="62"/>
      <c r="AY116" s="62"/>
      <c r="AZ116" s="62"/>
      <c r="BA116" s="62"/>
      <c r="BB116" s="62"/>
      <c r="BC116" s="62"/>
      <c r="BD116" s="62"/>
      <c r="BE116" s="62"/>
      <c r="BF116" s="62"/>
      <c r="BG116" s="62"/>
      <c r="BH116" s="62"/>
      <c r="BI116" s="62"/>
      <c r="BJ116" s="62"/>
      <c r="BK116" s="62"/>
      <c r="BL116" s="62"/>
      <c r="BM116" s="62"/>
      <c r="BN116" s="62"/>
      <c r="BO116" s="62"/>
      <c r="BP116" s="62"/>
      <c r="BQ116" s="62"/>
      <c r="BR116" s="62"/>
      <c r="BS116" s="62"/>
      <c r="BT116" s="62"/>
      <c r="BU116" s="62"/>
      <c r="BV116" s="62"/>
      <c r="BW116" s="62"/>
      <c r="BX116" s="62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/>
      <c r="HU116"/>
      <c r="HV116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  <c r="IK116"/>
      <c r="IL116"/>
      <c r="IM116"/>
      <c r="IN116"/>
      <c r="IO116"/>
      <c r="IP116"/>
      <c r="IQ116"/>
      <c r="IR116"/>
      <c r="IS116"/>
      <c r="IT116"/>
      <c r="IU116"/>
      <c r="IV116"/>
      <c r="IW116"/>
      <c r="IX116"/>
      <c r="IY116"/>
      <c r="IZ116"/>
      <c r="JA116"/>
      <c r="JB116"/>
      <c r="JC116"/>
      <c r="JD116"/>
      <c r="JE116"/>
      <c r="JF116"/>
      <c r="JG116"/>
      <c r="JH116"/>
      <c r="JI116"/>
      <c r="JJ116"/>
      <c r="JK116"/>
      <c r="JL116"/>
      <c r="JM116"/>
      <c r="JN116"/>
      <c r="JO116"/>
      <c r="JP116"/>
      <c r="JQ116"/>
      <c r="JR116"/>
      <c r="JS116"/>
      <c r="JT116"/>
      <c r="JU116"/>
      <c r="JV116"/>
      <c r="JW116"/>
      <c r="JX116"/>
      <c r="JY116"/>
      <c r="JZ116"/>
      <c r="KA116"/>
      <c r="KB116"/>
      <c r="KC116"/>
      <c r="KD116"/>
      <c r="KE116"/>
      <c r="KF116"/>
      <c r="KG116"/>
      <c r="KH116"/>
      <c r="KI116"/>
      <c r="KJ116"/>
      <c r="KK116"/>
      <c r="KL116"/>
      <c r="KM116"/>
      <c r="KN116"/>
      <c r="KO116"/>
      <c r="KP116"/>
      <c r="KQ116"/>
      <c r="KR116"/>
      <c r="KS116"/>
      <c r="KT116"/>
      <c r="KU116"/>
      <c r="KV116"/>
      <c r="KW116"/>
      <c r="KX116"/>
      <c r="KY116"/>
      <c r="KZ116"/>
      <c r="LA116"/>
      <c r="LB116"/>
      <c r="LC116"/>
      <c r="LD116"/>
      <c r="LE116"/>
      <c r="LF116"/>
      <c r="LG116"/>
      <c r="LH116"/>
      <c r="LI116"/>
      <c r="LJ116"/>
      <c r="LK116"/>
      <c r="LL116"/>
      <c r="LM116"/>
      <c r="LN116"/>
      <c r="LO116"/>
      <c r="LP116"/>
      <c r="LQ116"/>
      <c r="LR116"/>
      <c r="LS116"/>
      <c r="LT116"/>
      <c r="LU116"/>
      <c r="LV116"/>
      <c r="LW116"/>
      <c r="LX116"/>
      <c r="LY116"/>
      <c r="LZ116"/>
      <c r="MA116"/>
      <c r="MB116"/>
      <c r="MC116"/>
      <c r="MD116"/>
      <c r="ME116"/>
      <c r="MF116"/>
      <c r="MG116"/>
      <c r="MH116"/>
      <c r="MI116"/>
      <c r="MJ116"/>
      <c r="MK116"/>
      <c r="ML116"/>
      <c r="MM116"/>
      <c r="MN116"/>
      <c r="MO116"/>
      <c r="MP116"/>
      <c r="MQ116"/>
      <c r="MR116"/>
      <c r="MS116"/>
      <c r="MT116"/>
      <c r="MU116"/>
      <c r="MV116"/>
      <c r="MW116"/>
      <c r="MX116"/>
      <c r="MY116"/>
      <c r="MZ116"/>
      <c r="NA116"/>
      <c r="NB116"/>
      <c r="NC116"/>
      <c r="ND116"/>
      <c r="NE116"/>
      <c r="NF116"/>
      <c r="NG116"/>
      <c r="NH116"/>
      <c r="NI116"/>
      <c r="NJ116"/>
      <c r="NK116"/>
      <c r="NL116"/>
      <c r="NM116"/>
      <c r="NN116"/>
      <c r="NO116"/>
      <c r="NP116"/>
      <c r="NQ116"/>
      <c r="NR116"/>
      <c r="NS116"/>
      <c r="NT116"/>
      <c r="NU116"/>
      <c r="NV116"/>
      <c r="NW116"/>
      <c r="NX116"/>
      <c r="NY116"/>
      <c r="NZ116"/>
      <c r="OA116"/>
      <c r="OB116"/>
      <c r="OC116"/>
      <c r="OD116"/>
      <c r="OE116"/>
      <c r="OF116"/>
      <c r="OG116"/>
      <c r="OH116"/>
      <c r="OI116"/>
      <c r="OJ116"/>
      <c r="OK116"/>
      <c r="OL116"/>
      <c r="OM116"/>
      <c r="ON116"/>
      <c r="OO116"/>
      <c r="OP116"/>
      <c r="OQ116"/>
      <c r="OR116"/>
      <c r="OS116"/>
      <c r="OT116"/>
      <c r="OU116"/>
      <c r="OV116"/>
      <c r="OW116"/>
      <c r="OX116"/>
      <c r="OY116"/>
      <c r="OZ116"/>
      <c r="PA116"/>
      <c r="PB116"/>
      <c r="PC116"/>
      <c r="PD116"/>
      <c r="PE116"/>
      <c r="PF116"/>
      <c r="PG116"/>
      <c r="PH116"/>
      <c r="PI116"/>
      <c r="PJ116"/>
      <c r="PK116"/>
      <c r="PL116"/>
      <c r="PM116"/>
      <c r="PN116"/>
      <c r="PO116"/>
      <c r="PP116"/>
      <c r="PQ116"/>
      <c r="PR116"/>
      <c r="PS116"/>
      <c r="PT116"/>
      <c r="PU116"/>
      <c r="PV116"/>
      <c r="PW116"/>
      <c r="PX116"/>
      <c r="PY116"/>
      <c r="PZ116"/>
      <c r="QA116"/>
      <c r="QB116"/>
      <c r="QC116"/>
      <c r="QD116"/>
      <c r="QE116"/>
      <c r="QF116"/>
      <c r="QG116"/>
      <c r="QH116"/>
      <c r="QI116"/>
      <c r="QJ116"/>
      <c r="QK116"/>
      <c r="QL116"/>
      <c r="QM116"/>
      <c r="QN116"/>
      <c r="QO116"/>
      <c r="QP116"/>
      <c r="QQ116"/>
      <c r="QR116"/>
      <c r="QS116"/>
      <c r="QT116"/>
      <c r="QU116"/>
      <c r="QV116"/>
      <c r="QW116"/>
      <c r="QX116"/>
    </row>
    <row r="117" spans="1:466" x14ac:dyDescent="0.35">
      <c r="A117" s="53"/>
      <c r="B117" s="53"/>
      <c r="C117" s="55"/>
      <c r="D117" s="53"/>
      <c r="E117" s="53"/>
      <c r="F117" s="126" t="s">
        <v>1320</v>
      </c>
      <c r="G117" s="125"/>
      <c r="H117" s="125">
        <v>0</v>
      </c>
      <c r="I117" s="133">
        <v>78</v>
      </c>
      <c r="J117" s="53"/>
      <c r="K117" s="53"/>
      <c r="L117" s="53"/>
      <c r="M117" s="53"/>
      <c r="N117" s="53"/>
      <c r="O117" s="53"/>
      <c r="P117" s="53"/>
      <c r="Q117" s="53"/>
      <c r="R117" s="53"/>
      <c r="S117" s="53"/>
      <c r="T117" s="53"/>
      <c r="U117" s="53"/>
      <c r="V117" s="53"/>
      <c r="W117" s="53"/>
      <c r="X117" s="53"/>
      <c r="Y117" s="53"/>
      <c r="Z117" s="53"/>
      <c r="AA117" s="53"/>
      <c r="AB117" s="53"/>
      <c r="AC117" s="53"/>
      <c r="AD117" s="53"/>
      <c r="AE117" s="53"/>
      <c r="AF117" s="63"/>
      <c r="AG117" s="64"/>
      <c r="AH117" s="65"/>
      <c r="AI117" s="65"/>
      <c r="AJ117" s="53"/>
      <c r="AK117" s="62"/>
      <c r="AL117" s="62"/>
      <c r="AM117" s="62"/>
      <c r="AN117" s="62"/>
      <c r="AO117" s="62"/>
      <c r="AP117" s="62"/>
      <c r="AQ117" s="62"/>
      <c r="AR117" s="62"/>
      <c r="AS117" s="62"/>
      <c r="AT117" s="62"/>
      <c r="AU117" s="62"/>
      <c r="AV117" s="62"/>
      <c r="AW117" s="62"/>
      <c r="AX117" s="62"/>
      <c r="AY117" s="62"/>
      <c r="AZ117" s="62"/>
      <c r="BA117" s="62"/>
      <c r="BB117" s="62"/>
      <c r="BC117" s="62"/>
      <c r="BD117" s="62"/>
      <c r="BE117" s="62"/>
      <c r="BF117" s="62"/>
      <c r="BG117" s="62"/>
      <c r="BH117" s="62"/>
      <c r="BI117" s="62"/>
      <c r="BJ117" s="62"/>
      <c r="BK117" s="62"/>
      <c r="BL117" s="62"/>
      <c r="BM117" s="62"/>
      <c r="BN117" s="62"/>
      <c r="BO117" s="62"/>
      <c r="BP117" s="62"/>
      <c r="BQ117" s="62"/>
      <c r="BR117" s="62"/>
      <c r="BS117" s="62"/>
      <c r="BT117" s="62"/>
      <c r="BU117" s="62"/>
      <c r="BV117" s="62"/>
      <c r="BW117" s="62"/>
      <c r="BX117" s="62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  <c r="IK117"/>
      <c r="IL117"/>
      <c r="IM117"/>
      <c r="IN117"/>
      <c r="IO117"/>
      <c r="IP117"/>
      <c r="IQ117"/>
      <c r="IR117"/>
      <c r="IS117"/>
      <c r="IT117"/>
      <c r="IU117"/>
      <c r="IV117"/>
      <c r="IW117"/>
      <c r="IX117"/>
      <c r="IY117"/>
      <c r="IZ117"/>
      <c r="JA117"/>
      <c r="JB117"/>
      <c r="JC117"/>
      <c r="JD117"/>
      <c r="JE117"/>
      <c r="JF117"/>
      <c r="JG117"/>
      <c r="JH117"/>
      <c r="JI117"/>
      <c r="JJ117"/>
      <c r="JK117"/>
      <c r="JL117"/>
      <c r="JM117"/>
      <c r="JN117"/>
      <c r="JO117"/>
      <c r="JP117"/>
      <c r="JQ117"/>
      <c r="JR117"/>
      <c r="JS117"/>
      <c r="JT117"/>
      <c r="JU117"/>
      <c r="JV117"/>
      <c r="JW117"/>
      <c r="JX117"/>
      <c r="JY117"/>
      <c r="JZ117"/>
      <c r="KA117"/>
      <c r="KB117"/>
      <c r="KC117"/>
      <c r="KD117"/>
      <c r="KE117"/>
      <c r="KF117"/>
      <c r="KG117"/>
      <c r="KH117"/>
      <c r="KI117"/>
      <c r="KJ117"/>
      <c r="KK117"/>
      <c r="KL117"/>
      <c r="KM117"/>
      <c r="KN117"/>
      <c r="KO117"/>
      <c r="KP117"/>
      <c r="KQ117"/>
      <c r="KR117"/>
      <c r="KS117"/>
      <c r="KT117"/>
      <c r="KU117"/>
      <c r="KV117"/>
      <c r="KW117"/>
      <c r="KX117"/>
      <c r="KY117"/>
      <c r="KZ117"/>
      <c r="LA117"/>
      <c r="LB117"/>
      <c r="LC117"/>
      <c r="LD117"/>
      <c r="LE117"/>
      <c r="LF117"/>
      <c r="LG117"/>
      <c r="LH117"/>
      <c r="LI117"/>
      <c r="LJ117"/>
      <c r="LK117"/>
      <c r="LL117"/>
      <c r="LM117"/>
      <c r="LN117"/>
      <c r="LO117"/>
      <c r="LP117"/>
      <c r="LQ117"/>
      <c r="LR117"/>
      <c r="LS117"/>
      <c r="LT117"/>
      <c r="LU117"/>
      <c r="LV117"/>
      <c r="LW117"/>
      <c r="LX117"/>
      <c r="LY117"/>
      <c r="LZ117"/>
      <c r="MA117"/>
      <c r="MB117"/>
      <c r="MC117"/>
      <c r="MD117"/>
      <c r="ME117"/>
      <c r="MF117"/>
      <c r="MG117"/>
      <c r="MH117"/>
      <c r="MI117"/>
      <c r="MJ117"/>
      <c r="MK117"/>
      <c r="ML117"/>
      <c r="MM117"/>
      <c r="MN117"/>
      <c r="MO117"/>
      <c r="MP117"/>
      <c r="MQ117"/>
      <c r="MR117"/>
      <c r="MS117"/>
      <c r="MT117"/>
      <c r="MU117"/>
      <c r="MV117"/>
      <c r="MW117"/>
      <c r="MX117"/>
      <c r="MY117"/>
      <c r="MZ117"/>
      <c r="NA117"/>
      <c r="NB117"/>
      <c r="NC117"/>
      <c r="ND117"/>
      <c r="NE117"/>
      <c r="NF117"/>
      <c r="NG117"/>
      <c r="NH117"/>
      <c r="NI117"/>
      <c r="NJ117"/>
      <c r="NK117"/>
      <c r="NL117"/>
      <c r="NM117"/>
      <c r="NN117"/>
      <c r="NO117"/>
      <c r="NP117"/>
      <c r="NQ117"/>
      <c r="NR117"/>
      <c r="NS117"/>
      <c r="NT117"/>
      <c r="NU117"/>
      <c r="NV117"/>
      <c r="NW117"/>
      <c r="NX117"/>
      <c r="NY117"/>
      <c r="NZ117"/>
      <c r="OA117"/>
      <c r="OB117"/>
      <c r="OC117"/>
      <c r="OD117"/>
      <c r="OE117"/>
      <c r="OF117"/>
      <c r="OG117"/>
      <c r="OH117"/>
      <c r="OI117"/>
      <c r="OJ117"/>
      <c r="OK117"/>
      <c r="OL117"/>
      <c r="OM117"/>
      <c r="ON117"/>
      <c r="OO117"/>
      <c r="OP117"/>
      <c r="OQ117"/>
      <c r="OR117"/>
      <c r="OS117"/>
      <c r="OT117"/>
      <c r="OU117"/>
      <c r="OV117"/>
      <c r="OW117"/>
      <c r="OX117"/>
      <c r="OY117"/>
      <c r="OZ117"/>
      <c r="PA117"/>
      <c r="PB117"/>
      <c r="PC117"/>
      <c r="PD117"/>
      <c r="PE117"/>
      <c r="PF117"/>
      <c r="PG117"/>
      <c r="PH117"/>
      <c r="PI117"/>
      <c r="PJ117"/>
      <c r="PK117"/>
      <c r="PL117"/>
      <c r="PM117"/>
      <c r="PN117"/>
      <c r="PO117"/>
      <c r="PP117"/>
      <c r="PQ117"/>
      <c r="PR117"/>
      <c r="PS117"/>
      <c r="PT117"/>
      <c r="PU117"/>
      <c r="PV117"/>
      <c r="PW117"/>
      <c r="PX117"/>
      <c r="PY117"/>
      <c r="PZ117"/>
      <c r="QA117"/>
      <c r="QB117"/>
      <c r="QC117"/>
      <c r="QD117"/>
      <c r="QE117"/>
      <c r="QF117"/>
      <c r="QG117"/>
      <c r="QH117"/>
      <c r="QI117"/>
      <c r="QJ117"/>
      <c r="QK117"/>
      <c r="QL117"/>
      <c r="QM117"/>
      <c r="QN117"/>
      <c r="QO117"/>
      <c r="QP117"/>
      <c r="QQ117"/>
      <c r="QR117"/>
      <c r="QS117"/>
      <c r="QT117"/>
      <c r="QU117"/>
      <c r="QV117"/>
      <c r="QW117"/>
      <c r="QX117"/>
    </row>
    <row r="118" spans="1:466" x14ac:dyDescent="0.35">
      <c r="A118" s="53"/>
      <c r="B118" s="53"/>
      <c r="C118" s="55"/>
      <c r="D118" s="53"/>
      <c r="E118" s="53"/>
      <c r="F118" s="124" t="s">
        <v>188</v>
      </c>
      <c r="G118" s="125"/>
      <c r="H118" s="125">
        <v>0</v>
      </c>
      <c r="I118" s="133">
        <v>900</v>
      </c>
      <c r="J118" s="53"/>
      <c r="K118" s="53"/>
      <c r="L118" s="53"/>
      <c r="M118" s="53"/>
      <c r="N118" s="53"/>
      <c r="O118" s="53"/>
      <c r="P118" s="53"/>
      <c r="Q118" s="53"/>
      <c r="R118" s="53"/>
      <c r="S118" s="53"/>
      <c r="T118" s="53"/>
      <c r="U118" s="53"/>
      <c r="V118" s="53"/>
      <c r="W118" s="53"/>
      <c r="X118" s="53"/>
      <c r="Y118" s="53"/>
      <c r="Z118" s="53"/>
      <c r="AA118" s="53"/>
      <c r="AB118" s="53"/>
      <c r="AC118" s="53"/>
      <c r="AD118" s="53"/>
      <c r="AE118" s="53"/>
      <c r="AF118" s="63"/>
      <c r="AG118" s="64"/>
      <c r="AH118" s="65"/>
      <c r="AI118" s="65"/>
      <c r="AJ118" s="53"/>
      <c r="AK118" s="62"/>
      <c r="AL118" s="62"/>
      <c r="AM118" s="62"/>
      <c r="AN118" s="62"/>
      <c r="AO118" s="62"/>
      <c r="AP118" s="62"/>
      <c r="AQ118" s="62"/>
      <c r="AR118" s="62"/>
      <c r="AS118" s="62"/>
      <c r="AT118" s="62"/>
      <c r="AU118" s="62"/>
      <c r="AV118" s="62"/>
      <c r="AW118" s="62"/>
      <c r="AX118" s="62"/>
      <c r="AY118" s="62"/>
      <c r="AZ118" s="62"/>
      <c r="BA118" s="62"/>
      <c r="BB118" s="62"/>
      <c r="BC118" s="62"/>
      <c r="BD118" s="62"/>
      <c r="BE118" s="62"/>
      <c r="BF118" s="62"/>
      <c r="BG118" s="62"/>
      <c r="BH118" s="62"/>
      <c r="BI118" s="62"/>
      <c r="BJ118" s="62"/>
      <c r="BK118" s="62"/>
      <c r="BL118" s="62"/>
      <c r="BM118" s="62"/>
      <c r="BN118" s="62"/>
      <c r="BO118" s="62"/>
      <c r="BP118" s="62"/>
      <c r="BQ118" s="62"/>
      <c r="BR118" s="62"/>
      <c r="BS118" s="62"/>
      <c r="BT118" s="62"/>
      <c r="BU118" s="62"/>
      <c r="BV118" s="62"/>
      <c r="BW118" s="62"/>
      <c r="BX118" s="62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  <c r="IK118"/>
      <c r="IL118"/>
      <c r="IM118"/>
      <c r="IN118"/>
      <c r="IO118"/>
      <c r="IP118"/>
      <c r="IQ118"/>
      <c r="IR118"/>
      <c r="IS118"/>
      <c r="IT118"/>
      <c r="IU118"/>
      <c r="IV118"/>
      <c r="IW118"/>
      <c r="IX118"/>
      <c r="IY118"/>
      <c r="IZ118"/>
      <c r="JA118"/>
      <c r="JB118"/>
      <c r="JC118"/>
      <c r="JD118"/>
      <c r="JE118"/>
      <c r="JF118"/>
      <c r="JG118"/>
      <c r="JH118"/>
      <c r="JI118"/>
      <c r="JJ118"/>
      <c r="JK118"/>
      <c r="JL118"/>
      <c r="JM118"/>
      <c r="JN118"/>
      <c r="JO118"/>
      <c r="JP118"/>
      <c r="JQ118"/>
      <c r="JR118"/>
      <c r="JS118"/>
      <c r="JT118"/>
      <c r="JU118"/>
      <c r="JV118"/>
      <c r="JW118"/>
      <c r="JX118"/>
      <c r="JY118"/>
      <c r="JZ118"/>
      <c r="KA118"/>
      <c r="KB118"/>
      <c r="KC118"/>
      <c r="KD118"/>
      <c r="KE118"/>
      <c r="KF118"/>
      <c r="KG118"/>
      <c r="KH118"/>
      <c r="KI118"/>
      <c r="KJ118"/>
      <c r="KK118"/>
      <c r="KL118"/>
      <c r="KM118"/>
      <c r="KN118"/>
      <c r="KO118"/>
      <c r="KP118"/>
      <c r="KQ118"/>
      <c r="KR118"/>
      <c r="KS118"/>
      <c r="KT118"/>
      <c r="KU118"/>
      <c r="KV118"/>
      <c r="KW118"/>
      <c r="KX118"/>
      <c r="KY118"/>
      <c r="KZ118"/>
      <c r="LA118"/>
      <c r="LB118"/>
      <c r="LC118"/>
      <c r="LD118"/>
      <c r="LE118"/>
      <c r="LF118"/>
      <c r="LG118"/>
      <c r="LH118"/>
      <c r="LI118"/>
      <c r="LJ118"/>
      <c r="LK118"/>
      <c r="LL118"/>
      <c r="LM118"/>
      <c r="LN118"/>
      <c r="LO118"/>
      <c r="LP118"/>
      <c r="LQ118"/>
      <c r="LR118"/>
      <c r="LS118"/>
      <c r="LT118"/>
      <c r="LU118"/>
      <c r="LV118"/>
      <c r="LW118"/>
      <c r="LX118"/>
      <c r="LY118"/>
      <c r="LZ118"/>
      <c r="MA118"/>
      <c r="MB118"/>
      <c r="MC118"/>
      <c r="MD118"/>
      <c r="ME118"/>
      <c r="MF118"/>
      <c r="MG118"/>
      <c r="MH118"/>
      <c r="MI118"/>
      <c r="MJ118"/>
      <c r="MK118"/>
      <c r="ML118"/>
      <c r="MM118"/>
      <c r="MN118"/>
      <c r="MO118"/>
      <c r="MP118"/>
      <c r="MQ118"/>
      <c r="MR118"/>
      <c r="MS118"/>
      <c r="MT118"/>
      <c r="MU118"/>
      <c r="MV118"/>
      <c r="MW118"/>
      <c r="MX118"/>
      <c r="MY118"/>
      <c r="MZ118"/>
      <c r="NA118"/>
      <c r="NB118"/>
      <c r="NC118"/>
      <c r="ND118"/>
      <c r="NE118"/>
      <c r="NF118"/>
      <c r="NG118"/>
      <c r="NH118"/>
      <c r="NI118"/>
      <c r="NJ118"/>
      <c r="NK118"/>
      <c r="NL118"/>
      <c r="NM118"/>
      <c r="NN118"/>
      <c r="NO118"/>
      <c r="NP118"/>
      <c r="NQ118"/>
      <c r="NR118"/>
      <c r="NS118"/>
      <c r="NT118"/>
      <c r="NU118"/>
      <c r="NV118"/>
      <c r="NW118"/>
      <c r="NX118"/>
      <c r="NY118"/>
      <c r="NZ118"/>
      <c r="OA118"/>
      <c r="OB118"/>
      <c r="OC118"/>
      <c r="OD118"/>
      <c r="OE118"/>
      <c r="OF118"/>
      <c r="OG118"/>
      <c r="OH118"/>
      <c r="OI118"/>
      <c r="OJ118"/>
      <c r="OK118"/>
      <c r="OL118"/>
      <c r="OM118"/>
      <c r="ON118"/>
      <c r="OO118"/>
      <c r="OP118"/>
      <c r="OQ118"/>
      <c r="OR118"/>
      <c r="OS118"/>
      <c r="OT118"/>
      <c r="OU118"/>
      <c r="OV118"/>
      <c r="OW118"/>
      <c r="OX118"/>
      <c r="OY118"/>
      <c r="OZ118"/>
      <c r="PA118"/>
      <c r="PB118"/>
      <c r="PC118"/>
      <c r="PD118"/>
      <c r="PE118"/>
      <c r="PF118"/>
      <c r="PG118"/>
      <c r="PH118"/>
      <c r="PI118"/>
      <c r="PJ118"/>
      <c r="PK118"/>
      <c r="PL118"/>
      <c r="PM118"/>
      <c r="PN118"/>
      <c r="PO118"/>
      <c r="PP118"/>
      <c r="PQ118"/>
      <c r="PR118"/>
      <c r="PS118"/>
      <c r="PT118"/>
      <c r="PU118"/>
      <c r="PV118"/>
      <c r="PW118"/>
      <c r="PX118"/>
      <c r="PY118"/>
      <c r="PZ118"/>
      <c r="QA118"/>
      <c r="QB118"/>
      <c r="QC118"/>
      <c r="QD118"/>
      <c r="QE118"/>
      <c r="QF118"/>
      <c r="QG118"/>
      <c r="QH118"/>
      <c r="QI118"/>
      <c r="QJ118"/>
      <c r="QK118"/>
      <c r="QL118"/>
      <c r="QM118"/>
      <c r="QN118"/>
      <c r="QO118"/>
      <c r="QP118"/>
      <c r="QQ118"/>
      <c r="QR118"/>
      <c r="QS118"/>
      <c r="QT118"/>
      <c r="QU118"/>
      <c r="QV118"/>
      <c r="QW118"/>
      <c r="QX118"/>
    </row>
    <row r="119" spans="1:466" x14ac:dyDescent="0.35">
      <c r="A119" s="53"/>
      <c r="B119" s="53"/>
      <c r="C119" s="55"/>
      <c r="D119" s="53"/>
      <c r="E119" s="53"/>
      <c r="F119" s="126" t="s">
        <v>186</v>
      </c>
      <c r="G119" s="125"/>
      <c r="H119" s="125">
        <v>0</v>
      </c>
      <c r="I119" s="133">
        <v>500</v>
      </c>
      <c r="J119" s="53"/>
      <c r="K119" s="53"/>
      <c r="L119" s="53"/>
      <c r="M119" s="53"/>
      <c r="N119" s="53"/>
      <c r="O119" s="53"/>
      <c r="P119" s="53"/>
      <c r="Q119" s="53"/>
      <c r="R119" s="53"/>
      <c r="S119" s="53"/>
      <c r="T119" s="53"/>
      <c r="U119" s="53"/>
      <c r="V119" s="53"/>
      <c r="W119" s="53"/>
      <c r="X119" s="53"/>
      <c r="Y119" s="53"/>
      <c r="Z119" s="53"/>
      <c r="AA119" s="53"/>
      <c r="AB119" s="53"/>
      <c r="AC119" s="53"/>
      <c r="AD119" s="53"/>
      <c r="AE119" s="53"/>
      <c r="AF119" s="63"/>
      <c r="AG119" s="64"/>
      <c r="AH119" s="65"/>
      <c r="AI119" s="65"/>
      <c r="AJ119" s="53"/>
      <c r="AK119" s="62"/>
      <c r="AL119" s="62"/>
      <c r="AM119" s="62"/>
      <c r="AN119" s="62"/>
      <c r="AO119" s="62"/>
      <c r="AP119" s="62"/>
      <c r="AQ119" s="62"/>
      <c r="AR119" s="62"/>
      <c r="AS119" s="62"/>
      <c r="AT119" s="62"/>
      <c r="AU119" s="62"/>
      <c r="AV119" s="62"/>
      <c r="AW119" s="62"/>
      <c r="AX119" s="62"/>
      <c r="AY119" s="62"/>
      <c r="AZ119" s="62"/>
      <c r="BA119" s="62"/>
      <c r="BB119" s="62"/>
      <c r="BC119" s="62"/>
      <c r="BD119" s="62"/>
      <c r="BE119" s="62"/>
      <c r="BF119" s="62"/>
      <c r="BG119" s="62"/>
      <c r="BH119" s="62"/>
      <c r="BI119" s="62"/>
      <c r="BJ119" s="62"/>
      <c r="BK119" s="62"/>
      <c r="BL119" s="62"/>
      <c r="BM119" s="62"/>
      <c r="BN119" s="62"/>
      <c r="BO119" s="62"/>
      <c r="BP119" s="62"/>
      <c r="BQ119" s="62"/>
      <c r="BR119" s="62"/>
      <c r="BS119" s="62"/>
      <c r="BT119" s="62"/>
      <c r="BU119" s="62"/>
      <c r="BV119" s="62"/>
      <c r="BW119" s="62"/>
      <c r="BX119" s="62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  <c r="IK119"/>
      <c r="IL119"/>
      <c r="IM119"/>
      <c r="IN119"/>
      <c r="IO119"/>
      <c r="IP119"/>
      <c r="IQ119"/>
      <c r="IR119"/>
      <c r="IS119"/>
      <c r="IT119"/>
      <c r="IU119"/>
      <c r="IV119"/>
      <c r="IW119"/>
      <c r="IX119"/>
      <c r="IY119"/>
      <c r="IZ119"/>
      <c r="JA119"/>
      <c r="JB119"/>
      <c r="JC119"/>
      <c r="JD119"/>
      <c r="JE119"/>
      <c r="JF119"/>
      <c r="JG119"/>
      <c r="JH119"/>
      <c r="JI119"/>
      <c r="JJ119"/>
      <c r="JK119"/>
      <c r="JL119"/>
      <c r="JM119"/>
      <c r="JN119"/>
      <c r="JO119"/>
      <c r="JP119"/>
      <c r="JQ119"/>
      <c r="JR119"/>
      <c r="JS119"/>
      <c r="JT119"/>
      <c r="JU119"/>
      <c r="JV119"/>
      <c r="JW119"/>
      <c r="JX119"/>
      <c r="JY119"/>
      <c r="JZ119"/>
      <c r="KA119"/>
      <c r="KB119"/>
      <c r="KC119"/>
      <c r="KD119"/>
      <c r="KE119"/>
      <c r="KF119"/>
      <c r="KG119"/>
      <c r="KH119"/>
      <c r="KI119"/>
      <c r="KJ119"/>
      <c r="KK119"/>
      <c r="KL119"/>
      <c r="KM119"/>
      <c r="KN119"/>
      <c r="KO119"/>
      <c r="KP119"/>
      <c r="KQ119"/>
      <c r="KR119"/>
      <c r="KS119"/>
      <c r="KT119"/>
      <c r="KU119"/>
      <c r="KV119"/>
      <c r="KW119"/>
      <c r="KX119"/>
      <c r="KY119"/>
      <c r="KZ119"/>
      <c r="LA119"/>
      <c r="LB119"/>
      <c r="LC119"/>
      <c r="LD119"/>
      <c r="LE119"/>
      <c r="LF119"/>
      <c r="LG119"/>
      <c r="LH119"/>
      <c r="LI119"/>
      <c r="LJ119"/>
      <c r="LK119"/>
      <c r="LL119"/>
      <c r="LM119"/>
      <c r="LN119"/>
      <c r="LO119"/>
      <c r="LP119"/>
      <c r="LQ119"/>
      <c r="LR119"/>
      <c r="LS119"/>
      <c r="LT119"/>
      <c r="LU119"/>
      <c r="LV119"/>
      <c r="LW119"/>
      <c r="LX119"/>
      <c r="LY119"/>
      <c r="LZ119"/>
      <c r="MA119"/>
      <c r="MB119"/>
      <c r="MC119"/>
      <c r="MD119"/>
      <c r="ME119"/>
      <c r="MF119"/>
      <c r="MG119"/>
      <c r="MH119"/>
      <c r="MI119"/>
      <c r="MJ119"/>
      <c r="MK119"/>
      <c r="ML119"/>
      <c r="MM119"/>
      <c r="MN119"/>
      <c r="MO119"/>
      <c r="MP119"/>
      <c r="MQ119"/>
      <c r="MR119"/>
      <c r="MS119"/>
      <c r="MT119"/>
      <c r="MU119"/>
      <c r="MV119"/>
      <c r="MW119"/>
      <c r="MX119"/>
      <c r="MY119"/>
      <c r="MZ119"/>
      <c r="NA119"/>
      <c r="NB119"/>
      <c r="NC119"/>
      <c r="ND119"/>
      <c r="NE119"/>
      <c r="NF119"/>
      <c r="NG119"/>
      <c r="NH119"/>
      <c r="NI119"/>
      <c r="NJ119"/>
      <c r="NK119"/>
      <c r="NL119"/>
      <c r="NM119"/>
      <c r="NN119"/>
      <c r="NO119"/>
      <c r="NP119"/>
      <c r="NQ119"/>
      <c r="NR119"/>
      <c r="NS119"/>
      <c r="NT119"/>
      <c r="NU119"/>
      <c r="NV119"/>
      <c r="NW119"/>
      <c r="NX119"/>
      <c r="NY119"/>
      <c r="NZ119"/>
      <c r="OA119"/>
      <c r="OB119"/>
      <c r="OC119"/>
      <c r="OD119"/>
      <c r="OE119"/>
      <c r="OF119"/>
      <c r="OG119"/>
      <c r="OH119"/>
      <c r="OI119"/>
      <c r="OJ119"/>
      <c r="OK119"/>
      <c r="OL119"/>
      <c r="OM119"/>
      <c r="ON119"/>
      <c r="OO119"/>
      <c r="OP119"/>
      <c r="OQ119"/>
      <c r="OR119"/>
      <c r="OS119"/>
      <c r="OT119"/>
      <c r="OU119"/>
      <c r="OV119"/>
      <c r="OW119"/>
      <c r="OX119"/>
      <c r="OY119"/>
      <c r="OZ119"/>
      <c r="PA119"/>
      <c r="PB119"/>
      <c r="PC119"/>
      <c r="PD119"/>
      <c r="PE119"/>
      <c r="PF119"/>
      <c r="PG119"/>
      <c r="PH119"/>
      <c r="PI119"/>
      <c r="PJ119"/>
      <c r="PK119"/>
      <c r="PL119"/>
      <c r="PM119"/>
      <c r="PN119"/>
      <c r="PO119"/>
      <c r="PP119"/>
      <c r="PQ119"/>
      <c r="PR119"/>
      <c r="PS119"/>
      <c r="PT119"/>
      <c r="PU119"/>
      <c r="PV119"/>
      <c r="PW119"/>
      <c r="PX119"/>
      <c r="PY119"/>
      <c r="PZ119"/>
      <c r="QA119"/>
      <c r="QB119"/>
      <c r="QC119"/>
      <c r="QD119"/>
      <c r="QE119"/>
      <c r="QF119"/>
      <c r="QG119"/>
      <c r="QH119"/>
      <c r="QI119"/>
      <c r="QJ119"/>
      <c r="QK119"/>
      <c r="QL119"/>
      <c r="QM119"/>
      <c r="QN119"/>
      <c r="QO119"/>
      <c r="QP119"/>
      <c r="QQ119"/>
      <c r="QR119"/>
      <c r="QS119"/>
      <c r="QT119"/>
      <c r="QU119"/>
      <c r="QV119"/>
      <c r="QW119"/>
      <c r="QX119"/>
    </row>
    <row r="120" spans="1:466" x14ac:dyDescent="0.35">
      <c r="A120" s="53"/>
      <c r="B120" s="53"/>
      <c r="C120" s="55"/>
      <c r="D120" s="53"/>
      <c r="E120" s="53"/>
      <c r="F120" s="126" t="s">
        <v>190</v>
      </c>
      <c r="G120" s="125"/>
      <c r="H120" s="125">
        <v>0</v>
      </c>
      <c r="I120" s="133">
        <v>400</v>
      </c>
      <c r="J120" s="53"/>
      <c r="K120" s="53"/>
      <c r="L120" s="53"/>
      <c r="M120" s="53"/>
      <c r="N120" s="53"/>
      <c r="O120" s="53"/>
      <c r="P120" s="53"/>
      <c r="Q120" s="53"/>
      <c r="R120" s="53"/>
      <c r="S120" s="53"/>
      <c r="T120" s="53"/>
      <c r="U120" s="53"/>
      <c r="V120" s="53"/>
      <c r="W120" s="53"/>
      <c r="X120" s="53"/>
      <c r="Y120" s="53"/>
      <c r="Z120" s="53"/>
      <c r="AA120" s="53"/>
      <c r="AB120" s="53"/>
      <c r="AC120" s="53"/>
      <c r="AD120" s="53"/>
      <c r="AE120" s="53"/>
      <c r="AF120" s="63"/>
      <c r="AG120" s="64"/>
      <c r="AH120" s="65"/>
      <c r="AI120" s="65"/>
      <c r="AJ120" s="53"/>
      <c r="AK120" s="62"/>
      <c r="AL120" s="62"/>
      <c r="AM120" s="62"/>
      <c r="AN120" s="62"/>
      <c r="AO120" s="62"/>
      <c r="AP120" s="62"/>
      <c r="AQ120" s="62"/>
      <c r="AR120" s="62"/>
      <c r="AS120" s="62"/>
      <c r="AT120" s="62"/>
      <c r="AU120" s="62"/>
      <c r="AV120" s="62"/>
      <c r="AW120" s="62"/>
      <c r="AX120" s="62"/>
      <c r="AY120" s="62"/>
      <c r="AZ120" s="62"/>
      <c r="BA120" s="62"/>
      <c r="BB120" s="62"/>
      <c r="BC120" s="62"/>
      <c r="BD120" s="62"/>
      <c r="BE120" s="62"/>
      <c r="BF120" s="62"/>
      <c r="BG120" s="62"/>
      <c r="BH120" s="62"/>
      <c r="BI120" s="62"/>
      <c r="BJ120" s="62"/>
      <c r="BK120" s="62"/>
      <c r="BL120" s="62"/>
      <c r="BM120" s="62"/>
      <c r="BN120" s="62"/>
      <c r="BO120" s="62"/>
      <c r="BP120" s="62"/>
      <c r="BQ120" s="62"/>
      <c r="BR120" s="62"/>
      <c r="BS120" s="62"/>
      <c r="BT120" s="62"/>
      <c r="BU120" s="62"/>
      <c r="BV120" s="62"/>
      <c r="BW120" s="62"/>
      <c r="BX120" s="62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  <c r="IK120"/>
      <c r="IL120"/>
      <c r="IM120"/>
      <c r="IN120"/>
      <c r="IO120"/>
      <c r="IP120"/>
      <c r="IQ120"/>
      <c r="IR120"/>
      <c r="IS120"/>
      <c r="IT120"/>
      <c r="IU120"/>
      <c r="IV120"/>
      <c r="IW120"/>
      <c r="IX120"/>
      <c r="IY120"/>
      <c r="IZ120"/>
      <c r="JA120"/>
      <c r="JB120"/>
      <c r="JC120"/>
      <c r="JD120"/>
      <c r="JE120"/>
      <c r="JF120"/>
      <c r="JG120"/>
      <c r="JH120"/>
      <c r="JI120"/>
      <c r="JJ120"/>
      <c r="JK120"/>
      <c r="JL120"/>
      <c r="JM120"/>
      <c r="JN120"/>
      <c r="JO120"/>
      <c r="JP120"/>
      <c r="JQ120"/>
      <c r="JR120"/>
      <c r="JS120"/>
      <c r="JT120"/>
      <c r="JU120"/>
      <c r="JV120"/>
      <c r="JW120"/>
      <c r="JX120"/>
      <c r="JY120"/>
      <c r="JZ120"/>
      <c r="KA120"/>
      <c r="KB120"/>
      <c r="KC120"/>
      <c r="KD120"/>
      <c r="KE120"/>
      <c r="KF120"/>
      <c r="KG120"/>
      <c r="KH120"/>
      <c r="KI120"/>
      <c r="KJ120"/>
      <c r="KK120"/>
      <c r="KL120"/>
      <c r="KM120"/>
      <c r="KN120"/>
      <c r="KO120"/>
      <c r="KP120"/>
      <c r="KQ120"/>
      <c r="KR120"/>
      <c r="KS120"/>
      <c r="KT120"/>
      <c r="KU120"/>
      <c r="KV120"/>
      <c r="KW120"/>
      <c r="KX120"/>
      <c r="KY120"/>
      <c r="KZ120"/>
      <c r="LA120"/>
      <c r="LB120"/>
      <c r="LC120"/>
      <c r="LD120"/>
      <c r="LE120"/>
      <c r="LF120"/>
      <c r="LG120"/>
      <c r="LH120"/>
      <c r="LI120"/>
      <c r="LJ120"/>
      <c r="LK120"/>
      <c r="LL120"/>
      <c r="LM120"/>
      <c r="LN120"/>
      <c r="LO120"/>
      <c r="LP120"/>
      <c r="LQ120"/>
      <c r="LR120"/>
      <c r="LS120"/>
      <c r="LT120"/>
      <c r="LU120"/>
      <c r="LV120"/>
      <c r="LW120"/>
      <c r="LX120"/>
      <c r="LY120"/>
      <c r="LZ120"/>
      <c r="MA120"/>
      <c r="MB120"/>
      <c r="MC120"/>
      <c r="MD120"/>
      <c r="ME120"/>
      <c r="MF120"/>
      <c r="MG120"/>
      <c r="MH120"/>
      <c r="MI120"/>
      <c r="MJ120"/>
      <c r="MK120"/>
      <c r="ML120"/>
      <c r="MM120"/>
      <c r="MN120"/>
      <c r="MO120"/>
      <c r="MP120"/>
      <c r="MQ120"/>
      <c r="MR120"/>
      <c r="MS120"/>
      <c r="MT120"/>
      <c r="MU120"/>
      <c r="MV120"/>
      <c r="MW120"/>
      <c r="MX120"/>
      <c r="MY120"/>
      <c r="MZ120"/>
      <c r="NA120"/>
      <c r="NB120"/>
      <c r="NC120"/>
      <c r="ND120"/>
      <c r="NE120"/>
      <c r="NF120"/>
      <c r="NG120"/>
      <c r="NH120"/>
      <c r="NI120"/>
      <c r="NJ120"/>
      <c r="NK120"/>
      <c r="NL120"/>
      <c r="NM120"/>
      <c r="NN120"/>
      <c r="NO120"/>
      <c r="NP120"/>
      <c r="NQ120"/>
      <c r="NR120"/>
      <c r="NS120"/>
      <c r="NT120"/>
      <c r="NU120"/>
      <c r="NV120"/>
      <c r="NW120"/>
      <c r="NX120"/>
      <c r="NY120"/>
      <c r="NZ120"/>
      <c r="OA120"/>
      <c r="OB120"/>
      <c r="OC120"/>
      <c r="OD120"/>
      <c r="OE120"/>
      <c r="OF120"/>
      <c r="OG120"/>
      <c r="OH120"/>
      <c r="OI120"/>
      <c r="OJ120"/>
      <c r="OK120"/>
      <c r="OL120"/>
      <c r="OM120"/>
      <c r="ON120"/>
      <c r="OO120"/>
      <c r="OP120"/>
      <c r="OQ120"/>
      <c r="OR120"/>
      <c r="OS120"/>
      <c r="OT120"/>
      <c r="OU120"/>
      <c r="OV120"/>
      <c r="OW120"/>
      <c r="OX120"/>
      <c r="OY120"/>
      <c r="OZ120"/>
      <c r="PA120"/>
      <c r="PB120"/>
      <c r="PC120"/>
      <c r="PD120"/>
      <c r="PE120"/>
      <c r="PF120"/>
      <c r="PG120"/>
      <c r="PH120"/>
      <c r="PI120"/>
      <c r="PJ120"/>
      <c r="PK120"/>
      <c r="PL120"/>
      <c r="PM120"/>
      <c r="PN120"/>
      <c r="PO120"/>
      <c r="PP120"/>
      <c r="PQ120"/>
      <c r="PR120"/>
      <c r="PS120"/>
      <c r="PT120"/>
      <c r="PU120"/>
      <c r="PV120"/>
      <c r="PW120"/>
      <c r="PX120"/>
      <c r="PY120"/>
      <c r="PZ120"/>
      <c r="QA120"/>
      <c r="QB120"/>
      <c r="QC120"/>
      <c r="QD120"/>
      <c r="QE120"/>
      <c r="QF120"/>
      <c r="QG120"/>
      <c r="QH120"/>
      <c r="QI120"/>
      <c r="QJ120"/>
      <c r="QK120"/>
      <c r="QL120"/>
      <c r="QM120"/>
      <c r="QN120"/>
      <c r="QO120"/>
      <c r="QP120"/>
      <c r="QQ120"/>
      <c r="QR120"/>
      <c r="QS120"/>
      <c r="QT120"/>
      <c r="QU120"/>
      <c r="QV120"/>
      <c r="QW120"/>
      <c r="QX120"/>
    </row>
    <row r="121" spans="1:466" x14ac:dyDescent="0.35">
      <c r="A121" s="53"/>
      <c r="B121" s="53"/>
      <c r="C121" s="55"/>
      <c r="D121" s="53"/>
      <c r="E121" s="53"/>
      <c r="F121" s="124" t="s">
        <v>92</v>
      </c>
      <c r="G121" s="125">
        <v>1401.3609854400001</v>
      </c>
      <c r="H121" s="125">
        <v>61965.022305200022</v>
      </c>
      <c r="I121" s="133">
        <v>56350</v>
      </c>
      <c r="J121" s="53"/>
      <c r="K121" s="53"/>
      <c r="L121" s="53"/>
      <c r="M121" s="53"/>
      <c r="N121" s="53"/>
      <c r="O121" s="53"/>
      <c r="P121" s="53"/>
      <c r="Q121" s="53"/>
      <c r="R121" s="53"/>
      <c r="S121" s="53"/>
      <c r="T121" s="53"/>
      <c r="U121" s="53"/>
      <c r="V121" s="53"/>
      <c r="W121" s="53"/>
      <c r="X121" s="53"/>
      <c r="Y121" s="53"/>
      <c r="Z121" s="53"/>
      <c r="AA121" s="53"/>
      <c r="AB121" s="53"/>
      <c r="AC121" s="53"/>
      <c r="AD121" s="53"/>
      <c r="AE121" s="53"/>
      <c r="AF121" s="63"/>
      <c r="AG121" s="64"/>
      <c r="AH121" s="65"/>
      <c r="AI121" s="65"/>
      <c r="AJ121" s="53"/>
      <c r="AK121" s="62"/>
      <c r="AL121" s="62"/>
      <c r="AM121" s="62"/>
      <c r="AN121" s="62"/>
      <c r="AO121" s="62"/>
      <c r="AP121" s="62"/>
      <c r="AQ121" s="62"/>
      <c r="AR121" s="62"/>
      <c r="AS121" s="62"/>
      <c r="AT121" s="62"/>
      <c r="AU121" s="62"/>
      <c r="AV121" s="62"/>
      <c r="AW121" s="62"/>
      <c r="AX121" s="62"/>
      <c r="AY121" s="62"/>
      <c r="AZ121" s="62"/>
      <c r="BA121" s="62"/>
      <c r="BB121" s="62"/>
      <c r="BC121" s="62"/>
      <c r="BD121" s="62"/>
      <c r="BE121" s="62"/>
      <c r="BF121" s="62"/>
      <c r="BG121" s="62"/>
      <c r="BH121" s="62"/>
      <c r="BI121" s="62"/>
      <c r="BJ121" s="62"/>
      <c r="BK121" s="62"/>
      <c r="BL121" s="62"/>
      <c r="BM121" s="62"/>
      <c r="BN121" s="62"/>
      <c r="BO121" s="62"/>
      <c r="BP121" s="62"/>
      <c r="BQ121" s="62"/>
      <c r="BR121" s="62"/>
      <c r="BS121" s="62"/>
      <c r="BT121" s="62"/>
      <c r="BU121" s="62"/>
      <c r="BV121" s="62"/>
      <c r="BW121" s="62"/>
      <c r="BX121" s="62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  <c r="IK121"/>
      <c r="IL121"/>
      <c r="IM121"/>
      <c r="IN121"/>
      <c r="IO121"/>
      <c r="IP121"/>
      <c r="IQ121"/>
      <c r="IR121"/>
      <c r="IS121"/>
      <c r="IT121"/>
      <c r="IU121"/>
      <c r="IV121"/>
      <c r="IW121"/>
      <c r="IX121"/>
      <c r="IY121"/>
      <c r="IZ121"/>
      <c r="JA121"/>
      <c r="JB121"/>
      <c r="JC121"/>
      <c r="JD121"/>
      <c r="JE121"/>
      <c r="JF121"/>
      <c r="JG121"/>
      <c r="JH121"/>
      <c r="JI121"/>
      <c r="JJ121"/>
      <c r="JK121"/>
      <c r="JL121"/>
      <c r="JM121"/>
      <c r="JN121"/>
      <c r="JO121"/>
      <c r="JP121"/>
      <c r="JQ121"/>
      <c r="JR121"/>
      <c r="JS121"/>
      <c r="JT121"/>
      <c r="JU121"/>
      <c r="JV121"/>
      <c r="JW121"/>
      <c r="JX121"/>
      <c r="JY121"/>
      <c r="JZ121"/>
      <c r="KA121"/>
      <c r="KB121"/>
      <c r="KC121"/>
      <c r="KD121"/>
      <c r="KE121"/>
      <c r="KF121"/>
      <c r="KG121"/>
      <c r="KH121"/>
      <c r="KI121"/>
      <c r="KJ121"/>
      <c r="KK121"/>
      <c r="KL121"/>
      <c r="KM121"/>
      <c r="KN121"/>
      <c r="KO121"/>
      <c r="KP121"/>
      <c r="KQ121"/>
      <c r="KR121"/>
      <c r="KS121"/>
      <c r="KT121"/>
      <c r="KU121"/>
      <c r="KV121"/>
      <c r="KW121"/>
      <c r="KX121"/>
      <c r="KY121"/>
      <c r="KZ121"/>
      <c r="LA121"/>
      <c r="LB121"/>
      <c r="LC121"/>
      <c r="LD121"/>
      <c r="LE121"/>
      <c r="LF121"/>
      <c r="LG121"/>
      <c r="LH121"/>
      <c r="LI121"/>
      <c r="LJ121"/>
      <c r="LK121"/>
      <c r="LL121"/>
      <c r="LM121"/>
      <c r="LN121"/>
      <c r="LO121"/>
      <c r="LP121"/>
      <c r="LQ121"/>
      <c r="LR121"/>
      <c r="LS121"/>
      <c r="LT121"/>
      <c r="LU121"/>
      <c r="LV121"/>
      <c r="LW121"/>
      <c r="LX121"/>
      <c r="LY121"/>
      <c r="LZ121"/>
      <c r="MA121"/>
      <c r="MB121"/>
      <c r="MC121"/>
      <c r="MD121"/>
      <c r="ME121"/>
      <c r="MF121"/>
      <c r="MG121"/>
      <c r="MH121"/>
      <c r="MI121"/>
      <c r="MJ121"/>
      <c r="MK121"/>
      <c r="ML121"/>
      <c r="MM121"/>
      <c r="MN121"/>
      <c r="MO121"/>
      <c r="MP121"/>
      <c r="MQ121"/>
      <c r="MR121"/>
      <c r="MS121"/>
      <c r="MT121"/>
      <c r="MU121"/>
      <c r="MV121"/>
      <c r="MW121"/>
      <c r="MX121"/>
      <c r="MY121"/>
      <c r="MZ121"/>
      <c r="NA121"/>
      <c r="NB121"/>
      <c r="NC121"/>
      <c r="ND121"/>
      <c r="NE121"/>
      <c r="NF121"/>
      <c r="NG121"/>
      <c r="NH121"/>
      <c r="NI121"/>
      <c r="NJ121"/>
      <c r="NK121"/>
      <c r="NL121"/>
      <c r="NM121"/>
      <c r="NN121"/>
      <c r="NO121"/>
      <c r="NP121"/>
      <c r="NQ121"/>
      <c r="NR121"/>
      <c r="NS121"/>
      <c r="NT121"/>
      <c r="NU121"/>
      <c r="NV121"/>
      <c r="NW121"/>
      <c r="NX121"/>
      <c r="NY121"/>
      <c r="NZ121"/>
      <c r="OA121"/>
      <c r="OB121"/>
      <c r="OC121"/>
      <c r="OD121"/>
      <c r="OE121"/>
      <c r="OF121"/>
      <c r="OG121"/>
      <c r="OH121"/>
      <c r="OI121"/>
      <c r="OJ121"/>
      <c r="OK121"/>
      <c r="OL121"/>
      <c r="OM121"/>
      <c r="ON121"/>
      <c r="OO121"/>
      <c r="OP121"/>
      <c r="OQ121"/>
      <c r="OR121"/>
      <c r="OS121"/>
      <c r="OT121"/>
      <c r="OU121"/>
      <c r="OV121"/>
      <c r="OW121"/>
      <c r="OX121"/>
      <c r="OY121"/>
      <c r="OZ121"/>
      <c r="PA121"/>
      <c r="PB121"/>
      <c r="PC121"/>
      <c r="PD121"/>
      <c r="PE121"/>
      <c r="PF121"/>
      <c r="PG121"/>
      <c r="PH121"/>
      <c r="PI121"/>
      <c r="PJ121"/>
      <c r="PK121"/>
      <c r="PL121"/>
      <c r="PM121"/>
      <c r="PN121"/>
      <c r="PO121"/>
      <c r="PP121"/>
      <c r="PQ121"/>
      <c r="PR121"/>
      <c r="PS121"/>
      <c r="PT121"/>
      <c r="PU121"/>
      <c r="PV121"/>
      <c r="PW121"/>
      <c r="PX121"/>
      <c r="PY121"/>
      <c r="PZ121"/>
      <c r="QA121"/>
      <c r="QB121"/>
      <c r="QC121"/>
      <c r="QD121"/>
      <c r="QE121"/>
      <c r="QF121"/>
      <c r="QG121"/>
      <c r="QH121"/>
      <c r="QI121"/>
      <c r="QJ121"/>
      <c r="QK121"/>
      <c r="QL121"/>
      <c r="QM121"/>
      <c r="QN121"/>
      <c r="QO121"/>
      <c r="QP121"/>
      <c r="QQ121"/>
      <c r="QR121"/>
      <c r="QS121"/>
      <c r="QT121"/>
      <c r="QU121"/>
      <c r="QV121"/>
      <c r="QW121"/>
      <c r="QX121"/>
    </row>
    <row r="122" spans="1:466" x14ac:dyDescent="0.35">
      <c r="A122" s="53"/>
      <c r="B122" s="53"/>
      <c r="C122" s="55"/>
      <c r="D122" s="53"/>
      <c r="E122" s="53"/>
      <c r="F122" s="126" t="s">
        <v>1284</v>
      </c>
      <c r="G122" s="125"/>
      <c r="H122" s="125">
        <v>0</v>
      </c>
      <c r="I122" s="133">
        <v>4</v>
      </c>
      <c r="J122" s="53"/>
      <c r="K122" s="53"/>
      <c r="L122" s="53"/>
      <c r="M122" s="53"/>
      <c r="N122" s="53"/>
      <c r="O122" s="53"/>
      <c r="P122" s="53"/>
      <c r="Q122" s="53"/>
      <c r="R122" s="53"/>
      <c r="S122" s="53"/>
      <c r="T122" s="53"/>
      <c r="U122" s="53"/>
      <c r="V122" s="53"/>
      <c r="W122" s="53"/>
      <c r="X122" s="53"/>
      <c r="Y122" s="53"/>
      <c r="Z122" s="53"/>
      <c r="AA122" s="53"/>
      <c r="AB122" s="53"/>
      <c r="AC122" s="53"/>
      <c r="AD122" s="53"/>
      <c r="AE122" s="53"/>
      <c r="AF122" s="63"/>
      <c r="AG122" s="64"/>
      <c r="AH122" s="65"/>
      <c r="AI122" s="65"/>
      <c r="AJ122" s="53"/>
      <c r="AK122" s="62"/>
      <c r="AL122" s="62"/>
      <c r="AM122" s="62"/>
      <c r="AN122" s="62"/>
      <c r="AO122" s="62"/>
      <c r="AP122" s="62"/>
      <c r="AQ122" s="62"/>
      <c r="AR122" s="62"/>
      <c r="AS122" s="62"/>
      <c r="AT122" s="62"/>
      <c r="AU122" s="62"/>
      <c r="AV122" s="62"/>
      <c r="AW122" s="62"/>
      <c r="AX122" s="62"/>
      <c r="AY122" s="62"/>
      <c r="AZ122" s="62"/>
      <c r="BA122" s="62"/>
      <c r="BB122" s="62"/>
      <c r="BC122" s="62"/>
      <c r="BD122" s="62"/>
      <c r="BE122" s="62"/>
      <c r="BF122" s="62"/>
      <c r="BG122" s="62"/>
      <c r="BH122" s="62"/>
      <c r="BI122" s="62"/>
      <c r="BJ122" s="62"/>
      <c r="BK122" s="62"/>
      <c r="BL122" s="62"/>
      <c r="BM122" s="62"/>
      <c r="BN122" s="62"/>
      <c r="BO122" s="62"/>
      <c r="BP122" s="62"/>
      <c r="BQ122" s="62"/>
      <c r="BR122" s="62"/>
      <c r="BS122" s="62"/>
      <c r="BT122" s="62"/>
      <c r="BU122" s="62"/>
      <c r="BV122" s="62"/>
      <c r="BW122" s="62"/>
      <c r="BX122" s="6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  <c r="IS122"/>
      <c r="IT122"/>
      <c r="IU122"/>
      <c r="IV122"/>
      <c r="IW122"/>
      <c r="IX122"/>
      <c r="IY122"/>
      <c r="IZ122"/>
      <c r="JA122"/>
      <c r="JB122"/>
      <c r="JC122"/>
      <c r="JD122"/>
      <c r="JE122"/>
      <c r="JF122"/>
      <c r="JG122"/>
      <c r="JH122"/>
      <c r="JI122"/>
      <c r="JJ122"/>
      <c r="JK122"/>
      <c r="JL122"/>
      <c r="JM122"/>
      <c r="JN122"/>
      <c r="JO122"/>
      <c r="JP122"/>
      <c r="JQ122"/>
      <c r="JR122"/>
      <c r="JS122"/>
      <c r="JT122"/>
      <c r="JU122"/>
      <c r="JV122"/>
      <c r="JW122"/>
      <c r="JX122"/>
      <c r="JY122"/>
      <c r="JZ122"/>
      <c r="KA122"/>
      <c r="KB122"/>
      <c r="KC122"/>
      <c r="KD122"/>
      <c r="KE122"/>
      <c r="KF122"/>
      <c r="KG122"/>
      <c r="KH122"/>
      <c r="KI122"/>
      <c r="KJ122"/>
      <c r="KK122"/>
      <c r="KL122"/>
      <c r="KM122"/>
      <c r="KN122"/>
      <c r="KO122"/>
      <c r="KP122"/>
      <c r="KQ122"/>
      <c r="KR122"/>
      <c r="KS122"/>
      <c r="KT122"/>
      <c r="KU122"/>
      <c r="KV122"/>
      <c r="KW122"/>
      <c r="KX122"/>
      <c r="KY122"/>
      <c r="KZ122"/>
      <c r="LA122"/>
      <c r="LB122"/>
      <c r="LC122"/>
      <c r="LD122"/>
      <c r="LE122"/>
      <c r="LF122"/>
      <c r="LG122"/>
      <c r="LH122"/>
      <c r="LI122"/>
      <c r="LJ122"/>
      <c r="LK122"/>
      <c r="LL122"/>
      <c r="LM122"/>
      <c r="LN122"/>
      <c r="LO122"/>
      <c r="LP122"/>
      <c r="LQ122"/>
      <c r="LR122"/>
      <c r="LS122"/>
      <c r="LT122"/>
      <c r="LU122"/>
      <c r="LV122"/>
      <c r="LW122"/>
      <c r="LX122"/>
      <c r="LY122"/>
      <c r="LZ122"/>
      <c r="MA122"/>
      <c r="MB122"/>
      <c r="MC122"/>
      <c r="MD122"/>
      <c r="ME122"/>
      <c r="MF122"/>
      <c r="MG122"/>
      <c r="MH122"/>
      <c r="MI122"/>
      <c r="MJ122"/>
      <c r="MK122"/>
      <c r="ML122"/>
      <c r="MM122"/>
      <c r="MN122"/>
      <c r="MO122"/>
      <c r="MP122"/>
      <c r="MQ122"/>
      <c r="MR122"/>
      <c r="MS122"/>
      <c r="MT122"/>
      <c r="MU122"/>
      <c r="MV122"/>
      <c r="MW122"/>
      <c r="MX122"/>
      <c r="MY122"/>
      <c r="MZ122"/>
      <c r="NA122"/>
      <c r="NB122"/>
      <c r="NC122"/>
      <c r="ND122"/>
      <c r="NE122"/>
      <c r="NF122"/>
      <c r="NG122"/>
      <c r="NH122"/>
      <c r="NI122"/>
      <c r="NJ122"/>
      <c r="NK122"/>
      <c r="NL122"/>
      <c r="NM122"/>
      <c r="NN122"/>
      <c r="NO122"/>
      <c r="NP122"/>
      <c r="NQ122"/>
      <c r="NR122"/>
      <c r="NS122"/>
      <c r="NT122"/>
      <c r="NU122"/>
      <c r="NV122"/>
      <c r="NW122"/>
      <c r="NX122"/>
      <c r="NY122"/>
      <c r="NZ122"/>
      <c r="OA122"/>
      <c r="OB122"/>
      <c r="OC122"/>
      <c r="OD122"/>
      <c r="OE122"/>
      <c r="OF122"/>
      <c r="OG122"/>
      <c r="OH122"/>
      <c r="OI122"/>
      <c r="OJ122"/>
      <c r="OK122"/>
      <c r="OL122"/>
      <c r="OM122"/>
      <c r="ON122"/>
      <c r="OO122"/>
      <c r="OP122"/>
      <c r="OQ122"/>
      <c r="OR122"/>
      <c r="OS122"/>
      <c r="OT122"/>
      <c r="OU122"/>
      <c r="OV122"/>
      <c r="OW122"/>
      <c r="OX122"/>
      <c r="OY122"/>
      <c r="OZ122"/>
      <c r="PA122"/>
      <c r="PB122"/>
      <c r="PC122"/>
      <c r="PD122"/>
      <c r="PE122"/>
      <c r="PF122"/>
      <c r="PG122"/>
      <c r="PH122"/>
      <c r="PI122"/>
      <c r="PJ122"/>
      <c r="PK122"/>
      <c r="PL122"/>
      <c r="PM122"/>
      <c r="PN122"/>
      <c r="PO122"/>
      <c r="PP122"/>
      <c r="PQ122"/>
      <c r="PR122"/>
      <c r="PS122"/>
      <c r="PT122"/>
      <c r="PU122"/>
      <c r="PV122"/>
      <c r="PW122"/>
      <c r="PX122"/>
      <c r="PY122"/>
      <c r="PZ122"/>
      <c r="QA122"/>
      <c r="QB122"/>
      <c r="QC122"/>
      <c r="QD122"/>
      <c r="QE122"/>
      <c r="QF122"/>
      <c r="QG122"/>
      <c r="QH122"/>
      <c r="QI122"/>
      <c r="QJ122"/>
      <c r="QK122"/>
      <c r="QL122"/>
      <c r="QM122"/>
      <c r="QN122"/>
      <c r="QO122"/>
      <c r="QP122"/>
      <c r="QQ122"/>
      <c r="QR122"/>
      <c r="QS122"/>
      <c r="QT122"/>
      <c r="QU122"/>
      <c r="QV122"/>
      <c r="QW122"/>
      <c r="QX122"/>
    </row>
    <row r="123" spans="1:466" x14ac:dyDescent="0.35">
      <c r="A123" s="53"/>
      <c r="B123" s="53"/>
      <c r="C123" s="55"/>
      <c r="D123" s="53"/>
      <c r="E123" s="53"/>
      <c r="F123" s="126" t="s">
        <v>439</v>
      </c>
      <c r="G123" s="125">
        <v>23.75</v>
      </c>
      <c r="H123" s="125">
        <v>498.75</v>
      </c>
      <c r="I123" s="133">
        <v>21</v>
      </c>
      <c r="J123" s="53"/>
      <c r="K123" s="53"/>
      <c r="L123" s="53"/>
      <c r="M123" s="53"/>
      <c r="N123" s="53"/>
      <c r="O123" s="53"/>
      <c r="P123" s="53"/>
      <c r="Q123" s="53"/>
      <c r="R123" s="53"/>
      <c r="S123" s="53"/>
      <c r="T123" s="53"/>
      <c r="U123" s="53"/>
      <c r="V123" s="53"/>
      <c r="W123" s="53"/>
      <c r="X123" s="53"/>
      <c r="Y123" s="53"/>
      <c r="Z123" s="53"/>
      <c r="AA123" s="53"/>
      <c r="AB123" s="53"/>
      <c r="AC123" s="53"/>
      <c r="AD123" s="53"/>
      <c r="AE123" s="53"/>
      <c r="AF123" s="63"/>
      <c r="AG123" s="64"/>
      <c r="AH123" s="65"/>
      <c r="AI123" s="65"/>
      <c r="AJ123" s="53"/>
      <c r="AK123" s="62"/>
      <c r="AL123" s="62"/>
      <c r="AM123" s="62"/>
      <c r="AN123" s="62"/>
      <c r="AO123" s="62"/>
      <c r="AP123" s="62"/>
      <c r="AQ123" s="62"/>
      <c r="AR123" s="62"/>
      <c r="AS123" s="62"/>
      <c r="AT123" s="62"/>
      <c r="AU123" s="62"/>
      <c r="AV123" s="62"/>
      <c r="AW123" s="62"/>
      <c r="AX123" s="62"/>
      <c r="AY123" s="62"/>
      <c r="AZ123" s="62"/>
      <c r="BA123" s="62"/>
      <c r="BB123" s="62"/>
      <c r="BC123" s="62"/>
      <c r="BD123" s="62"/>
      <c r="BE123" s="62"/>
      <c r="BF123" s="62"/>
      <c r="BG123" s="62"/>
      <c r="BH123" s="62"/>
      <c r="BI123" s="62"/>
      <c r="BJ123" s="62"/>
      <c r="BK123" s="62"/>
      <c r="BL123" s="62"/>
      <c r="BM123" s="62"/>
      <c r="BN123" s="62"/>
      <c r="BO123" s="62"/>
      <c r="BP123" s="62"/>
      <c r="BQ123" s="62"/>
      <c r="BR123" s="62"/>
      <c r="BS123" s="62"/>
      <c r="BT123" s="62"/>
      <c r="BU123" s="62"/>
      <c r="BV123" s="62"/>
      <c r="BW123" s="62"/>
      <c r="BX123" s="62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  <c r="HB123"/>
      <c r="HC123"/>
      <c r="HD123"/>
      <c r="HE123"/>
      <c r="HF123"/>
      <c r="HG123"/>
      <c r="HH123"/>
      <c r="HI123"/>
      <c r="HJ123"/>
      <c r="HK123"/>
      <c r="HL123"/>
      <c r="HM123"/>
      <c r="HN123"/>
      <c r="HO123"/>
      <c r="HP123"/>
      <c r="HQ123"/>
      <c r="HR123"/>
      <c r="HS123"/>
      <c r="HT123"/>
      <c r="HU123"/>
      <c r="HV123"/>
      <c r="HW123"/>
      <c r="HX123"/>
      <c r="HY123"/>
      <c r="HZ123"/>
      <c r="IA123"/>
      <c r="IB123"/>
      <c r="IC123"/>
      <c r="ID123"/>
      <c r="IE123"/>
      <c r="IF123"/>
      <c r="IG123"/>
      <c r="IH123"/>
      <c r="II123"/>
      <c r="IJ123"/>
      <c r="IK123"/>
      <c r="IL123"/>
      <c r="IM123"/>
      <c r="IN123"/>
      <c r="IO123"/>
      <c r="IP123"/>
      <c r="IQ123"/>
      <c r="IR123"/>
      <c r="IS123"/>
      <c r="IT123"/>
      <c r="IU123"/>
      <c r="IV123"/>
      <c r="IW123"/>
      <c r="IX123"/>
      <c r="IY123"/>
      <c r="IZ123"/>
      <c r="JA123"/>
      <c r="JB123"/>
      <c r="JC123"/>
      <c r="JD123"/>
      <c r="JE123"/>
      <c r="JF123"/>
      <c r="JG123"/>
      <c r="JH123"/>
      <c r="JI123"/>
      <c r="JJ123"/>
      <c r="JK123"/>
      <c r="JL123"/>
      <c r="JM123"/>
      <c r="JN123"/>
      <c r="JO123"/>
      <c r="JP123"/>
      <c r="JQ123"/>
      <c r="JR123"/>
      <c r="JS123"/>
      <c r="JT123"/>
      <c r="JU123"/>
      <c r="JV123"/>
      <c r="JW123"/>
      <c r="JX123"/>
      <c r="JY123"/>
      <c r="JZ123"/>
      <c r="KA123"/>
      <c r="KB123"/>
      <c r="KC123"/>
      <c r="KD123"/>
      <c r="KE123"/>
      <c r="KF123"/>
      <c r="KG123"/>
      <c r="KH123"/>
      <c r="KI123"/>
      <c r="KJ123"/>
      <c r="KK123"/>
      <c r="KL123"/>
      <c r="KM123"/>
      <c r="KN123"/>
      <c r="KO123"/>
      <c r="KP123"/>
      <c r="KQ123"/>
      <c r="KR123"/>
      <c r="KS123"/>
      <c r="KT123"/>
      <c r="KU123"/>
      <c r="KV123"/>
      <c r="KW123"/>
      <c r="KX123"/>
      <c r="KY123"/>
      <c r="KZ123"/>
      <c r="LA123"/>
      <c r="LB123"/>
      <c r="LC123"/>
      <c r="LD123"/>
      <c r="LE123"/>
      <c r="LF123"/>
      <c r="LG123"/>
      <c r="LH123"/>
      <c r="LI123"/>
      <c r="LJ123"/>
      <c r="LK123"/>
      <c r="LL123"/>
      <c r="LM123"/>
      <c r="LN123"/>
      <c r="LO123"/>
      <c r="LP123"/>
      <c r="LQ123"/>
      <c r="LR123"/>
      <c r="LS123"/>
      <c r="LT123"/>
      <c r="LU123"/>
      <c r="LV123"/>
      <c r="LW123"/>
      <c r="LX123"/>
      <c r="LY123"/>
      <c r="LZ123"/>
      <c r="MA123"/>
      <c r="MB123"/>
      <c r="MC123"/>
      <c r="MD123"/>
      <c r="ME123"/>
      <c r="MF123"/>
      <c r="MG123"/>
      <c r="MH123"/>
      <c r="MI123"/>
      <c r="MJ123"/>
      <c r="MK123"/>
      <c r="ML123"/>
      <c r="MM123"/>
      <c r="MN123"/>
      <c r="MO123"/>
      <c r="MP123"/>
      <c r="MQ123"/>
      <c r="MR123"/>
      <c r="MS123"/>
      <c r="MT123"/>
      <c r="MU123"/>
      <c r="MV123"/>
      <c r="MW123"/>
      <c r="MX123"/>
      <c r="MY123"/>
      <c r="MZ123"/>
      <c r="NA123"/>
      <c r="NB123"/>
      <c r="NC123"/>
      <c r="ND123"/>
      <c r="NE123"/>
      <c r="NF123"/>
      <c r="NG123"/>
      <c r="NH123"/>
      <c r="NI123"/>
      <c r="NJ123"/>
      <c r="NK123"/>
      <c r="NL123"/>
      <c r="NM123"/>
      <c r="NN123"/>
      <c r="NO123"/>
      <c r="NP123"/>
      <c r="NQ123"/>
      <c r="NR123"/>
      <c r="NS123"/>
      <c r="NT123"/>
      <c r="NU123"/>
      <c r="NV123"/>
      <c r="NW123"/>
      <c r="NX123"/>
      <c r="NY123"/>
      <c r="NZ123"/>
      <c r="OA123"/>
      <c r="OB123"/>
      <c r="OC123"/>
      <c r="OD123"/>
      <c r="OE123"/>
      <c r="OF123"/>
      <c r="OG123"/>
      <c r="OH123"/>
      <c r="OI123"/>
      <c r="OJ123"/>
      <c r="OK123"/>
      <c r="OL123"/>
      <c r="OM123"/>
      <c r="ON123"/>
      <c r="OO123"/>
      <c r="OP123"/>
      <c r="OQ123"/>
      <c r="OR123"/>
      <c r="OS123"/>
      <c r="OT123"/>
      <c r="OU123"/>
      <c r="OV123"/>
      <c r="OW123"/>
      <c r="OX123"/>
      <c r="OY123"/>
      <c r="OZ123"/>
      <c r="PA123"/>
      <c r="PB123"/>
      <c r="PC123"/>
      <c r="PD123"/>
      <c r="PE123"/>
      <c r="PF123"/>
      <c r="PG123"/>
      <c r="PH123"/>
      <c r="PI123"/>
      <c r="PJ123"/>
      <c r="PK123"/>
      <c r="PL123"/>
      <c r="PM123"/>
      <c r="PN123"/>
      <c r="PO123"/>
      <c r="PP123"/>
      <c r="PQ123"/>
      <c r="PR123"/>
      <c r="PS123"/>
      <c r="PT123"/>
      <c r="PU123"/>
      <c r="PV123"/>
      <c r="PW123"/>
      <c r="PX123"/>
      <c r="PY123"/>
      <c r="PZ123"/>
      <c r="QA123"/>
      <c r="QB123"/>
      <c r="QC123"/>
      <c r="QD123"/>
      <c r="QE123"/>
      <c r="QF123"/>
      <c r="QG123"/>
      <c r="QH123"/>
      <c r="QI123"/>
      <c r="QJ123"/>
      <c r="QK123"/>
      <c r="QL123"/>
      <c r="QM123"/>
      <c r="QN123"/>
      <c r="QO123"/>
      <c r="QP123"/>
      <c r="QQ123"/>
      <c r="QR123"/>
      <c r="QS123"/>
      <c r="QT123"/>
      <c r="QU123"/>
      <c r="QV123"/>
      <c r="QW123"/>
      <c r="QX123"/>
    </row>
    <row r="124" spans="1:466" x14ac:dyDescent="0.35">
      <c r="A124" s="53"/>
      <c r="B124" s="53"/>
      <c r="C124" s="55"/>
      <c r="D124" s="53"/>
      <c r="E124" s="53"/>
      <c r="F124" s="126" t="s">
        <v>441</v>
      </c>
      <c r="G124" s="125">
        <v>43.75</v>
      </c>
      <c r="H124" s="125">
        <v>175</v>
      </c>
      <c r="I124" s="133">
        <v>4</v>
      </c>
      <c r="J124" s="53"/>
      <c r="K124" s="53"/>
      <c r="L124" s="53"/>
      <c r="M124" s="53"/>
      <c r="N124" s="53"/>
      <c r="O124" s="53"/>
      <c r="P124" s="53"/>
      <c r="Q124" s="53"/>
      <c r="R124" s="53"/>
      <c r="S124" s="53"/>
      <c r="T124" s="53"/>
      <c r="U124" s="53"/>
      <c r="V124" s="53"/>
      <c r="W124" s="53"/>
      <c r="X124" s="53"/>
      <c r="Y124" s="53"/>
      <c r="Z124" s="53"/>
      <c r="AA124" s="53"/>
      <c r="AB124" s="53"/>
      <c r="AC124" s="53"/>
      <c r="AD124" s="53"/>
      <c r="AE124" s="53"/>
      <c r="AF124" s="63"/>
      <c r="AG124" s="64"/>
      <c r="AH124" s="65"/>
      <c r="AI124" s="65"/>
      <c r="AJ124" s="53"/>
      <c r="AK124" s="62"/>
      <c r="AL124" s="62"/>
      <c r="AM124" s="62"/>
      <c r="AN124" s="62"/>
      <c r="AO124" s="62"/>
      <c r="AP124" s="62"/>
      <c r="AQ124" s="62"/>
      <c r="AR124" s="62"/>
      <c r="AS124" s="62"/>
      <c r="AT124" s="62"/>
      <c r="AU124" s="62"/>
      <c r="AV124" s="62"/>
      <c r="AW124" s="62"/>
      <c r="AX124" s="62"/>
      <c r="AY124" s="62"/>
      <c r="AZ124" s="62"/>
      <c r="BA124" s="62"/>
      <c r="BB124" s="62"/>
      <c r="BC124" s="62"/>
      <c r="BD124" s="62"/>
      <c r="BE124" s="62"/>
      <c r="BF124" s="62"/>
      <c r="BG124" s="62"/>
      <c r="BH124" s="62"/>
      <c r="BI124" s="62"/>
      <c r="BJ124" s="62"/>
      <c r="BK124" s="62"/>
      <c r="BL124" s="62"/>
      <c r="BM124" s="62"/>
      <c r="BN124" s="62"/>
      <c r="BO124" s="62"/>
      <c r="BP124" s="62"/>
      <c r="BQ124" s="62"/>
      <c r="BR124" s="62"/>
      <c r="BS124" s="62"/>
      <c r="BT124" s="62"/>
      <c r="BU124" s="62"/>
      <c r="BV124" s="62"/>
      <c r="BW124" s="62"/>
      <c r="BX124" s="62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  <c r="HR124"/>
      <c r="HS124"/>
      <c r="HT124"/>
      <c r="HU124"/>
      <c r="HV124"/>
      <c r="HW124"/>
      <c r="HX124"/>
      <c r="HY124"/>
      <c r="HZ124"/>
      <c r="IA124"/>
      <c r="IB124"/>
      <c r="IC124"/>
      <c r="ID124"/>
      <c r="IE124"/>
      <c r="IF124"/>
      <c r="IG124"/>
      <c r="IH124"/>
      <c r="II124"/>
      <c r="IJ124"/>
      <c r="IK124"/>
      <c r="IL124"/>
      <c r="IM124"/>
      <c r="IN124"/>
      <c r="IO124"/>
      <c r="IP124"/>
      <c r="IQ124"/>
      <c r="IR124"/>
      <c r="IS124"/>
      <c r="IT124"/>
      <c r="IU124"/>
      <c r="IV124"/>
      <c r="IW124"/>
      <c r="IX124"/>
      <c r="IY124"/>
      <c r="IZ124"/>
      <c r="JA124"/>
      <c r="JB124"/>
      <c r="JC124"/>
      <c r="JD124"/>
      <c r="JE124"/>
      <c r="JF124"/>
      <c r="JG124"/>
      <c r="JH124"/>
      <c r="JI124"/>
      <c r="JJ124"/>
      <c r="JK124"/>
      <c r="JL124"/>
      <c r="JM124"/>
      <c r="JN124"/>
      <c r="JO124"/>
      <c r="JP124"/>
      <c r="JQ124"/>
      <c r="JR124"/>
      <c r="JS124"/>
      <c r="JT124"/>
      <c r="JU124"/>
      <c r="JV124"/>
      <c r="JW124"/>
      <c r="JX124"/>
      <c r="JY124"/>
      <c r="JZ124"/>
      <c r="KA124"/>
      <c r="KB124"/>
      <c r="KC124"/>
      <c r="KD124"/>
      <c r="KE124"/>
      <c r="KF124"/>
      <c r="KG124"/>
      <c r="KH124"/>
      <c r="KI124"/>
      <c r="KJ124"/>
      <c r="KK124"/>
      <c r="KL124"/>
      <c r="KM124"/>
      <c r="KN124"/>
      <c r="KO124"/>
      <c r="KP124"/>
      <c r="KQ124"/>
      <c r="KR124"/>
      <c r="KS124"/>
      <c r="KT124"/>
      <c r="KU124"/>
      <c r="KV124"/>
      <c r="KW124"/>
      <c r="KX124"/>
      <c r="KY124"/>
      <c r="KZ124"/>
      <c r="LA124"/>
      <c r="LB124"/>
      <c r="LC124"/>
      <c r="LD124"/>
      <c r="LE124"/>
      <c r="LF124"/>
      <c r="LG124"/>
      <c r="LH124"/>
      <c r="LI124"/>
      <c r="LJ124"/>
      <c r="LK124"/>
      <c r="LL124"/>
      <c r="LM124"/>
      <c r="LN124"/>
      <c r="LO124"/>
      <c r="LP124"/>
      <c r="LQ124"/>
      <c r="LR124"/>
      <c r="LS124"/>
      <c r="LT124"/>
      <c r="LU124"/>
      <c r="LV124"/>
      <c r="LW124"/>
      <c r="LX124"/>
      <c r="LY124"/>
      <c r="LZ124"/>
      <c r="MA124"/>
      <c r="MB124"/>
      <c r="MC124"/>
      <c r="MD124"/>
      <c r="ME124"/>
      <c r="MF124"/>
      <c r="MG124"/>
      <c r="MH124"/>
      <c r="MI124"/>
      <c r="MJ124"/>
      <c r="MK124"/>
      <c r="ML124"/>
      <c r="MM124"/>
      <c r="MN124"/>
      <c r="MO124"/>
      <c r="MP124"/>
      <c r="MQ124"/>
      <c r="MR124"/>
      <c r="MS124"/>
      <c r="MT124"/>
      <c r="MU124"/>
      <c r="MV124"/>
      <c r="MW124"/>
      <c r="MX124"/>
      <c r="MY124"/>
      <c r="MZ124"/>
      <c r="NA124"/>
      <c r="NB124"/>
      <c r="NC124"/>
      <c r="ND124"/>
      <c r="NE124"/>
      <c r="NF124"/>
      <c r="NG124"/>
      <c r="NH124"/>
      <c r="NI124"/>
      <c r="NJ124"/>
      <c r="NK124"/>
      <c r="NL124"/>
      <c r="NM124"/>
      <c r="NN124"/>
      <c r="NO124"/>
      <c r="NP124"/>
      <c r="NQ124"/>
      <c r="NR124"/>
      <c r="NS124"/>
      <c r="NT124"/>
      <c r="NU124"/>
      <c r="NV124"/>
      <c r="NW124"/>
      <c r="NX124"/>
      <c r="NY124"/>
      <c r="NZ124"/>
      <c r="OA124"/>
      <c r="OB124"/>
      <c r="OC124"/>
      <c r="OD124"/>
      <c r="OE124"/>
      <c r="OF124"/>
      <c r="OG124"/>
      <c r="OH124"/>
      <c r="OI124"/>
      <c r="OJ124"/>
      <c r="OK124"/>
      <c r="OL124"/>
      <c r="OM124"/>
      <c r="ON124"/>
      <c r="OO124"/>
      <c r="OP124"/>
      <c r="OQ124"/>
      <c r="OR124"/>
      <c r="OS124"/>
      <c r="OT124"/>
      <c r="OU124"/>
      <c r="OV124"/>
      <c r="OW124"/>
      <c r="OX124"/>
      <c r="OY124"/>
      <c r="OZ124"/>
      <c r="PA124"/>
      <c r="PB124"/>
      <c r="PC124"/>
      <c r="PD124"/>
      <c r="PE124"/>
      <c r="PF124"/>
      <c r="PG124"/>
      <c r="PH124"/>
      <c r="PI124"/>
      <c r="PJ124"/>
      <c r="PK124"/>
      <c r="PL124"/>
      <c r="PM124"/>
      <c r="PN124"/>
      <c r="PO124"/>
      <c r="PP124"/>
      <c r="PQ124"/>
      <c r="PR124"/>
      <c r="PS124"/>
      <c r="PT124"/>
      <c r="PU124"/>
      <c r="PV124"/>
      <c r="PW124"/>
      <c r="PX124"/>
      <c r="PY124"/>
      <c r="PZ124"/>
      <c r="QA124"/>
      <c r="QB124"/>
      <c r="QC124"/>
      <c r="QD124"/>
      <c r="QE124"/>
      <c r="QF124"/>
      <c r="QG124"/>
      <c r="QH124"/>
      <c r="QI124"/>
      <c r="QJ124"/>
      <c r="QK124"/>
      <c r="QL124"/>
      <c r="QM124"/>
      <c r="QN124"/>
      <c r="QO124"/>
      <c r="QP124"/>
      <c r="QQ124"/>
      <c r="QR124"/>
      <c r="QS124"/>
      <c r="QT124"/>
      <c r="QU124"/>
      <c r="QV124"/>
      <c r="QW124"/>
      <c r="QX124"/>
    </row>
    <row r="125" spans="1:466" x14ac:dyDescent="0.35">
      <c r="A125" s="53"/>
      <c r="B125" s="53"/>
      <c r="C125" s="55"/>
      <c r="D125" s="53"/>
      <c r="E125" s="53"/>
      <c r="F125" s="126" t="s">
        <v>442</v>
      </c>
      <c r="G125" s="125">
        <v>23.75</v>
      </c>
      <c r="H125" s="125">
        <v>712.5</v>
      </c>
      <c r="I125" s="133">
        <v>30</v>
      </c>
      <c r="J125" s="53"/>
      <c r="K125" s="53"/>
      <c r="L125" s="53"/>
      <c r="M125" s="53"/>
      <c r="N125" s="53"/>
      <c r="O125" s="53"/>
      <c r="P125" s="53"/>
      <c r="Q125" s="53"/>
      <c r="R125" s="53"/>
      <c r="S125" s="53"/>
      <c r="T125" s="53"/>
      <c r="U125" s="53"/>
      <c r="V125" s="53"/>
      <c r="W125" s="53"/>
      <c r="X125" s="53"/>
      <c r="Y125" s="53"/>
      <c r="Z125" s="53"/>
      <c r="AA125" s="53"/>
      <c r="AB125" s="53"/>
      <c r="AC125" s="53"/>
      <c r="AD125" s="53"/>
      <c r="AE125" s="53"/>
      <c r="AF125" s="63"/>
      <c r="AG125" s="64"/>
      <c r="AH125" s="65"/>
      <c r="AI125" s="65"/>
      <c r="AJ125" s="53"/>
      <c r="AK125" s="62"/>
      <c r="AL125" s="62"/>
      <c r="AM125" s="62"/>
      <c r="AN125" s="62"/>
      <c r="AO125" s="62"/>
      <c r="AP125" s="62"/>
      <c r="AQ125" s="62"/>
      <c r="AR125" s="62"/>
      <c r="AS125" s="62"/>
      <c r="AT125" s="62"/>
      <c r="AU125" s="62"/>
      <c r="AV125" s="62"/>
      <c r="AW125" s="62"/>
      <c r="AX125" s="62"/>
      <c r="AY125" s="62"/>
      <c r="AZ125" s="62"/>
      <c r="BA125" s="62"/>
      <c r="BB125" s="62"/>
      <c r="BC125" s="62"/>
      <c r="BD125" s="62"/>
      <c r="BE125" s="62"/>
      <c r="BF125" s="62"/>
      <c r="BG125" s="62"/>
      <c r="BH125" s="62"/>
      <c r="BI125" s="62"/>
      <c r="BJ125" s="62"/>
      <c r="BK125" s="62"/>
      <c r="BL125" s="62"/>
      <c r="BM125" s="62"/>
      <c r="BN125" s="62"/>
      <c r="BO125" s="62"/>
      <c r="BP125" s="62"/>
      <c r="BQ125" s="62"/>
      <c r="BR125" s="62"/>
      <c r="BS125" s="62"/>
      <c r="BT125" s="62"/>
      <c r="BU125" s="62"/>
      <c r="BV125" s="62"/>
      <c r="BW125" s="62"/>
      <c r="BX125" s="62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HV125"/>
      <c r="HW125"/>
      <c r="HX125"/>
      <c r="HY125"/>
      <c r="HZ125"/>
      <c r="IA125"/>
      <c r="IB125"/>
      <c r="IC125"/>
      <c r="ID125"/>
      <c r="IE125"/>
      <c r="IF125"/>
      <c r="IG125"/>
      <c r="IH125"/>
      <c r="II125"/>
      <c r="IJ125"/>
      <c r="IK125"/>
      <c r="IL125"/>
      <c r="IM125"/>
      <c r="IN125"/>
      <c r="IO125"/>
      <c r="IP125"/>
      <c r="IQ125"/>
      <c r="IR125"/>
      <c r="IS125"/>
      <c r="IT125"/>
      <c r="IU125"/>
      <c r="IV125"/>
      <c r="IW125"/>
      <c r="IX125"/>
      <c r="IY125"/>
      <c r="IZ125"/>
      <c r="JA125"/>
      <c r="JB125"/>
      <c r="JC125"/>
      <c r="JD125"/>
      <c r="JE125"/>
      <c r="JF125"/>
      <c r="JG125"/>
      <c r="JH125"/>
      <c r="JI125"/>
      <c r="JJ125"/>
      <c r="JK125"/>
      <c r="JL125"/>
      <c r="JM125"/>
      <c r="JN125"/>
      <c r="JO125"/>
      <c r="JP125"/>
      <c r="JQ125"/>
      <c r="JR125"/>
      <c r="JS125"/>
      <c r="JT125"/>
      <c r="JU125"/>
      <c r="JV125"/>
      <c r="JW125"/>
      <c r="JX125"/>
      <c r="JY125"/>
      <c r="JZ125"/>
      <c r="KA125"/>
      <c r="KB125"/>
      <c r="KC125"/>
      <c r="KD125"/>
      <c r="KE125"/>
      <c r="KF125"/>
      <c r="KG125"/>
      <c r="KH125"/>
      <c r="KI125"/>
      <c r="KJ125"/>
      <c r="KK125"/>
      <c r="KL125"/>
      <c r="KM125"/>
      <c r="KN125"/>
      <c r="KO125"/>
      <c r="KP125"/>
      <c r="KQ125"/>
      <c r="KR125"/>
      <c r="KS125"/>
      <c r="KT125"/>
      <c r="KU125"/>
      <c r="KV125"/>
      <c r="KW125"/>
      <c r="KX125"/>
      <c r="KY125"/>
      <c r="KZ125"/>
      <c r="LA125"/>
      <c r="LB125"/>
      <c r="LC125"/>
      <c r="LD125"/>
      <c r="LE125"/>
      <c r="LF125"/>
      <c r="LG125"/>
      <c r="LH125"/>
      <c r="LI125"/>
      <c r="LJ125"/>
      <c r="LK125"/>
      <c r="LL125"/>
      <c r="LM125"/>
      <c r="LN125"/>
      <c r="LO125"/>
      <c r="LP125"/>
      <c r="LQ125"/>
      <c r="LR125"/>
      <c r="LS125"/>
      <c r="LT125"/>
      <c r="LU125"/>
      <c r="LV125"/>
      <c r="LW125"/>
      <c r="LX125"/>
      <c r="LY125"/>
      <c r="LZ125"/>
      <c r="MA125"/>
      <c r="MB125"/>
      <c r="MC125"/>
      <c r="MD125"/>
      <c r="ME125"/>
      <c r="MF125"/>
      <c r="MG125"/>
      <c r="MH125"/>
      <c r="MI125"/>
      <c r="MJ125"/>
      <c r="MK125"/>
      <c r="ML125"/>
      <c r="MM125"/>
      <c r="MN125"/>
      <c r="MO125"/>
      <c r="MP125"/>
      <c r="MQ125"/>
      <c r="MR125"/>
      <c r="MS125"/>
      <c r="MT125"/>
      <c r="MU125"/>
      <c r="MV125"/>
      <c r="MW125"/>
      <c r="MX125"/>
      <c r="MY125"/>
      <c r="MZ125"/>
      <c r="NA125"/>
      <c r="NB125"/>
      <c r="NC125"/>
      <c r="ND125"/>
      <c r="NE125"/>
      <c r="NF125"/>
      <c r="NG125"/>
      <c r="NH125"/>
      <c r="NI125"/>
      <c r="NJ125"/>
      <c r="NK125"/>
      <c r="NL125"/>
      <c r="NM125"/>
      <c r="NN125"/>
      <c r="NO125"/>
      <c r="NP125"/>
      <c r="NQ125"/>
      <c r="NR125"/>
      <c r="NS125"/>
      <c r="NT125"/>
      <c r="NU125"/>
      <c r="NV125"/>
      <c r="NW125"/>
      <c r="NX125"/>
      <c r="NY125"/>
      <c r="NZ125"/>
      <c r="OA125"/>
      <c r="OB125"/>
      <c r="OC125"/>
      <c r="OD125"/>
      <c r="OE125"/>
      <c r="OF125"/>
      <c r="OG125"/>
      <c r="OH125"/>
      <c r="OI125"/>
      <c r="OJ125"/>
      <c r="OK125"/>
      <c r="OL125"/>
      <c r="OM125"/>
      <c r="ON125"/>
      <c r="OO125"/>
      <c r="OP125"/>
      <c r="OQ125"/>
      <c r="OR125"/>
      <c r="OS125"/>
      <c r="OT125"/>
      <c r="OU125"/>
      <c r="OV125"/>
      <c r="OW125"/>
      <c r="OX125"/>
      <c r="OY125"/>
      <c r="OZ125"/>
      <c r="PA125"/>
      <c r="PB125"/>
      <c r="PC125"/>
      <c r="PD125"/>
      <c r="PE125"/>
      <c r="PF125"/>
      <c r="PG125"/>
      <c r="PH125"/>
      <c r="PI125"/>
      <c r="PJ125"/>
      <c r="PK125"/>
      <c r="PL125"/>
      <c r="PM125"/>
      <c r="PN125"/>
      <c r="PO125"/>
      <c r="PP125"/>
      <c r="PQ125"/>
      <c r="PR125"/>
      <c r="PS125"/>
      <c r="PT125"/>
      <c r="PU125"/>
      <c r="PV125"/>
      <c r="PW125"/>
      <c r="PX125"/>
      <c r="PY125"/>
      <c r="PZ125"/>
      <c r="QA125"/>
      <c r="QB125"/>
      <c r="QC125"/>
      <c r="QD125"/>
      <c r="QE125"/>
      <c r="QF125"/>
      <c r="QG125"/>
      <c r="QH125"/>
      <c r="QI125"/>
      <c r="QJ125"/>
      <c r="QK125"/>
      <c r="QL125"/>
      <c r="QM125"/>
      <c r="QN125"/>
      <c r="QO125"/>
      <c r="QP125"/>
      <c r="QQ125"/>
      <c r="QR125"/>
      <c r="QS125"/>
      <c r="QT125"/>
      <c r="QU125"/>
      <c r="QV125"/>
      <c r="QW125"/>
      <c r="QX125"/>
    </row>
    <row r="126" spans="1:466" x14ac:dyDescent="0.35">
      <c r="A126" s="53"/>
      <c r="B126" s="53"/>
      <c r="C126" s="55"/>
      <c r="D126" s="53"/>
      <c r="E126" s="53"/>
      <c r="F126" s="126" t="s">
        <v>444</v>
      </c>
      <c r="G126" s="125">
        <v>43.75</v>
      </c>
      <c r="H126" s="125">
        <v>175</v>
      </c>
      <c r="I126" s="133">
        <v>4</v>
      </c>
      <c r="J126" s="53"/>
      <c r="K126" s="53"/>
      <c r="L126" s="53"/>
      <c r="M126" s="53"/>
      <c r="N126" s="53"/>
      <c r="O126" s="53"/>
      <c r="P126" s="53"/>
      <c r="Q126" s="53"/>
      <c r="R126" s="53"/>
      <c r="S126" s="53"/>
      <c r="T126" s="53"/>
      <c r="U126" s="53"/>
      <c r="V126" s="53"/>
      <c r="W126" s="53"/>
      <c r="X126" s="53"/>
      <c r="Y126" s="53"/>
      <c r="Z126" s="53"/>
      <c r="AA126" s="53"/>
      <c r="AB126" s="53"/>
      <c r="AC126" s="53"/>
      <c r="AD126" s="53"/>
      <c r="AE126" s="53"/>
      <c r="AF126" s="63"/>
      <c r="AG126" s="64"/>
      <c r="AH126" s="65"/>
      <c r="AI126" s="65"/>
      <c r="AJ126" s="53"/>
      <c r="AK126" s="62"/>
      <c r="AL126" s="62"/>
      <c r="AM126" s="62"/>
      <c r="AN126" s="62"/>
      <c r="AO126" s="62"/>
      <c r="AP126" s="62"/>
      <c r="AQ126" s="62"/>
      <c r="AR126" s="62"/>
      <c r="AS126" s="62"/>
      <c r="AT126" s="62"/>
      <c r="AU126" s="62"/>
      <c r="AV126" s="62"/>
      <c r="AW126" s="62"/>
      <c r="AX126" s="62"/>
      <c r="AY126" s="62"/>
      <c r="AZ126" s="62"/>
      <c r="BA126" s="62"/>
      <c r="BB126" s="62"/>
      <c r="BC126" s="62"/>
      <c r="BD126" s="62"/>
      <c r="BE126" s="62"/>
      <c r="BF126" s="62"/>
      <c r="BG126" s="62"/>
      <c r="BH126" s="62"/>
      <c r="BI126" s="62"/>
      <c r="BJ126" s="62"/>
      <c r="BK126" s="62"/>
      <c r="BL126" s="62"/>
      <c r="BM126" s="62"/>
      <c r="BN126" s="62"/>
      <c r="BO126" s="62"/>
      <c r="BP126" s="62"/>
      <c r="BQ126" s="62"/>
      <c r="BR126" s="62"/>
      <c r="BS126" s="62"/>
      <c r="BT126" s="62"/>
      <c r="BU126" s="62"/>
      <c r="BV126" s="62"/>
      <c r="BW126" s="62"/>
      <c r="BX126" s="62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  <c r="HR126"/>
      <c r="HS126"/>
      <c r="HT126"/>
      <c r="HU126"/>
      <c r="HV126"/>
      <c r="HW126"/>
      <c r="HX126"/>
      <c r="HY126"/>
      <c r="HZ126"/>
      <c r="IA126"/>
      <c r="IB126"/>
      <c r="IC126"/>
      <c r="ID126"/>
      <c r="IE126"/>
      <c r="IF126"/>
      <c r="IG126"/>
      <c r="IH126"/>
      <c r="II126"/>
      <c r="IJ126"/>
      <c r="IK126"/>
      <c r="IL126"/>
      <c r="IM126"/>
      <c r="IN126"/>
      <c r="IO126"/>
      <c r="IP126"/>
      <c r="IQ126"/>
      <c r="IR126"/>
      <c r="IS126"/>
      <c r="IT126"/>
      <c r="IU126"/>
      <c r="IV126"/>
      <c r="IW126"/>
      <c r="IX126"/>
      <c r="IY126"/>
      <c r="IZ126"/>
      <c r="JA126"/>
      <c r="JB126"/>
      <c r="JC126"/>
      <c r="JD126"/>
      <c r="JE126"/>
      <c r="JF126"/>
      <c r="JG126"/>
      <c r="JH126"/>
      <c r="JI126"/>
      <c r="JJ126"/>
      <c r="JK126"/>
      <c r="JL126"/>
      <c r="JM126"/>
      <c r="JN126"/>
      <c r="JO126"/>
      <c r="JP126"/>
      <c r="JQ126"/>
      <c r="JR126"/>
      <c r="JS126"/>
      <c r="JT126"/>
      <c r="JU126"/>
      <c r="JV126"/>
      <c r="JW126"/>
      <c r="JX126"/>
      <c r="JY126"/>
      <c r="JZ126"/>
      <c r="KA126"/>
      <c r="KB126"/>
      <c r="KC126"/>
      <c r="KD126"/>
      <c r="KE126"/>
      <c r="KF126"/>
      <c r="KG126"/>
      <c r="KH126"/>
      <c r="KI126"/>
      <c r="KJ126"/>
      <c r="KK126"/>
      <c r="KL126"/>
      <c r="KM126"/>
      <c r="KN126"/>
      <c r="KO126"/>
      <c r="KP126"/>
      <c r="KQ126"/>
      <c r="KR126"/>
      <c r="KS126"/>
      <c r="KT126"/>
      <c r="KU126"/>
      <c r="KV126"/>
      <c r="KW126"/>
      <c r="KX126"/>
      <c r="KY126"/>
      <c r="KZ126"/>
      <c r="LA126"/>
      <c r="LB126"/>
      <c r="LC126"/>
      <c r="LD126"/>
      <c r="LE126"/>
      <c r="LF126"/>
      <c r="LG126"/>
      <c r="LH126"/>
      <c r="LI126"/>
      <c r="LJ126"/>
      <c r="LK126"/>
      <c r="LL126"/>
      <c r="LM126"/>
      <c r="LN126"/>
      <c r="LO126"/>
      <c r="LP126"/>
      <c r="LQ126"/>
      <c r="LR126"/>
      <c r="LS126"/>
      <c r="LT126"/>
      <c r="LU126"/>
      <c r="LV126"/>
      <c r="LW126"/>
      <c r="LX126"/>
      <c r="LY126"/>
      <c r="LZ126"/>
      <c r="MA126"/>
      <c r="MB126"/>
      <c r="MC126"/>
      <c r="MD126"/>
      <c r="ME126"/>
      <c r="MF126"/>
      <c r="MG126"/>
      <c r="MH126"/>
      <c r="MI126"/>
      <c r="MJ126"/>
      <c r="MK126"/>
      <c r="ML126"/>
      <c r="MM126"/>
      <c r="MN126"/>
      <c r="MO126"/>
      <c r="MP126"/>
      <c r="MQ126"/>
      <c r="MR126"/>
      <c r="MS126"/>
      <c r="MT126"/>
      <c r="MU126"/>
      <c r="MV126"/>
      <c r="MW126"/>
      <c r="MX126"/>
      <c r="MY126"/>
      <c r="MZ126"/>
      <c r="NA126"/>
      <c r="NB126"/>
      <c r="NC126"/>
      <c r="ND126"/>
      <c r="NE126"/>
      <c r="NF126"/>
      <c r="NG126"/>
      <c r="NH126"/>
      <c r="NI126"/>
      <c r="NJ126"/>
      <c r="NK126"/>
      <c r="NL126"/>
      <c r="NM126"/>
      <c r="NN126"/>
      <c r="NO126"/>
      <c r="NP126"/>
      <c r="NQ126"/>
      <c r="NR126"/>
      <c r="NS126"/>
      <c r="NT126"/>
      <c r="NU126"/>
      <c r="NV126"/>
      <c r="NW126"/>
      <c r="NX126"/>
      <c r="NY126"/>
      <c r="NZ126"/>
      <c r="OA126"/>
      <c r="OB126"/>
      <c r="OC126"/>
      <c r="OD126"/>
      <c r="OE126"/>
      <c r="OF126"/>
      <c r="OG126"/>
      <c r="OH126"/>
      <c r="OI126"/>
      <c r="OJ126"/>
      <c r="OK126"/>
      <c r="OL126"/>
      <c r="OM126"/>
      <c r="ON126"/>
      <c r="OO126"/>
      <c r="OP126"/>
      <c r="OQ126"/>
      <c r="OR126"/>
      <c r="OS126"/>
      <c r="OT126"/>
      <c r="OU126"/>
      <c r="OV126"/>
      <c r="OW126"/>
      <c r="OX126"/>
      <c r="OY126"/>
      <c r="OZ126"/>
      <c r="PA126"/>
      <c r="PB126"/>
      <c r="PC126"/>
      <c r="PD126"/>
      <c r="PE126"/>
      <c r="PF126"/>
      <c r="PG126"/>
      <c r="PH126"/>
      <c r="PI126"/>
      <c r="PJ126"/>
      <c r="PK126"/>
      <c r="PL126"/>
      <c r="PM126"/>
      <c r="PN126"/>
      <c r="PO126"/>
      <c r="PP126"/>
      <c r="PQ126"/>
      <c r="PR126"/>
      <c r="PS126"/>
      <c r="PT126"/>
      <c r="PU126"/>
      <c r="PV126"/>
      <c r="PW126"/>
      <c r="PX126"/>
      <c r="PY126"/>
      <c r="PZ126"/>
      <c r="QA126"/>
      <c r="QB126"/>
      <c r="QC126"/>
      <c r="QD126"/>
      <c r="QE126"/>
      <c r="QF126"/>
      <c r="QG126"/>
      <c r="QH126"/>
      <c r="QI126"/>
      <c r="QJ126"/>
      <c r="QK126"/>
      <c r="QL126"/>
      <c r="QM126"/>
      <c r="QN126"/>
      <c r="QO126"/>
      <c r="QP126"/>
      <c r="QQ126"/>
      <c r="QR126"/>
      <c r="QS126"/>
      <c r="QT126"/>
      <c r="QU126"/>
      <c r="QV126"/>
      <c r="QW126"/>
      <c r="QX126"/>
    </row>
    <row r="127" spans="1:466" x14ac:dyDescent="0.35">
      <c r="A127" s="53"/>
      <c r="B127" s="53"/>
      <c r="C127" s="55"/>
      <c r="D127" s="53"/>
      <c r="E127" s="53"/>
      <c r="F127" s="126" t="s">
        <v>457</v>
      </c>
      <c r="G127" s="125">
        <v>96.875</v>
      </c>
      <c r="H127" s="125">
        <v>775</v>
      </c>
      <c r="I127" s="133">
        <v>8</v>
      </c>
      <c r="J127" s="53"/>
      <c r="K127" s="53"/>
      <c r="L127" s="53"/>
      <c r="M127" s="53"/>
      <c r="N127" s="53"/>
      <c r="O127" s="53"/>
      <c r="P127" s="53"/>
      <c r="Q127" s="53"/>
      <c r="R127" s="53"/>
      <c r="S127" s="53"/>
      <c r="T127" s="53"/>
      <c r="U127" s="53"/>
      <c r="V127" s="53"/>
      <c r="W127" s="53"/>
      <c r="X127" s="53"/>
      <c r="Y127" s="53"/>
      <c r="Z127" s="53"/>
      <c r="AA127" s="53"/>
      <c r="AB127" s="53"/>
      <c r="AC127" s="53"/>
      <c r="AD127" s="53"/>
      <c r="AE127" s="53"/>
      <c r="AF127" s="63"/>
      <c r="AG127" s="64"/>
      <c r="AH127" s="65"/>
      <c r="AI127" s="65"/>
      <c r="AJ127" s="53"/>
      <c r="AK127" s="62"/>
      <c r="AL127" s="62"/>
      <c r="AM127" s="62"/>
      <c r="AN127" s="62"/>
      <c r="AO127" s="62"/>
      <c r="AP127" s="62"/>
      <c r="AQ127" s="62"/>
      <c r="AR127" s="62"/>
      <c r="AS127" s="62"/>
      <c r="AT127" s="62"/>
      <c r="AU127" s="62"/>
      <c r="AV127" s="62"/>
      <c r="AW127" s="62"/>
      <c r="AX127" s="62"/>
      <c r="AY127" s="62"/>
      <c r="AZ127" s="62"/>
      <c r="BA127" s="62"/>
      <c r="BB127" s="62"/>
      <c r="BC127" s="62"/>
      <c r="BD127" s="62"/>
      <c r="BE127" s="62"/>
      <c r="BF127" s="62"/>
      <c r="BG127" s="62"/>
      <c r="BH127" s="62"/>
      <c r="BI127" s="62"/>
      <c r="BJ127" s="62"/>
      <c r="BK127" s="62"/>
      <c r="BL127" s="62"/>
      <c r="BM127" s="62"/>
      <c r="BN127" s="62"/>
      <c r="BO127" s="62"/>
      <c r="BP127" s="62"/>
      <c r="BQ127" s="62"/>
      <c r="BR127" s="62"/>
      <c r="BS127" s="62"/>
      <c r="BT127" s="62"/>
      <c r="BU127" s="62"/>
      <c r="BV127" s="62"/>
      <c r="BW127" s="62"/>
      <c r="BX127" s="62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  <c r="IC127"/>
      <c r="ID127"/>
      <c r="IE127"/>
      <c r="IF127"/>
      <c r="IG127"/>
      <c r="IH127"/>
      <c r="II127"/>
      <c r="IJ127"/>
      <c r="IK127"/>
      <c r="IL127"/>
      <c r="IM127"/>
      <c r="IN127"/>
      <c r="IO127"/>
      <c r="IP127"/>
      <c r="IQ127"/>
      <c r="IR127"/>
      <c r="IS127"/>
      <c r="IT127"/>
      <c r="IU127"/>
      <c r="IV127"/>
      <c r="IW127"/>
      <c r="IX127"/>
      <c r="IY127"/>
      <c r="IZ127"/>
      <c r="JA127"/>
      <c r="JB127"/>
      <c r="JC127"/>
      <c r="JD127"/>
      <c r="JE127"/>
      <c r="JF127"/>
      <c r="JG127"/>
      <c r="JH127"/>
      <c r="JI127"/>
      <c r="JJ127"/>
      <c r="JK127"/>
      <c r="JL127"/>
      <c r="JM127"/>
      <c r="JN127"/>
      <c r="JO127"/>
      <c r="JP127"/>
      <c r="JQ127"/>
      <c r="JR127"/>
      <c r="JS127"/>
      <c r="JT127"/>
      <c r="JU127"/>
      <c r="JV127"/>
      <c r="JW127"/>
      <c r="JX127"/>
      <c r="JY127"/>
      <c r="JZ127"/>
      <c r="KA127"/>
      <c r="KB127"/>
      <c r="KC127"/>
      <c r="KD127"/>
      <c r="KE127"/>
      <c r="KF127"/>
      <c r="KG127"/>
      <c r="KH127"/>
      <c r="KI127"/>
      <c r="KJ127"/>
      <c r="KK127"/>
      <c r="KL127"/>
      <c r="KM127"/>
      <c r="KN127"/>
      <c r="KO127"/>
      <c r="KP127"/>
      <c r="KQ127"/>
      <c r="KR127"/>
      <c r="KS127"/>
      <c r="KT127"/>
      <c r="KU127"/>
      <c r="KV127"/>
      <c r="KW127"/>
      <c r="KX127"/>
      <c r="KY127"/>
      <c r="KZ127"/>
      <c r="LA127"/>
      <c r="LB127"/>
      <c r="LC127"/>
      <c r="LD127"/>
      <c r="LE127"/>
      <c r="LF127"/>
      <c r="LG127"/>
      <c r="LH127"/>
      <c r="LI127"/>
      <c r="LJ127"/>
      <c r="LK127"/>
      <c r="LL127"/>
      <c r="LM127"/>
      <c r="LN127"/>
      <c r="LO127"/>
      <c r="LP127"/>
      <c r="LQ127"/>
      <c r="LR127"/>
      <c r="LS127"/>
      <c r="LT127"/>
      <c r="LU127"/>
      <c r="LV127"/>
      <c r="LW127"/>
      <c r="LX127"/>
      <c r="LY127"/>
      <c r="LZ127"/>
      <c r="MA127"/>
      <c r="MB127"/>
      <c r="MC127"/>
      <c r="MD127"/>
      <c r="ME127"/>
      <c r="MF127"/>
      <c r="MG127"/>
      <c r="MH127"/>
      <c r="MI127"/>
      <c r="MJ127"/>
      <c r="MK127"/>
      <c r="ML127"/>
      <c r="MM127"/>
      <c r="MN127"/>
      <c r="MO127"/>
      <c r="MP127"/>
      <c r="MQ127"/>
      <c r="MR127"/>
      <c r="MS127"/>
      <c r="MT127"/>
      <c r="MU127"/>
      <c r="MV127"/>
      <c r="MW127"/>
      <c r="MX127"/>
      <c r="MY127"/>
      <c r="MZ127"/>
      <c r="NA127"/>
      <c r="NB127"/>
      <c r="NC127"/>
      <c r="ND127"/>
      <c r="NE127"/>
      <c r="NF127"/>
      <c r="NG127"/>
      <c r="NH127"/>
      <c r="NI127"/>
      <c r="NJ127"/>
      <c r="NK127"/>
      <c r="NL127"/>
      <c r="NM127"/>
      <c r="NN127"/>
      <c r="NO127"/>
      <c r="NP127"/>
      <c r="NQ127"/>
      <c r="NR127"/>
      <c r="NS127"/>
      <c r="NT127"/>
      <c r="NU127"/>
      <c r="NV127"/>
      <c r="NW127"/>
      <c r="NX127"/>
      <c r="NY127"/>
      <c r="NZ127"/>
      <c r="OA127"/>
      <c r="OB127"/>
      <c r="OC127"/>
      <c r="OD127"/>
      <c r="OE127"/>
      <c r="OF127"/>
      <c r="OG127"/>
      <c r="OH127"/>
      <c r="OI127"/>
      <c r="OJ127"/>
      <c r="OK127"/>
      <c r="OL127"/>
      <c r="OM127"/>
      <c r="ON127"/>
      <c r="OO127"/>
      <c r="OP127"/>
      <c r="OQ127"/>
      <c r="OR127"/>
      <c r="OS127"/>
      <c r="OT127"/>
      <c r="OU127"/>
      <c r="OV127"/>
      <c r="OW127"/>
      <c r="OX127"/>
      <c r="OY127"/>
      <c r="OZ127"/>
      <c r="PA127"/>
      <c r="PB127"/>
      <c r="PC127"/>
      <c r="PD127"/>
      <c r="PE127"/>
      <c r="PF127"/>
      <c r="PG127"/>
      <c r="PH127"/>
      <c r="PI127"/>
      <c r="PJ127"/>
      <c r="PK127"/>
      <c r="PL127"/>
      <c r="PM127"/>
      <c r="PN127"/>
      <c r="PO127"/>
      <c r="PP127"/>
      <c r="PQ127"/>
      <c r="PR127"/>
      <c r="PS127"/>
      <c r="PT127"/>
      <c r="PU127"/>
      <c r="PV127"/>
      <c r="PW127"/>
      <c r="PX127"/>
      <c r="PY127"/>
      <c r="PZ127"/>
      <c r="QA127"/>
      <c r="QB127"/>
      <c r="QC127"/>
      <c r="QD127"/>
      <c r="QE127"/>
      <c r="QF127"/>
      <c r="QG127"/>
      <c r="QH127"/>
      <c r="QI127"/>
      <c r="QJ127"/>
      <c r="QK127"/>
      <c r="QL127"/>
      <c r="QM127"/>
      <c r="QN127"/>
      <c r="QO127"/>
      <c r="QP127"/>
      <c r="QQ127"/>
      <c r="QR127"/>
      <c r="QS127"/>
      <c r="QT127"/>
      <c r="QU127"/>
      <c r="QV127"/>
      <c r="QW127"/>
      <c r="QX127"/>
    </row>
    <row r="128" spans="1:466" x14ac:dyDescent="0.35">
      <c r="A128" s="53"/>
      <c r="B128" s="53"/>
      <c r="C128" s="55"/>
      <c r="D128" s="53"/>
      <c r="E128" s="53"/>
      <c r="F128" s="126" t="s">
        <v>459</v>
      </c>
      <c r="G128" s="125">
        <v>200</v>
      </c>
      <c r="H128" s="125">
        <v>600</v>
      </c>
      <c r="I128" s="133">
        <v>3</v>
      </c>
      <c r="J128" s="53"/>
      <c r="K128" s="53"/>
      <c r="L128" s="53"/>
      <c r="M128" s="53"/>
      <c r="N128" s="53"/>
      <c r="O128" s="53"/>
      <c r="P128" s="53"/>
      <c r="Q128" s="53"/>
      <c r="R128" s="53"/>
      <c r="S128" s="53"/>
      <c r="T128" s="53"/>
      <c r="U128" s="53"/>
      <c r="V128" s="53"/>
      <c r="W128" s="53"/>
      <c r="X128" s="53"/>
      <c r="Y128" s="53"/>
      <c r="Z128" s="53"/>
      <c r="AA128" s="53"/>
      <c r="AB128" s="53"/>
      <c r="AC128" s="53"/>
      <c r="AD128" s="53"/>
      <c r="AE128" s="53"/>
      <c r="AF128" s="63"/>
      <c r="AG128" s="64"/>
      <c r="AH128" s="65"/>
      <c r="AI128" s="65"/>
      <c r="AJ128" s="53"/>
      <c r="AK128" s="62"/>
      <c r="AL128" s="62"/>
      <c r="AM128" s="62"/>
      <c r="AN128" s="62"/>
      <c r="AO128" s="62"/>
      <c r="AP128" s="62"/>
      <c r="AQ128" s="62"/>
      <c r="AR128" s="62"/>
      <c r="AS128" s="62"/>
      <c r="AT128" s="62"/>
      <c r="AU128" s="62"/>
      <c r="AV128" s="62"/>
      <c r="AW128" s="62"/>
      <c r="AX128" s="62"/>
      <c r="AY128" s="62"/>
      <c r="AZ128" s="62"/>
      <c r="BA128" s="62"/>
      <c r="BB128" s="62"/>
      <c r="BC128" s="62"/>
      <c r="BD128" s="62"/>
      <c r="BE128" s="62"/>
      <c r="BF128" s="62"/>
      <c r="BG128" s="62"/>
      <c r="BH128" s="62"/>
      <c r="BI128" s="62"/>
      <c r="BJ128" s="62"/>
      <c r="BK128" s="62"/>
      <c r="BL128" s="62"/>
      <c r="BM128" s="62"/>
      <c r="BN128" s="62"/>
      <c r="BO128" s="62"/>
      <c r="BP128" s="62"/>
      <c r="BQ128" s="62"/>
      <c r="BR128" s="62"/>
      <c r="BS128" s="62"/>
      <c r="BT128" s="62"/>
      <c r="BU128" s="62"/>
      <c r="BV128" s="62"/>
      <c r="BW128" s="62"/>
      <c r="BX128" s="62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  <c r="HR128"/>
      <c r="HS128"/>
      <c r="HT128"/>
      <c r="HU128"/>
      <c r="HV128"/>
      <c r="HW128"/>
      <c r="HX128"/>
      <c r="HY128"/>
      <c r="HZ128"/>
      <c r="IA128"/>
      <c r="IB128"/>
      <c r="IC128"/>
      <c r="ID128"/>
      <c r="IE128"/>
      <c r="IF128"/>
      <c r="IG128"/>
      <c r="IH128"/>
      <c r="II128"/>
      <c r="IJ128"/>
      <c r="IK128"/>
      <c r="IL128"/>
      <c r="IM128"/>
      <c r="IN128"/>
      <c r="IO128"/>
      <c r="IP128"/>
      <c r="IQ128"/>
      <c r="IR128"/>
      <c r="IS128"/>
      <c r="IT128"/>
      <c r="IU128"/>
      <c r="IV128"/>
      <c r="IW128"/>
      <c r="IX128"/>
      <c r="IY128"/>
      <c r="IZ128"/>
      <c r="JA128"/>
      <c r="JB128"/>
      <c r="JC128"/>
      <c r="JD128"/>
      <c r="JE128"/>
      <c r="JF128"/>
      <c r="JG128"/>
      <c r="JH128"/>
      <c r="JI128"/>
      <c r="JJ128"/>
      <c r="JK128"/>
      <c r="JL128"/>
      <c r="JM128"/>
      <c r="JN128"/>
      <c r="JO128"/>
      <c r="JP128"/>
      <c r="JQ128"/>
      <c r="JR128"/>
      <c r="JS128"/>
      <c r="JT128"/>
      <c r="JU128"/>
      <c r="JV128"/>
      <c r="JW128"/>
      <c r="JX128"/>
      <c r="JY128"/>
      <c r="JZ128"/>
      <c r="KA128"/>
      <c r="KB128"/>
      <c r="KC128"/>
      <c r="KD128"/>
      <c r="KE128"/>
      <c r="KF128"/>
      <c r="KG128"/>
      <c r="KH128"/>
      <c r="KI128"/>
      <c r="KJ128"/>
      <c r="KK128"/>
      <c r="KL128"/>
      <c r="KM128"/>
      <c r="KN128"/>
      <c r="KO128"/>
      <c r="KP128"/>
      <c r="KQ128"/>
      <c r="KR128"/>
      <c r="KS128"/>
      <c r="KT128"/>
      <c r="KU128"/>
      <c r="KV128"/>
      <c r="KW128"/>
      <c r="KX128"/>
      <c r="KY128"/>
      <c r="KZ128"/>
      <c r="LA128"/>
      <c r="LB128"/>
      <c r="LC128"/>
      <c r="LD128"/>
      <c r="LE128"/>
      <c r="LF128"/>
      <c r="LG128"/>
      <c r="LH128"/>
      <c r="LI128"/>
      <c r="LJ128"/>
      <c r="LK128"/>
      <c r="LL128"/>
      <c r="LM128"/>
      <c r="LN128"/>
      <c r="LO128"/>
      <c r="LP128"/>
      <c r="LQ128"/>
      <c r="LR128"/>
      <c r="LS128"/>
      <c r="LT128"/>
      <c r="LU128"/>
      <c r="LV128"/>
      <c r="LW128"/>
      <c r="LX128"/>
      <c r="LY128"/>
      <c r="LZ128"/>
      <c r="MA128"/>
      <c r="MB128"/>
      <c r="MC128"/>
      <c r="MD128"/>
      <c r="ME128"/>
      <c r="MF128"/>
      <c r="MG128"/>
      <c r="MH128"/>
      <c r="MI128"/>
      <c r="MJ128"/>
      <c r="MK128"/>
      <c r="ML128"/>
      <c r="MM128"/>
      <c r="MN128"/>
      <c r="MO128"/>
      <c r="MP128"/>
      <c r="MQ128"/>
      <c r="MR128"/>
      <c r="MS128"/>
      <c r="MT128"/>
      <c r="MU128"/>
      <c r="MV128"/>
      <c r="MW128"/>
      <c r="MX128"/>
      <c r="MY128"/>
      <c r="MZ128"/>
      <c r="NA128"/>
      <c r="NB128"/>
      <c r="NC128"/>
      <c r="ND128"/>
      <c r="NE128"/>
      <c r="NF128"/>
      <c r="NG128"/>
      <c r="NH128"/>
      <c r="NI128"/>
      <c r="NJ128"/>
      <c r="NK128"/>
      <c r="NL128"/>
      <c r="NM128"/>
      <c r="NN128"/>
      <c r="NO128"/>
      <c r="NP128"/>
      <c r="NQ128"/>
      <c r="NR128"/>
      <c r="NS128"/>
      <c r="NT128"/>
      <c r="NU128"/>
      <c r="NV128"/>
      <c r="NW128"/>
      <c r="NX128"/>
      <c r="NY128"/>
      <c r="NZ128"/>
      <c r="OA128"/>
      <c r="OB128"/>
      <c r="OC128"/>
      <c r="OD128"/>
      <c r="OE128"/>
      <c r="OF128"/>
      <c r="OG128"/>
      <c r="OH128"/>
      <c r="OI128"/>
      <c r="OJ128"/>
      <c r="OK128"/>
      <c r="OL128"/>
      <c r="OM128"/>
      <c r="ON128"/>
      <c r="OO128"/>
      <c r="OP128"/>
      <c r="OQ128"/>
      <c r="OR128"/>
      <c r="OS128"/>
      <c r="OT128"/>
      <c r="OU128"/>
      <c r="OV128"/>
      <c r="OW128"/>
      <c r="OX128"/>
      <c r="OY128"/>
      <c r="OZ128"/>
      <c r="PA128"/>
      <c r="PB128"/>
      <c r="PC128"/>
      <c r="PD128"/>
      <c r="PE128"/>
      <c r="PF128"/>
      <c r="PG128"/>
      <c r="PH128"/>
      <c r="PI128"/>
      <c r="PJ128"/>
      <c r="PK128"/>
      <c r="PL128"/>
      <c r="PM128"/>
      <c r="PN128"/>
      <c r="PO128"/>
      <c r="PP128"/>
      <c r="PQ128"/>
      <c r="PR128"/>
      <c r="PS128"/>
      <c r="PT128"/>
      <c r="PU128"/>
      <c r="PV128"/>
      <c r="PW128"/>
      <c r="PX128"/>
      <c r="PY128"/>
      <c r="PZ128"/>
      <c r="QA128"/>
      <c r="QB128"/>
      <c r="QC128"/>
      <c r="QD128"/>
      <c r="QE128"/>
      <c r="QF128"/>
      <c r="QG128"/>
      <c r="QH128"/>
      <c r="QI128"/>
      <c r="QJ128"/>
      <c r="QK128"/>
      <c r="QL128"/>
      <c r="QM128"/>
      <c r="QN128"/>
      <c r="QO128"/>
      <c r="QP128"/>
      <c r="QQ128"/>
      <c r="QR128"/>
      <c r="QS128"/>
      <c r="QT128"/>
      <c r="QU128"/>
      <c r="QV128"/>
      <c r="QW128"/>
      <c r="QX128"/>
    </row>
    <row r="129" spans="1:466" x14ac:dyDescent="0.35">
      <c r="A129" s="53"/>
      <c r="B129" s="53"/>
      <c r="C129" s="55"/>
      <c r="D129" s="53"/>
      <c r="E129" s="53"/>
      <c r="F129" s="126" t="s">
        <v>209</v>
      </c>
      <c r="G129" s="125">
        <v>6.66</v>
      </c>
      <c r="H129" s="125">
        <v>0</v>
      </c>
      <c r="I129" s="133">
        <v>0</v>
      </c>
      <c r="J129" s="53"/>
      <c r="K129" s="53"/>
      <c r="L129" s="53"/>
      <c r="M129" s="53"/>
      <c r="N129" s="53"/>
      <c r="O129" s="53"/>
      <c r="P129" s="53"/>
      <c r="Q129" s="53"/>
      <c r="R129" s="53"/>
      <c r="S129" s="53"/>
      <c r="T129" s="53"/>
      <c r="U129" s="53"/>
      <c r="V129" s="53"/>
      <c r="W129" s="53"/>
      <c r="X129" s="53"/>
      <c r="Y129" s="53"/>
      <c r="Z129" s="53"/>
      <c r="AA129" s="53"/>
      <c r="AB129" s="53"/>
      <c r="AC129" s="53"/>
      <c r="AD129" s="53"/>
      <c r="AE129" s="53"/>
      <c r="AF129" s="63"/>
      <c r="AG129" s="64"/>
      <c r="AH129" s="65"/>
      <c r="AI129" s="65"/>
      <c r="AJ129" s="53"/>
      <c r="AK129" s="62"/>
      <c r="AL129" s="62"/>
      <c r="AM129" s="62"/>
      <c r="AN129" s="62"/>
      <c r="AO129" s="62"/>
      <c r="AP129" s="62"/>
      <c r="AQ129" s="62"/>
      <c r="AR129" s="62"/>
      <c r="AS129" s="62"/>
      <c r="AT129" s="62"/>
      <c r="AU129" s="62"/>
      <c r="AV129" s="62"/>
      <c r="AW129" s="62"/>
      <c r="AX129" s="62"/>
      <c r="AY129" s="62"/>
      <c r="AZ129" s="62"/>
      <c r="BA129" s="62"/>
      <c r="BB129" s="62"/>
      <c r="BC129" s="62"/>
      <c r="BD129" s="62"/>
      <c r="BE129" s="62"/>
      <c r="BF129" s="62"/>
      <c r="BG129" s="62"/>
      <c r="BH129" s="62"/>
      <c r="BI129" s="62"/>
      <c r="BJ129" s="62"/>
      <c r="BK129" s="62"/>
      <c r="BL129" s="62"/>
      <c r="BM129" s="62"/>
      <c r="BN129" s="62"/>
      <c r="BO129" s="62"/>
      <c r="BP129" s="62"/>
      <c r="BQ129" s="62"/>
      <c r="BR129" s="62"/>
      <c r="BS129" s="62"/>
      <c r="BT129" s="62"/>
      <c r="BU129" s="62"/>
      <c r="BV129" s="62"/>
      <c r="BW129" s="62"/>
      <c r="BX129" s="62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HV129"/>
      <c r="HW129"/>
      <c r="HX129"/>
      <c r="HY129"/>
      <c r="HZ129"/>
      <c r="IA129"/>
      <c r="IB129"/>
      <c r="IC129"/>
      <c r="ID129"/>
      <c r="IE129"/>
      <c r="IF129"/>
      <c r="IG129"/>
      <c r="IH129"/>
      <c r="II129"/>
      <c r="IJ129"/>
      <c r="IK129"/>
      <c r="IL129"/>
      <c r="IM129"/>
      <c r="IN129"/>
      <c r="IO129"/>
      <c r="IP129"/>
      <c r="IQ129"/>
      <c r="IR129"/>
      <c r="IS129"/>
      <c r="IT129"/>
      <c r="IU129"/>
      <c r="IV129"/>
      <c r="IW129"/>
      <c r="IX129"/>
      <c r="IY129"/>
      <c r="IZ129"/>
      <c r="JA129"/>
      <c r="JB129"/>
      <c r="JC129"/>
      <c r="JD129"/>
      <c r="JE129"/>
      <c r="JF129"/>
      <c r="JG129"/>
      <c r="JH129"/>
      <c r="JI129"/>
      <c r="JJ129"/>
      <c r="JK129"/>
      <c r="JL129"/>
      <c r="JM129"/>
      <c r="JN129"/>
      <c r="JO129"/>
      <c r="JP129"/>
      <c r="JQ129"/>
      <c r="JR129"/>
      <c r="JS129"/>
      <c r="JT129"/>
      <c r="JU129"/>
      <c r="JV129"/>
      <c r="JW129"/>
      <c r="JX129"/>
      <c r="JY129"/>
      <c r="JZ129"/>
      <c r="KA129"/>
      <c r="KB129"/>
      <c r="KC129"/>
      <c r="KD129"/>
      <c r="KE129"/>
      <c r="KF129"/>
      <c r="KG129"/>
      <c r="KH129"/>
      <c r="KI129"/>
      <c r="KJ129"/>
      <c r="KK129"/>
      <c r="KL129"/>
      <c r="KM129"/>
      <c r="KN129"/>
      <c r="KO129"/>
      <c r="KP129"/>
      <c r="KQ129"/>
      <c r="KR129"/>
      <c r="KS129"/>
      <c r="KT129"/>
      <c r="KU129"/>
      <c r="KV129"/>
      <c r="KW129"/>
      <c r="KX129"/>
      <c r="KY129"/>
      <c r="KZ129"/>
      <c r="LA129"/>
      <c r="LB129"/>
      <c r="LC129"/>
      <c r="LD129"/>
      <c r="LE129"/>
      <c r="LF129"/>
      <c r="LG129"/>
      <c r="LH129"/>
      <c r="LI129"/>
      <c r="LJ129"/>
      <c r="LK129"/>
      <c r="LL129"/>
      <c r="LM129"/>
      <c r="LN129"/>
      <c r="LO129"/>
      <c r="LP129"/>
      <c r="LQ129"/>
      <c r="LR129"/>
      <c r="LS129"/>
      <c r="LT129"/>
      <c r="LU129"/>
      <c r="LV129"/>
      <c r="LW129"/>
      <c r="LX129"/>
      <c r="LY129"/>
      <c r="LZ129"/>
      <c r="MA129"/>
      <c r="MB129"/>
      <c r="MC129"/>
      <c r="MD129"/>
      <c r="ME129"/>
      <c r="MF129"/>
      <c r="MG129"/>
      <c r="MH129"/>
      <c r="MI129"/>
      <c r="MJ129"/>
      <c r="MK129"/>
      <c r="ML129"/>
      <c r="MM129"/>
      <c r="MN129"/>
      <c r="MO129"/>
      <c r="MP129"/>
      <c r="MQ129"/>
      <c r="MR129"/>
      <c r="MS129"/>
      <c r="MT129"/>
      <c r="MU129"/>
      <c r="MV129"/>
      <c r="MW129"/>
      <c r="MX129"/>
      <c r="MY129"/>
      <c r="MZ129"/>
      <c r="NA129"/>
      <c r="NB129"/>
      <c r="NC129"/>
      <c r="ND129"/>
      <c r="NE129"/>
      <c r="NF129"/>
      <c r="NG129"/>
      <c r="NH129"/>
      <c r="NI129"/>
      <c r="NJ129"/>
      <c r="NK129"/>
      <c r="NL129"/>
      <c r="NM129"/>
      <c r="NN129"/>
      <c r="NO129"/>
      <c r="NP129"/>
      <c r="NQ129"/>
      <c r="NR129"/>
      <c r="NS129"/>
      <c r="NT129"/>
      <c r="NU129"/>
      <c r="NV129"/>
      <c r="NW129"/>
      <c r="NX129"/>
      <c r="NY129"/>
      <c r="NZ129"/>
      <c r="OA129"/>
      <c r="OB129"/>
      <c r="OC129"/>
      <c r="OD129"/>
      <c r="OE129"/>
      <c r="OF129"/>
      <c r="OG129"/>
      <c r="OH129"/>
      <c r="OI129"/>
      <c r="OJ129"/>
      <c r="OK129"/>
      <c r="OL129"/>
      <c r="OM129"/>
      <c r="ON129"/>
      <c r="OO129"/>
      <c r="OP129"/>
      <c r="OQ129"/>
      <c r="OR129"/>
      <c r="OS129"/>
      <c r="OT129"/>
      <c r="OU129"/>
      <c r="OV129"/>
      <c r="OW129"/>
      <c r="OX129"/>
      <c r="OY129"/>
      <c r="OZ129"/>
      <c r="PA129"/>
      <c r="PB129"/>
      <c r="PC129"/>
      <c r="PD129"/>
      <c r="PE129"/>
      <c r="PF129"/>
      <c r="PG129"/>
      <c r="PH129"/>
      <c r="PI129"/>
      <c r="PJ129"/>
      <c r="PK129"/>
      <c r="PL129"/>
      <c r="PM129"/>
      <c r="PN129"/>
      <c r="PO129"/>
      <c r="PP129"/>
      <c r="PQ129"/>
      <c r="PR129"/>
      <c r="PS129"/>
      <c r="PT129"/>
      <c r="PU129"/>
      <c r="PV129"/>
      <c r="PW129"/>
      <c r="PX129"/>
      <c r="PY129"/>
      <c r="PZ129"/>
      <c r="QA129"/>
      <c r="QB129"/>
      <c r="QC129"/>
      <c r="QD129"/>
      <c r="QE129"/>
      <c r="QF129"/>
      <c r="QG129"/>
      <c r="QH129"/>
      <c r="QI129"/>
      <c r="QJ129"/>
      <c r="QK129"/>
      <c r="QL129"/>
      <c r="QM129"/>
      <c r="QN129"/>
      <c r="QO129"/>
      <c r="QP129"/>
      <c r="QQ129"/>
      <c r="QR129"/>
      <c r="QS129"/>
      <c r="QT129"/>
      <c r="QU129"/>
      <c r="QV129"/>
      <c r="QW129"/>
      <c r="QX129"/>
    </row>
    <row r="130" spans="1:466" x14ac:dyDescent="0.35">
      <c r="A130" s="53"/>
      <c r="B130" s="53"/>
      <c r="C130" s="55"/>
      <c r="D130" s="53"/>
      <c r="E130" s="53"/>
      <c r="F130" s="126" t="s">
        <v>212</v>
      </c>
      <c r="G130" s="125">
        <v>14.4</v>
      </c>
      <c r="H130" s="125">
        <v>0</v>
      </c>
      <c r="I130" s="133">
        <v>0</v>
      </c>
      <c r="J130" s="53"/>
      <c r="K130" s="53"/>
      <c r="L130" s="53"/>
      <c r="M130" s="53"/>
      <c r="N130" s="53"/>
      <c r="O130" s="53"/>
      <c r="P130" s="53"/>
      <c r="Q130" s="53"/>
      <c r="R130" s="53"/>
      <c r="S130" s="53"/>
      <c r="T130" s="53"/>
      <c r="U130" s="53"/>
      <c r="V130" s="53"/>
      <c r="W130" s="53"/>
      <c r="X130" s="53"/>
      <c r="Y130" s="53"/>
      <c r="Z130" s="53"/>
      <c r="AA130" s="53"/>
      <c r="AB130" s="53"/>
      <c r="AC130" s="53"/>
      <c r="AD130" s="53"/>
      <c r="AE130" s="53"/>
      <c r="AF130" s="63"/>
      <c r="AG130" s="64"/>
      <c r="AH130" s="65"/>
      <c r="AI130" s="65"/>
      <c r="AJ130" s="53"/>
      <c r="AK130" s="62"/>
      <c r="AL130" s="62"/>
      <c r="AM130" s="62"/>
      <c r="AN130" s="62"/>
      <c r="AO130" s="62"/>
      <c r="AP130" s="62"/>
      <c r="AQ130" s="62"/>
      <c r="AR130" s="62"/>
      <c r="AS130" s="62"/>
      <c r="AT130" s="62"/>
      <c r="AU130" s="62"/>
      <c r="AV130" s="62"/>
      <c r="AW130" s="62"/>
      <c r="AX130" s="62"/>
      <c r="AY130" s="62"/>
      <c r="AZ130" s="62"/>
      <c r="BA130" s="62"/>
      <c r="BB130" s="62"/>
      <c r="BC130" s="62"/>
      <c r="BD130" s="62"/>
      <c r="BE130" s="62"/>
      <c r="BF130" s="62"/>
      <c r="BG130" s="62"/>
      <c r="BH130" s="62"/>
      <c r="BI130" s="62"/>
      <c r="BJ130" s="62"/>
      <c r="BK130" s="62"/>
      <c r="BL130" s="62"/>
      <c r="BM130" s="62"/>
      <c r="BN130" s="62"/>
      <c r="BO130" s="62"/>
      <c r="BP130" s="62"/>
      <c r="BQ130" s="62"/>
      <c r="BR130" s="62"/>
      <c r="BS130" s="62"/>
      <c r="BT130" s="62"/>
      <c r="BU130" s="62"/>
      <c r="BV130" s="62"/>
      <c r="BW130" s="62"/>
      <c r="BX130" s="62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  <c r="HR130"/>
      <c r="HS130"/>
      <c r="HT130"/>
      <c r="HU130"/>
      <c r="HV130"/>
      <c r="HW130"/>
      <c r="HX130"/>
      <c r="HY130"/>
      <c r="HZ130"/>
      <c r="IA130"/>
      <c r="IB130"/>
      <c r="IC130"/>
      <c r="ID130"/>
      <c r="IE130"/>
      <c r="IF130"/>
      <c r="IG130"/>
      <c r="IH130"/>
      <c r="II130"/>
      <c r="IJ130"/>
      <c r="IK130"/>
      <c r="IL130"/>
      <c r="IM130"/>
      <c r="IN130"/>
      <c r="IO130"/>
      <c r="IP130"/>
      <c r="IQ130"/>
      <c r="IR130"/>
      <c r="IS130"/>
      <c r="IT130"/>
      <c r="IU130"/>
      <c r="IV130"/>
      <c r="IW130"/>
      <c r="IX130"/>
      <c r="IY130"/>
      <c r="IZ130"/>
      <c r="JA130"/>
      <c r="JB130"/>
      <c r="JC130"/>
      <c r="JD130"/>
      <c r="JE130"/>
      <c r="JF130"/>
      <c r="JG130"/>
      <c r="JH130"/>
      <c r="JI130"/>
      <c r="JJ130"/>
      <c r="JK130"/>
      <c r="JL130"/>
      <c r="JM130"/>
      <c r="JN130"/>
      <c r="JO130"/>
      <c r="JP130"/>
      <c r="JQ130"/>
      <c r="JR130"/>
      <c r="JS130"/>
      <c r="JT130"/>
      <c r="JU130"/>
      <c r="JV130"/>
      <c r="JW130"/>
      <c r="JX130"/>
      <c r="JY130"/>
      <c r="JZ130"/>
      <c r="KA130"/>
      <c r="KB130"/>
      <c r="KC130"/>
      <c r="KD130"/>
      <c r="KE130"/>
      <c r="KF130"/>
      <c r="KG130"/>
      <c r="KH130"/>
      <c r="KI130"/>
      <c r="KJ130"/>
      <c r="KK130"/>
      <c r="KL130"/>
      <c r="KM130"/>
      <c r="KN130"/>
      <c r="KO130"/>
      <c r="KP130"/>
      <c r="KQ130"/>
      <c r="KR130"/>
      <c r="KS130"/>
      <c r="KT130"/>
      <c r="KU130"/>
      <c r="KV130"/>
      <c r="KW130"/>
      <c r="KX130"/>
      <c r="KY130"/>
      <c r="KZ130"/>
      <c r="LA130"/>
      <c r="LB130"/>
      <c r="LC130"/>
      <c r="LD130"/>
      <c r="LE130"/>
      <c r="LF130"/>
      <c r="LG130"/>
      <c r="LH130"/>
      <c r="LI130"/>
      <c r="LJ130"/>
      <c r="LK130"/>
      <c r="LL130"/>
      <c r="LM130"/>
      <c r="LN130"/>
      <c r="LO130"/>
      <c r="LP130"/>
      <c r="LQ130"/>
      <c r="LR130"/>
      <c r="LS130"/>
      <c r="LT130"/>
      <c r="LU130"/>
      <c r="LV130"/>
      <c r="LW130"/>
      <c r="LX130"/>
      <c r="LY130"/>
      <c r="LZ130"/>
      <c r="MA130"/>
      <c r="MB130"/>
      <c r="MC130"/>
      <c r="MD130"/>
      <c r="ME130"/>
      <c r="MF130"/>
      <c r="MG130"/>
      <c r="MH130"/>
      <c r="MI130"/>
      <c r="MJ130"/>
      <c r="MK130"/>
      <c r="ML130"/>
      <c r="MM130"/>
      <c r="MN130"/>
      <c r="MO130"/>
      <c r="MP130"/>
      <c r="MQ130"/>
      <c r="MR130"/>
      <c r="MS130"/>
      <c r="MT130"/>
      <c r="MU130"/>
      <c r="MV130"/>
      <c r="MW130"/>
      <c r="MX130"/>
      <c r="MY130"/>
      <c r="MZ130"/>
      <c r="NA130"/>
      <c r="NB130"/>
      <c r="NC130"/>
      <c r="ND130"/>
      <c r="NE130"/>
      <c r="NF130"/>
      <c r="NG130"/>
      <c r="NH130"/>
      <c r="NI130"/>
      <c r="NJ130"/>
      <c r="NK130"/>
      <c r="NL130"/>
      <c r="NM130"/>
      <c r="NN130"/>
      <c r="NO130"/>
      <c r="NP130"/>
      <c r="NQ130"/>
      <c r="NR130"/>
      <c r="NS130"/>
      <c r="NT130"/>
      <c r="NU130"/>
      <c r="NV130"/>
      <c r="NW130"/>
      <c r="NX130"/>
      <c r="NY130"/>
      <c r="NZ130"/>
      <c r="OA130"/>
      <c r="OB130"/>
      <c r="OC130"/>
      <c r="OD130"/>
      <c r="OE130"/>
      <c r="OF130"/>
      <c r="OG130"/>
      <c r="OH130"/>
      <c r="OI130"/>
      <c r="OJ130"/>
      <c r="OK130"/>
      <c r="OL130"/>
      <c r="OM130"/>
      <c r="ON130"/>
      <c r="OO130"/>
      <c r="OP130"/>
      <c r="OQ130"/>
      <c r="OR130"/>
      <c r="OS130"/>
      <c r="OT130"/>
      <c r="OU130"/>
      <c r="OV130"/>
      <c r="OW130"/>
      <c r="OX130"/>
      <c r="OY130"/>
      <c r="OZ130"/>
      <c r="PA130"/>
      <c r="PB130"/>
      <c r="PC130"/>
      <c r="PD130"/>
      <c r="PE130"/>
      <c r="PF130"/>
      <c r="PG130"/>
      <c r="PH130"/>
      <c r="PI130"/>
      <c r="PJ130"/>
      <c r="PK130"/>
      <c r="PL130"/>
      <c r="PM130"/>
      <c r="PN130"/>
      <c r="PO130"/>
      <c r="PP130"/>
      <c r="PQ130"/>
      <c r="PR130"/>
      <c r="PS130"/>
      <c r="PT130"/>
      <c r="PU130"/>
      <c r="PV130"/>
      <c r="PW130"/>
      <c r="PX130"/>
      <c r="PY130"/>
      <c r="PZ130"/>
      <c r="QA130"/>
      <c r="QB130"/>
      <c r="QC130"/>
      <c r="QD130"/>
      <c r="QE130"/>
      <c r="QF130"/>
      <c r="QG130"/>
      <c r="QH130"/>
      <c r="QI130"/>
      <c r="QJ130"/>
      <c r="QK130"/>
      <c r="QL130"/>
      <c r="QM130"/>
      <c r="QN130"/>
      <c r="QO130"/>
      <c r="QP130"/>
      <c r="QQ130"/>
      <c r="QR130"/>
      <c r="QS130"/>
      <c r="QT130"/>
      <c r="QU130"/>
      <c r="QV130"/>
      <c r="QW130"/>
      <c r="QX130"/>
    </row>
    <row r="131" spans="1:466" x14ac:dyDescent="0.35">
      <c r="A131" s="53"/>
      <c r="B131" s="53"/>
      <c r="C131" s="55"/>
      <c r="D131" s="53"/>
      <c r="E131" s="53"/>
      <c r="F131" s="126" t="s">
        <v>337</v>
      </c>
      <c r="G131" s="125">
        <v>1.26</v>
      </c>
      <c r="H131" s="125">
        <v>37.799999999999997</v>
      </c>
      <c r="I131" s="133">
        <v>30</v>
      </c>
      <c r="J131" s="53"/>
      <c r="K131" s="53"/>
      <c r="L131" s="53"/>
      <c r="M131" s="53"/>
      <c r="N131" s="53"/>
      <c r="O131" s="53"/>
      <c r="P131" s="53"/>
      <c r="Q131" s="53"/>
      <c r="R131" s="53"/>
      <c r="S131" s="53"/>
      <c r="T131" s="53"/>
      <c r="U131" s="53"/>
      <c r="V131" s="53"/>
      <c r="W131" s="53"/>
      <c r="X131" s="53"/>
      <c r="Y131" s="53"/>
      <c r="Z131" s="53"/>
      <c r="AA131" s="53"/>
      <c r="AB131" s="53"/>
      <c r="AC131" s="53"/>
      <c r="AD131" s="53"/>
      <c r="AE131" s="53"/>
      <c r="AF131" s="63"/>
      <c r="AG131" s="64"/>
      <c r="AH131" s="65"/>
      <c r="AI131" s="65"/>
      <c r="AJ131" s="53"/>
      <c r="AK131" s="62"/>
      <c r="AL131" s="62"/>
      <c r="AM131" s="62"/>
      <c r="AN131" s="62"/>
      <c r="AO131" s="62"/>
      <c r="AP131" s="62"/>
      <c r="AQ131" s="62"/>
      <c r="AR131" s="62"/>
      <c r="AS131" s="62"/>
      <c r="AT131" s="62"/>
      <c r="AU131" s="62"/>
      <c r="AV131" s="62"/>
      <c r="AW131" s="62"/>
      <c r="AX131" s="62"/>
      <c r="AY131" s="62"/>
      <c r="AZ131" s="62"/>
      <c r="BA131" s="62"/>
      <c r="BB131" s="62"/>
      <c r="BC131" s="62"/>
      <c r="BD131" s="62"/>
      <c r="BE131" s="62"/>
      <c r="BF131" s="62"/>
      <c r="BG131" s="62"/>
      <c r="BH131" s="62"/>
      <c r="BI131" s="62"/>
      <c r="BJ131" s="62"/>
      <c r="BK131" s="62"/>
      <c r="BL131" s="62"/>
      <c r="BM131" s="62"/>
      <c r="BN131" s="62"/>
      <c r="BO131" s="62"/>
      <c r="BP131" s="62"/>
      <c r="BQ131" s="62"/>
      <c r="BR131" s="62"/>
      <c r="BS131" s="62"/>
      <c r="BT131" s="62"/>
      <c r="BU131" s="62"/>
      <c r="BV131" s="62"/>
      <c r="BW131" s="62"/>
      <c r="BX131" s="62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  <c r="IS131"/>
      <c r="IT131"/>
      <c r="IU131"/>
      <c r="IV131"/>
      <c r="IW131"/>
      <c r="IX131"/>
      <c r="IY131"/>
      <c r="IZ131"/>
      <c r="JA131"/>
      <c r="JB131"/>
      <c r="JC131"/>
      <c r="JD131"/>
      <c r="JE131"/>
      <c r="JF131"/>
      <c r="JG131"/>
      <c r="JH131"/>
      <c r="JI131"/>
      <c r="JJ131"/>
      <c r="JK131"/>
      <c r="JL131"/>
      <c r="JM131"/>
      <c r="JN131"/>
      <c r="JO131"/>
      <c r="JP131"/>
      <c r="JQ131"/>
      <c r="JR131"/>
      <c r="JS131"/>
      <c r="JT131"/>
      <c r="JU131"/>
      <c r="JV131"/>
      <c r="JW131"/>
      <c r="JX131"/>
      <c r="JY131"/>
      <c r="JZ131"/>
      <c r="KA131"/>
      <c r="KB131"/>
      <c r="KC131"/>
      <c r="KD131"/>
      <c r="KE131"/>
      <c r="KF131"/>
      <c r="KG131"/>
      <c r="KH131"/>
      <c r="KI131"/>
      <c r="KJ131"/>
      <c r="KK131"/>
      <c r="KL131"/>
      <c r="KM131"/>
      <c r="KN131"/>
      <c r="KO131"/>
      <c r="KP131"/>
      <c r="KQ131"/>
      <c r="KR131"/>
      <c r="KS131"/>
      <c r="KT131"/>
      <c r="KU131"/>
      <c r="KV131"/>
      <c r="KW131"/>
      <c r="KX131"/>
      <c r="KY131"/>
      <c r="KZ131"/>
      <c r="LA131"/>
      <c r="LB131"/>
      <c r="LC131"/>
      <c r="LD131"/>
      <c r="LE131"/>
      <c r="LF131"/>
      <c r="LG131"/>
      <c r="LH131"/>
      <c r="LI131"/>
      <c r="LJ131"/>
      <c r="LK131"/>
      <c r="LL131"/>
      <c r="LM131"/>
      <c r="LN131"/>
      <c r="LO131"/>
      <c r="LP131"/>
      <c r="LQ131"/>
      <c r="LR131"/>
      <c r="LS131"/>
      <c r="LT131"/>
      <c r="LU131"/>
      <c r="LV131"/>
      <c r="LW131"/>
      <c r="LX131"/>
      <c r="LY131"/>
      <c r="LZ131"/>
      <c r="MA131"/>
      <c r="MB131"/>
      <c r="MC131"/>
      <c r="MD131"/>
      <c r="ME131"/>
      <c r="MF131"/>
      <c r="MG131"/>
      <c r="MH131"/>
      <c r="MI131"/>
      <c r="MJ131"/>
      <c r="MK131"/>
      <c r="ML131"/>
      <c r="MM131"/>
      <c r="MN131"/>
      <c r="MO131"/>
      <c r="MP131"/>
      <c r="MQ131"/>
      <c r="MR131"/>
      <c r="MS131"/>
      <c r="MT131"/>
      <c r="MU131"/>
      <c r="MV131"/>
      <c r="MW131"/>
      <c r="MX131"/>
      <c r="MY131"/>
      <c r="MZ131"/>
      <c r="NA131"/>
      <c r="NB131"/>
      <c r="NC131"/>
      <c r="ND131"/>
      <c r="NE131"/>
      <c r="NF131"/>
      <c r="NG131"/>
      <c r="NH131"/>
      <c r="NI131"/>
      <c r="NJ131"/>
      <c r="NK131"/>
      <c r="NL131"/>
      <c r="NM131"/>
      <c r="NN131"/>
      <c r="NO131"/>
      <c r="NP131"/>
      <c r="NQ131"/>
      <c r="NR131"/>
      <c r="NS131"/>
      <c r="NT131"/>
      <c r="NU131"/>
      <c r="NV131"/>
      <c r="NW131"/>
      <c r="NX131"/>
      <c r="NY131"/>
      <c r="NZ131"/>
      <c r="OA131"/>
      <c r="OB131"/>
      <c r="OC131"/>
      <c r="OD131"/>
      <c r="OE131"/>
      <c r="OF131"/>
      <c r="OG131"/>
      <c r="OH131"/>
      <c r="OI131"/>
      <c r="OJ131"/>
      <c r="OK131"/>
      <c r="OL131"/>
      <c r="OM131"/>
      <c r="ON131"/>
      <c r="OO131"/>
      <c r="OP131"/>
      <c r="OQ131"/>
      <c r="OR131"/>
      <c r="OS131"/>
      <c r="OT131"/>
      <c r="OU131"/>
      <c r="OV131"/>
      <c r="OW131"/>
      <c r="OX131"/>
      <c r="OY131"/>
      <c r="OZ131"/>
      <c r="PA131"/>
      <c r="PB131"/>
      <c r="PC131"/>
      <c r="PD131"/>
      <c r="PE131"/>
      <c r="PF131"/>
      <c r="PG131"/>
      <c r="PH131"/>
      <c r="PI131"/>
      <c r="PJ131"/>
      <c r="PK131"/>
      <c r="PL131"/>
      <c r="PM131"/>
      <c r="PN131"/>
      <c r="PO131"/>
      <c r="PP131"/>
      <c r="PQ131"/>
      <c r="PR131"/>
      <c r="PS131"/>
      <c r="PT131"/>
      <c r="PU131"/>
      <c r="PV131"/>
      <c r="PW131"/>
      <c r="PX131"/>
      <c r="PY131"/>
      <c r="PZ131"/>
      <c r="QA131"/>
      <c r="QB131"/>
      <c r="QC131"/>
      <c r="QD131"/>
      <c r="QE131"/>
      <c r="QF131"/>
      <c r="QG131"/>
      <c r="QH131"/>
      <c r="QI131"/>
      <c r="QJ131"/>
      <c r="QK131"/>
      <c r="QL131"/>
      <c r="QM131"/>
      <c r="QN131"/>
      <c r="QO131"/>
      <c r="QP131"/>
      <c r="QQ131"/>
      <c r="QR131"/>
      <c r="QS131"/>
      <c r="QT131"/>
      <c r="QU131"/>
      <c r="QV131"/>
      <c r="QW131"/>
      <c r="QX131"/>
    </row>
    <row r="132" spans="1:466" x14ac:dyDescent="0.35">
      <c r="A132" s="53"/>
      <c r="B132" s="53"/>
      <c r="C132" s="55"/>
      <c r="D132" s="53"/>
      <c r="E132" s="53"/>
      <c r="F132" s="126" t="s">
        <v>339</v>
      </c>
      <c r="G132" s="125"/>
      <c r="H132" s="125">
        <v>0</v>
      </c>
      <c r="I132" s="133">
        <v>0</v>
      </c>
      <c r="J132" s="53"/>
      <c r="K132" s="53"/>
      <c r="L132" s="53"/>
      <c r="M132" s="53"/>
      <c r="N132" s="53"/>
      <c r="O132" s="53"/>
      <c r="P132" s="53"/>
      <c r="Q132" s="53"/>
      <c r="R132" s="53"/>
      <c r="S132" s="53"/>
      <c r="T132" s="53"/>
      <c r="U132" s="53"/>
      <c r="V132" s="53"/>
      <c r="W132" s="53"/>
      <c r="X132" s="53"/>
      <c r="Y132" s="53"/>
      <c r="Z132" s="53"/>
      <c r="AA132" s="53"/>
      <c r="AB132" s="53"/>
      <c r="AC132" s="53"/>
      <c r="AD132" s="53"/>
      <c r="AE132" s="53"/>
      <c r="AF132" s="63"/>
      <c r="AG132" s="64"/>
      <c r="AH132" s="65"/>
      <c r="AI132" s="65"/>
      <c r="AJ132" s="53"/>
      <c r="AK132" s="62"/>
      <c r="AL132" s="62"/>
      <c r="AM132" s="62"/>
      <c r="AN132" s="62"/>
      <c r="AO132" s="62"/>
      <c r="AP132" s="62"/>
      <c r="AQ132" s="62"/>
      <c r="AR132" s="62"/>
      <c r="AS132" s="62"/>
      <c r="AT132" s="62"/>
      <c r="AU132" s="62"/>
      <c r="AV132" s="62"/>
      <c r="AW132" s="62"/>
      <c r="AX132" s="62"/>
      <c r="AY132" s="62"/>
      <c r="AZ132" s="62"/>
      <c r="BA132" s="62"/>
      <c r="BB132" s="62"/>
      <c r="BC132" s="62"/>
      <c r="BD132" s="62"/>
      <c r="BE132" s="62"/>
      <c r="BF132" s="62"/>
      <c r="BG132" s="62"/>
      <c r="BH132" s="62"/>
      <c r="BI132" s="62"/>
      <c r="BJ132" s="62"/>
      <c r="BK132" s="62"/>
      <c r="BL132" s="62"/>
      <c r="BM132" s="62"/>
      <c r="BN132" s="62"/>
      <c r="BO132" s="62"/>
      <c r="BP132" s="62"/>
      <c r="BQ132" s="62"/>
      <c r="BR132" s="62"/>
      <c r="BS132" s="62"/>
      <c r="BT132" s="62"/>
      <c r="BU132" s="62"/>
      <c r="BV132" s="62"/>
      <c r="BW132" s="62"/>
      <c r="BX132" s="6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  <c r="IW132"/>
      <c r="IX132"/>
      <c r="IY132"/>
      <c r="IZ132"/>
      <c r="JA132"/>
      <c r="JB132"/>
      <c r="JC132"/>
      <c r="JD132"/>
      <c r="JE132"/>
      <c r="JF132"/>
      <c r="JG132"/>
      <c r="JH132"/>
      <c r="JI132"/>
      <c r="JJ132"/>
      <c r="JK132"/>
      <c r="JL132"/>
      <c r="JM132"/>
      <c r="JN132"/>
      <c r="JO132"/>
      <c r="JP132"/>
      <c r="JQ132"/>
      <c r="JR132"/>
      <c r="JS132"/>
      <c r="JT132"/>
      <c r="JU132"/>
      <c r="JV132"/>
      <c r="JW132"/>
      <c r="JX132"/>
      <c r="JY132"/>
      <c r="JZ132"/>
      <c r="KA132"/>
      <c r="KB132"/>
      <c r="KC132"/>
      <c r="KD132"/>
      <c r="KE132"/>
      <c r="KF132"/>
      <c r="KG132"/>
      <c r="KH132"/>
      <c r="KI132"/>
      <c r="KJ132"/>
      <c r="KK132"/>
      <c r="KL132"/>
      <c r="KM132"/>
      <c r="KN132"/>
      <c r="KO132"/>
      <c r="KP132"/>
      <c r="KQ132"/>
      <c r="KR132"/>
      <c r="KS132"/>
      <c r="KT132"/>
      <c r="KU132"/>
      <c r="KV132"/>
      <c r="KW132"/>
      <c r="KX132"/>
      <c r="KY132"/>
      <c r="KZ132"/>
      <c r="LA132"/>
      <c r="LB132"/>
      <c r="LC132"/>
      <c r="LD132"/>
      <c r="LE132"/>
      <c r="LF132"/>
      <c r="LG132"/>
      <c r="LH132"/>
      <c r="LI132"/>
      <c r="LJ132"/>
      <c r="LK132"/>
      <c r="LL132"/>
      <c r="LM132"/>
      <c r="LN132"/>
      <c r="LO132"/>
      <c r="LP132"/>
      <c r="LQ132"/>
      <c r="LR132"/>
      <c r="LS132"/>
      <c r="LT132"/>
      <c r="LU132"/>
      <c r="LV132"/>
      <c r="LW132"/>
      <c r="LX132"/>
      <c r="LY132"/>
      <c r="LZ132"/>
      <c r="MA132"/>
      <c r="MB132"/>
      <c r="MC132"/>
      <c r="MD132"/>
      <c r="ME132"/>
      <c r="MF132"/>
      <c r="MG132"/>
      <c r="MH132"/>
      <c r="MI132"/>
      <c r="MJ132"/>
      <c r="MK132"/>
      <c r="ML132"/>
      <c r="MM132"/>
      <c r="MN132"/>
      <c r="MO132"/>
      <c r="MP132"/>
      <c r="MQ132"/>
      <c r="MR132"/>
      <c r="MS132"/>
      <c r="MT132"/>
      <c r="MU132"/>
      <c r="MV132"/>
      <c r="MW132"/>
      <c r="MX132"/>
      <c r="MY132"/>
      <c r="MZ132"/>
      <c r="NA132"/>
      <c r="NB132"/>
      <c r="NC132"/>
      <c r="ND132"/>
      <c r="NE132"/>
      <c r="NF132"/>
      <c r="NG132"/>
      <c r="NH132"/>
      <c r="NI132"/>
      <c r="NJ132"/>
      <c r="NK132"/>
      <c r="NL132"/>
      <c r="NM132"/>
      <c r="NN132"/>
      <c r="NO132"/>
      <c r="NP132"/>
      <c r="NQ132"/>
      <c r="NR132"/>
      <c r="NS132"/>
      <c r="NT132"/>
      <c r="NU132"/>
      <c r="NV132"/>
      <c r="NW132"/>
      <c r="NX132"/>
      <c r="NY132"/>
      <c r="NZ132"/>
      <c r="OA132"/>
      <c r="OB132"/>
      <c r="OC132"/>
      <c r="OD132"/>
      <c r="OE132"/>
      <c r="OF132"/>
      <c r="OG132"/>
      <c r="OH132"/>
      <c r="OI132"/>
      <c r="OJ132"/>
      <c r="OK132"/>
      <c r="OL132"/>
      <c r="OM132"/>
      <c r="ON132"/>
      <c r="OO132"/>
      <c r="OP132"/>
      <c r="OQ132"/>
      <c r="OR132"/>
      <c r="OS132"/>
      <c r="OT132"/>
      <c r="OU132"/>
      <c r="OV132"/>
      <c r="OW132"/>
      <c r="OX132"/>
      <c r="OY132"/>
      <c r="OZ132"/>
      <c r="PA132"/>
      <c r="PB132"/>
      <c r="PC132"/>
      <c r="PD132"/>
      <c r="PE132"/>
      <c r="PF132"/>
      <c r="PG132"/>
      <c r="PH132"/>
      <c r="PI132"/>
      <c r="PJ132"/>
      <c r="PK132"/>
      <c r="PL132"/>
      <c r="PM132"/>
      <c r="PN132"/>
      <c r="PO132"/>
      <c r="PP132"/>
      <c r="PQ132"/>
      <c r="PR132"/>
      <c r="PS132"/>
      <c r="PT132"/>
      <c r="PU132"/>
      <c r="PV132"/>
      <c r="PW132"/>
      <c r="PX132"/>
      <c r="PY132"/>
      <c r="PZ132"/>
      <c r="QA132"/>
      <c r="QB132"/>
      <c r="QC132"/>
      <c r="QD132"/>
      <c r="QE132"/>
      <c r="QF132"/>
      <c r="QG132"/>
      <c r="QH132"/>
      <c r="QI132"/>
      <c r="QJ132"/>
      <c r="QK132"/>
      <c r="QL132"/>
      <c r="QM132"/>
      <c r="QN132"/>
      <c r="QO132"/>
      <c r="QP132"/>
      <c r="QQ132"/>
      <c r="QR132"/>
      <c r="QS132"/>
      <c r="QT132"/>
      <c r="QU132"/>
      <c r="QV132"/>
      <c r="QW132"/>
      <c r="QX132"/>
    </row>
    <row r="133" spans="1:466" x14ac:dyDescent="0.35">
      <c r="A133" s="53"/>
      <c r="B133" s="53"/>
      <c r="C133" s="55"/>
      <c r="D133" s="53"/>
      <c r="E133" s="53"/>
      <c r="F133" s="126" t="s">
        <v>343</v>
      </c>
      <c r="G133" s="125">
        <v>0.3</v>
      </c>
      <c r="H133" s="125">
        <v>575.4</v>
      </c>
      <c r="I133" s="133">
        <v>1918</v>
      </c>
      <c r="J133" s="53"/>
      <c r="K133" s="53"/>
      <c r="L133" s="53"/>
      <c r="M133" s="53"/>
      <c r="N133" s="53"/>
      <c r="O133" s="53"/>
      <c r="P133" s="53"/>
      <c r="Q133" s="53"/>
      <c r="R133" s="53"/>
      <c r="S133" s="53"/>
      <c r="T133" s="53"/>
      <c r="U133" s="53"/>
      <c r="V133" s="53"/>
      <c r="W133" s="53"/>
      <c r="X133" s="53"/>
      <c r="Y133" s="53"/>
      <c r="Z133" s="53"/>
      <c r="AA133" s="53"/>
      <c r="AB133" s="53"/>
      <c r="AC133" s="53"/>
      <c r="AD133" s="53"/>
      <c r="AE133" s="53"/>
      <c r="AF133" s="63"/>
      <c r="AG133" s="64"/>
      <c r="AH133" s="65"/>
      <c r="AI133" s="65"/>
      <c r="AJ133" s="53"/>
      <c r="AK133" s="62"/>
      <c r="AL133" s="62"/>
      <c r="AM133" s="62"/>
      <c r="AN133" s="62"/>
      <c r="AO133" s="62"/>
      <c r="AP133" s="62"/>
      <c r="AQ133" s="62"/>
      <c r="AR133" s="62"/>
      <c r="AS133" s="62"/>
      <c r="AT133" s="62"/>
      <c r="AU133" s="62"/>
      <c r="AV133" s="62"/>
      <c r="AW133" s="62"/>
      <c r="AX133" s="62"/>
      <c r="AY133" s="62"/>
      <c r="AZ133" s="62"/>
      <c r="BA133" s="62"/>
      <c r="BB133" s="62"/>
      <c r="BC133" s="62"/>
      <c r="BD133" s="62"/>
      <c r="BE133" s="62"/>
      <c r="BF133" s="62"/>
      <c r="BG133" s="62"/>
      <c r="BH133" s="62"/>
      <c r="BI133" s="62"/>
      <c r="BJ133" s="62"/>
      <c r="BK133" s="62"/>
      <c r="BL133" s="62"/>
      <c r="BM133" s="62"/>
      <c r="BN133" s="62"/>
      <c r="BO133" s="62"/>
      <c r="BP133" s="62"/>
      <c r="BQ133" s="62"/>
      <c r="BR133" s="62"/>
      <c r="BS133" s="62"/>
      <c r="BT133" s="62"/>
      <c r="BU133" s="62"/>
      <c r="BV133" s="62"/>
      <c r="BW133" s="62"/>
      <c r="BX133" s="62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  <c r="IW133"/>
      <c r="IX133"/>
      <c r="IY133"/>
      <c r="IZ133"/>
      <c r="JA133"/>
      <c r="JB133"/>
      <c r="JC133"/>
      <c r="JD133"/>
      <c r="JE133"/>
      <c r="JF133"/>
      <c r="JG133"/>
      <c r="JH133"/>
      <c r="JI133"/>
      <c r="JJ133"/>
      <c r="JK133"/>
      <c r="JL133"/>
      <c r="JM133"/>
      <c r="JN133"/>
      <c r="JO133"/>
      <c r="JP133"/>
      <c r="JQ133"/>
      <c r="JR133"/>
      <c r="JS133"/>
      <c r="JT133"/>
      <c r="JU133"/>
      <c r="JV133"/>
      <c r="JW133"/>
      <c r="JX133"/>
      <c r="JY133"/>
      <c r="JZ133"/>
      <c r="KA133"/>
      <c r="KB133"/>
      <c r="KC133"/>
      <c r="KD133"/>
      <c r="KE133"/>
      <c r="KF133"/>
      <c r="KG133"/>
      <c r="KH133"/>
      <c r="KI133"/>
      <c r="KJ133"/>
      <c r="KK133"/>
      <c r="KL133"/>
      <c r="KM133"/>
      <c r="KN133"/>
      <c r="KO133"/>
      <c r="KP133"/>
      <c r="KQ133"/>
      <c r="KR133"/>
      <c r="KS133"/>
      <c r="KT133"/>
      <c r="KU133"/>
      <c r="KV133"/>
      <c r="KW133"/>
      <c r="KX133"/>
      <c r="KY133"/>
      <c r="KZ133"/>
      <c r="LA133"/>
      <c r="LB133"/>
      <c r="LC133"/>
      <c r="LD133"/>
      <c r="LE133"/>
      <c r="LF133"/>
      <c r="LG133"/>
      <c r="LH133"/>
      <c r="LI133"/>
      <c r="LJ133"/>
      <c r="LK133"/>
      <c r="LL133"/>
      <c r="LM133"/>
      <c r="LN133"/>
      <c r="LO133"/>
      <c r="LP133"/>
      <c r="LQ133"/>
      <c r="LR133"/>
      <c r="LS133"/>
      <c r="LT133"/>
      <c r="LU133"/>
      <c r="LV133"/>
      <c r="LW133"/>
      <c r="LX133"/>
      <c r="LY133"/>
      <c r="LZ133"/>
      <c r="MA133"/>
      <c r="MB133"/>
      <c r="MC133"/>
      <c r="MD133"/>
      <c r="ME133"/>
      <c r="MF133"/>
      <c r="MG133"/>
      <c r="MH133"/>
      <c r="MI133"/>
      <c r="MJ133"/>
      <c r="MK133"/>
      <c r="ML133"/>
      <c r="MM133"/>
      <c r="MN133"/>
      <c r="MO133"/>
      <c r="MP133"/>
      <c r="MQ133"/>
      <c r="MR133"/>
      <c r="MS133"/>
      <c r="MT133"/>
      <c r="MU133"/>
      <c r="MV133"/>
      <c r="MW133"/>
      <c r="MX133"/>
      <c r="MY133"/>
      <c r="MZ133"/>
      <c r="NA133"/>
      <c r="NB133"/>
      <c r="NC133"/>
      <c r="ND133"/>
      <c r="NE133"/>
      <c r="NF133"/>
      <c r="NG133"/>
      <c r="NH133"/>
      <c r="NI133"/>
      <c r="NJ133"/>
      <c r="NK133"/>
      <c r="NL133"/>
      <c r="NM133"/>
      <c r="NN133"/>
      <c r="NO133"/>
      <c r="NP133"/>
      <c r="NQ133"/>
      <c r="NR133"/>
      <c r="NS133"/>
      <c r="NT133"/>
      <c r="NU133"/>
      <c r="NV133"/>
      <c r="NW133"/>
      <c r="NX133"/>
      <c r="NY133"/>
      <c r="NZ133"/>
      <c r="OA133"/>
      <c r="OB133"/>
      <c r="OC133"/>
      <c r="OD133"/>
      <c r="OE133"/>
      <c r="OF133"/>
      <c r="OG133"/>
      <c r="OH133"/>
      <c r="OI133"/>
      <c r="OJ133"/>
      <c r="OK133"/>
      <c r="OL133"/>
      <c r="OM133"/>
      <c r="ON133"/>
      <c r="OO133"/>
      <c r="OP133"/>
      <c r="OQ133"/>
      <c r="OR133"/>
      <c r="OS133"/>
      <c r="OT133"/>
      <c r="OU133"/>
      <c r="OV133"/>
      <c r="OW133"/>
      <c r="OX133"/>
      <c r="OY133"/>
      <c r="OZ133"/>
      <c r="PA133"/>
      <c r="PB133"/>
      <c r="PC133"/>
      <c r="PD133"/>
      <c r="PE133"/>
      <c r="PF133"/>
      <c r="PG133"/>
      <c r="PH133"/>
      <c r="PI133"/>
      <c r="PJ133"/>
      <c r="PK133"/>
      <c r="PL133"/>
      <c r="PM133"/>
      <c r="PN133"/>
      <c r="PO133"/>
      <c r="PP133"/>
      <c r="PQ133"/>
      <c r="PR133"/>
      <c r="PS133"/>
      <c r="PT133"/>
      <c r="PU133"/>
      <c r="PV133"/>
      <c r="PW133"/>
      <c r="PX133"/>
      <c r="PY133"/>
      <c r="PZ133"/>
      <c r="QA133"/>
      <c r="QB133"/>
      <c r="QC133"/>
      <c r="QD133"/>
      <c r="QE133"/>
      <c r="QF133"/>
      <c r="QG133"/>
      <c r="QH133"/>
      <c r="QI133"/>
      <c r="QJ133"/>
      <c r="QK133"/>
      <c r="QL133"/>
      <c r="QM133"/>
      <c r="QN133"/>
      <c r="QO133"/>
      <c r="QP133"/>
      <c r="QQ133"/>
      <c r="QR133"/>
      <c r="QS133"/>
      <c r="QT133"/>
      <c r="QU133"/>
      <c r="QV133"/>
      <c r="QW133"/>
      <c r="QX133"/>
    </row>
    <row r="134" spans="1:466" x14ac:dyDescent="0.35">
      <c r="A134" s="53"/>
      <c r="B134" s="53"/>
      <c r="C134" s="55"/>
      <c r="D134" s="53"/>
      <c r="E134" s="53"/>
      <c r="F134" s="126" t="s">
        <v>307</v>
      </c>
      <c r="G134" s="125">
        <v>0.53878423999999969</v>
      </c>
      <c r="H134" s="125">
        <v>2.1551369599999988</v>
      </c>
      <c r="I134" s="133">
        <v>4</v>
      </c>
      <c r="J134" s="53"/>
      <c r="K134" s="53"/>
      <c r="L134" s="53"/>
      <c r="M134" s="53"/>
      <c r="N134" s="53"/>
      <c r="O134" s="53"/>
      <c r="P134" s="53"/>
      <c r="Q134" s="53"/>
      <c r="R134" s="53"/>
      <c r="S134" s="53"/>
      <c r="T134" s="53"/>
      <c r="U134" s="53"/>
      <c r="V134" s="53"/>
      <c r="W134" s="53"/>
      <c r="X134" s="53"/>
      <c r="Y134" s="53"/>
      <c r="Z134" s="53"/>
      <c r="AA134" s="53"/>
      <c r="AB134" s="53"/>
      <c r="AC134" s="53"/>
      <c r="AD134" s="53"/>
      <c r="AE134" s="53"/>
      <c r="AF134" s="63"/>
      <c r="AG134" s="64"/>
      <c r="AH134" s="65"/>
      <c r="AI134" s="65"/>
      <c r="AJ134" s="53"/>
      <c r="AK134" s="62"/>
      <c r="AL134" s="62"/>
      <c r="AM134" s="62"/>
      <c r="AN134" s="62"/>
      <c r="AO134" s="62"/>
      <c r="AP134" s="62"/>
      <c r="AQ134" s="62"/>
      <c r="AR134" s="62"/>
      <c r="AS134" s="62"/>
      <c r="AT134" s="62"/>
      <c r="AU134" s="62"/>
      <c r="AV134" s="62"/>
      <c r="AW134" s="62"/>
      <c r="AX134" s="62"/>
      <c r="AY134" s="62"/>
      <c r="AZ134" s="62"/>
      <c r="BA134" s="62"/>
      <c r="BB134" s="62"/>
      <c r="BC134" s="62"/>
      <c r="BD134" s="62"/>
      <c r="BE134" s="62"/>
      <c r="BF134" s="62"/>
      <c r="BG134" s="62"/>
      <c r="BH134" s="62"/>
      <c r="BI134" s="62"/>
      <c r="BJ134" s="62"/>
      <c r="BK134" s="62"/>
      <c r="BL134" s="62"/>
      <c r="BM134" s="62"/>
      <c r="BN134" s="62"/>
      <c r="BO134" s="62"/>
      <c r="BP134" s="62"/>
      <c r="BQ134" s="62"/>
      <c r="BR134" s="62"/>
      <c r="BS134" s="62"/>
      <c r="BT134" s="62"/>
      <c r="BU134" s="62"/>
      <c r="BV134" s="62"/>
      <c r="BW134" s="62"/>
      <c r="BX134" s="62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  <c r="IW134"/>
      <c r="IX134"/>
      <c r="IY134"/>
      <c r="IZ134"/>
      <c r="JA134"/>
      <c r="JB134"/>
      <c r="JC134"/>
      <c r="JD134"/>
      <c r="JE134"/>
      <c r="JF134"/>
      <c r="JG134"/>
      <c r="JH134"/>
      <c r="JI134"/>
      <c r="JJ134"/>
      <c r="JK134"/>
      <c r="JL134"/>
      <c r="JM134"/>
      <c r="JN134"/>
      <c r="JO134"/>
      <c r="JP134"/>
      <c r="JQ134"/>
      <c r="JR134"/>
      <c r="JS134"/>
      <c r="JT134"/>
      <c r="JU134"/>
      <c r="JV134"/>
      <c r="JW134"/>
      <c r="JX134"/>
      <c r="JY134"/>
      <c r="JZ134"/>
      <c r="KA134"/>
      <c r="KB134"/>
      <c r="KC134"/>
      <c r="KD134"/>
      <c r="KE134"/>
      <c r="KF134"/>
      <c r="KG134"/>
      <c r="KH134"/>
      <c r="KI134"/>
      <c r="KJ134"/>
      <c r="KK134"/>
      <c r="KL134"/>
      <c r="KM134"/>
      <c r="KN134"/>
      <c r="KO134"/>
      <c r="KP134"/>
      <c r="KQ134"/>
      <c r="KR134"/>
      <c r="KS134"/>
      <c r="KT134"/>
      <c r="KU134"/>
      <c r="KV134"/>
      <c r="KW134"/>
      <c r="KX134"/>
      <c r="KY134"/>
      <c r="KZ134"/>
      <c r="LA134"/>
      <c r="LB134"/>
      <c r="LC134"/>
      <c r="LD134"/>
      <c r="LE134"/>
      <c r="LF134"/>
      <c r="LG134"/>
      <c r="LH134"/>
      <c r="LI134"/>
      <c r="LJ134"/>
      <c r="LK134"/>
      <c r="LL134"/>
      <c r="LM134"/>
      <c r="LN134"/>
      <c r="LO134"/>
      <c r="LP134"/>
      <c r="LQ134"/>
      <c r="LR134"/>
      <c r="LS134"/>
      <c r="LT134"/>
      <c r="LU134"/>
      <c r="LV134"/>
      <c r="LW134"/>
      <c r="LX134"/>
      <c r="LY134"/>
      <c r="LZ134"/>
      <c r="MA134"/>
      <c r="MB134"/>
      <c r="MC134"/>
      <c r="MD134"/>
      <c r="ME134"/>
      <c r="MF134"/>
      <c r="MG134"/>
      <c r="MH134"/>
      <c r="MI134"/>
      <c r="MJ134"/>
      <c r="MK134"/>
      <c r="ML134"/>
      <c r="MM134"/>
      <c r="MN134"/>
      <c r="MO134"/>
      <c r="MP134"/>
      <c r="MQ134"/>
      <c r="MR134"/>
      <c r="MS134"/>
      <c r="MT134"/>
      <c r="MU134"/>
      <c r="MV134"/>
      <c r="MW134"/>
      <c r="MX134"/>
      <c r="MY134"/>
      <c r="MZ134"/>
      <c r="NA134"/>
      <c r="NB134"/>
      <c r="NC134"/>
      <c r="ND134"/>
      <c r="NE134"/>
      <c r="NF134"/>
      <c r="NG134"/>
      <c r="NH134"/>
      <c r="NI134"/>
      <c r="NJ134"/>
      <c r="NK134"/>
      <c r="NL134"/>
      <c r="NM134"/>
      <c r="NN134"/>
      <c r="NO134"/>
      <c r="NP134"/>
      <c r="NQ134"/>
      <c r="NR134"/>
      <c r="NS134"/>
      <c r="NT134"/>
      <c r="NU134"/>
      <c r="NV134"/>
      <c r="NW134"/>
      <c r="NX134"/>
      <c r="NY134"/>
      <c r="NZ134"/>
      <c r="OA134"/>
      <c r="OB134"/>
      <c r="OC134"/>
      <c r="OD134"/>
      <c r="OE134"/>
      <c r="OF134"/>
      <c r="OG134"/>
      <c r="OH134"/>
      <c r="OI134"/>
      <c r="OJ134"/>
      <c r="OK134"/>
      <c r="OL134"/>
      <c r="OM134"/>
      <c r="ON134"/>
      <c r="OO134"/>
      <c r="OP134"/>
      <c r="OQ134"/>
      <c r="OR134"/>
      <c r="OS134"/>
      <c r="OT134"/>
      <c r="OU134"/>
      <c r="OV134"/>
      <c r="OW134"/>
      <c r="OX134"/>
      <c r="OY134"/>
      <c r="OZ134"/>
      <c r="PA134"/>
      <c r="PB134"/>
      <c r="PC134"/>
      <c r="PD134"/>
      <c r="PE134"/>
      <c r="PF134"/>
      <c r="PG134"/>
      <c r="PH134"/>
      <c r="PI134"/>
      <c r="PJ134"/>
      <c r="PK134"/>
      <c r="PL134"/>
      <c r="PM134"/>
      <c r="PN134"/>
      <c r="PO134"/>
      <c r="PP134"/>
      <c r="PQ134"/>
      <c r="PR134"/>
      <c r="PS134"/>
      <c r="PT134"/>
      <c r="PU134"/>
      <c r="PV134"/>
      <c r="PW134"/>
      <c r="PX134"/>
      <c r="PY134"/>
      <c r="PZ134"/>
      <c r="QA134"/>
      <c r="QB134"/>
      <c r="QC134"/>
      <c r="QD134"/>
      <c r="QE134"/>
      <c r="QF134"/>
      <c r="QG134"/>
      <c r="QH134"/>
      <c r="QI134"/>
      <c r="QJ134"/>
      <c r="QK134"/>
      <c r="QL134"/>
      <c r="QM134"/>
      <c r="QN134"/>
      <c r="QO134"/>
      <c r="QP134"/>
      <c r="QQ134"/>
      <c r="QR134"/>
      <c r="QS134"/>
      <c r="QT134"/>
      <c r="QU134"/>
      <c r="QV134"/>
      <c r="QW134"/>
      <c r="QX134"/>
    </row>
    <row r="135" spans="1:466" x14ac:dyDescent="0.35">
      <c r="A135" s="53"/>
      <c r="B135" s="53"/>
      <c r="C135" s="55"/>
      <c r="D135" s="53"/>
      <c r="E135" s="53"/>
      <c r="F135" s="126" t="s">
        <v>309</v>
      </c>
      <c r="G135" s="125">
        <v>0.67247999999999997</v>
      </c>
      <c r="H135" s="125">
        <v>9.4147199999999991</v>
      </c>
      <c r="I135" s="133">
        <v>14</v>
      </c>
      <c r="J135" s="53"/>
      <c r="K135" s="53"/>
      <c r="L135" s="53"/>
      <c r="M135" s="53"/>
      <c r="N135" s="53"/>
      <c r="O135" s="53"/>
      <c r="P135" s="53"/>
      <c r="Q135" s="53"/>
      <c r="R135" s="53"/>
      <c r="S135" s="53"/>
      <c r="T135" s="53"/>
      <c r="U135" s="53"/>
      <c r="V135" s="53"/>
      <c r="W135" s="53"/>
      <c r="X135" s="53"/>
      <c r="Y135" s="53"/>
      <c r="Z135" s="53"/>
      <c r="AA135" s="53"/>
      <c r="AB135" s="53"/>
      <c r="AC135" s="53"/>
      <c r="AD135" s="53"/>
      <c r="AE135" s="53"/>
      <c r="AF135" s="63"/>
      <c r="AG135" s="64"/>
      <c r="AH135" s="65"/>
      <c r="AI135" s="65"/>
      <c r="AJ135" s="53"/>
      <c r="AK135" s="62"/>
      <c r="AL135" s="62"/>
      <c r="AM135" s="62"/>
      <c r="AN135" s="62"/>
      <c r="AO135" s="62"/>
      <c r="AP135" s="62"/>
      <c r="AQ135" s="62"/>
      <c r="AR135" s="62"/>
      <c r="AS135" s="62"/>
      <c r="AT135" s="62"/>
      <c r="AU135" s="62"/>
      <c r="AV135" s="62"/>
      <c r="AW135" s="62"/>
      <c r="AX135" s="62"/>
      <c r="AY135" s="62"/>
      <c r="AZ135" s="62"/>
      <c r="BA135" s="62"/>
      <c r="BB135" s="62"/>
      <c r="BC135" s="62"/>
      <c r="BD135" s="62"/>
      <c r="BE135" s="62"/>
      <c r="BF135" s="62"/>
      <c r="BG135" s="62"/>
      <c r="BH135" s="62"/>
      <c r="BI135" s="62"/>
      <c r="BJ135" s="62"/>
      <c r="BK135" s="62"/>
      <c r="BL135" s="62"/>
      <c r="BM135" s="62"/>
      <c r="BN135" s="62"/>
      <c r="BO135" s="62"/>
      <c r="BP135" s="62"/>
      <c r="BQ135" s="62"/>
      <c r="BR135" s="62"/>
      <c r="BS135" s="62"/>
      <c r="BT135" s="62"/>
      <c r="BU135" s="62"/>
      <c r="BV135" s="62"/>
      <c r="BW135" s="62"/>
      <c r="BX135" s="62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  <c r="IW135"/>
      <c r="IX135"/>
      <c r="IY135"/>
      <c r="IZ135"/>
      <c r="JA135"/>
      <c r="JB135"/>
      <c r="JC135"/>
      <c r="JD135"/>
      <c r="JE135"/>
      <c r="JF135"/>
      <c r="JG135"/>
      <c r="JH135"/>
      <c r="JI135"/>
      <c r="JJ135"/>
      <c r="JK135"/>
      <c r="JL135"/>
      <c r="JM135"/>
      <c r="JN135"/>
      <c r="JO135"/>
      <c r="JP135"/>
      <c r="JQ135"/>
      <c r="JR135"/>
      <c r="JS135"/>
      <c r="JT135"/>
      <c r="JU135"/>
      <c r="JV135"/>
      <c r="JW135"/>
      <c r="JX135"/>
      <c r="JY135"/>
      <c r="JZ135"/>
      <c r="KA135"/>
      <c r="KB135"/>
      <c r="KC135"/>
      <c r="KD135"/>
      <c r="KE135"/>
      <c r="KF135"/>
      <c r="KG135"/>
      <c r="KH135"/>
      <c r="KI135"/>
      <c r="KJ135"/>
      <c r="KK135"/>
      <c r="KL135"/>
      <c r="KM135"/>
      <c r="KN135"/>
      <c r="KO135"/>
      <c r="KP135"/>
      <c r="KQ135"/>
      <c r="KR135"/>
      <c r="KS135"/>
      <c r="KT135"/>
      <c r="KU135"/>
      <c r="KV135"/>
      <c r="KW135"/>
      <c r="KX135"/>
      <c r="KY135"/>
      <c r="KZ135"/>
      <c r="LA135"/>
      <c r="LB135"/>
      <c r="LC135"/>
      <c r="LD135"/>
      <c r="LE135"/>
      <c r="LF135"/>
      <c r="LG135"/>
      <c r="LH135"/>
      <c r="LI135"/>
      <c r="LJ135"/>
      <c r="LK135"/>
      <c r="LL135"/>
      <c r="LM135"/>
      <c r="LN135"/>
      <c r="LO135"/>
      <c r="LP135"/>
      <c r="LQ135"/>
      <c r="LR135"/>
      <c r="LS135"/>
      <c r="LT135"/>
      <c r="LU135"/>
      <c r="LV135"/>
      <c r="LW135"/>
      <c r="LX135"/>
      <c r="LY135"/>
      <c r="LZ135"/>
      <c r="MA135"/>
      <c r="MB135"/>
      <c r="MC135"/>
      <c r="MD135"/>
      <c r="ME135"/>
      <c r="MF135"/>
      <c r="MG135"/>
      <c r="MH135"/>
      <c r="MI135"/>
      <c r="MJ135"/>
      <c r="MK135"/>
      <c r="ML135"/>
      <c r="MM135"/>
      <c r="MN135"/>
      <c r="MO135"/>
      <c r="MP135"/>
      <c r="MQ135"/>
      <c r="MR135"/>
      <c r="MS135"/>
      <c r="MT135"/>
      <c r="MU135"/>
      <c r="MV135"/>
      <c r="MW135"/>
      <c r="MX135"/>
      <c r="MY135"/>
      <c r="MZ135"/>
      <c r="NA135"/>
      <c r="NB135"/>
      <c r="NC135"/>
      <c r="ND135"/>
      <c r="NE135"/>
      <c r="NF135"/>
      <c r="NG135"/>
      <c r="NH135"/>
      <c r="NI135"/>
      <c r="NJ135"/>
      <c r="NK135"/>
      <c r="NL135"/>
      <c r="NM135"/>
      <c r="NN135"/>
      <c r="NO135"/>
      <c r="NP135"/>
      <c r="NQ135"/>
      <c r="NR135"/>
      <c r="NS135"/>
      <c r="NT135"/>
      <c r="NU135"/>
      <c r="NV135"/>
      <c r="NW135"/>
      <c r="NX135"/>
      <c r="NY135"/>
      <c r="NZ135"/>
      <c r="OA135"/>
      <c r="OB135"/>
      <c r="OC135"/>
      <c r="OD135"/>
      <c r="OE135"/>
      <c r="OF135"/>
      <c r="OG135"/>
      <c r="OH135"/>
      <c r="OI135"/>
      <c r="OJ135"/>
      <c r="OK135"/>
      <c r="OL135"/>
      <c r="OM135"/>
      <c r="ON135"/>
      <c r="OO135"/>
      <c r="OP135"/>
      <c r="OQ135"/>
      <c r="OR135"/>
      <c r="OS135"/>
      <c r="OT135"/>
      <c r="OU135"/>
      <c r="OV135"/>
      <c r="OW135"/>
      <c r="OX135"/>
      <c r="OY135"/>
      <c r="OZ135"/>
      <c r="PA135"/>
      <c r="PB135"/>
      <c r="PC135"/>
      <c r="PD135"/>
      <c r="PE135"/>
      <c r="PF135"/>
      <c r="PG135"/>
      <c r="PH135"/>
      <c r="PI135"/>
      <c r="PJ135"/>
      <c r="PK135"/>
      <c r="PL135"/>
      <c r="PM135"/>
      <c r="PN135"/>
      <c r="PO135"/>
      <c r="PP135"/>
      <c r="PQ135"/>
      <c r="PR135"/>
      <c r="PS135"/>
      <c r="PT135"/>
      <c r="PU135"/>
      <c r="PV135"/>
      <c r="PW135"/>
      <c r="PX135"/>
      <c r="PY135"/>
      <c r="PZ135"/>
      <c r="QA135"/>
      <c r="QB135"/>
      <c r="QC135"/>
      <c r="QD135"/>
      <c r="QE135"/>
      <c r="QF135"/>
      <c r="QG135"/>
      <c r="QH135"/>
      <c r="QI135"/>
      <c r="QJ135"/>
      <c r="QK135"/>
      <c r="QL135"/>
      <c r="QM135"/>
      <c r="QN135"/>
      <c r="QO135"/>
      <c r="QP135"/>
      <c r="QQ135"/>
      <c r="QR135"/>
      <c r="QS135"/>
      <c r="QT135"/>
      <c r="QU135"/>
      <c r="QV135"/>
      <c r="QW135"/>
      <c r="QX135"/>
    </row>
    <row r="136" spans="1:466" x14ac:dyDescent="0.35">
      <c r="A136" s="53"/>
      <c r="B136" s="53"/>
      <c r="C136" s="55"/>
      <c r="D136" s="53"/>
      <c r="E136" s="53"/>
      <c r="F136" s="126" t="s">
        <v>311</v>
      </c>
      <c r="G136" s="125">
        <v>0.82379999999999998</v>
      </c>
      <c r="H136" s="125">
        <v>404.48579999999998</v>
      </c>
      <c r="I136" s="133">
        <v>491</v>
      </c>
      <c r="J136" s="53"/>
      <c r="K136" s="53"/>
      <c r="L136" s="53"/>
      <c r="M136" s="53"/>
      <c r="N136" s="53"/>
      <c r="O136" s="53"/>
      <c r="P136" s="53"/>
      <c r="Q136" s="53"/>
      <c r="R136" s="53"/>
      <c r="S136" s="53"/>
      <c r="T136" s="53"/>
      <c r="U136" s="53"/>
      <c r="V136" s="53"/>
      <c r="W136" s="53"/>
      <c r="X136" s="53"/>
      <c r="Y136" s="53"/>
      <c r="Z136" s="53"/>
      <c r="AA136" s="53"/>
      <c r="AB136" s="53"/>
      <c r="AC136" s="53"/>
      <c r="AD136" s="53"/>
      <c r="AE136" s="53"/>
      <c r="AF136" s="63"/>
      <c r="AG136" s="64"/>
      <c r="AH136" s="65"/>
      <c r="AI136" s="65"/>
      <c r="AJ136" s="53"/>
      <c r="AK136" s="62"/>
      <c r="AL136" s="62"/>
      <c r="AM136" s="62"/>
      <c r="AN136" s="62"/>
      <c r="AO136" s="62"/>
      <c r="AP136" s="62"/>
      <c r="AQ136" s="62"/>
      <c r="AR136" s="62"/>
      <c r="AS136" s="62"/>
      <c r="AT136" s="62"/>
      <c r="AU136" s="62"/>
      <c r="AV136" s="62"/>
      <c r="AW136" s="62"/>
      <c r="AX136" s="62"/>
      <c r="AY136" s="62"/>
      <c r="AZ136" s="62"/>
      <c r="BA136" s="62"/>
      <c r="BB136" s="62"/>
      <c r="BC136" s="62"/>
      <c r="BD136" s="62"/>
      <c r="BE136" s="62"/>
      <c r="BF136" s="62"/>
      <c r="BG136" s="62"/>
      <c r="BH136" s="62"/>
      <c r="BI136" s="62"/>
      <c r="BJ136" s="62"/>
      <c r="BK136" s="62"/>
      <c r="BL136" s="62"/>
      <c r="BM136" s="62"/>
      <c r="BN136" s="62"/>
      <c r="BO136" s="62"/>
      <c r="BP136" s="62"/>
      <c r="BQ136" s="62"/>
      <c r="BR136" s="62"/>
      <c r="BS136" s="62"/>
      <c r="BT136" s="62"/>
      <c r="BU136" s="62"/>
      <c r="BV136" s="62"/>
      <c r="BW136" s="62"/>
      <c r="BX136" s="62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  <c r="IW136"/>
      <c r="IX136"/>
      <c r="IY136"/>
      <c r="IZ136"/>
      <c r="JA136"/>
      <c r="JB136"/>
      <c r="JC136"/>
      <c r="JD136"/>
      <c r="JE136"/>
      <c r="JF136"/>
      <c r="JG136"/>
      <c r="JH136"/>
      <c r="JI136"/>
      <c r="JJ136"/>
      <c r="JK136"/>
      <c r="JL136"/>
      <c r="JM136"/>
      <c r="JN136"/>
      <c r="JO136"/>
      <c r="JP136"/>
      <c r="JQ136"/>
      <c r="JR136"/>
      <c r="JS136"/>
      <c r="JT136"/>
      <c r="JU136"/>
      <c r="JV136"/>
      <c r="JW136"/>
      <c r="JX136"/>
      <c r="JY136"/>
      <c r="JZ136"/>
      <c r="KA136"/>
      <c r="KB136"/>
      <c r="KC136"/>
      <c r="KD136"/>
      <c r="KE136"/>
      <c r="KF136"/>
      <c r="KG136"/>
      <c r="KH136"/>
      <c r="KI136"/>
      <c r="KJ136"/>
      <c r="KK136"/>
      <c r="KL136"/>
      <c r="KM136"/>
      <c r="KN136"/>
      <c r="KO136"/>
      <c r="KP136"/>
      <c r="KQ136"/>
      <c r="KR136"/>
      <c r="KS136"/>
      <c r="KT136"/>
      <c r="KU136"/>
      <c r="KV136"/>
      <c r="KW136"/>
      <c r="KX136"/>
      <c r="KY136"/>
      <c r="KZ136"/>
      <c r="LA136"/>
      <c r="LB136"/>
      <c r="LC136"/>
      <c r="LD136"/>
      <c r="LE136"/>
      <c r="LF136"/>
      <c r="LG136"/>
      <c r="LH136"/>
      <c r="LI136"/>
      <c r="LJ136"/>
      <c r="LK136"/>
      <c r="LL136"/>
      <c r="LM136"/>
      <c r="LN136"/>
      <c r="LO136"/>
      <c r="LP136"/>
      <c r="LQ136"/>
      <c r="LR136"/>
      <c r="LS136"/>
      <c r="LT136"/>
      <c r="LU136"/>
      <c r="LV136"/>
      <c r="LW136"/>
      <c r="LX136"/>
      <c r="LY136"/>
      <c r="LZ136"/>
      <c r="MA136"/>
      <c r="MB136"/>
      <c r="MC136"/>
      <c r="MD136"/>
      <c r="ME136"/>
      <c r="MF136"/>
      <c r="MG136"/>
      <c r="MH136"/>
      <c r="MI136"/>
      <c r="MJ136"/>
      <c r="MK136"/>
      <c r="ML136"/>
      <c r="MM136"/>
      <c r="MN136"/>
      <c r="MO136"/>
      <c r="MP136"/>
      <c r="MQ136"/>
      <c r="MR136"/>
      <c r="MS136"/>
      <c r="MT136"/>
      <c r="MU136"/>
      <c r="MV136"/>
      <c r="MW136"/>
      <c r="MX136"/>
      <c r="MY136"/>
      <c r="MZ136"/>
      <c r="NA136"/>
      <c r="NB136"/>
      <c r="NC136"/>
      <c r="ND136"/>
      <c r="NE136"/>
      <c r="NF136"/>
      <c r="NG136"/>
      <c r="NH136"/>
      <c r="NI136"/>
      <c r="NJ136"/>
      <c r="NK136"/>
      <c r="NL136"/>
      <c r="NM136"/>
      <c r="NN136"/>
      <c r="NO136"/>
      <c r="NP136"/>
      <c r="NQ136"/>
      <c r="NR136"/>
      <c r="NS136"/>
      <c r="NT136"/>
      <c r="NU136"/>
      <c r="NV136"/>
      <c r="NW136"/>
      <c r="NX136"/>
      <c r="NY136"/>
      <c r="NZ136"/>
      <c r="OA136"/>
      <c r="OB136"/>
      <c r="OC136"/>
      <c r="OD136"/>
      <c r="OE136"/>
      <c r="OF136"/>
      <c r="OG136"/>
      <c r="OH136"/>
      <c r="OI136"/>
      <c r="OJ136"/>
      <c r="OK136"/>
      <c r="OL136"/>
      <c r="OM136"/>
      <c r="ON136"/>
      <c r="OO136"/>
      <c r="OP136"/>
      <c r="OQ136"/>
      <c r="OR136"/>
      <c r="OS136"/>
      <c r="OT136"/>
      <c r="OU136"/>
      <c r="OV136"/>
      <c r="OW136"/>
      <c r="OX136"/>
      <c r="OY136"/>
      <c r="OZ136"/>
      <c r="PA136"/>
      <c r="PB136"/>
      <c r="PC136"/>
      <c r="PD136"/>
      <c r="PE136"/>
      <c r="PF136"/>
      <c r="PG136"/>
      <c r="PH136"/>
      <c r="PI136"/>
      <c r="PJ136"/>
      <c r="PK136"/>
      <c r="PL136"/>
      <c r="PM136"/>
      <c r="PN136"/>
      <c r="PO136"/>
      <c r="PP136"/>
      <c r="PQ136"/>
      <c r="PR136"/>
      <c r="PS136"/>
      <c r="PT136"/>
      <c r="PU136"/>
      <c r="PV136"/>
      <c r="PW136"/>
      <c r="PX136"/>
      <c r="PY136"/>
      <c r="PZ136"/>
      <c r="QA136"/>
      <c r="QB136"/>
      <c r="QC136"/>
      <c r="QD136"/>
      <c r="QE136"/>
      <c r="QF136"/>
      <c r="QG136"/>
      <c r="QH136"/>
      <c r="QI136"/>
      <c r="QJ136"/>
      <c r="QK136"/>
      <c r="QL136"/>
      <c r="QM136"/>
      <c r="QN136"/>
      <c r="QO136"/>
      <c r="QP136"/>
      <c r="QQ136"/>
      <c r="QR136"/>
      <c r="QS136"/>
      <c r="QT136"/>
      <c r="QU136"/>
      <c r="QV136"/>
      <c r="QW136"/>
      <c r="QX136"/>
    </row>
    <row r="137" spans="1:466" x14ac:dyDescent="0.35">
      <c r="A137" s="53"/>
      <c r="B137" s="53"/>
      <c r="C137" s="55"/>
      <c r="D137" s="53"/>
      <c r="E137" s="53"/>
      <c r="F137" s="126" t="s">
        <v>313</v>
      </c>
      <c r="G137" s="125">
        <v>1.2661199999999999</v>
      </c>
      <c r="H137" s="125">
        <v>88.628399999999999</v>
      </c>
      <c r="I137" s="133">
        <v>70</v>
      </c>
      <c r="J137" s="53"/>
      <c r="K137" s="53"/>
      <c r="L137" s="53"/>
      <c r="M137" s="53"/>
      <c r="N137" s="53"/>
      <c r="O137" s="53"/>
      <c r="P137" s="53"/>
      <c r="Q137" s="53"/>
      <c r="R137" s="53"/>
      <c r="S137" s="53"/>
      <c r="T137" s="53"/>
      <c r="U137" s="53"/>
      <c r="V137" s="53"/>
      <c r="W137" s="53"/>
      <c r="X137" s="53"/>
      <c r="Y137" s="53"/>
      <c r="Z137" s="53"/>
      <c r="AA137" s="53"/>
      <c r="AB137" s="53"/>
      <c r="AC137" s="53"/>
      <c r="AD137" s="53"/>
      <c r="AE137" s="53"/>
      <c r="AF137" s="63"/>
      <c r="AG137" s="64"/>
      <c r="AH137" s="65"/>
      <c r="AI137" s="65"/>
      <c r="AJ137" s="53"/>
      <c r="AK137" s="62"/>
      <c r="AL137" s="62"/>
      <c r="AM137" s="62"/>
      <c r="AN137" s="62"/>
      <c r="AO137" s="62"/>
      <c r="AP137" s="62"/>
      <c r="AQ137" s="62"/>
      <c r="AR137" s="62"/>
      <c r="AS137" s="62"/>
      <c r="AT137" s="62"/>
      <c r="AU137" s="62"/>
      <c r="AV137" s="62"/>
      <c r="AW137" s="62"/>
      <c r="AX137" s="62"/>
      <c r="AY137" s="62"/>
      <c r="AZ137" s="62"/>
      <c r="BA137" s="62"/>
      <c r="BB137" s="62"/>
      <c r="BC137" s="62"/>
      <c r="BD137" s="62"/>
      <c r="BE137" s="62"/>
      <c r="BF137" s="62"/>
      <c r="BG137" s="62"/>
      <c r="BH137" s="62"/>
      <c r="BI137" s="62"/>
      <c r="BJ137" s="62"/>
      <c r="BK137" s="62"/>
      <c r="BL137" s="62"/>
      <c r="BM137" s="62"/>
      <c r="BN137" s="62"/>
      <c r="BO137" s="62"/>
      <c r="BP137" s="62"/>
      <c r="BQ137" s="62"/>
      <c r="BR137" s="62"/>
      <c r="BS137" s="62"/>
      <c r="BT137" s="62"/>
      <c r="BU137" s="62"/>
      <c r="BV137" s="62"/>
      <c r="BW137" s="62"/>
      <c r="BX137" s="62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  <c r="IW137"/>
      <c r="IX137"/>
      <c r="IY137"/>
      <c r="IZ137"/>
      <c r="JA137"/>
      <c r="JB137"/>
      <c r="JC137"/>
      <c r="JD137"/>
      <c r="JE137"/>
      <c r="JF137"/>
      <c r="JG137"/>
      <c r="JH137"/>
      <c r="JI137"/>
      <c r="JJ137"/>
      <c r="JK137"/>
      <c r="JL137"/>
      <c r="JM137"/>
      <c r="JN137"/>
      <c r="JO137"/>
      <c r="JP137"/>
      <c r="JQ137"/>
      <c r="JR137"/>
      <c r="JS137"/>
      <c r="JT137"/>
      <c r="JU137"/>
      <c r="JV137"/>
      <c r="JW137"/>
      <c r="JX137"/>
      <c r="JY137"/>
      <c r="JZ137"/>
      <c r="KA137"/>
      <c r="KB137"/>
      <c r="KC137"/>
      <c r="KD137"/>
      <c r="KE137"/>
      <c r="KF137"/>
      <c r="KG137"/>
      <c r="KH137"/>
      <c r="KI137"/>
      <c r="KJ137"/>
      <c r="KK137"/>
      <c r="KL137"/>
      <c r="KM137"/>
      <c r="KN137"/>
      <c r="KO137"/>
      <c r="KP137"/>
      <c r="KQ137"/>
      <c r="KR137"/>
      <c r="KS137"/>
      <c r="KT137"/>
      <c r="KU137"/>
      <c r="KV137"/>
      <c r="KW137"/>
      <c r="KX137"/>
      <c r="KY137"/>
      <c r="KZ137"/>
      <c r="LA137"/>
      <c r="LB137"/>
      <c r="LC137"/>
      <c r="LD137"/>
      <c r="LE137"/>
      <c r="LF137"/>
      <c r="LG137"/>
      <c r="LH137"/>
      <c r="LI137"/>
      <c r="LJ137"/>
      <c r="LK137"/>
      <c r="LL137"/>
      <c r="LM137"/>
      <c r="LN137"/>
      <c r="LO137"/>
      <c r="LP137"/>
      <c r="LQ137"/>
      <c r="LR137"/>
      <c r="LS137"/>
      <c r="LT137"/>
      <c r="LU137"/>
      <c r="LV137"/>
      <c r="LW137"/>
      <c r="LX137"/>
      <c r="LY137"/>
      <c r="LZ137"/>
      <c r="MA137"/>
      <c r="MB137"/>
      <c r="MC137"/>
      <c r="MD137"/>
      <c r="ME137"/>
      <c r="MF137"/>
      <c r="MG137"/>
      <c r="MH137"/>
      <c r="MI137"/>
      <c r="MJ137"/>
      <c r="MK137"/>
      <c r="ML137"/>
      <c r="MM137"/>
      <c r="MN137"/>
      <c r="MO137"/>
      <c r="MP137"/>
      <c r="MQ137"/>
      <c r="MR137"/>
      <c r="MS137"/>
      <c r="MT137"/>
      <c r="MU137"/>
      <c r="MV137"/>
      <c r="MW137"/>
      <c r="MX137"/>
      <c r="MY137"/>
      <c r="MZ137"/>
      <c r="NA137"/>
      <c r="NB137"/>
      <c r="NC137"/>
      <c r="ND137"/>
      <c r="NE137"/>
      <c r="NF137"/>
      <c r="NG137"/>
      <c r="NH137"/>
      <c r="NI137"/>
      <c r="NJ137"/>
      <c r="NK137"/>
      <c r="NL137"/>
      <c r="NM137"/>
      <c r="NN137"/>
      <c r="NO137"/>
      <c r="NP137"/>
      <c r="NQ137"/>
      <c r="NR137"/>
      <c r="NS137"/>
      <c r="NT137"/>
      <c r="NU137"/>
      <c r="NV137"/>
      <c r="NW137"/>
      <c r="NX137"/>
      <c r="NY137"/>
      <c r="NZ137"/>
      <c r="OA137"/>
      <c r="OB137"/>
      <c r="OC137"/>
      <c r="OD137"/>
      <c r="OE137"/>
      <c r="OF137"/>
      <c r="OG137"/>
      <c r="OH137"/>
      <c r="OI137"/>
      <c r="OJ137"/>
      <c r="OK137"/>
      <c r="OL137"/>
      <c r="OM137"/>
      <c r="ON137"/>
      <c r="OO137"/>
      <c r="OP137"/>
      <c r="OQ137"/>
      <c r="OR137"/>
      <c r="OS137"/>
      <c r="OT137"/>
      <c r="OU137"/>
      <c r="OV137"/>
      <c r="OW137"/>
      <c r="OX137"/>
      <c r="OY137"/>
      <c r="OZ137"/>
      <c r="PA137"/>
      <c r="PB137"/>
      <c r="PC137"/>
      <c r="PD137"/>
      <c r="PE137"/>
      <c r="PF137"/>
      <c r="PG137"/>
      <c r="PH137"/>
      <c r="PI137"/>
      <c r="PJ137"/>
      <c r="PK137"/>
      <c r="PL137"/>
      <c r="PM137"/>
      <c r="PN137"/>
      <c r="PO137"/>
      <c r="PP137"/>
      <c r="PQ137"/>
      <c r="PR137"/>
      <c r="PS137"/>
      <c r="PT137"/>
      <c r="PU137"/>
      <c r="PV137"/>
      <c r="PW137"/>
      <c r="PX137"/>
      <c r="PY137"/>
      <c r="PZ137"/>
      <c r="QA137"/>
      <c r="QB137"/>
      <c r="QC137"/>
      <c r="QD137"/>
      <c r="QE137"/>
      <c r="QF137"/>
      <c r="QG137"/>
      <c r="QH137"/>
      <c r="QI137"/>
      <c r="QJ137"/>
      <c r="QK137"/>
      <c r="QL137"/>
      <c r="QM137"/>
      <c r="QN137"/>
      <c r="QO137"/>
      <c r="QP137"/>
      <c r="QQ137"/>
      <c r="QR137"/>
      <c r="QS137"/>
      <c r="QT137"/>
      <c r="QU137"/>
      <c r="QV137"/>
      <c r="QW137"/>
      <c r="QX137"/>
    </row>
    <row r="138" spans="1:466" x14ac:dyDescent="0.35">
      <c r="A138" s="53"/>
      <c r="B138" s="53"/>
      <c r="C138" s="55"/>
      <c r="D138" s="53"/>
      <c r="E138" s="53"/>
      <c r="F138" s="126" t="s">
        <v>315</v>
      </c>
      <c r="G138" s="125">
        <v>1.6967999999999999</v>
      </c>
      <c r="H138" s="125">
        <v>251.12639999999999</v>
      </c>
      <c r="I138" s="133">
        <v>148</v>
      </c>
      <c r="J138" s="53"/>
      <c r="K138" s="53"/>
      <c r="L138" s="53"/>
      <c r="M138" s="53"/>
      <c r="N138" s="53"/>
      <c r="O138" s="53"/>
      <c r="P138" s="53"/>
      <c r="Q138" s="53"/>
      <c r="R138" s="53"/>
      <c r="S138" s="53"/>
      <c r="T138" s="53"/>
      <c r="U138" s="53"/>
      <c r="V138" s="53"/>
      <c r="W138" s="53"/>
      <c r="X138" s="53"/>
      <c r="Y138" s="53"/>
      <c r="Z138" s="53"/>
      <c r="AA138" s="53"/>
      <c r="AB138" s="53"/>
      <c r="AC138" s="53"/>
      <c r="AD138" s="53"/>
      <c r="AE138" s="53"/>
      <c r="AF138" s="63"/>
      <c r="AG138" s="64"/>
      <c r="AH138" s="65"/>
      <c r="AI138" s="65"/>
      <c r="AJ138" s="53"/>
      <c r="AK138" s="62"/>
      <c r="AL138" s="62"/>
      <c r="AM138" s="62"/>
      <c r="AN138" s="62"/>
      <c r="AO138" s="62"/>
      <c r="AP138" s="62"/>
      <c r="AQ138" s="62"/>
      <c r="AR138" s="62"/>
      <c r="AS138" s="62"/>
      <c r="AT138" s="62"/>
      <c r="AU138" s="62"/>
      <c r="AV138" s="62"/>
      <c r="AW138" s="62"/>
      <c r="AX138" s="62"/>
      <c r="AY138" s="62"/>
      <c r="AZ138" s="62"/>
      <c r="BA138" s="62"/>
      <c r="BB138" s="62"/>
      <c r="BC138" s="62"/>
      <c r="BD138" s="62"/>
      <c r="BE138" s="62"/>
      <c r="BF138" s="62"/>
      <c r="BG138" s="62"/>
      <c r="BH138" s="62"/>
      <c r="BI138" s="62"/>
      <c r="BJ138" s="62"/>
      <c r="BK138" s="62"/>
      <c r="BL138" s="62"/>
      <c r="BM138" s="62"/>
      <c r="BN138" s="62"/>
      <c r="BO138" s="62"/>
      <c r="BP138" s="62"/>
      <c r="BQ138" s="62"/>
      <c r="BR138" s="62"/>
      <c r="BS138" s="62"/>
      <c r="BT138" s="62"/>
      <c r="BU138" s="62"/>
      <c r="BV138" s="62"/>
      <c r="BW138" s="62"/>
      <c r="BX138" s="62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  <c r="HE138"/>
      <c r="HF138"/>
      <c r="HG138"/>
      <c r="HH138"/>
      <c r="HI138"/>
      <c r="HJ138"/>
      <c r="HK138"/>
      <c r="HL138"/>
      <c r="HM138"/>
      <c r="HN138"/>
      <c r="HO138"/>
      <c r="HP138"/>
      <c r="HQ138"/>
      <c r="HR138"/>
      <c r="HS138"/>
      <c r="HT138"/>
      <c r="HU138"/>
      <c r="HV138"/>
      <c r="HW138"/>
      <c r="HX138"/>
      <c r="HY138"/>
      <c r="HZ138"/>
      <c r="IA138"/>
      <c r="IB138"/>
      <c r="IC138"/>
      <c r="ID138"/>
      <c r="IE138"/>
      <c r="IF138"/>
      <c r="IG138"/>
      <c r="IH138"/>
      <c r="II138"/>
      <c r="IJ138"/>
      <c r="IK138"/>
      <c r="IL138"/>
      <c r="IM138"/>
      <c r="IN138"/>
      <c r="IO138"/>
      <c r="IP138"/>
      <c r="IQ138"/>
      <c r="IR138"/>
      <c r="IS138"/>
      <c r="IT138"/>
      <c r="IU138"/>
      <c r="IV138"/>
      <c r="IW138"/>
      <c r="IX138"/>
      <c r="IY138"/>
      <c r="IZ138"/>
      <c r="JA138"/>
      <c r="JB138"/>
      <c r="JC138"/>
      <c r="JD138"/>
      <c r="JE138"/>
      <c r="JF138"/>
      <c r="JG138"/>
      <c r="JH138"/>
      <c r="JI138"/>
      <c r="JJ138"/>
      <c r="JK138"/>
      <c r="JL138"/>
      <c r="JM138"/>
      <c r="JN138"/>
      <c r="JO138"/>
      <c r="JP138"/>
      <c r="JQ138"/>
      <c r="JR138"/>
      <c r="JS138"/>
      <c r="JT138"/>
      <c r="JU138"/>
      <c r="JV138"/>
      <c r="JW138"/>
      <c r="JX138"/>
      <c r="JY138"/>
      <c r="JZ138"/>
      <c r="KA138"/>
      <c r="KB138"/>
      <c r="KC138"/>
      <c r="KD138"/>
      <c r="KE138"/>
      <c r="KF138"/>
      <c r="KG138"/>
      <c r="KH138"/>
      <c r="KI138"/>
      <c r="KJ138"/>
      <c r="KK138"/>
      <c r="KL138"/>
      <c r="KM138"/>
      <c r="KN138"/>
      <c r="KO138"/>
      <c r="KP138"/>
      <c r="KQ138"/>
      <c r="KR138"/>
      <c r="KS138"/>
      <c r="KT138"/>
      <c r="KU138"/>
      <c r="KV138"/>
      <c r="KW138"/>
      <c r="KX138"/>
      <c r="KY138"/>
      <c r="KZ138"/>
      <c r="LA138"/>
      <c r="LB138"/>
      <c r="LC138"/>
      <c r="LD138"/>
      <c r="LE138"/>
      <c r="LF138"/>
      <c r="LG138"/>
      <c r="LH138"/>
      <c r="LI138"/>
      <c r="LJ138"/>
      <c r="LK138"/>
      <c r="LL138"/>
      <c r="LM138"/>
      <c r="LN138"/>
      <c r="LO138"/>
      <c r="LP138"/>
      <c r="LQ138"/>
      <c r="LR138"/>
      <c r="LS138"/>
      <c r="LT138"/>
      <c r="LU138"/>
      <c r="LV138"/>
      <c r="LW138"/>
      <c r="LX138"/>
      <c r="LY138"/>
      <c r="LZ138"/>
      <c r="MA138"/>
      <c r="MB138"/>
      <c r="MC138"/>
      <c r="MD138"/>
      <c r="ME138"/>
      <c r="MF138"/>
      <c r="MG138"/>
      <c r="MH138"/>
      <c r="MI138"/>
      <c r="MJ138"/>
      <c r="MK138"/>
      <c r="ML138"/>
      <c r="MM138"/>
      <c r="MN138"/>
      <c r="MO138"/>
      <c r="MP138"/>
      <c r="MQ138"/>
      <c r="MR138"/>
      <c r="MS138"/>
      <c r="MT138"/>
      <c r="MU138"/>
      <c r="MV138"/>
      <c r="MW138"/>
      <c r="MX138"/>
      <c r="MY138"/>
      <c r="MZ138"/>
      <c r="NA138"/>
      <c r="NB138"/>
      <c r="NC138"/>
      <c r="ND138"/>
      <c r="NE138"/>
      <c r="NF138"/>
      <c r="NG138"/>
      <c r="NH138"/>
      <c r="NI138"/>
      <c r="NJ138"/>
      <c r="NK138"/>
      <c r="NL138"/>
      <c r="NM138"/>
      <c r="NN138"/>
      <c r="NO138"/>
      <c r="NP138"/>
      <c r="NQ138"/>
      <c r="NR138"/>
      <c r="NS138"/>
      <c r="NT138"/>
      <c r="NU138"/>
      <c r="NV138"/>
      <c r="NW138"/>
      <c r="NX138"/>
      <c r="NY138"/>
      <c r="NZ138"/>
      <c r="OA138"/>
      <c r="OB138"/>
      <c r="OC138"/>
      <c r="OD138"/>
      <c r="OE138"/>
      <c r="OF138"/>
      <c r="OG138"/>
      <c r="OH138"/>
      <c r="OI138"/>
      <c r="OJ138"/>
      <c r="OK138"/>
      <c r="OL138"/>
      <c r="OM138"/>
      <c r="ON138"/>
      <c r="OO138"/>
      <c r="OP138"/>
      <c r="OQ138"/>
      <c r="OR138"/>
      <c r="OS138"/>
      <c r="OT138"/>
      <c r="OU138"/>
      <c r="OV138"/>
      <c r="OW138"/>
      <c r="OX138"/>
      <c r="OY138"/>
      <c r="OZ138"/>
      <c r="PA138"/>
      <c r="PB138"/>
      <c r="PC138"/>
      <c r="PD138"/>
      <c r="PE138"/>
      <c r="PF138"/>
      <c r="PG138"/>
      <c r="PH138"/>
      <c r="PI138"/>
      <c r="PJ138"/>
      <c r="PK138"/>
      <c r="PL138"/>
      <c r="PM138"/>
      <c r="PN138"/>
      <c r="PO138"/>
      <c r="PP138"/>
      <c r="PQ138"/>
      <c r="PR138"/>
      <c r="PS138"/>
      <c r="PT138"/>
      <c r="PU138"/>
      <c r="PV138"/>
      <c r="PW138"/>
      <c r="PX138"/>
      <c r="PY138"/>
      <c r="PZ138"/>
      <c r="QA138"/>
      <c r="QB138"/>
      <c r="QC138"/>
      <c r="QD138"/>
      <c r="QE138"/>
      <c r="QF138"/>
      <c r="QG138"/>
      <c r="QH138"/>
      <c r="QI138"/>
      <c r="QJ138"/>
      <c r="QK138"/>
      <c r="QL138"/>
      <c r="QM138"/>
      <c r="QN138"/>
      <c r="QO138"/>
      <c r="QP138"/>
      <c r="QQ138"/>
      <c r="QR138"/>
      <c r="QS138"/>
      <c r="QT138"/>
      <c r="QU138"/>
      <c r="QV138"/>
      <c r="QW138"/>
      <c r="QX138"/>
    </row>
    <row r="139" spans="1:466" x14ac:dyDescent="0.35">
      <c r="A139" s="53"/>
      <c r="B139" s="53"/>
      <c r="C139" s="55"/>
      <c r="D139" s="53"/>
      <c r="E139" s="53"/>
      <c r="F139" s="126" t="s">
        <v>333</v>
      </c>
      <c r="G139" s="125">
        <v>0.72</v>
      </c>
      <c r="H139" s="125">
        <v>293.03999999999996</v>
      </c>
      <c r="I139" s="133">
        <v>407</v>
      </c>
      <c r="J139" s="53"/>
      <c r="K139" s="53"/>
      <c r="L139" s="53"/>
      <c r="M139" s="53"/>
      <c r="N139" s="53"/>
      <c r="O139" s="53"/>
      <c r="P139" s="53"/>
      <c r="Q139" s="53"/>
      <c r="R139" s="53"/>
      <c r="S139" s="53"/>
      <c r="T139" s="53"/>
      <c r="U139" s="53"/>
      <c r="V139" s="53"/>
      <c r="W139" s="53"/>
      <c r="X139" s="53"/>
      <c r="Y139" s="53"/>
      <c r="Z139" s="53"/>
      <c r="AA139" s="53"/>
      <c r="AB139" s="53"/>
      <c r="AC139" s="53"/>
      <c r="AD139" s="53"/>
      <c r="AE139" s="53"/>
      <c r="AF139" s="63"/>
      <c r="AG139" s="64"/>
      <c r="AH139" s="65"/>
      <c r="AI139" s="65"/>
      <c r="AJ139" s="53"/>
      <c r="AK139" s="62"/>
      <c r="AL139" s="62"/>
      <c r="AM139" s="62"/>
      <c r="AN139" s="62"/>
      <c r="AO139" s="62"/>
      <c r="AP139" s="62"/>
      <c r="AQ139" s="62"/>
      <c r="AR139" s="62"/>
      <c r="AS139" s="62"/>
      <c r="AT139" s="62"/>
      <c r="AU139" s="62"/>
      <c r="AV139" s="62"/>
      <c r="AW139" s="62"/>
      <c r="AX139" s="62"/>
      <c r="AY139" s="62"/>
      <c r="AZ139" s="62"/>
      <c r="BA139" s="62"/>
      <c r="BB139" s="62"/>
      <c r="BC139" s="62"/>
      <c r="BD139" s="62"/>
      <c r="BE139" s="62"/>
      <c r="BF139" s="62"/>
      <c r="BG139" s="62"/>
      <c r="BH139" s="62"/>
      <c r="BI139" s="62"/>
      <c r="BJ139" s="62"/>
      <c r="BK139" s="62"/>
      <c r="BL139" s="62"/>
      <c r="BM139" s="62"/>
      <c r="BN139" s="62"/>
      <c r="BO139" s="62"/>
      <c r="BP139" s="62"/>
      <c r="BQ139" s="62"/>
      <c r="BR139" s="62"/>
      <c r="BS139" s="62"/>
      <c r="BT139" s="62"/>
      <c r="BU139" s="62"/>
      <c r="BV139" s="62"/>
      <c r="BW139" s="62"/>
      <c r="BX139" s="62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  <c r="HB139"/>
      <c r="HC139"/>
      <c r="HD139"/>
      <c r="HE139"/>
      <c r="HF139"/>
      <c r="HG139"/>
      <c r="HH139"/>
      <c r="HI139"/>
      <c r="HJ139"/>
      <c r="HK139"/>
      <c r="HL139"/>
      <c r="HM139"/>
      <c r="HN139"/>
      <c r="HO139"/>
      <c r="HP139"/>
      <c r="HQ139"/>
      <c r="HR139"/>
      <c r="HS139"/>
      <c r="HT139"/>
      <c r="HU139"/>
      <c r="HV139"/>
      <c r="HW139"/>
      <c r="HX139"/>
      <c r="HY139"/>
      <c r="HZ139"/>
      <c r="IA139"/>
      <c r="IB139"/>
      <c r="IC139"/>
      <c r="ID139"/>
      <c r="IE139"/>
      <c r="IF139"/>
      <c r="IG139"/>
      <c r="IH139"/>
      <c r="II139"/>
      <c r="IJ139"/>
      <c r="IK139"/>
      <c r="IL139"/>
      <c r="IM139"/>
      <c r="IN139"/>
      <c r="IO139"/>
      <c r="IP139"/>
      <c r="IQ139"/>
      <c r="IR139"/>
      <c r="IS139"/>
      <c r="IT139"/>
      <c r="IU139"/>
      <c r="IV139"/>
      <c r="IW139"/>
      <c r="IX139"/>
      <c r="IY139"/>
      <c r="IZ139"/>
      <c r="JA139"/>
      <c r="JB139"/>
      <c r="JC139"/>
      <c r="JD139"/>
      <c r="JE139"/>
      <c r="JF139"/>
      <c r="JG139"/>
      <c r="JH139"/>
      <c r="JI139"/>
      <c r="JJ139"/>
      <c r="JK139"/>
      <c r="JL139"/>
      <c r="JM139"/>
      <c r="JN139"/>
      <c r="JO139"/>
      <c r="JP139"/>
      <c r="JQ139"/>
      <c r="JR139"/>
      <c r="JS139"/>
      <c r="JT139"/>
      <c r="JU139"/>
      <c r="JV139"/>
      <c r="JW139"/>
      <c r="JX139"/>
      <c r="JY139"/>
      <c r="JZ139"/>
      <c r="KA139"/>
      <c r="KB139"/>
      <c r="KC139"/>
      <c r="KD139"/>
      <c r="KE139"/>
      <c r="KF139"/>
      <c r="KG139"/>
      <c r="KH139"/>
      <c r="KI139"/>
      <c r="KJ139"/>
      <c r="KK139"/>
      <c r="KL139"/>
      <c r="KM139"/>
      <c r="KN139"/>
      <c r="KO139"/>
      <c r="KP139"/>
      <c r="KQ139"/>
      <c r="KR139"/>
      <c r="KS139"/>
      <c r="KT139"/>
      <c r="KU139"/>
      <c r="KV139"/>
      <c r="KW139"/>
      <c r="KX139"/>
      <c r="KY139"/>
      <c r="KZ139"/>
      <c r="LA139"/>
      <c r="LB139"/>
      <c r="LC139"/>
      <c r="LD139"/>
      <c r="LE139"/>
      <c r="LF139"/>
      <c r="LG139"/>
      <c r="LH139"/>
      <c r="LI139"/>
      <c r="LJ139"/>
      <c r="LK139"/>
      <c r="LL139"/>
      <c r="LM139"/>
      <c r="LN139"/>
      <c r="LO139"/>
      <c r="LP139"/>
      <c r="LQ139"/>
      <c r="LR139"/>
      <c r="LS139"/>
      <c r="LT139"/>
      <c r="LU139"/>
      <c r="LV139"/>
      <c r="LW139"/>
      <c r="LX139"/>
      <c r="LY139"/>
      <c r="LZ139"/>
      <c r="MA139"/>
      <c r="MB139"/>
      <c r="MC139"/>
      <c r="MD139"/>
      <c r="ME139"/>
      <c r="MF139"/>
      <c r="MG139"/>
      <c r="MH139"/>
      <c r="MI139"/>
      <c r="MJ139"/>
      <c r="MK139"/>
      <c r="ML139"/>
      <c r="MM139"/>
      <c r="MN139"/>
      <c r="MO139"/>
      <c r="MP139"/>
      <c r="MQ139"/>
      <c r="MR139"/>
      <c r="MS139"/>
      <c r="MT139"/>
      <c r="MU139"/>
      <c r="MV139"/>
      <c r="MW139"/>
      <c r="MX139"/>
      <c r="MY139"/>
      <c r="MZ139"/>
      <c r="NA139"/>
      <c r="NB139"/>
      <c r="NC139"/>
      <c r="ND139"/>
      <c r="NE139"/>
      <c r="NF139"/>
      <c r="NG139"/>
      <c r="NH139"/>
      <c r="NI139"/>
      <c r="NJ139"/>
      <c r="NK139"/>
      <c r="NL139"/>
      <c r="NM139"/>
      <c r="NN139"/>
      <c r="NO139"/>
      <c r="NP139"/>
      <c r="NQ139"/>
      <c r="NR139"/>
      <c r="NS139"/>
      <c r="NT139"/>
      <c r="NU139"/>
      <c r="NV139"/>
      <c r="NW139"/>
      <c r="NX139"/>
      <c r="NY139"/>
      <c r="NZ139"/>
      <c r="OA139"/>
      <c r="OB139"/>
      <c r="OC139"/>
      <c r="OD139"/>
      <c r="OE139"/>
      <c r="OF139"/>
      <c r="OG139"/>
      <c r="OH139"/>
      <c r="OI139"/>
      <c r="OJ139"/>
      <c r="OK139"/>
      <c r="OL139"/>
      <c r="OM139"/>
      <c r="ON139"/>
      <c r="OO139"/>
      <c r="OP139"/>
      <c r="OQ139"/>
      <c r="OR139"/>
      <c r="OS139"/>
      <c r="OT139"/>
      <c r="OU139"/>
      <c r="OV139"/>
      <c r="OW139"/>
      <c r="OX139"/>
      <c r="OY139"/>
      <c r="OZ139"/>
      <c r="PA139"/>
      <c r="PB139"/>
      <c r="PC139"/>
      <c r="PD139"/>
      <c r="PE139"/>
      <c r="PF139"/>
      <c r="PG139"/>
      <c r="PH139"/>
      <c r="PI139"/>
      <c r="PJ139"/>
      <c r="PK139"/>
      <c r="PL139"/>
      <c r="PM139"/>
      <c r="PN139"/>
      <c r="PO139"/>
      <c r="PP139"/>
      <c r="PQ139"/>
      <c r="PR139"/>
      <c r="PS139"/>
      <c r="PT139"/>
      <c r="PU139"/>
      <c r="PV139"/>
      <c r="PW139"/>
      <c r="PX139"/>
      <c r="PY139"/>
      <c r="PZ139"/>
      <c r="QA139"/>
      <c r="QB139"/>
      <c r="QC139"/>
      <c r="QD139"/>
      <c r="QE139"/>
      <c r="QF139"/>
      <c r="QG139"/>
      <c r="QH139"/>
      <c r="QI139"/>
      <c r="QJ139"/>
      <c r="QK139"/>
      <c r="QL139"/>
      <c r="QM139"/>
      <c r="QN139"/>
      <c r="QO139"/>
      <c r="QP139"/>
      <c r="QQ139"/>
      <c r="QR139"/>
      <c r="QS139"/>
      <c r="QT139"/>
      <c r="QU139"/>
      <c r="QV139"/>
      <c r="QW139"/>
      <c r="QX139"/>
    </row>
    <row r="140" spans="1:466" x14ac:dyDescent="0.35">
      <c r="A140" s="53"/>
      <c r="B140" s="53"/>
      <c r="C140" s="55"/>
      <c r="D140" s="53"/>
      <c r="E140" s="53"/>
      <c r="F140" s="126" t="s">
        <v>335</v>
      </c>
      <c r="G140" s="125">
        <v>0.72</v>
      </c>
      <c r="H140" s="125">
        <v>0</v>
      </c>
      <c r="I140" s="133">
        <v>0</v>
      </c>
      <c r="J140" s="53"/>
      <c r="K140" s="53"/>
      <c r="L140" s="53"/>
      <c r="M140" s="53"/>
      <c r="N140" s="53"/>
      <c r="O140" s="53"/>
      <c r="P140" s="53"/>
      <c r="Q140" s="53"/>
      <c r="R140" s="53"/>
      <c r="S140" s="53"/>
      <c r="T140" s="53"/>
      <c r="U140" s="53"/>
      <c r="V140" s="53"/>
      <c r="W140" s="53"/>
      <c r="X140" s="53"/>
      <c r="Y140" s="53"/>
      <c r="Z140" s="53"/>
      <c r="AA140" s="53"/>
      <c r="AB140" s="53"/>
      <c r="AC140" s="53"/>
      <c r="AD140" s="53"/>
      <c r="AE140" s="53"/>
      <c r="AF140" s="63"/>
      <c r="AG140" s="64"/>
      <c r="AH140" s="65"/>
      <c r="AI140" s="65"/>
      <c r="AJ140" s="53"/>
      <c r="AK140" s="62"/>
      <c r="AL140" s="62"/>
      <c r="AM140" s="62"/>
      <c r="AN140" s="62"/>
      <c r="AO140" s="62"/>
      <c r="AP140" s="62"/>
      <c r="AQ140" s="62"/>
      <c r="AR140" s="62"/>
      <c r="AS140" s="62"/>
      <c r="AT140" s="62"/>
      <c r="AU140" s="62"/>
      <c r="AV140" s="62"/>
      <c r="AW140" s="62"/>
      <c r="AX140" s="62"/>
      <c r="AY140" s="62"/>
      <c r="AZ140" s="62"/>
      <c r="BA140" s="62"/>
      <c r="BB140" s="62"/>
      <c r="BC140" s="62"/>
      <c r="BD140" s="62"/>
      <c r="BE140" s="62"/>
      <c r="BF140" s="62"/>
      <c r="BG140" s="62"/>
      <c r="BH140" s="62"/>
      <c r="BI140" s="62"/>
      <c r="BJ140" s="62"/>
      <c r="BK140" s="62"/>
      <c r="BL140" s="62"/>
      <c r="BM140" s="62"/>
      <c r="BN140" s="62"/>
      <c r="BO140" s="62"/>
      <c r="BP140" s="62"/>
      <c r="BQ140" s="62"/>
      <c r="BR140" s="62"/>
      <c r="BS140" s="62"/>
      <c r="BT140" s="62"/>
      <c r="BU140" s="62"/>
      <c r="BV140" s="62"/>
      <c r="BW140" s="62"/>
      <c r="BX140" s="62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  <c r="HB140"/>
      <c r="HC140"/>
      <c r="HD140"/>
      <c r="HE140"/>
      <c r="HF140"/>
      <c r="HG140"/>
      <c r="HH140"/>
      <c r="HI140"/>
      <c r="HJ140"/>
      <c r="HK140"/>
      <c r="HL140"/>
      <c r="HM140"/>
      <c r="HN140"/>
      <c r="HO140"/>
      <c r="HP140"/>
      <c r="HQ140"/>
      <c r="HR140"/>
      <c r="HS140"/>
      <c r="HT140"/>
      <c r="HU140"/>
      <c r="HV140"/>
      <c r="HW140"/>
      <c r="HX140"/>
      <c r="HY140"/>
      <c r="HZ140"/>
      <c r="IA140"/>
      <c r="IB140"/>
      <c r="IC140"/>
      <c r="ID140"/>
      <c r="IE140"/>
      <c r="IF140"/>
      <c r="IG140"/>
      <c r="IH140"/>
      <c r="II140"/>
      <c r="IJ140"/>
      <c r="IK140"/>
      <c r="IL140"/>
      <c r="IM140"/>
      <c r="IN140"/>
      <c r="IO140"/>
      <c r="IP140"/>
      <c r="IQ140"/>
      <c r="IR140"/>
      <c r="IS140"/>
      <c r="IT140"/>
      <c r="IU140"/>
      <c r="IV140"/>
      <c r="IW140"/>
      <c r="IX140"/>
      <c r="IY140"/>
      <c r="IZ140"/>
      <c r="JA140"/>
      <c r="JB140"/>
      <c r="JC140"/>
      <c r="JD140"/>
      <c r="JE140"/>
      <c r="JF140"/>
      <c r="JG140"/>
      <c r="JH140"/>
      <c r="JI140"/>
      <c r="JJ140"/>
      <c r="JK140"/>
      <c r="JL140"/>
      <c r="JM140"/>
      <c r="JN140"/>
      <c r="JO140"/>
      <c r="JP140"/>
      <c r="JQ140"/>
      <c r="JR140"/>
      <c r="JS140"/>
      <c r="JT140"/>
      <c r="JU140"/>
      <c r="JV140"/>
      <c r="JW140"/>
      <c r="JX140"/>
      <c r="JY140"/>
      <c r="JZ140"/>
      <c r="KA140"/>
      <c r="KB140"/>
      <c r="KC140"/>
      <c r="KD140"/>
      <c r="KE140"/>
      <c r="KF140"/>
      <c r="KG140"/>
      <c r="KH140"/>
      <c r="KI140"/>
      <c r="KJ140"/>
      <c r="KK140"/>
      <c r="KL140"/>
      <c r="KM140"/>
      <c r="KN140"/>
      <c r="KO140"/>
      <c r="KP140"/>
      <c r="KQ140"/>
      <c r="KR140"/>
      <c r="KS140"/>
      <c r="KT140"/>
      <c r="KU140"/>
      <c r="KV140"/>
      <c r="KW140"/>
      <c r="KX140"/>
      <c r="KY140"/>
      <c r="KZ140"/>
      <c r="LA140"/>
      <c r="LB140"/>
      <c r="LC140"/>
      <c r="LD140"/>
      <c r="LE140"/>
      <c r="LF140"/>
      <c r="LG140"/>
      <c r="LH140"/>
      <c r="LI140"/>
      <c r="LJ140"/>
      <c r="LK140"/>
      <c r="LL140"/>
      <c r="LM140"/>
      <c r="LN140"/>
      <c r="LO140"/>
      <c r="LP140"/>
      <c r="LQ140"/>
      <c r="LR140"/>
      <c r="LS140"/>
      <c r="LT140"/>
      <c r="LU140"/>
      <c r="LV140"/>
      <c r="LW140"/>
      <c r="LX140"/>
      <c r="LY140"/>
      <c r="LZ140"/>
      <c r="MA140"/>
      <c r="MB140"/>
      <c r="MC140"/>
      <c r="MD140"/>
      <c r="ME140"/>
      <c r="MF140"/>
      <c r="MG140"/>
      <c r="MH140"/>
      <c r="MI140"/>
      <c r="MJ140"/>
      <c r="MK140"/>
      <c r="ML140"/>
      <c r="MM140"/>
      <c r="MN140"/>
      <c r="MO140"/>
      <c r="MP140"/>
      <c r="MQ140"/>
      <c r="MR140"/>
      <c r="MS140"/>
      <c r="MT140"/>
      <c r="MU140"/>
      <c r="MV140"/>
      <c r="MW140"/>
      <c r="MX140"/>
      <c r="MY140"/>
      <c r="MZ140"/>
      <c r="NA140"/>
      <c r="NB140"/>
      <c r="NC140"/>
      <c r="ND140"/>
      <c r="NE140"/>
      <c r="NF140"/>
      <c r="NG140"/>
      <c r="NH140"/>
      <c r="NI140"/>
      <c r="NJ140"/>
      <c r="NK140"/>
      <c r="NL140"/>
      <c r="NM140"/>
      <c r="NN140"/>
      <c r="NO140"/>
      <c r="NP140"/>
      <c r="NQ140"/>
      <c r="NR140"/>
      <c r="NS140"/>
      <c r="NT140"/>
      <c r="NU140"/>
      <c r="NV140"/>
      <c r="NW140"/>
      <c r="NX140"/>
      <c r="NY140"/>
      <c r="NZ140"/>
      <c r="OA140"/>
      <c r="OB140"/>
      <c r="OC140"/>
      <c r="OD140"/>
      <c r="OE140"/>
      <c r="OF140"/>
      <c r="OG140"/>
      <c r="OH140"/>
      <c r="OI140"/>
      <c r="OJ140"/>
      <c r="OK140"/>
      <c r="OL140"/>
      <c r="OM140"/>
      <c r="ON140"/>
      <c r="OO140"/>
      <c r="OP140"/>
      <c r="OQ140"/>
      <c r="OR140"/>
      <c r="OS140"/>
      <c r="OT140"/>
      <c r="OU140"/>
      <c r="OV140"/>
      <c r="OW140"/>
      <c r="OX140"/>
      <c r="OY140"/>
      <c r="OZ140"/>
      <c r="PA140"/>
      <c r="PB140"/>
      <c r="PC140"/>
      <c r="PD140"/>
      <c r="PE140"/>
      <c r="PF140"/>
      <c r="PG140"/>
      <c r="PH140"/>
      <c r="PI140"/>
      <c r="PJ140"/>
      <c r="PK140"/>
      <c r="PL140"/>
      <c r="PM140"/>
      <c r="PN140"/>
      <c r="PO140"/>
      <c r="PP140"/>
      <c r="PQ140"/>
      <c r="PR140"/>
      <c r="PS140"/>
      <c r="PT140"/>
      <c r="PU140"/>
      <c r="PV140"/>
      <c r="PW140"/>
      <c r="PX140"/>
      <c r="PY140"/>
      <c r="PZ140"/>
      <c r="QA140"/>
      <c r="QB140"/>
      <c r="QC140"/>
      <c r="QD140"/>
      <c r="QE140"/>
      <c r="QF140"/>
      <c r="QG140"/>
      <c r="QH140"/>
      <c r="QI140"/>
      <c r="QJ140"/>
      <c r="QK140"/>
      <c r="QL140"/>
      <c r="QM140"/>
      <c r="QN140"/>
      <c r="QO140"/>
      <c r="QP140"/>
      <c r="QQ140"/>
      <c r="QR140"/>
      <c r="QS140"/>
      <c r="QT140"/>
      <c r="QU140"/>
      <c r="QV140"/>
      <c r="QW140"/>
      <c r="QX140"/>
    </row>
    <row r="141" spans="1:466" x14ac:dyDescent="0.35">
      <c r="A141" s="53"/>
      <c r="B141" s="53"/>
      <c r="C141" s="55"/>
      <c r="D141" s="53"/>
      <c r="E141" s="53"/>
      <c r="F141" s="126" t="s">
        <v>197</v>
      </c>
      <c r="G141" s="125">
        <v>5.6280000000000001</v>
      </c>
      <c r="H141" s="125">
        <v>0</v>
      </c>
      <c r="I141" s="133">
        <v>0</v>
      </c>
      <c r="J141" s="53"/>
      <c r="K141" s="53"/>
      <c r="L141" s="53"/>
      <c r="M141" s="53"/>
      <c r="N141" s="53"/>
      <c r="O141" s="53"/>
      <c r="P141" s="53"/>
      <c r="Q141" s="53"/>
      <c r="R141" s="53"/>
      <c r="S141" s="53"/>
      <c r="T141" s="53"/>
      <c r="U141" s="53"/>
      <c r="V141" s="53"/>
      <c r="W141" s="53"/>
      <c r="X141" s="53"/>
      <c r="Y141" s="53"/>
      <c r="Z141" s="53"/>
      <c r="AA141" s="53"/>
      <c r="AB141" s="53"/>
      <c r="AC141" s="53"/>
      <c r="AD141" s="53"/>
      <c r="AE141" s="53"/>
      <c r="AF141" s="63"/>
      <c r="AG141" s="64"/>
      <c r="AH141" s="65"/>
      <c r="AI141" s="65"/>
      <c r="AJ141" s="53"/>
      <c r="AK141" s="62"/>
      <c r="AL141" s="62"/>
      <c r="AM141" s="62"/>
      <c r="AN141" s="62"/>
      <c r="AO141" s="62"/>
      <c r="AP141" s="62"/>
      <c r="AQ141" s="62"/>
      <c r="AR141" s="62"/>
      <c r="AS141" s="62"/>
      <c r="AT141" s="62"/>
      <c r="AU141" s="62"/>
      <c r="AV141" s="62"/>
      <c r="AW141" s="62"/>
      <c r="AX141" s="62"/>
      <c r="AY141" s="62"/>
      <c r="AZ141" s="62"/>
      <c r="BA141" s="62"/>
      <c r="BB141" s="62"/>
      <c r="BC141" s="62"/>
      <c r="BD141" s="62"/>
      <c r="BE141" s="62"/>
      <c r="BF141" s="62"/>
      <c r="BG141" s="62"/>
      <c r="BH141" s="62"/>
      <c r="BI141" s="62"/>
      <c r="BJ141" s="62"/>
      <c r="BK141" s="62"/>
      <c r="BL141" s="62"/>
      <c r="BM141" s="62"/>
      <c r="BN141" s="62"/>
      <c r="BO141" s="62"/>
      <c r="BP141" s="62"/>
      <c r="BQ141" s="62"/>
      <c r="BR141" s="62"/>
      <c r="BS141" s="62"/>
      <c r="BT141" s="62"/>
      <c r="BU141" s="62"/>
      <c r="BV141" s="62"/>
      <c r="BW141" s="62"/>
      <c r="BX141" s="62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  <c r="HB141"/>
      <c r="HC141"/>
      <c r="HD141"/>
      <c r="HE141"/>
      <c r="HF141"/>
      <c r="HG141"/>
      <c r="HH141"/>
      <c r="HI141"/>
      <c r="HJ141"/>
      <c r="HK141"/>
      <c r="HL141"/>
      <c r="HM141"/>
      <c r="HN141"/>
      <c r="HO141"/>
      <c r="HP141"/>
      <c r="HQ141"/>
      <c r="HR141"/>
      <c r="HS141"/>
      <c r="HT141"/>
      <c r="HU141"/>
      <c r="HV141"/>
      <c r="HW141"/>
      <c r="HX141"/>
      <c r="HY141"/>
      <c r="HZ141"/>
      <c r="IA141"/>
      <c r="IB141"/>
      <c r="IC141"/>
      <c r="ID141"/>
      <c r="IE141"/>
      <c r="IF141"/>
      <c r="IG141"/>
      <c r="IH141"/>
      <c r="II141"/>
      <c r="IJ141"/>
      <c r="IK141"/>
      <c r="IL141"/>
      <c r="IM141"/>
      <c r="IN141"/>
      <c r="IO141"/>
      <c r="IP141"/>
      <c r="IQ141"/>
      <c r="IR141"/>
      <c r="IS141"/>
      <c r="IT141"/>
      <c r="IU141"/>
      <c r="IV141"/>
      <c r="IW141"/>
      <c r="IX141"/>
      <c r="IY141"/>
      <c r="IZ141"/>
      <c r="JA141"/>
      <c r="JB141"/>
      <c r="JC141"/>
      <c r="JD141"/>
      <c r="JE141"/>
      <c r="JF141"/>
      <c r="JG141"/>
      <c r="JH141"/>
      <c r="JI141"/>
      <c r="JJ141"/>
      <c r="JK141"/>
      <c r="JL141"/>
      <c r="JM141"/>
      <c r="JN141"/>
      <c r="JO141"/>
      <c r="JP141"/>
      <c r="JQ141"/>
      <c r="JR141"/>
      <c r="JS141"/>
      <c r="JT141"/>
      <c r="JU141"/>
      <c r="JV141"/>
      <c r="JW141"/>
      <c r="JX141"/>
      <c r="JY141"/>
      <c r="JZ141"/>
      <c r="KA141"/>
      <c r="KB141"/>
      <c r="KC141"/>
      <c r="KD141"/>
      <c r="KE141"/>
      <c r="KF141"/>
      <c r="KG141"/>
      <c r="KH141"/>
      <c r="KI141"/>
      <c r="KJ141"/>
      <c r="KK141"/>
      <c r="KL141"/>
      <c r="KM141"/>
      <c r="KN141"/>
      <c r="KO141"/>
      <c r="KP141"/>
      <c r="KQ141"/>
      <c r="KR141"/>
      <c r="KS141"/>
      <c r="KT141"/>
      <c r="KU141"/>
      <c r="KV141"/>
      <c r="KW141"/>
      <c r="KX141"/>
      <c r="KY141"/>
      <c r="KZ141"/>
      <c r="LA141"/>
      <c r="LB141"/>
      <c r="LC141"/>
      <c r="LD141"/>
      <c r="LE141"/>
      <c r="LF141"/>
      <c r="LG141"/>
      <c r="LH141"/>
      <c r="LI141"/>
      <c r="LJ141"/>
      <c r="LK141"/>
      <c r="LL141"/>
      <c r="LM141"/>
      <c r="LN141"/>
      <c r="LO141"/>
      <c r="LP141"/>
      <c r="LQ141"/>
      <c r="LR141"/>
      <c r="LS141"/>
      <c r="LT141"/>
      <c r="LU141"/>
      <c r="LV141"/>
      <c r="LW141"/>
      <c r="LX141"/>
      <c r="LY141"/>
      <c r="LZ141"/>
      <c r="MA141"/>
      <c r="MB141"/>
      <c r="MC141"/>
      <c r="MD141"/>
      <c r="ME141"/>
      <c r="MF141"/>
      <c r="MG141"/>
      <c r="MH141"/>
      <c r="MI141"/>
      <c r="MJ141"/>
      <c r="MK141"/>
      <c r="ML141"/>
      <c r="MM141"/>
      <c r="MN141"/>
      <c r="MO141"/>
      <c r="MP141"/>
      <c r="MQ141"/>
      <c r="MR141"/>
      <c r="MS141"/>
      <c r="MT141"/>
      <c r="MU141"/>
      <c r="MV141"/>
      <c r="MW141"/>
      <c r="MX141"/>
      <c r="MY141"/>
      <c r="MZ141"/>
      <c r="NA141"/>
      <c r="NB141"/>
      <c r="NC141"/>
      <c r="ND141"/>
      <c r="NE141"/>
      <c r="NF141"/>
      <c r="NG141"/>
      <c r="NH141"/>
      <c r="NI141"/>
      <c r="NJ141"/>
      <c r="NK141"/>
      <c r="NL141"/>
      <c r="NM141"/>
      <c r="NN141"/>
      <c r="NO141"/>
      <c r="NP141"/>
      <c r="NQ141"/>
      <c r="NR141"/>
      <c r="NS141"/>
      <c r="NT141"/>
      <c r="NU141"/>
      <c r="NV141"/>
      <c r="NW141"/>
      <c r="NX141"/>
      <c r="NY141"/>
      <c r="NZ141"/>
      <c r="OA141"/>
      <c r="OB141"/>
      <c r="OC141"/>
      <c r="OD141"/>
      <c r="OE141"/>
      <c r="OF141"/>
      <c r="OG141"/>
      <c r="OH141"/>
      <c r="OI141"/>
      <c r="OJ141"/>
      <c r="OK141"/>
      <c r="OL141"/>
      <c r="OM141"/>
      <c r="ON141"/>
      <c r="OO141"/>
      <c r="OP141"/>
      <c r="OQ141"/>
      <c r="OR141"/>
      <c r="OS141"/>
      <c r="OT141"/>
      <c r="OU141"/>
      <c r="OV141"/>
      <c r="OW141"/>
      <c r="OX141"/>
      <c r="OY141"/>
      <c r="OZ141"/>
      <c r="PA141"/>
      <c r="PB141"/>
      <c r="PC141"/>
      <c r="PD141"/>
      <c r="PE141"/>
      <c r="PF141"/>
      <c r="PG141"/>
      <c r="PH141"/>
      <c r="PI141"/>
      <c r="PJ141"/>
      <c r="PK141"/>
      <c r="PL141"/>
      <c r="PM141"/>
      <c r="PN141"/>
      <c r="PO141"/>
      <c r="PP141"/>
      <c r="PQ141"/>
      <c r="PR141"/>
      <c r="PS141"/>
      <c r="PT141"/>
      <c r="PU141"/>
      <c r="PV141"/>
      <c r="PW141"/>
      <c r="PX141"/>
      <c r="PY141"/>
      <c r="PZ141"/>
      <c r="QA141"/>
      <c r="QB141"/>
      <c r="QC141"/>
      <c r="QD141"/>
      <c r="QE141"/>
      <c r="QF141"/>
      <c r="QG141"/>
      <c r="QH141"/>
      <c r="QI141"/>
      <c r="QJ141"/>
      <c r="QK141"/>
      <c r="QL141"/>
      <c r="QM141"/>
      <c r="QN141"/>
      <c r="QO141"/>
      <c r="QP141"/>
      <c r="QQ141"/>
      <c r="QR141"/>
      <c r="QS141"/>
      <c r="QT141"/>
      <c r="QU141"/>
      <c r="QV141"/>
      <c r="QW141"/>
      <c r="QX141"/>
    </row>
    <row r="142" spans="1:466" x14ac:dyDescent="0.35">
      <c r="A142" s="53"/>
      <c r="B142" s="53"/>
      <c r="C142" s="55"/>
      <c r="D142" s="53"/>
      <c r="E142" s="53"/>
      <c r="F142" s="126" t="s">
        <v>200</v>
      </c>
      <c r="G142" s="125">
        <v>7.02</v>
      </c>
      <c r="H142" s="125">
        <v>0</v>
      </c>
      <c r="I142" s="133">
        <v>0</v>
      </c>
      <c r="J142" s="53"/>
      <c r="K142" s="53"/>
      <c r="L142" s="53"/>
      <c r="M142" s="53"/>
      <c r="N142" s="53"/>
      <c r="O142" s="53"/>
      <c r="P142" s="53"/>
      <c r="Q142" s="53"/>
      <c r="R142" s="53"/>
      <c r="S142" s="53"/>
      <c r="T142" s="53"/>
      <c r="U142" s="53"/>
      <c r="V142" s="53"/>
      <c r="W142" s="53"/>
      <c r="X142" s="53"/>
      <c r="Y142" s="53"/>
      <c r="Z142" s="53"/>
      <c r="AA142" s="53"/>
      <c r="AB142" s="53"/>
      <c r="AC142" s="53"/>
      <c r="AD142" s="53"/>
      <c r="AE142" s="53"/>
      <c r="AF142" s="63"/>
      <c r="AG142" s="64"/>
      <c r="AH142" s="65"/>
      <c r="AI142" s="65"/>
      <c r="AJ142" s="53"/>
      <c r="AK142" s="62"/>
      <c r="AL142" s="62"/>
      <c r="AM142" s="62"/>
      <c r="AN142" s="62"/>
      <c r="AO142" s="62"/>
      <c r="AP142" s="62"/>
      <c r="AQ142" s="62"/>
      <c r="AR142" s="62"/>
      <c r="AS142" s="62"/>
      <c r="AT142" s="62"/>
      <c r="AU142" s="62"/>
      <c r="AV142" s="62"/>
      <c r="AW142" s="62"/>
      <c r="AX142" s="62"/>
      <c r="AY142" s="62"/>
      <c r="AZ142" s="62"/>
      <c r="BA142" s="62"/>
      <c r="BB142" s="62"/>
      <c r="BC142" s="62"/>
      <c r="BD142" s="62"/>
      <c r="BE142" s="62"/>
      <c r="BF142" s="62"/>
      <c r="BG142" s="62"/>
      <c r="BH142" s="62"/>
      <c r="BI142" s="62"/>
      <c r="BJ142" s="62"/>
      <c r="BK142" s="62"/>
      <c r="BL142" s="62"/>
      <c r="BM142" s="62"/>
      <c r="BN142" s="62"/>
      <c r="BO142" s="62"/>
      <c r="BP142" s="62"/>
      <c r="BQ142" s="62"/>
      <c r="BR142" s="62"/>
      <c r="BS142" s="62"/>
      <c r="BT142" s="62"/>
      <c r="BU142" s="62"/>
      <c r="BV142" s="62"/>
      <c r="BW142" s="62"/>
      <c r="BX142" s="6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  <c r="HB142"/>
      <c r="HC142"/>
      <c r="HD142"/>
      <c r="HE142"/>
      <c r="HF142"/>
      <c r="HG142"/>
      <c r="HH142"/>
      <c r="HI142"/>
      <c r="HJ142"/>
      <c r="HK142"/>
      <c r="HL142"/>
      <c r="HM142"/>
      <c r="HN142"/>
      <c r="HO142"/>
      <c r="HP142"/>
      <c r="HQ142"/>
      <c r="HR142"/>
      <c r="HS142"/>
      <c r="HT142"/>
      <c r="HU142"/>
      <c r="HV142"/>
      <c r="HW142"/>
      <c r="HX142"/>
      <c r="HY142"/>
      <c r="HZ142"/>
      <c r="IA142"/>
      <c r="IB142"/>
      <c r="IC142"/>
      <c r="ID142"/>
      <c r="IE142"/>
      <c r="IF142"/>
      <c r="IG142"/>
      <c r="IH142"/>
      <c r="II142"/>
      <c r="IJ142"/>
      <c r="IK142"/>
      <c r="IL142"/>
      <c r="IM142"/>
      <c r="IN142"/>
      <c r="IO142"/>
      <c r="IP142"/>
      <c r="IQ142"/>
      <c r="IR142"/>
      <c r="IS142"/>
      <c r="IT142"/>
      <c r="IU142"/>
      <c r="IV142"/>
      <c r="IW142"/>
      <c r="IX142"/>
      <c r="IY142"/>
      <c r="IZ142"/>
      <c r="JA142"/>
      <c r="JB142"/>
      <c r="JC142"/>
      <c r="JD142"/>
      <c r="JE142"/>
      <c r="JF142"/>
      <c r="JG142"/>
      <c r="JH142"/>
      <c r="JI142"/>
      <c r="JJ142"/>
      <c r="JK142"/>
      <c r="JL142"/>
      <c r="JM142"/>
      <c r="JN142"/>
      <c r="JO142"/>
      <c r="JP142"/>
      <c r="JQ142"/>
      <c r="JR142"/>
      <c r="JS142"/>
      <c r="JT142"/>
      <c r="JU142"/>
      <c r="JV142"/>
      <c r="JW142"/>
      <c r="JX142"/>
      <c r="JY142"/>
      <c r="JZ142"/>
      <c r="KA142"/>
      <c r="KB142"/>
      <c r="KC142"/>
      <c r="KD142"/>
      <c r="KE142"/>
      <c r="KF142"/>
      <c r="KG142"/>
      <c r="KH142"/>
      <c r="KI142"/>
      <c r="KJ142"/>
      <c r="KK142"/>
      <c r="KL142"/>
      <c r="KM142"/>
      <c r="KN142"/>
      <c r="KO142"/>
      <c r="KP142"/>
      <c r="KQ142"/>
      <c r="KR142"/>
      <c r="KS142"/>
      <c r="KT142"/>
      <c r="KU142"/>
      <c r="KV142"/>
      <c r="KW142"/>
      <c r="KX142"/>
      <c r="KY142"/>
      <c r="KZ142"/>
      <c r="LA142"/>
      <c r="LB142"/>
      <c r="LC142"/>
      <c r="LD142"/>
      <c r="LE142"/>
      <c r="LF142"/>
      <c r="LG142"/>
      <c r="LH142"/>
      <c r="LI142"/>
      <c r="LJ142"/>
      <c r="LK142"/>
      <c r="LL142"/>
      <c r="LM142"/>
      <c r="LN142"/>
      <c r="LO142"/>
      <c r="LP142"/>
      <c r="LQ142"/>
      <c r="LR142"/>
      <c r="LS142"/>
      <c r="LT142"/>
      <c r="LU142"/>
      <c r="LV142"/>
      <c r="LW142"/>
      <c r="LX142"/>
      <c r="LY142"/>
      <c r="LZ142"/>
      <c r="MA142"/>
      <c r="MB142"/>
      <c r="MC142"/>
      <c r="MD142"/>
      <c r="ME142"/>
      <c r="MF142"/>
      <c r="MG142"/>
      <c r="MH142"/>
      <c r="MI142"/>
      <c r="MJ142"/>
      <c r="MK142"/>
      <c r="ML142"/>
      <c r="MM142"/>
      <c r="MN142"/>
      <c r="MO142"/>
      <c r="MP142"/>
      <c r="MQ142"/>
      <c r="MR142"/>
      <c r="MS142"/>
      <c r="MT142"/>
      <c r="MU142"/>
      <c r="MV142"/>
      <c r="MW142"/>
      <c r="MX142"/>
      <c r="MY142"/>
      <c r="MZ142"/>
      <c r="NA142"/>
      <c r="NB142"/>
      <c r="NC142"/>
      <c r="ND142"/>
      <c r="NE142"/>
      <c r="NF142"/>
      <c r="NG142"/>
      <c r="NH142"/>
      <c r="NI142"/>
      <c r="NJ142"/>
      <c r="NK142"/>
      <c r="NL142"/>
      <c r="NM142"/>
      <c r="NN142"/>
      <c r="NO142"/>
      <c r="NP142"/>
      <c r="NQ142"/>
      <c r="NR142"/>
      <c r="NS142"/>
      <c r="NT142"/>
      <c r="NU142"/>
      <c r="NV142"/>
      <c r="NW142"/>
      <c r="NX142"/>
      <c r="NY142"/>
      <c r="NZ142"/>
      <c r="OA142"/>
      <c r="OB142"/>
      <c r="OC142"/>
      <c r="OD142"/>
      <c r="OE142"/>
      <c r="OF142"/>
      <c r="OG142"/>
      <c r="OH142"/>
      <c r="OI142"/>
      <c r="OJ142"/>
      <c r="OK142"/>
      <c r="OL142"/>
      <c r="OM142"/>
      <c r="ON142"/>
      <c r="OO142"/>
      <c r="OP142"/>
      <c r="OQ142"/>
      <c r="OR142"/>
      <c r="OS142"/>
      <c r="OT142"/>
      <c r="OU142"/>
      <c r="OV142"/>
      <c r="OW142"/>
      <c r="OX142"/>
      <c r="OY142"/>
      <c r="OZ142"/>
      <c r="PA142"/>
      <c r="PB142"/>
      <c r="PC142"/>
      <c r="PD142"/>
      <c r="PE142"/>
      <c r="PF142"/>
      <c r="PG142"/>
      <c r="PH142"/>
      <c r="PI142"/>
      <c r="PJ142"/>
      <c r="PK142"/>
      <c r="PL142"/>
      <c r="PM142"/>
      <c r="PN142"/>
      <c r="PO142"/>
      <c r="PP142"/>
      <c r="PQ142"/>
      <c r="PR142"/>
      <c r="PS142"/>
      <c r="PT142"/>
      <c r="PU142"/>
      <c r="PV142"/>
      <c r="PW142"/>
      <c r="PX142"/>
      <c r="PY142"/>
      <c r="PZ142"/>
      <c r="QA142"/>
      <c r="QB142"/>
      <c r="QC142"/>
      <c r="QD142"/>
      <c r="QE142"/>
      <c r="QF142"/>
      <c r="QG142"/>
      <c r="QH142"/>
      <c r="QI142"/>
      <c r="QJ142"/>
      <c r="QK142"/>
      <c r="QL142"/>
      <c r="QM142"/>
      <c r="QN142"/>
      <c r="QO142"/>
      <c r="QP142"/>
      <c r="QQ142"/>
      <c r="QR142"/>
      <c r="QS142"/>
      <c r="QT142"/>
      <c r="QU142"/>
      <c r="QV142"/>
      <c r="QW142"/>
      <c r="QX142"/>
    </row>
    <row r="143" spans="1:466" x14ac:dyDescent="0.35">
      <c r="A143" s="53"/>
      <c r="B143" s="53"/>
      <c r="C143" s="55"/>
      <c r="D143" s="53"/>
      <c r="E143" s="53"/>
      <c r="F143" s="126" t="s">
        <v>202</v>
      </c>
      <c r="G143" s="125">
        <v>11.88</v>
      </c>
      <c r="H143" s="125">
        <v>3421.44</v>
      </c>
      <c r="I143" s="133">
        <v>288</v>
      </c>
      <c r="J143" s="53"/>
      <c r="K143" s="53"/>
      <c r="L143" s="53"/>
      <c r="M143" s="53"/>
      <c r="N143" s="53"/>
      <c r="O143" s="53"/>
      <c r="P143" s="53"/>
      <c r="Q143" s="53"/>
      <c r="R143" s="53"/>
      <c r="S143" s="53"/>
      <c r="T143" s="53"/>
      <c r="U143" s="53"/>
      <c r="V143" s="53"/>
      <c r="W143" s="53"/>
      <c r="X143" s="53"/>
      <c r="Y143" s="53"/>
      <c r="Z143" s="53"/>
      <c r="AA143" s="53"/>
      <c r="AB143" s="53"/>
      <c r="AC143" s="53"/>
      <c r="AD143" s="53"/>
      <c r="AE143" s="53"/>
      <c r="AF143" s="63"/>
      <c r="AG143" s="64"/>
      <c r="AH143" s="65"/>
      <c r="AI143" s="65"/>
      <c r="AJ143" s="53"/>
      <c r="AK143" s="62"/>
      <c r="AL143" s="62"/>
      <c r="AM143" s="62"/>
      <c r="AN143" s="62"/>
      <c r="AO143" s="62"/>
      <c r="AP143" s="62"/>
      <c r="AQ143" s="62"/>
      <c r="AR143" s="62"/>
      <c r="AS143" s="62"/>
      <c r="AT143" s="62"/>
      <c r="AU143" s="62"/>
      <c r="AV143" s="62"/>
      <c r="AW143" s="62"/>
      <c r="AX143" s="62"/>
      <c r="AY143" s="62"/>
      <c r="AZ143" s="62"/>
      <c r="BA143" s="62"/>
      <c r="BB143" s="62"/>
      <c r="BC143" s="62"/>
      <c r="BD143" s="62"/>
      <c r="BE143" s="62"/>
      <c r="BF143" s="62"/>
      <c r="BG143" s="62"/>
      <c r="BH143" s="62"/>
      <c r="BI143" s="62"/>
      <c r="BJ143" s="62"/>
      <c r="BK143" s="62"/>
      <c r="BL143" s="62"/>
      <c r="BM143" s="62"/>
      <c r="BN143" s="62"/>
      <c r="BO143" s="62"/>
      <c r="BP143" s="62"/>
      <c r="BQ143" s="62"/>
      <c r="BR143" s="62"/>
      <c r="BS143" s="62"/>
      <c r="BT143" s="62"/>
      <c r="BU143" s="62"/>
      <c r="BV143" s="62"/>
      <c r="BW143" s="62"/>
      <c r="BX143" s="62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  <c r="HB143"/>
      <c r="HC143"/>
      <c r="HD143"/>
      <c r="HE143"/>
      <c r="HF143"/>
      <c r="HG143"/>
      <c r="HH143"/>
      <c r="HI143"/>
      <c r="HJ143"/>
      <c r="HK143"/>
      <c r="HL143"/>
      <c r="HM143"/>
      <c r="HN143"/>
      <c r="HO143"/>
      <c r="HP143"/>
      <c r="HQ143"/>
      <c r="HR143"/>
      <c r="HS143"/>
      <c r="HT143"/>
      <c r="HU143"/>
      <c r="HV143"/>
      <c r="HW143"/>
      <c r="HX143"/>
      <c r="HY143"/>
      <c r="HZ143"/>
      <c r="IA143"/>
      <c r="IB143"/>
      <c r="IC143"/>
      <c r="ID143"/>
      <c r="IE143"/>
      <c r="IF143"/>
      <c r="IG143"/>
      <c r="IH143"/>
      <c r="II143"/>
      <c r="IJ143"/>
      <c r="IK143"/>
      <c r="IL143"/>
      <c r="IM143"/>
      <c r="IN143"/>
      <c r="IO143"/>
      <c r="IP143"/>
      <c r="IQ143"/>
      <c r="IR143"/>
      <c r="IS143"/>
      <c r="IT143"/>
      <c r="IU143"/>
      <c r="IV143"/>
      <c r="IW143"/>
      <c r="IX143"/>
      <c r="IY143"/>
      <c r="IZ143"/>
      <c r="JA143"/>
      <c r="JB143"/>
      <c r="JC143"/>
      <c r="JD143"/>
      <c r="JE143"/>
      <c r="JF143"/>
      <c r="JG143"/>
      <c r="JH143"/>
      <c r="JI143"/>
      <c r="JJ143"/>
      <c r="JK143"/>
      <c r="JL143"/>
      <c r="JM143"/>
      <c r="JN143"/>
      <c r="JO143"/>
      <c r="JP143"/>
      <c r="JQ143"/>
      <c r="JR143"/>
      <c r="JS143"/>
      <c r="JT143"/>
      <c r="JU143"/>
      <c r="JV143"/>
      <c r="JW143"/>
      <c r="JX143"/>
      <c r="JY143"/>
      <c r="JZ143"/>
      <c r="KA143"/>
      <c r="KB143"/>
      <c r="KC143"/>
      <c r="KD143"/>
      <c r="KE143"/>
      <c r="KF143"/>
      <c r="KG143"/>
      <c r="KH143"/>
      <c r="KI143"/>
      <c r="KJ143"/>
      <c r="KK143"/>
      <c r="KL143"/>
      <c r="KM143"/>
      <c r="KN143"/>
      <c r="KO143"/>
      <c r="KP143"/>
      <c r="KQ143"/>
      <c r="KR143"/>
      <c r="KS143"/>
      <c r="KT143"/>
      <c r="KU143"/>
      <c r="KV143"/>
      <c r="KW143"/>
      <c r="KX143"/>
      <c r="KY143"/>
      <c r="KZ143"/>
      <c r="LA143"/>
      <c r="LB143"/>
      <c r="LC143"/>
      <c r="LD143"/>
      <c r="LE143"/>
      <c r="LF143"/>
      <c r="LG143"/>
      <c r="LH143"/>
      <c r="LI143"/>
      <c r="LJ143"/>
      <c r="LK143"/>
      <c r="LL143"/>
      <c r="LM143"/>
      <c r="LN143"/>
      <c r="LO143"/>
      <c r="LP143"/>
      <c r="LQ143"/>
      <c r="LR143"/>
      <c r="LS143"/>
      <c r="LT143"/>
      <c r="LU143"/>
      <c r="LV143"/>
      <c r="LW143"/>
      <c r="LX143"/>
      <c r="LY143"/>
      <c r="LZ143"/>
      <c r="MA143"/>
      <c r="MB143"/>
      <c r="MC143"/>
      <c r="MD143"/>
      <c r="ME143"/>
      <c r="MF143"/>
      <c r="MG143"/>
      <c r="MH143"/>
      <c r="MI143"/>
      <c r="MJ143"/>
      <c r="MK143"/>
      <c r="ML143"/>
      <c r="MM143"/>
      <c r="MN143"/>
      <c r="MO143"/>
      <c r="MP143"/>
      <c r="MQ143"/>
      <c r="MR143"/>
      <c r="MS143"/>
      <c r="MT143"/>
      <c r="MU143"/>
      <c r="MV143"/>
      <c r="MW143"/>
      <c r="MX143"/>
      <c r="MY143"/>
      <c r="MZ143"/>
      <c r="NA143"/>
      <c r="NB143"/>
      <c r="NC143"/>
      <c r="ND143"/>
      <c r="NE143"/>
      <c r="NF143"/>
      <c r="NG143"/>
      <c r="NH143"/>
      <c r="NI143"/>
      <c r="NJ143"/>
      <c r="NK143"/>
      <c r="NL143"/>
      <c r="NM143"/>
      <c r="NN143"/>
      <c r="NO143"/>
      <c r="NP143"/>
      <c r="NQ143"/>
      <c r="NR143"/>
      <c r="NS143"/>
      <c r="NT143"/>
      <c r="NU143"/>
      <c r="NV143"/>
      <c r="NW143"/>
      <c r="NX143"/>
      <c r="NY143"/>
      <c r="NZ143"/>
      <c r="OA143"/>
      <c r="OB143"/>
      <c r="OC143"/>
      <c r="OD143"/>
      <c r="OE143"/>
      <c r="OF143"/>
      <c r="OG143"/>
      <c r="OH143"/>
      <c r="OI143"/>
      <c r="OJ143"/>
      <c r="OK143"/>
      <c r="OL143"/>
      <c r="OM143"/>
      <c r="ON143"/>
      <c r="OO143"/>
      <c r="OP143"/>
      <c r="OQ143"/>
      <c r="OR143"/>
      <c r="OS143"/>
      <c r="OT143"/>
      <c r="OU143"/>
      <c r="OV143"/>
      <c r="OW143"/>
      <c r="OX143"/>
      <c r="OY143"/>
      <c r="OZ143"/>
      <c r="PA143"/>
      <c r="PB143"/>
      <c r="PC143"/>
      <c r="PD143"/>
      <c r="PE143"/>
      <c r="PF143"/>
      <c r="PG143"/>
      <c r="PH143"/>
      <c r="PI143"/>
      <c r="PJ143"/>
      <c r="PK143"/>
      <c r="PL143"/>
      <c r="PM143"/>
      <c r="PN143"/>
      <c r="PO143"/>
      <c r="PP143"/>
      <c r="PQ143"/>
      <c r="PR143"/>
      <c r="PS143"/>
      <c r="PT143"/>
      <c r="PU143"/>
      <c r="PV143"/>
      <c r="PW143"/>
      <c r="PX143"/>
      <c r="PY143"/>
      <c r="PZ143"/>
      <c r="QA143"/>
      <c r="QB143"/>
      <c r="QC143"/>
      <c r="QD143"/>
      <c r="QE143"/>
      <c r="QF143"/>
      <c r="QG143"/>
      <c r="QH143"/>
      <c r="QI143"/>
      <c r="QJ143"/>
      <c r="QK143"/>
      <c r="QL143"/>
      <c r="QM143"/>
      <c r="QN143"/>
      <c r="QO143"/>
      <c r="QP143"/>
      <c r="QQ143"/>
      <c r="QR143"/>
      <c r="QS143"/>
      <c r="QT143"/>
      <c r="QU143"/>
      <c r="QV143"/>
      <c r="QW143"/>
      <c r="QX143"/>
    </row>
    <row r="144" spans="1:466" x14ac:dyDescent="0.35">
      <c r="A144" s="53"/>
      <c r="B144" s="53"/>
      <c r="C144" s="55"/>
      <c r="D144" s="53"/>
      <c r="E144" s="53"/>
      <c r="F144" s="126" t="s">
        <v>234</v>
      </c>
      <c r="G144" s="125">
        <v>0.504</v>
      </c>
      <c r="H144" s="125">
        <v>612.86400000000003</v>
      </c>
      <c r="I144" s="133">
        <v>1216</v>
      </c>
      <c r="J144" s="53"/>
      <c r="K144" s="53"/>
      <c r="L144" s="53"/>
      <c r="M144" s="53"/>
      <c r="N144" s="53"/>
      <c r="O144" s="53"/>
      <c r="P144" s="53"/>
      <c r="Q144" s="53"/>
      <c r="R144" s="53"/>
      <c r="S144" s="53"/>
      <c r="T144" s="53"/>
      <c r="U144" s="53"/>
      <c r="V144" s="53"/>
      <c r="W144" s="53"/>
      <c r="X144" s="53"/>
      <c r="Y144" s="53"/>
      <c r="Z144" s="53"/>
      <c r="AA144" s="53"/>
      <c r="AB144" s="53"/>
      <c r="AC144" s="53"/>
      <c r="AD144" s="53"/>
      <c r="AE144" s="53"/>
      <c r="AF144" s="63"/>
      <c r="AG144" s="64"/>
      <c r="AH144" s="65"/>
      <c r="AI144" s="65"/>
      <c r="AJ144" s="53"/>
      <c r="AK144" s="62"/>
      <c r="AL144" s="62"/>
      <c r="AM144" s="62"/>
      <c r="AN144" s="62"/>
      <c r="AO144" s="62"/>
      <c r="AP144" s="62"/>
      <c r="AQ144" s="62"/>
      <c r="AR144" s="62"/>
      <c r="AS144" s="62"/>
      <c r="AT144" s="62"/>
      <c r="AU144" s="62"/>
      <c r="AV144" s="62"/>
      <c r="AW144" s="62"/>
      <c r="AX144" s="62"/>
      <c r="AY144" s="62"/>
      <c r="AZ144" s="62"/>
      <c r="BA144" s="62"/>
      <c r="BB144" s="62"/>
      <c r="BC144" s="62"/>
      <c r="BD144" s="62"/>
      <c r="BE144" s="62"/>
      <c r="BF144" s="62"/>
      <c r="BG144" s="62"/>
      <c r="BH144" s="62"/>
      <c r="BI144" s="62"/>
      <c r="BJ144" s="62"/>
      <c r="BK144" s="62"/>
      <c r="BL144" s="62"/>
      <c r="BM144" s="62"/>
      <c r="BN144" s="62"/>
      <c r="BO144" s="62"/>
      <c r="BP144" s="62"/>
      <c r="BQ144" s="62"/>
      <c r="BR144" s="62"/>
      <c r="BS144" s="62"/>
      <c r="BT144" s="62"/>
      <c r="BU144" s="62"/>
      <c r="BV144" s="62"/>
      <c r="BW144" s="62"/>
      <c r="BX144" s="62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  <c r="HB144"/>
      <c r="HC144"/>
      <c r="HD144"/>
      <c r="HE144"/>
      <c r="HF144"/>
      <c r="HG144"/>
      <c r="HH144"/>
      <c r="HI144"/>
      <c r="HJ144"/>
      <c r="HK144"/>
      <c r="HL144"/>
      <c r="HM144"/>
      <c r="HN144"/>
      <c r="HO144"/>
      <c r="HP144"/>
      <c r="HQ144"/>
      <c r="HR144"/>
      <c r="HS144"/>
      <c r="HT144"/>
      <c r="HU144"/>
      <c r="HV144"/>
      <c r="HW144"/>
      <c r="HX144"/>
      <c r="HY144"/>
      <c r="HZ144"/>
      <c r="IA144"/>
      <c r="IB144"/>
      <c r="IC144"/>
      <c r="ID144"/>
      <c r="IE144"/>
      <c r="IF144"/>
      <c r="IG144"/>
      <c r="IH144"/>
      <c r="II144"/>
      <c r="IJ144"/>
      <c r="IK144"/>
      <c r="IL144"/>
      <c r="IM144"/>
      <c r="IN144"/>
      <c r="IO144"/>
      <c r="IP144"/>
      <c r="IQ144"/>
      <c r="IR144"/>
      <c r="IS144"/>
      <c r="IT144"/>
      <c r="IU144"/>
      <c r="IV144"/>
      <c r="IW144"/>
      <c r="IX144"/>
      <c r="IY144"/>
      <c r="IZ144"/>
      <c r="JA144"/>
      <c r="JB144"/>
      <c r="JC144"/>
      <c r="JD144"/>
      <c r="JE144"/>
      <c r="JF144"/>
      <c r="JG144"/>
      <c r="JH144"/>
      <c r="JI144"/>
      <c r="JJ144"/>
      <c r="JK144"/>
      <c r="JL144"/>
      <c r="JM144"/>
      <c r="JN144"/>
      <c r="JO144"/>
      <c r="JP144"/>
      <c r="JQ144"/>
      <c r="JR144"/>
      <c r="JS144"/>
      <c r="JT144"/>
      <c r="JU144"/>
      <c r="JV144"/>
      <c r="JW144"/>
      <c r="JX144"/>
      <c r="JY144"/>
      <c r="JZ144"/>
      <c r="KA144"/>
      <c r="KB144"/>
      <c r="KC144"/>
      <c r="KD144"/>
      <c r="KE144"/>
      <c r="KF144"/>
      <c r="KG144"/>
      <c r="KH144"/>
      <c r="KI144"/>
      <c r="KJ144"/>
      <c r="KK144"/>
      <c r="KL144"/>
      <c r="KM144"/>
      <c r="KN144"/>
      <c r="KO144"/>
      <c r="KP144"/>
      <c r="KQ144"/>
      <c r="KR144"/>
      <c r="KS144"/>
      <c r="KT144"/>
      <c r="KU144"/>
      <c r="KV144"/>
      <c r="KW144"/>
      <c r="KX144"/>
      <c r="KY144"/>
      <c r="KZ144"/>
      <c r="LA144"/>
      <c r="LB144"/>
      <c r="LC144"/>
      <c r="LD144"/>
      <c r="LE144"/>
      <c r="LF144"/>
      <c r="LG144"/>
      <c r="LH144"/>
      <c r="LI144"/>
      <c r="LJ144"/>
      <c r="LK144"/>
      <c r="LL144"/>
      <c r="LM144"/>
      <c r="LN144"/>
      <c r="LO144"/>
      <c r="LP144"/>
      <c r="LQ144"/>
      <c r="LR144"/>
      <c r="LS144"/>
      <c r="LT144"/>
      <c r="LU144"/>
      <c r="LV144"/>
      <c r="LW144"/>
      <c r="LX144"/>
      <c r="LY144"/>
      <c r="LZ144"/>
      <c r="MA144"/>
      <c r="MB144"/>
      <c r="MC144"/>
      <c r="MD144"/>
      <c r="ME144"/>
      <c r="MF144"/>
      <c r="MG144"/>
      <c r="MH144"/>
      <c r="MI144"/>
      <c r="MJ144"/>
      <c r="MK144"/>
      <c r="ML144"/>
      <c r="MM144"/>
      <c r="MN144"/>
      <c r="MO144"/>
      <c r="MP144"/>
      <c r="MQ144"/>
      <c r="MR144"/>
      <c r="MS144"/>
      <c r="MT144"/>
      <c r="MU144"/>
      <c r="MV144"/>
      <c r="MW144"/>
      <c r="MX144"/>
      <c r="MY144"/>
      <c r="MZ144"/>
      <c r="NA144"/>
      <c r="NB144"/>
      <c r="NC144"/>
      <c r="ND144"/>
      <c r="NE144"/>
      <c r="NF144"/>
      <c r="NG144"/>
      <c r="NH144"/>
      <c r="NI144"/>
      <c r="NJ144"/>
      <c r="NK144"/>
      <c r="NL144"/>
      <c r="NM144"/>
      <c r="NN144"/>
      <c r="NO144"/>
      <c r="NP144"/>
      <c r="NQ144"/>
      <c r="NR144"/>
      <c r="NS144"/>
      <c r="NT144"/>
      <c r="NU144"/>
      <c r="NV144"/>
      <c r="NW144"/>
      <c r="NX144"/>
      <c r="NY144"/>
      <c r="NZ144"/>
      <c r="OA144"/>
      <c r="OB144"/>
      <c r="OC144"/>
      <c r="OD144"/>
      <c r="OE144"/>
      <c r="OF144"/>
      <c r="OG144"/>
      <c r="OH144"/>
      <c r="OI144"/>
      <c r="OJ144"/>
      <c r="OK144"/>
      <c r="OL144"/>
      <c r="OM144"/>
      <c r="ON144"/>
      <c r="OO144"/>
      <c r="OP144"/>
      <c r="OQ144"/>
      <c r="OR144"/>
      <c r="OS144"/>
      <c r="OT144"/>
      <c r="OU144"/>
      <c r="OV144"/>
      <c r="OW144"/>
      <c r="OX144"/>
      <c r="OY144"/>
      <c r="OZ144"/>
      <c r="PA144"/>
      <c r="PB144"/>
      <c r="PC144"/>
      <c r="PD144"/>
      <c r="PE144"/>
      <c r="PF144"/>
      <c r="PG144"/>
      <c r="PH144"/>
      <c r="PI144"/>
      <c r="PJ144"/>
      <c r="PK144"/>
      <c r="PL144"/>
      <c r="PM144"/>
      <c r="PN144"/>
      <c r="PO144"/>
      <c r="PP144"/>
      <c r="PQ144"/>
      <c r="PR144"/>
      <c r="PS144"/>
      <c r="PT144"/>
      <c r="PU144"/>
      <c r="PV144"/>
      <c r="PW144"/>
      <c r="PX144"/>
      <c r="PY144"/>
      <c r="PZ144"/>
      <c r="QA144"/>
      <c r="QB144"/>
      <c r="QC144"/>
      <c r="QD144"/>
      <c r="QE144"/>
      <c r="QF144"/>
      <c r="QG144"/>
      <c r="QH144"/>
      <c r="QI144"/>
      <c r="QJ144"/>
      <c r="QK144"/>
      <c r="QL144"/>
      <c r="QM144"/>
      <c r="QN144"/>
      <c r="QO144"/>
      <c r="QP144"/>
      <c r="QQ144"/>
      <c r="QR144"/>
      <c r="QS144"/>
      <c r="QT144"/>
      <c r="QU144"/>
      <c r="QV144"/>
      <c r="QW144"/>
      <c r="QX144"/>
    </row>
    <row r="145" spans="1:466" x14ac:dyDescent="0.35">
      <c r="A145" s="53"/>
      <c r="B145" s="53"/>
      <c r="C145" s="55"/>
      <c r="D145" s="53"/>
      <c r="E145" s="53"/>
      <c r="F145" s="126" t="s">
        <v>287</v>
      </c>
      <c r="G145" s="125">
        <v>0.504</v>
      </c>
      <c r="H145" s="125">
        <v>27.216000000000001</v>
      </c>
      <c r="I145" s="133">
        <v>54</v>
      </c>
      <c r="J145" s="53"/>
      <c r="K145" s="53"/>
      <c r="L145" s="53"/>
      <c r="M145" s="53"/>
      <c r="N145" s="53"/>
      <c r="O145" s="53"/>
      <c r="P145" s="53"/>
      <c r="Q145" s="53"/>
      <c r="R145" s="53"/>
      <c r="S145" s="53"/>
      <c r="T145" s="53"/>
      <c r="U145" s="53"/>
      <c r="V145" s="53"/>
      <c r="W145" s="53"/>
      <c r="X145" s="53"/>
      <c r="Y145" s="53"/>
      <c r="Z145" s="53"/>
      <c r="AA145" s="53"/>
      <c r="AB145" s="53"/>
      <c r="AC145" s="53"/>
      <c r="AD145" s="53"/>
      <c r="AE145" s="53"/>
      <c r="AF145" s="63"/>
      <c r="AG145" s="64"/>
      <c r="AH145" s="65"/>
      <c r="AI145" s="65"/>
      <c r="AJ145" s="53"/>
      <c r="AK145" s="62"/>
      <c r="AL145" s="62"/>
      <c r="AM145" s="62"/>
      <c r="AN145" s="62"/>
      <c r="AO145" s="62"/>
      <c r="AP145" s="62"/>
      <c r="AQ145" s="62"/>
      <c r="AR145" s="62"/>
      <c r="AS145" s="62"/>
      <c r="AT145" s="62"/>
      <c r="AU145" s="62"/>
      <c r="AV145" s="62"/>
      <c r="AW145" s="62"/>
      <c r="AX145" s="62"/>
      <c r="AY145" s="62"/>
      <c r="AZ145" s="62"/>
      <c r="BA145" s="62"/>
      <c r="BB145" s="62"/>
      <c r="BC145" s="62"/>
      <c r="BD145" s="62"/>
      <c r="BE145" s="62"/>
      <c r="BF145" s="62"/>
      <c r="BG145" s="62"/>
      <c r="BH145" s="62"/>
      <c r="BI145" s="62"/>
      <c r="BJ145" s="62"/>
      <c r="BK145" s="62"/>
      <c r="BL145" s="62"/>
      <c r="BM145" s="62"/>
      <c r="BN145" s="62"/>
      <c r="BO145" s="62"/>
      <c r="BP145" s="62"/>
      <c r="BQ145" s="62"/>
      <c r="BR145" s="62"/>
      <c r="BS145" s="62"/>
      <c r="BT145" s="62"/>
      <c r="BU145" s="62"/>
      <c r="BV145" s="62"/>
      <c r="BW145" s="62"/>
      <c r="BX145" s="62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  <c r="HB145"/>
      <c r="HC145"/>
      <c r="HD145"/>
      <c r="HE145"/>
      <c r="HF145"/>
      <c r="HG145"/>
      <c r="HH145"/>
      <c r="HI145"/>
      <c r="HJ145"/>
      <c r="HK145"/>
      <c r="HL145"/>
      <c r="HM145"/>
      <c r="HN145"/>
      <c r="HO145"/>
      <c r="HP145"/>
      <c r="HQ145"/>
      <c r="HR145"/>
      <c r="HS145"/>
      <c r="HT145"/>
      <c r="HU145"/>
      <c r="HV145"/>
      <c r="HW145"/>
      <c r="HX145"/>
      <c r="HY145"/>
      <c r="HZ145"/>
      <c r="IA145"/>
      <c r="IB145"/>
      <c r="IC145"/>
      <c r="ID145"/>
      <c r="IE145"/>
      <c r="IF145"/>
      <c r="IG145"/>
      <c r="IH145"/>
      <c r="II145"/>
      <c r="IJ145"/>
      <c r="IK145"/>
      <c r="IL145"/>
      <c r="IM145"/>
      <c r="IN145"/>
      <c r="IO145"/>
      <c r="IP145"/>
      <c r="IQ145"/>
      <c r="IR145"/>
      <c r="IS145"/>
      <c r="IT145"/>
      <c r="IU145"/>
      <c r="IV145"/>
      <c r="IW145"/>
      <c r="IX145"/>
      <c r="IY145"/>
      <c r="IZ145"/>
      <c r="JA145"/>
      <c r="JB145"/>
      <c r="JC145"/>
      <c r="JD145"/>
      <c r="JE145"/>
      <c r="JF145"/>
      <c r="JG145"/>
      <c r="JH145"/>
      <c r="JI145"/>
      <c r="JJ145"/>
      <c r="JK145"/>
      <c r="JL145"/>
      <c r="JM145"/>
      <c r="JN145"/>
      <c r="JO145"/>
      <c r="JP145"/>
      <c r="JQ145"/>
      <c r="JR145"/>
      <c r="JS145"/>
      <c r="JT145"/>
      <c r="JU145"/>
      <c r="JV145"/>
      <c r="JW145"/>
      <c r="JX145"/>
      <c r="JY145"/>
      <c r="JZ145"/>
      <c r="KA145"/>
      <c r="KB145"/>
      <c r="KC145"/>
      <c r="KD145"/>
      <c r="KE145"/>
      <c r="KF145"/>
      <c r="KG145"/>
      <c r="KH145"/>
      <c r="KI145"/>
      <c r="KJ145"/>
      <c r="KK145"/>
      <c r="KL145"/>
      <c r="KM145"/>
      <c r="KN145"/>
      <c r="KO145"/>
      <c r="KP145"/>
      <c r="KQ145"/>
      <c r="KR145"/>
      <c r="KS145"/>
      <c r="KT145"/>
      <c r="KU145"/>
      <c r="KV145"/>
      <c r="KW145"/>
      <c r="KX145"/>
      <c r="KY145"/>
      <c r="KZ145"/>
      <c r="LA145"/>
      <c r="LB145"/>
      <c r="LC145"/>
      <c r="LD145"/>
      <c r="LE145"/>
      <c r="LF145"/>
      <c r="LG145"/>
      <c r="LH145"/>
      <c r="LI145"/>
      <c r="LJ145"/>
      <c r="LK145"/>
      <c r="LL145"/>
      <c r="LM145"/>
      <c r="LN145"/>
      <c r="LO145"/>
      <c r="LP145"/>
      <c r="LQ145"/>
      <c r="LR145"/>
      <c r="LS145"/>
      <c r="LT145"/>
      <c r="LU145"/>
      <c r="LV145"/>
      <c r="LW145"/>
      <c r="LX145"/>
      <c r="LY145"/>
      <c r="LZ145"/>
      <c r="MA145"/>
      <c r="MB145"/>
      <c r="MC145"/>
      <c r="MD145"/>
      <c r="ME145"/>
      <c r="MF145"/>
      <c r="MG145"/>
      <c r="MH145"/>
      <c r="MI145"/>
      <c r="MJ145"/>
      <c r="MK145"/>
      <c r="ML145"/>
      <c r="MM145"/>
      <c r="MN145"/>
      <c r="MO145"/>
      <c r="MP145"/>
      <c r="MQ145"/>
      <c r="MR145"/>
      <c r="MS145"/>
      <c r="MT145"/>
      <c r="MU145"/>
      <c r="MV145"/>
      <c r="MW145"/>
      <c r="MX145"/>
      <c r="MY145"/>
      <c r="MZ145"/>
      <c r="NA145"/>
      <c r="NB145"/>
      <c r="NC145"/>
      <c r="ND145"/>
      <c r="NE145"/>
      <c r="NF145"/>
      <c r="NG145"/>
      <c r="NH145"/>
      <c r="NI145"/>
      <c r="NJ145"/>
      <c r="NK145"/>
      <c r="NL145"/>
      <c r="NM145"/>
      <c r="NN145"/>
      <c r="NO145"/>
      <c r="NP145"/>
      <c r="NQ145"/>
      <c r="NR145"/>
      <c r="NS145"/>
      <c r="NT145"/>
      <c r="NU145"/>
      <c r="NV145"/>
      <c r="NW145"/>
      <c r="NX145"/>
      <c r="NY145"/>
      <c r="NZ145"/>
      <c r="OA145"/>
      <c r="OB145"/>
      <c r="OC145"/>
      <c r="OD145"/>
      <c r="OE145"/>
      <c r="OF145"/>
      <c r="OG145"/>
      <c r="OH145"/>
      <c r="OI145"/>
      <c r="OJ145"/>
      <c r="OK145"/>
      <c r="OL145"/>
      <c r="OM145"/>
      <c r="ON145"/>
      <c r="OO145"/>
      <c r="OP145"/>
      <c r="OQ145"/>
      <c r="OR145"/>
      <c r="OS145"/>
      <c r="OT145"/>
      <c r="OU145"/>
      <c r="OV145"/>
      <c r="OW145"/>
      <c r="OX145"/>
      <c r="OY145"/>
      <c r="OZ145"/>
      <c r="PA145"/>
      <c r="PB145"/>
      <c r="PC145"/>
      <c r="PD145"/>
      <c r="PE145"/>
      <c r="PF145"/>
      <c r="PG145"/>
      <c r="PH145"/>
      <c r="PI145"/>
      <c r="PJ145"/>
      <c r="PK145"/>
      <c r="PL145"/>
      <c r="PM145"/>
      <c r="PN145"/>
      <c r="PO145"/>
      <c r="PP145"/>
      <c r="PQ145"/>
      <c r="PR145"/>
      <c r="PS145"/>
      <c r="PT145"/>
      <c r="PU145"/>
      <c r="PV145"/>
      <c r="PW145"/>
      <c r="PX145"/>
      <c r="PY145"/>
      <c r="PZ145"/>
      <c r="QA145"/>
      <c r="QB145"/>
      <c r="QC145"/>
      <c r="QD145"/>
      <c r="QE145"/>
      <c r="QF145"/>
      <c r="QG145"/>
      <c r="QH145"/>
      <c r="QI145"/>
      <c r="QJ145"/>
      <c r="QK145"/>
      <c r="QL145"/>
      <c r="QM145"/>
      <c r="QN145"/>
      <c r="QO145"/>
      <c r="QP145"/>
      <c r="QQ145"/>
      <c r="QR145"/>
      <c r="QS145"/>
      <c r="QT145"/>
      <c r="QU145"/>
      <c r="QV145"/>
      <c r="QW145"/>
      <c r="QX145"/>
    </row>
    <row r="146" spans="1:466" x14ac:dyDescent="0.35">
      <c r="A146" s="53"/>
      <c r="B146" s="53"/>
      <c r="C146" s="55"/>
      <c r="D146" s="53"/>
      <c r="E146" s="53"/>
      <c r="F146" s="126" t="s">
        <v>214</v>
      </c>
      <c r="G146" s="125">
        <v>0.504</v>
      </c>
      <c r="H146" s="125">
        <v>102.816</v>
      </c>
      <c r="I146" s="133">
        <v>204</v>
      </c>
      <c r="J146" s="53"/>
      <c r="K146" s="53"/>
      <c r="L146" s="53"/>
      <c r="M146" s="53"/>
      <c r="N146" s="53"/>
      <c r="O146" s="53"/>
      <c r="P146" s="53"/>
      <c r="Q146" s="53"/>
      <c r="R146" s="53"/>
      <c r="S146" s="53"/>
      <c r="T146" s="53"/>
      <c r="U146" s="53"/>
      <c r="V146" s="53"/>
      <c r="W146" s="53"/>
      <c r="X146" s="53"/>
      <c r="Y146" s="53"/>
      <c r="Z146" s="53"/>
      <c r="AA146" s="53"/>
      <c r="AB146" s="53"/>
      <c r="AC146" s="53"/>
      <c r="AD146" s="53"/>
      <c r="AE146" s="53"/>
      <c r="AF146" s="63"/>
      <c r="AG146" s="64"/>
      <c r="AH146" s="65"/>
      <c r="AI146" s="65"/>
      <c r="AJ146" s="53"/>
      <c r="AK146" s="62"/>
      <c r="AL146" s="62"/>
      <c r="AM146" s="62"/>
      <c r="AN146" s="62"/>
      <c r="AO146" s="62"/>
      <c r="AP146" s="62"/>
      <c r="AQ146" s="62"/>
      <c r="AR146" s="62"/>
      <c r="AS146" s="62"/>
      <c r="AT146" s="62"/>
      <c r="AU146" s="62"/>
      <c r="AV146" s="62"/>
      <c r="AW146" s="62"/>
      <c r="AX146" s="62"/>
      <c r="AY146" s="62"/>
      <c r="AZ146" s="62"/>
      <c r="BA146" s="62"/>
      <c r="BB146" s="62"/>
      <c r="BC146" s="62"/>
      <c r="BD146" s="62"/>
      <c r="BE146" s="62"/>
      <c r="BF146" s="62"/>
      <c r="BG146" s="62"/>
      <c r="BH146" s="62"/>
      <c r="BI146" s="62"/>
      <c r="BJ146" s="62"/>
      <c r="BK146" s="62"/>
      <c r="BL146" s="62"/>
      <c r="BM146" s="62"/>
      <c r="BN146" s="62"/>
      <c r="BO146" s="62"/>
      <c r="BP146" s="62"/>
      <c r="BQ146" s="62"/>
      <c r="BR146" s="62"/>
      <c r="BS146" s="62"/>
      <c r="BT146" s="62"/>
      <c r="BU146" s="62"/>
      <c r="BV146" s="62"/>
      <c r="BW146" s="62"/>
      <c r="BX146" s="62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  <c r="HB146"/>
      <c r="HC146"/>
      <c r="HD146"/>
      <c r="HE146"/>
      <c r="HF146"/>
      <c r="HG146"/>
      <c r="HH146"/>
      <c r="HI146"/>
      <c r="HJ146"/>
      <c r="HK146"/>
      <c r="HL146"/>
      <c r="HM146"/>
      <c r="HN146"/>
      <c r="HO146"/>
      <c r="HP146"/>
      <c r="HQ146"/>
      <c r="HR146"/>
      <c r="HS146"/>
      <c r="HT146"/>
      <c r="HU146"/>
      <c r="HV146"/>
      <c r="HW146"/>
      <c r="HX146"/>
      <c r="HY146"/>
      <c r="HZ146"/>
      <c r="IA146"/>
      <c r="IB146"/>
      <c r="IC146"/>
      <c r="ID146"/>
      <c r="IE146"/>
      <c r="IF146"/>
      <c r="IG146"/>
      <c r="IH146"/>
      <c r="II146"/>
      <c r="IJ146"/>
      <c r="IK146"/>
      <c r="IL146"/>
      <c r="IM146"/>
      <c r="IN146"/>
      <c r="IO146"/>
      <c r="IP146"/>
      <c r="IQ146"/>
      <c r="IR146"/>
      <c r="IS146"/>
      <c r="IT146"/>
      <c r="IU146"/>
      <c r="IV146"/>
      <c r="IW146"/>
      <c r="IX146"/>
      <c r="IY146"/>
      <c r="IZ146"/>
      <c r="JA146"/>
      <c r="JB146"/>
      <c r="JC146"/>
      <c r="JD146"/>
      <c r="JE146"/>
      <c r="JF146"/>
      <c r="JG146"/>
      <c r="JH146"/>
      <c r="JI146"/>
      <c r="JJ146"/>
      <c r="JK146"/>
      <c r="JL146"/>
      <c r="JM146"/>
      <c r="JN146"/>
      <c r="JO146"/>
      <c r="JP146"/>
      <c r="JQ146"/>
      <c r="JR146"/>
      <c r="JS146"/>
      <c r="JT146"/>
      <c r="JU146"/>
      <c r="JV146"/>
      <c r="JW146"/>
      <c r="JX146"/>
      <c r="JY146"/>
      <c r="JZ146"/>
      <c r="KA146"/>
      <c r="KB146"/>
      <c r="KC146"/>
      <c r="KD146"/>
      <c r="KE146"/>
      <c r="KF146"/>
      <c r="KG146"/>
      <c r="KH146"/>
      <c r="KI146"/>
      <c r="KJ146"/>
      <c r="KK146"/>
      <c r="KL146"/>
      <c r="KM146"/>
      <c r="KN146"/>
      <c r="KO146"/>
      <c r="KP146"/>
      <c r="KQ146"/>
      <c r="KR146"/>
      <c r="KS146"/>
      <c r="KT146"/>
      <c r="KU146"/>
      <c r="KV146"/>
      <c r="KW146"/>
      <c r="KX146"/>
      <c r="KY146"/>
      <c r="KZ146"/>
      <c r="LA146"/>
      <c r="LB146"/>
      <c r="LC146"/>
      <c r="LD146"/>
      <c r="LE146"/>
      <c r="LF146"/>
      <c r="LG146"/>
      <c r="LH146"/>
      <c r="LI146"/>
      <c r="LJ146"/>
      <c r="LK146"/>
      <c r="LL146"/>
      <c r="LM146"/>
      <c r="LN146"/>
      <c r="LO146"/>
      <c r="LP146"/>
      <c r="LQ146"/>
      <c r="LR146"/>
      <c r="LS146"/>
      <c r="LT146"/>
      <c r="LU146"/>
      <c r="LV146"/>
      <c r="LW146"/>
      <c r="LX146"/>
      <c r="LY146"/>
      <c r="LZ146"/>
      <c r="MA146"/>
      <c r="MB146"/>
      <c r="MC146"/>
      <c r="MD146"/>
      <c r="ME146"/>
      <c r="MF146"/>
      <c r="MG146"/>
      <c r="MH146"/>
      <c r="MI146"/>
      <c r="MJ146"/>
      <c r="MK146"/>
      <c r="ML146"/>
      <c r="MM146"/>
      <c r="MN146"/>
      <c r="MO146"/>
      <c r="MP146"/>
      <c r="MQ146"/>
      <c r="MR146"/>
      <c r="MS146"/>
      <c r="MT146"/>
      <c r="MU146"/>
      <c r="MV146"/>
      <c r="MW146"/>
      <c r="MX146"/>
      <c r="MY146"/>
      <c r="MZ146"/>
      <c r="NA146"/>
      <c r="NB146"/>
      <c r="NC146"/>
      <c r="ND146"/>
      <c r="NE146"/>
      <c r="NF146"/>
      <c r="NG146"/>
      <c r="NH146"/>
      <c r="NI146"/>
      <c r="NJ146"/>
      <c r="NK146"/>
      <c r="NL146"/>
      <c r="NM146"/>
      <c r="NN146"/>
      <c r="NO146"/>
      <c r="NP146"/>
      <c r="NQ146"/>
      <c r="NR146"/>
      <c r="NS146"/>
      <c r="NT146"/>
      <c r="NU146"/>
      <c r="NV146"/>
      <c r="NW146"/>
      <c r="NX146"/>
      <c r="NY146"/>
      <c r="NZ146"/>
      <c r="OA146"/>
      <c r="OB146"/>
      <c r="OC146"/>
      <c r="OD146"/>
      <c r="OE146"/>
      <c r="OF146"/>
      <c r="OG146"/>
      <c r="OH146"/>
      <c r="OI146"/>
      <c r="OJ146"/>
      <c r="OK146"/>
      <c r="OL146"/>
      <c r="OM146"/>
      <c r="ON146"/>
      <c r="OO146"/>
      <c r="OP146"/>
      <c r="OQ146"/>
      <c r="OR146"/>
      <c r="OS146"/>
      <c r="OT146"/>
      <c r="OU146"/>
      <c r="OV146"/>
      <c r="OW146"/>
      <c r="OX146"/>
      <c r="OY146"/>
      <c r="OZ146"/>
      <c r="PA146"/>
      <c r="PB146"/>
      <c r="PC146"/>
      <c r="PD146"/>
      <c r="PE146"/>
      <c r="PF146"/>
      <c r="PG146"/>
      <c r="PH146"/>
      <c r="PI146"/>
      <c r="PJ146"/>
      <c r="PK146"/>
      <c r="PL146"/>
      <c r="PM146"/>
      <c r="PN146"/>
      <c r="PO146"/>
      <c r="PP146"/>
      <c r="PQ146"/>
      <c r="PR146"/>
      <c r="PS146"/>
      <c r="PT146"/>
      <c r="PU146"/>
      <c r="PV146"/>
      <c r="PW146"/>
      <c r="PX146"/>
      <c r="PY146"/>
      <c r="PZ146"/>
      <c r="QA146"/>
      <c r="QB146"/>
      <c r="QC146"/>
      <c r="QD146"/>
      <c r="QE146"/>
      <c r="QF146"/>
      <c r="QG146"/>
      <c r="QH146"/>
      <c r="QI146"/>
      <c r="QJ146"/>
      <c r="QK146"/>
      <c r="QL146"/>
      <c r="QM146"/>
      <c r="QN146"/>
      <c r="QO146"/>
      <c r="QP146"/>
      <c r="QQ146"/>
      <c r="QR146"/>
      <c r="QS146"/>
      <c r="QT146"/>
      <c r="QU146"/>
      <c r="QV146"/>
      <c r="QW146"/>
      <c r="QX146"/>
    </row>
    <row r="147" spans="1:466" x14ac:dyDescent="0.35">
      <c r="A147" s="53"/>
      <c r="B147" s="53"/>
      <c r="C147" s="55"/>
      <c r="D147" s="53"/>
      <c r="E147" s="53"/>
      <c r="F147" s="126" t="s">
        <v>257</v>
      </c>
      <c r="G147" s="125">
        <v>0.504</v>
      </c>
      <c r="H147" s="125">
        <v>381.52800000000002</v>
      </c>
      <c r="I147" s="133">
        <v>757</v>
      </c>
      <c r="J147" s="53"/>
      <c r="K147" s="53"/>
      <c r="L147" s="53"/>
      <c r="M147" s="53"/>
      <c r="N147" s="53"/>
      <c r="O147" s="53"/>
      <c r="P147" s="53"/>
      <c r="Q147" s="53"/>
      <c r="R147" s="53"/>
      <c r="S147" s="53"/>
      <c r="T147" s="53"/>
      <c r="U147" s="53"/>
      <c r="V147" s="53"/>
      <c r="W147" s="53"/>
      <c r="X147" s="53"/>
      <c r="Y147" s="53"/>
      <c r="Z147" s="53"/>
      <c r="AA147" s="53"/>
      <c r="AB147" s="53"/>
      <c r="AC147" s="53"/>
      <c r="AD147" s="53"/>
      <c r="AE147" s="53"/>
      <c r="AF147" s="63"/>
      <c r="AG147" s="64"/>
      <c r="AH147" s="65"/>
      <c r="AI147" s="65"/>
      <c r="AJ147" s="53"/>
      <c r="AK147" s="62"/>
      <c r="AL147" s="62"/>
      <c r="AM147" s="62"/>
      <c r="AN147" s="62"/>
      <c r="AO147" s="62"/>
      <c r="AP147" s="62"/>
      <c r="AQ147" s="62"/>
      <c r="AR147" s="62"/>
      <c r="AS147" s="62"/>
      <c r="AT147" s="62"/>
      <c r="AU147" s="62"/>
      <c r="AV147" s="62"/>
      <c r="AW147" s="62"/>
      <c r="AX147" s="62"/>
      <c r="AY147" s="62"/>
      <c r="AZ147" s="62"/>
      <c r="BA147" s="62"/>
      <c r="BB147" s="62"/>
      <c r="BC147" s="62"/>
      <c r="BD147" s="62"/>
      <c r="BE147" s="62"/>
      <c r="BF147" s="62"/>
      <c r="BG147" s="62"/>
      <c r="BH147" s="62"/>
      <c r="BI147" s="62"/>
      <c r="BJ147" s="62"/>
      <c r="BK147" s="62"/>
      <c r="BL147" s="62"/>
      <c r="BM147" s="62"/>
      <c r="BN147" s="62"/>
      <c r="BO147" s="62"/>
      <c r="BP147" s="62"/>
      <c r="BQ147" s="62"/>
      <c r="BR147" s="62"/>
      <c r="BS147" s="62"/>
      <c r="BT147" s="62"/>
      <c r="BU147" s="62"/>
      <c r="BV147" s="62"/>
      <c r="BW147" s="62"/>
      <c r="BX147" s="62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  <c r="HB147"/>
      <c r="HC147"/>
      <c r="HD147"/>
      <c r="HE147"/>
      <c r="HF147"/>
      <c r="HG147"/>
      <c r="HH147"/>
      <c r="HI147"/>
      <c r="HJ147"/>
      <c r="HK147"/>
      <c r="HL147"/>
      <c r="HM147"/>
      <c r="HN147"/>
      <c r="HO147"/>
      <c r="HP147"/>
      <c r="HQ147"/>
      <c r="HR147"/>
      <c r="HS147"/>
      <c r="HT147"/>
      <c r="HU147"/>
      <c r="HV147"/>
      <c r="HW147"/>
      <c r="HX147"/>
      <c r="HY147"/>
      <c r="HZ147"/>
      <c r="IA147"/>
      <c r="IB147"/>
      <c r="IC147"/>
      <c r="ID147"/>
      <c r="IE147"/>
      <c r="IF147"/>
      <c r="IG147"/>
      <c r="IH147"/>
      <c r="II147"/>
      <c r="IJ147"/>
      <c r="IK147"/>
      <c r="IL147"/>
      <c r="IM147"/>
      <c r="IN147"/>
      <c r="IO147"/>
      <c r="IP147"/>
      <c r="IQ147"/>
      <c r="IR147"/>
      <c r="IS147"/>
      <c r="IT147"/>
      <c r="IU147"/>
      <c r="IV147"/>
      <c r="IW147"/>
      <c r="IX147"/>
      <c r="IY147"/>
      <c r="IZ147"/>
      <c r="JA147"/>
      <c r="JB147"/>
      <c r="JC147"/>
      <c r="JD147"/>
      <c r="JE147"/>
      <c r="JF147"/>
      <c r="JG147"/>
      <c r="JH147"/>
      <c r="JI147"/>
      <c r="JJ147"/>
      <c r="JK147"/>
      <c r="JL147"/>
      <c r="JM147"/>
      <c r="JN147"/>
      <c r="JO147"/>
      <c r="JP147"/>
      <c r="JQ147"/>
      <c r="JR147"/>
      <c r="JS147"/>
      <c r="JT147"/>
      <c r="JU147"/>
      <c r="JV147"/>
      <c r="JW147"/>
      <c r="JX147"/>
      <c r="JY147"/>
      <c r="JZ147"/>
      <c r="KA147"/>
      <c r="KB147"/>
      <c r="KC147"/>
      <c r="KD147"/>
      <c r="KE147"/>
      <c r="KF147"/>
      <c r="KG147"/>
      <c r="KH147"/>
      <c r="KI147"/>
      <c r="KJ147"/>
      <c r="KK147"/>
      <c r="KL147"/>
      <c r="KM147"/>
      <c r="KN147"/>
      <c r="KO147"/>
      <c r="KP147"/>
      <c r="KQ147"/>
      <c r="KR147"/>
      <c r="KS147"/>
      <c r="KT147"/>
      <c r="KU147"/>
      <c r="KV147"/>
      <c r="KW147"/>
      <c r="KX147"/>
      <c r="KY147"/>
      <c r="KZ147"/>
      <c r="LA147"/>
      <c r="LB147"/>
      <c r="LC147"/>
      <c r="LD147"/>
      <c r="LE147"/>
      <c r="LF147"/>
      <c r="LG147"/>
      <c r="LH147"/>
      <c r="LI147"/>
      <c r="LJ147"/>
      <c r="LK147"/>
      <c r="LL147"/>
      <c r="LM147"/>
      <c r="LN147"/>
      <c r="LO147"/>
      <c r="LP147"/>
      <c r="LQ147"/>
      <c r="LR147"/>
      <c r="LS147"/>
      <c r="LT147"/>
      <c r="LU147"/>
      <c r="LV147"/>
      <c r="LW147"/>
      <c r="LX147"/>
      <c r="LY147"/>
      <c r="LZ147"/>
      <c r="MA147"/>
      <c r="MB147"/>
      <c r="MC147"/>
      <c r="MD147"/>
      <c r="ME147"/>
      <c r="MF147"/>
      <c r="MG147"/>
      <c r="MH147"/>
      <c r="MI147"/>
      <c r="MJ147"/>
      <c r="MK147"/>
      <c r="ML147"/>
      <c r="MM147"/>
      <c r="MN147"/>
      <c r="MO147"/>
      <c r="MP147"/>
      <c r="MQ147"/>
      <c r="MR147"/>
      <c r="MS147"/>
      <c r="MT147"/>
      <c r="MU147"/>
      <c r="MV147"/>
      <c r="MW147"/>
      <c r="MX147"/>
      <c r="MY147"/>
      <c r="MZ147"/>
      <c r="NA147"/>
      <c r="NB147"/>
      <c r="NC147"/>
      <c r="ND147"/>
      <c r="NE147"/>
      <c r="NF147"/>
      <c r="NG147"/>
      <c r="NH147"/>
      <c r="NI147"/>
      <c r="NJ147"/>
      <c r="NK147"/>
      <c r="NL147"/>
      <c r="NM147"/>
      <c r="NN147"/>
      <c r="NO147"/>
      <c r="NP147"/>
      <c r="NQ147"/>
      <c r="NR147"/>
      <c r="NS147"/>
      <c r="NT147"/>
      <c r="NU147"/>
      <c r="NV147"/>
      <c r="NW147"/>
      <c r="NX147"/>
      <c r="NY147"/>
      <c r="NZ147"/>
      <c r="OA147"/>
      <c r="OB147"/>
      <c r="OC147"/>
      <c r="OD147"/>
      <c r="OE147"/>
      <c r="OF147"/>
      <c r="OG147"/>
      <c r="OH147"/>
      <c r="OI147"/>
      <c r="OJ147"/>
      <c r="OK147"/>
      <c r="OL147"/>
      <c r="OM147"/>
      <c r="ON147"/>
      <c r="OO147"/>
      <c r="OP147"/>
      <c r="OQ147"/>
      <c r="OR147"/>
      <c r="OS147"/>
      <c r="OT147"/>
      <c r="OU147"/>
      <c r="OV147"/>
      <c r="OW147"/>
      <c r="OX147"/>
      <c r="OY147"/>
      <c r="OZ147"/>
      <c r="PA147"/>
      <c r="PB147"/>
      <c r="PC147"/>
      <c r="PD147"/>
      <c r="PE147"/>
      <c r="PF147"/>
      <c r="PG147"/>
      <c r="PH147"/>
      <c r="PI147"/>
      <c r="PJ147"/>
      <c r="PK147"/>
      <c r="PL147"/>
      <c r="PM147"/>
      <c r="PN147"/>
      <c r="PO147"/>
      <c r="PP147"/>
      <c r="PQ147"/>
      <c r="PR147"/>
      <c r="PS147"/>
      <c r="PT147"/>
      <c r="PU147"/>
      <c r="PV147"/>
      <c r="PW147"/>
      <c r="PX147"/>
      <c r="PY147"/>
      <c r="PZ147"/>
      <c r="QA147"/>
      <c r="QB147"/>
      <c r="QC147"/>
      <c r="QD147"/>
      <c r="QE147"/>
      <c r="QF147"/>
      <c r="QG147"/>
      <c r="QH147"/>
      <c r="QI147"/>
      <c r="QJ147"/>
      <c r="QK147"/>
      <c r="QL147"/>
      <c r="QM147"/>
      <c r="QN147"/>
      <c r="QO147"/>
      <c r="QP147"/>
      <c r="QQ147"/>
      <c r="QR147"/>
      <c r="QS147"/>
      <c r="QT147"/>
      <c r="QU147"/>
      <c r="QV147"/>
      <c r="QW147"/>
      <c r="QX147"/>
    </row>
    <row r="148" spans="1:466" x14ac:dyDescent="0.35">
      <c r="A148" s="53"/>
      <c r="B148" s="53"/>
      <c r="C148" s="55"/>
      <c r="D148" s="53"/>
      <c r="E148" s="53"/>
      <c r="F148" s="126" t="s">
        <v>237</v>
      </c>
      <c r="G148" s="125">
        <v>0.53878423999999969</v>
      </c>
      <c r="H148" s="125">
        <v>0</v>
      </c>
      <c r="I148" s="133">
        <v>0</v>
      </c>
      <c r="J148" s="53"/>
      <c r="K148" s="53"/>
      <c r="L148" s="53"/>
      <c r="M148" s="53"/>
      <c r="N148" s="53"/>
      <c r="O148" s="53"/>
      <c r="P148" s="53"/>
      <c r="Q148" s="53"/>
      <c r="R148" s="53"/>
      <c r="S148" s="53"/>
      <c r="T148" s="53"/>
      <c r="U148" s="53"/>
      <c r="V148" s="53"/>
      <c r="W148" s="53"/>
      <c r="X148" s="53"/>
      <c r="Y148" s="53"/>
      <c r="Z148" s="53"/>
      <c r="AA148" s="53"/>
      <c r="AB148" s="53"/>
      <c r="AC148" s="53"/>
      <c r="AD148" s="53"/>
      <c r="AE148" s="53"/>
      <c r="AF148" s="63"/>
      <c r="AG148" s="64"/>
      <c r="AH148" s="65"/>
      <c r="AI148" s="65"/>
      <c r="AJ148" s="53"/>
      <c r="AK148" s="62"/>
      <c r="AL148" s="62"/>
      <c r="AM148" s="62"/>
      <c r="AN148" s="62"/>
      <c r="AO148" s="62"/>
      <c r="AP148" s="62"/>
      <c r="AQ148" s="62"/>
      <c r="AR148" s="62"/>
      <c r="AS148" s="62"/>
      <c r="AT148" s="62"/>
      <c r="AU148" s="62"/>
      <c r="AV148" s="62"/>
      <c r="AW148" s="62"/>
      <c r="AX148" s="62"/>
      <c r="AY148" s="62"/>
      <c r="AZ148" s="62"/>
      <c r="BA148" s="62"/>
      <c r="BB148" s="62"/>
      <c r="BC148" s="62"/>
      <c r="BD148" s="62"/>
      <c r="BE148" s="62"/>
      <c r="BF148" s="62"/>
      <c r="BG148" s="62"/>
      <c r="BH148" s="62"/>
      <c r="BI148" s="62"/>
      <c r="BJ148" s="62"/>
      <c r="BK148" s="62"/>
      <c r="BL148" s="62"/>
      <c r="BM148" s="62"/>
      <c r="BN148" s="62"/>
      <c r="BO148" s="62"/>
      <c r="BP148" s="62"/>
      <c r="BQ148" s="62"/>
      <c r="BR148" s="62"/>
      <c r="BS148" s="62"/>
      <c r="BT148" s="62"/>
      <c r="BU148" s="62"/>
      <c r="BV148" s="62"/>
      <c r="BW148" s="62"/>
      <c r="BX148" s="62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  <c r="HB148"/>
      <c r="HC148"/>
      <c r="HD148"/>
      <c r="HE148"/>
      <c r="HF148"/>
      <c r="HG148"/>
      <c r="HH148"/>
      <c r="HI148"/>
      <c r="HJ148"/>
      <c r="HK148"/>
      <c r="HL148"/>
      <c r="HM148"/>
      <c r="HN148"/>
      <c r="HO148"/>
      <c r="HP148"/>
      <c r="HQ148"/>
      <c r="HR148"/>
      <c r="HS148"/>
      <c r="HT148"/>
      <c r="HU148"/>
      <c r="HV148"/>
      <c r="HW148"/>
      <c r="HX148"/>
      <c r="HY148"/>
      <c r="HZ148"/>
      <c r="IA148"/>
      <c r="IB148"/>
      <c r="IC148"/>
      <c r="ID148"/>
      <c r="IE148"/>
      <c r="IF148"/>
      <c r="IG148"/>
      <c r="IH148"/>
      <c r="II148"/>
      <c r="IJ148"/>
      <c r="IK148"/>
      <c r="IL148"/>
      <c r="IM148"/>
      <c r="IN148"/>
      <c r="IO148"/>
      <c r="IP148"/>
      <c r="IQ148"/>
      <c r="IR148"/>
      <c r="IS148"/>
      <c r="IT148"/>
      <c r="IU148"/>
      <c r="IV148"/>
      <c r="IW148"/>
      <c r="IX148"/>
      <c r="IY148"/>
      <c r="IZ148"/>
      <c r="JA148"/>
      <c r="JB148"/>
      <c r="JC148"/>
      <c r="JD148"/>
      <c r="JE148"/>
      <c r="JF148"/>
      <c r="JG148"/>
      <c r="JH148"/>
      <c r="JI148"/>
      <c r="JJ148"/>
      <c r="JK148"/>
      <c r="JL148"/>
      <c r="JM148"/>
      <c r="JN148"/>
      <c r="JO148"/>
      <c r="JP148"/>
      <c r="JQ148"/>
      <c r="JR148"/>
      <c r="JS148"/>
      <c r="JT148"/>
      <c r="JU148"/>
      <c r="JV148"/>
      <c r="JW148"/>
      <c r="JX148"/>
      <c r="JY148"/>
      <c r="JZ148"/>
      <c r="KA148"/>
      <c r="KB148"/>
      <c r="KC148"/>
      <c r="KD148"/>
      <c r="KE148"/>
      <c r="KF148"/>
      <c r="KG148"/>
      <c r="KH148"/>
      <c r="KI148"/>
      <c r="KJ148"/>
      <c r="KK148"/>
      <c r="KL148"/>
      <c r="KM148"/>
      <c r="KN148"/>
      <c r="KO148"/>
      <c r="KP148"/>
      <c r="KQ148"/>
      <c r="KR148"/>
      <c r="KS148"/>
      <c r="KT148"/>
      <c r="KU148"/>
      <c r="KV148"/>
      <c r="KW148"/>
      <c r="KX148"/>
      <c r="KY148"/>
      <c r="KZ148"/>
      <c r="LA148"/>
      <c r="LB148"/>
      <c r="LC148"/>
      <c r="LD148"/>
      <c r="LE148"/>
      <c r="LF148"/>
      <c r="LG148"/>
      <c r="LH148"/>
      <c r="LI148"/>
      <c r="LJ148"/>
      <c r="LK148"/>
      <c r="LL148"/>
      <c r="LM148"/>
      <c r="LN148"/>
      <c r="LO148"/>
      <c r="LP148"/>
      <c r="LQ148"/>
      <c r="LR148"/>
      <c r="LS148"/>
      <c r="LT148"/>
      <c r="LU148"/>
      <c r="LV148"/>
      <c r="LW148"/>
      <c r="LX148"/>
      <c r="LY148"/>
      <c r="LZ148"/>
      <c r="MA148"/>
      <c r="MB148"/>
      <c r="MC148"/>
      <c r="MD148"/>
      <c r="ME148"/>
      <c r="MF148"/>
      <c r="MG148"/>
      <c r="MH148"/>
      <c r="MI148"/>
      <c r="MJ148"/>
      <c r="MK148"/>
      <c r="ML148"/>
      <c r="MM148"/>
      <c r="MN148"/>
      <c r="MO148"/>
      <c r="MP148"/>
      <c r="MQ148"/>
      <c r="MR148"/>
      <c r="MS148"/>
      <c r="MT148"/>
      <c r="MU148"/>
      <c r="MV148"/>
      <c r="MW148"/>
      <c r="MX148"/>
      <c r="MY148"/>
      <c r="MZ148"/>
      <c r="NA148"/>
      <c r="NB148"/>
      <c r="NC148"/>
      <c r="ND148"/>
      <c r="NE148"/>
      <c r="NF148"/>
      <c r="NG148"/>
      <c r="NH148"/>
      <c r="NI148"/>
      <c r="NJ148"/>
      <c r="NK148"/>
      <c r="NL148"/>
      <c r="NM148"/>
      <c r="NN148"/>
      <c r="NO148"/>
      <c r="NP148"/>
      <c r="NQ148"/>
      <c r="NR148"/>
      <c r="NS148"/>
      <c r="NT148"/>
      <c r="NU148"/>
      <c r="NV148"/>
      <c r="NW148"/>
      <c r="NX148"/>
      <c r="NY148"/>
      <c r="NZ148"/>
      <c r="OA148"/>
      <c r="OB148"/>
      <c r="OC148"/>
      <c r="OD148"/>
      <c r="OE148"/>
      <c r="OF148"/>
      <c r="OG148"/>
      <c r="OH148"/>
      <c r="OI148"/>
      <c r="OJ148"/>
      <c r="OK148"/>
      <c r="OL148"/>
      <c r="OM148"/>
      <c r="ON148"/>
      <c r="OO148"/>
      <c r="OP148"/>
      <c r="OQ148"/>
      <c r="OR148"/>
      <c r="OS148"/>
      <c r="OT148"/>
      <c r="OU148"/>
      <c r="OV148"/>
      <c r="OW148"/>
      <c r="OX148"/>
      <c r="OY148"/>
      <c r="OZ148"/>
      <c r="PA148"/>
      <c r="PB148"/>
      <c r="PC148"/>
      <c r="PD148"/>
      <c r="PE148"/>
      <c r="PF148"/>
      <c r="PG148"/>
      <c r="PH148"/>
      <c r="PI148"/>
      <c r="PJ148"/>
      <c r="PK148"/>
      <c r="PL148"/>
      <c r="PM148"/>
      <c r="PN148"/>
      <c r="PO148"/>
      <c r="PP148"/>
      <c r="PQ148"/>
      <c r="PR148"/>
      <c r="PS148"/>
      <c r="PT148"/>
      <c r="PU148"/>
      <c r="PV148"/>
      <c r="PW148"/>
      <c r="PX148"/>
      <c r="PY148"/>
      <c r="PZ148"/>
      <c r="QA148"/>
      <c r="QB148"/>
      <c r="QC148"/>
      <c r="QD148"/>
      <c r="QE148"/>
      <c r="QF148"/>
      <c r="QG148"/>
      <c r="QH148"/>
      <c r="QI148"/>
      <c r="QJ148"/>
      <c r="QK148"/>
      <c r="QL148"/>
      <c r="QM148"/>
      <c r="QN148"/>
      <c r="QO148"/>
      <c r="QP148"/>
      <c r="QQ148"/>
      <c r="QR148"/>
      <c r="QS148"/>
      <c r="QT148"/>
      <c r="QU148"/>
      <c r="QV148"/>
      <c r="QW148"/>
      <c r="QX148"/>
    </row>
    <row r="149" spans="1:466" x14ac:dyDescent="0.35">
      <c r="A149" s="53"/>
      <c r="B149" s="53"/>
      <c r="C149" s="55"/>
      <c r="D149" s="53"/>
      <c r="E149" s="53"/>
      <c r="F149" s="126" t="s">
        <v>289</v>
      </c>
      <c r="G149" s="125">
        <v>0.53878423999999969</v>
      </c>
      <c r="H149" s="125">
        <v>626.60607111999968</v>
      </c>
      <c r="I149" s="133">
        <v>1163</v>
      </c>
      <c r="J149" s="53"/>
      <c r="K149" s="53"/>
      <c r="L149" s="53"/>
      <c r="M149" s="53"/>
      <c r="N149" s="53"/>
      <c r="O149" s="53"/>
      <c r="P149" s="53"/>
      <c r="Q149" s="53"/>
      <c r="R149" s="53"/>
      <c r="S149" s="53"/>
      <c r="T149" s="53"/>
      <c r="U149" s="53"/>
      <c r="V149" s="53"/>
      <c r="W149" s="53"/>
      <c r="X149" s="53"/>
      <c r="Y149" s="53"/>
      <c r="Z149" s="53"/>
      <c r="AA149" s="53"/>
      <c r="AB149" s="53"/>
      <c r="AC149" s="53"/>
      <c r="AD149" s="53"/>
      <c r="AE149" s="53"/>
      <c r="AF149" s="63"/>
      <c r="AG149" s="64"/>
      <c r="AH149" s="65"/>
      <c r="AI149" s="65"/>
      <c r="AJ149" s="53"/>
      <c r="AK149" s="62"/>
      <c r="AL149" s="62"/>
      <c r="AM149" s="62"/>
      <c r="AN149" s="62"/>
      <c r="AO149" s="62"/>
      <c r="AP149" s="62"/>
      <c r="AQ149" s="62"/>
      <c r="AR149" s="62"/>
      <c r="AS149" s="62"/>
      <c r="AT149" s="62"/>
      <c r="AU149" s="62"/>
      <c r="AV149" s="62"/>
      <c r="AW149" s="62"/>
      <c r="AX149" s="62"/>
      <c r="AY149" s="62"/>
      <c r="AZ149" s="62"/>
      <c r="BA149" s="62"/>
      <c r="BB149" s="62"/>
      <c r="BC149" s="62"/>
      <c r="BD149" s="62"/>
      <c r="BE149" s="62"/>
      <c r="BF149" s="62"/>
      <c r="BG149" s="62"/>
      <c r="BH149" s="62"/>
      <c r="BI149" s="62"/>
      <c r="BJ149" s="62"/>
      <c r="BK149" s="62"/>
      <c r="BL149" s="62"/>
      <c r="BM149" s="62"/>
      <c r="BN149" s="62"/>
      <c r="BO149" s="62"/>
      <c r="BP149" s="62"/>
      <c r="BQ149" s="62"/>
      <c r="BR149" s="62"/>
      <c r="BS149" s="62"/>
      <c r="BT149" s="62"/>
      <c r="BU149" s="62"/>
      <c r="BV149" s="62"/>
      <c r="BW149" s="62"/>
      <c r="BX149" s="62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  <c r="HB149"/>
      <c r="HC149"/>
      <c r="HD149"/>
      <c r="HE149"/>
      <c r="HF149"/>
      <c r="HG149"/>
      <c r="HH149"/>
      <c r="HI149"/>
      <c r="HJ149"/>
      <c r="HK149"/>
      <c r="HL149"/>
      <c r="HM149"/>
      <c r="HN149"/>
      <c r="HO149"/>
      <c r="HP149"/>
      <c r="HQ149"/>
      <c r="HR149"/>
      <c r="HS149"/>
      <c r="HT149"/>
      <c r="HU149"/>
      <c r="HV149"/>
      <c r="HW149"/>
      <c r="HX149"/>
      <c r="HY149"/>
      <c r="HZ149"/>
      <c r="IA149"/>
      <c r="IB149"/>
      <c r="IC149"/>
      <c r="ID149"/>
      <c r="IE149"/>
      <c r="IF149"/>
      <c r="IG149"/>
      <c r="IH149"/>
      <c r="II149"/>
      <c r="IJ149"/>
      <c r="IK149"/>
      <c r="IL149"/>
      <c r="IM149"/>
      <c r="IN149"/>
      <c r="IO149"/>
      <c r="IP149"/>
      <c r="IQ149"/>
      <c r="IR149"/>
      <c r="IS149"/>
      <c r="IT149"/>
      <c r="IU149"/>
      <c r="IV149"/>
      <c r="IW149"/>
      <c r="IX149"/>
      <c r="IY149"/>
      <c r="IZ149"/>
      <c r="JA149"/>
      <c r="JB149"/>
      <c r="JC149"/>
      <c r="JD149"/>
      <c r="JE149"/>
      <c r="JF149"/>
      <c r="JG149"/>
      <c r="JH149"/>
      <c r="JI149"/>
      <c r="JJ149"/>
      <c r="JK149"/>
      <c r="JL149"/>
      <c r="JM149"/>
      <c r="JN149"/>
      <c r="JO149"/>
      <c r="JP149"/>
      <c r="JQ149"/>
      <c r="JR149"/>
      <c r="JS149"/>
      <c r="JT149"/>
      <c r="JU149"/>
      <c r="JV149"/>
      <c r="JW149"/>
      <c r="JX149"/>
      <c r="JY149"/>
      <c r="JZ149"/>
      <c r="KA149"/>
      <c r="KB149"/>
      <c r="KC149"/>
      <c r="KD149"/>
      <c r="KE149"/>
      <c r="KF149"/>
      <c r="KG149"/>
      <c r="KH149"/>
      <c r="KI149"/>
      <c r="KJ149"/>
      <c r="KK149"/>
      <c r="KL149"/>
      <c r="KM149"/>
      <c r="KN149"/>
      <c r="KO149"/>
      <c r="KP149"/>
      <c r="KQ149"/>
      <c r="KR149"/>
      <c r="KS149"/>
      <c r="KT149"/>
      <c r="KU149"/>
      <c r="KV149"/>
      <c r="KW149"/>
      <c r="KX149"/>
      <c r="KY149"/>
      <c r="KZ149"/>
      <c r="LA149"/>
      <c r="LB149"/>
      <c r="LC149"/>
      <c r="LD149"/>
      <c r="LE149"/>
      <c r="LF149"/>
      <c r="LG149"/>
      <c r="LH149"/>
      <c r="LI149"/>
      <c r="LJ149"/>
      <c r="LK149"/>
      <c r="LL149"/>
      <c r="LM149"/>
      <c r="LN149"/>
      <c r="LO149"/>
      <c r="LP149"/>
      <c r="LQ149"/>
      <c r="LR149"/>
      <c r="LS149"/>
      <c r="LT149"/>
      <c r="LU149"/>
      <c r="LV149"/>
      <c r="LW149"/>
      <c r="LX149"/>
      <c r="LY149"/>
      <c r="LZ149"/>
      <c r="MA149"/>
      <c r="MB149"/>
      <c r="MC149"/>
      <c r="MD149"/>
      <c r="ME149"/>
      <c r="MF149"/>
      <c r="MG149"/>
      <c r="MH149"/>
      <c r="MI149"/>
      <c r="MJ149"/>
      <c r="MK149"/>
      <c r="ML149"/>
      <c r="MM149"/>
      <c r="MN149"/>
      <c r="MO149"/>
      <c r="MP149"/>
      <c r="MQ149"/>
      <c r="MR149"/>
      <c r="MS149"/>
      <c r="MT149"/>
      <c r="MU149"/>
      <c r="MV149"/>
      <c r="MW149"/>
      <c r="MX149"/>
      <c r="MY149"/>
      <c r="MZ149"/>
      <c r="NA149"/>
      <c r="NB149"/>
      <c r="NC149"/>
      <c r="ND149"/>
      <c r="NE149"/>
      <c r="NF149"/>
      <c r="NG149"/>
      <c r="NH149"/>
      <c r="NI149"/>
      <c r="NJ149"/>
      <c r="NK149"/>
      <c r="NL149"/>
      <c r="NM149"/>
      <c r="NN149"/>
      <c r="NO149"/>
      <c r="NP149"/>
      <c r="NQ149"/>
      <c r="NR149"/>
      <c r="NS149"/>
      <c r="NT149"/>
      <c r="NU149"/>
      <c r="NV149"/>
      <c r="NW149"/>
      <c r="NX149"/>
      <c r="NY149"/>
      <c r="NZ149"/>
      <c r="OA149"/>
      <c r="OB149"/>
      <c r="OC149"/>
      <c r="OD149"/>
      <c r="OE149"/>
      <c r="OF149"/>
      <c r="OG149"/>
      <c r="OH149"/>
      <c r="OI149"/>
      <c r="OJ149"/>
      <c r="OK149"/>
      <c r="OL149"/>
      <c r="OM149"/>
      <c r="ON149"/>
      <c r="OO149"/>
      <c r="OP149"/>
      <c r="OQ149"/>
      <c r="OR149"/>
      <c r="OS149"/>
      <c r="OT149"/>
      <c r="OU149"/>
      <c r="OV149"/>
      <c r="OW149"/>
      <c r="OX149"/>
      <c r="OY149"/>
      <c r="OZ149"/>
      <c r="PA149"/>
      <c r="PB149"/>
      <c r="PC149"/>
      <c r="PD149"/>
      <c r="PE149"/>
      <c r="PF149"/>
      <c r="PG149"/>
      <c r="PH149"/>
      <c r="PI149"/>
      <c r="PJ149"/>
      <c r="PK149"/>
      <c r="PL149"/>
      <c r="PM149"/>
      <c r="PN149"/>
      <c r="PO149"/>
      <c r="PP149"/>
      <c r="PQ149"/>
      <c r="PR149"/>
      <c r="PS149"/>
      <c r="PT149"/>
      <c r="PU149"/>
      <c r="PV149"/>
      <c r="PW149"/>
      <c r="PX149"/>
      <c r="PY149"/>
      <c r="PZ149"/>
      <c r="QA149"/>
      <c r="QB149"/>
      <c r="QC149"/>
      <c r="QD149"/>
      <c r="QE149"/>
      <c r="QF149"/>
      <c r="QG149"/>
      <c r="QH149"/>
      <c r="QI149"/>
      <c r="QJ149"/>
      <c r="QK149"/>
      <c r="QL149"/>
      <c r="QM149"/>
      <c r="QN149"/>
      <c r="QO149"/>
      <c r="QP149"/>
      <c r="QQ149"/>
      <c r="QR149"/>
      <c r="QS149"/>
      <c r="QT149"/>
      <c r="QU149"/>
      <c r="QV149"/>
      <c r="QW149"/>
      <c r="QX149"/>
    </row>
    <row r="150" spans="1:466" x14ac:dyDescent="0.35">
      <c r="A150" s="53"/>
      <c r="B150" s="53"/>
      <c r="C150" s="55"/>
      <c r="D150" s="53"/>
      <c r="E150" s="53"/>
      <c r="F150" s="126" t="s">
        <v>216</v>
      </c>
      <c r="G150" s="125">
        <v>0.53878423999999969</v>
      </c>
      <c r="H150" s="125">
        <v>295.25376351999984</v>
      </c>
      <c r="I150" s="133">
        <v>548</v>
      </c>
      <c r="J150" s="53"/>
      <c r="K150" s="53"/>
      <c r="L150" s="53"/>
      <c r="M150" s="53"/>
      <c r="N150" s="53"/>
      <c r="O150" s="53"/>
      <c r="P150" s="53"/>
      <c r="Q150" s="53"/>
      <c r="R150" s="53"/>
      <c r="S150" s="53"/>
      <c r="T150" s="53"/>
      <c r="U150" s="53"/>
      <c r="V150" s="53"/>
      <c r="W150" s="53"/>
      <c r="X150" s="53"/>
      <c r="Y150" s="53"/>
      <c r="Z150" s="53"/>
      <c r="AA150" s="53"/>
      <c r="AB150" s="53"/>
      <c r="AC150" s="53"/>
      <c r="AD150" s="53"/>
      <c r="AE150" s="53"/>
      <c r="AF150" s="63"/>
      <c r="AG150" s="64"/>
      <c r="AH150" s="65"/>
      <c r="AI150" s="65"/>
      <c r="AJ150" s="53"/>
      <c r="AK150" s="62"/>
      <c r="AL150" s="62"/>
      <c r="AM150" s="62"/>
      <c r="AN150" s="62"/>
      <c r="AO150" s="62"/>
      <c r="AP150" s="62"/>
      <c r="AQ150" s="62"/>
      <c r="AR150" s="62"/>
      <c r="AS150" s="62"/>
      <c r="AT150" s="62"/>
      <c r="AU150" s="62"/>
      <c r="AV150" s="62"/>
      <c r="AW150" s="62"/>
      <c r="AX150" s="62"/>
      <c r="AY150" s="62"/>
      <c r="AZ150" s="62"/>
      <c r="BA150" s="62"/>
      <c r="BB150" s="62"/>
      <c r="BC150" s="62"/>
      <c r="BD150" s="62"/>
      <c r="BE150" s="62"/>
      <c r="BF150" s="62"/>
      <c r="BG150" s="62"/>
      <c r="BH150" s="62"/>
      <c r="BI150" s="62"/>
      <c r="BJ150" s="62"/>
      <c r="BK150" s="62"/>
      <c r="BL150" s="62"/>
      <c r="BM150" s="62"/>
      <c r="BN150" s="62"/>
      <c r="BO150" s="62"/>
      <c r="BP150" s="62"/>
      <c r="BQ150" s="62"/>
      <c r="BR150" s="62"/>
      <c r="BS150" s="62"/>
      <c r="BT150" s="62"/>
      <c r="BU150" s="62"/>
      <c r="BV150" s="62"/>
      <c r="BW150" s="62"/>
      <c r="BX150" s="62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  <c r="HB150"/>
      <c r="HC150"/>
      <c r="HD150"/>
      <c r="HE150"/>
      <c r="HF150"/>
      <c r="HG150"/>
      <c r="HH150"/>
      <c r="HI150"/>
      <c r="HJ150"/>
      <c r="HK150"/>
      <c r="HL150"/>
      <c r="HM150"/>
      <c r="HN150"/>
      <c r="HO150"/>
      <c r="HP150"/>
      <c r="HQ150"/>
      <c r="HR150"/>
      <c r="HS150"/>
      <c r="HT150"/>
      <c r="HU150"/>
      <c r="HV150"/>
      <c r="HW150"/>
      <c r="HX150"/>
      <c r="HY150"/>
      <c r="HZ150"/>
      <c r="IA150"/>
      <c r="IB150"/>
      <c r="IC150"/>
      <c r="ID150"/>
      <c r="IE150"/>
      <c r="IF150"/>
      <c r="IG150"/>
      <c r="IH150"/>
      <c r="II150"/>
      <c r="IJ150"/>
      <c r="IK150"/>
      <c r="IL150"/>
      <c r="IM150"/>
      <c r="IN150"/>
      <c r="IO150"/>
      <c r="IP150"/>
      <c r="IQ150"/>
      <c r="IR150"/>
      <c r="IS150"/>
      <c r="IT150"/>
      <c r="IU150"/>
      <c r="IV150"/>
      <c r="IW150"/>
      <c r="IX150"/>
      <c r="IY150"/>
      <c r="IZ150"/>
      <c r="JA150"/>
      <c r="JB150"/>
      <c r="JC150"/>
      <c r="JD150"/>
      <c r="JE150"/>
      <c r="JF150"/>
      <c r="JG150"/>
      <c r="JH150"/>
      <c r="JI150"/>
      <c r="JJ150"/>
      <c r="JK150"/>
      <c r="JL150"/>
      <c r="JM150"/>
      <c r="JN150"/>
      <c r="JO150"/>
      <c r="JP150"/>
      <c r="JQ150"/>
      <c r="JR150"/>
      <c r="JS150"/>
      <c r="JT150"/>
      <c r="JU150"/>
      <c r="JV150"/>
      <c r="JW150"/>
      <c r="JX150"/>
      <c r="JY150"/>
      <c r="JZ150"/>
      <c r="KA150"/>
      <c r="KB150"/>
      <c r="KC150"/>
      <c r="KD150"/>
      <c r="KE150"/>
      <c r="KF150"/>
      <c r="KG150"/>
      <c r="KH150"/>
      <c r="KI150"/>
      <c r="KJ150"/>
      <c r="KK150"/>
      <c r="KL150"/>
      <c r="KM150"/>
      <c r="KN150"/>
      <c r="KO150"/>
      <c r="KP150"/>
      <c r="KQ150"/>
      <c r="KR150"/>
      <c r="KS150"/>
      <c r="KT150"/>
      <c r="KU150"/>
      <c r="KV150"/>
      <c r="KW150"/>
      <c r="KX150"/>
      <c r="KY150"/>
      <c r="KZ150"/>
      <c r="LA150"/>
      <c r="LB150"/>
      <c r="LC150"/>
      <c r="LD150"/>
      <c r="LE150"/>
      <c r="LF150"/>
      <c r="LG150"/>
      <c r="LH150"/>
      <c r="LI150"/>
      <c r="LJ150"/>
      <c r="LK150"/>
      <c r="LL150"/>
      <c r="LM150"/>
      <c r="LN150"/>
      <c r="LO150"/>
      <c r="LP150"/>
      <c r="LQ150"/>
      <c r="LR150"/>
      <c r="LS150"/>
      <c r="LT150"/>
      <c r="LU150"/>
      <c r="LV150"/>
      <c r="LW150"/>
      <c r="LX150"/>
      <c r="LY150"/>
      <c r="LZ150"/>
      <c r="MA150"/>
      <c r="MB150"/>
      <c r="MC150"/>
      <c r="MD150"/>
      <c r="ME150"/>
      <c r="MF150"/>
      <c r="MG150"/>
      <c r="MH150"/>
      <c r="MI150"/>
      <c r="MJ150"/>
      <c r="MK150"/>
      <c r="ML150"/>
      <c r="MM150"/>
      <c r="MN150"/>
      <c r="MO150"/>
      <c r="MP150"/>
      <c r="MQ150"/>
      <c r="MR150"/>
      <c r="MS150"/>
      <c r="MT150"/>
      <c r="MU150"/>
      <c r="MV150"/>
      <c r="MW150"/>
      <c r="MX150"/>
      <c r="MY150"/>
      <c r="MZ150"/>
      <c r="NA150"/>
      <c r="NB150"/>
      <c r="NC150"/>
      <c r="ND150"/>
      <c r="NE150"/>
      <c r="NF150"/>
      <c r="NG150"/>
      <c r="NH150"/>
      <c r="NI150"/>
      <c r="NJ150"/>
      <c r="NK150"/>
      <c r="NL150"/>
      <c r="NM150"/>
      <c r="NN150"/>
      <c r="NO150"/>
      <c r="NP150"/>
      <c r="NQ150"/>
      <c r="NR150"/>
      <c r="NS150"/>
      <c r="NT150"/>
      <c r="NU150"/>
      <c r="NV150"/>
      <c r="NW150"/>
      <c r="NX150"/>
      <c r="NY150"/>
      <c r="NZ150"/>
      <c r="OA150"/>
      <c r="OB150"/>
      <c r="OC150"/>
      <c r="OD150"/>
      <c r="OE150"/>
      <c r="OF150"/>
      <c r="OG150"/>
      <c r="OH150"/>
      <c r="OI150"/>
      <c r="OJ150"/>
      <c r="OK150"/>
      <c r="OL150"/>
      <c r="OM150"/>
      <c r="ON150"/>
      <c r="OO150"/>
      <c r="OP150"/>
      <c r="OQ150"/>
      <c r="OR150"/>
      <c r="OS150"/>
      <c r="OT150"/>
      <c r="OU150"/>
      <c r="OV150"/>
      <c r="OW150"/>
      <c r="OX150"/>
      <c r="OY150"/>
      <c r="OZ150"/>
      <c r="PA150"/>
      <c r="PB150"/>
      <c r="PC150"/>
      <c r="PD150"/>
      <c r="PE150"/>
      <c r="PF150"/>
      <c r="PG150"/>
      <c r="PH150"/>
      <c r="PI150"/>
      <c r="PJ150"/>
      <c r="PK150"/>
      <c r="PL150"/>
      <c r="PM150"/>
      <c r="PN150"/>
      <c r="PO150"/>
      <c r="PP150"/>
      <c r="PQ150"/>
      <c r="PR150"/>
      <c r="PS150"/>
      <c r="PT150"/>
      <c r="PU150"/>
      <c r="PV150"/>
      <c r="PW150"/>
      <c r="PX150"/>
      <c r="PY150"/>
      <c r="PZ150"/>
      <c r="QA150"/>
      <c r="QB150"/>
      <c r="QC150"/>
      <c r="QD150"/>
      <c r="QE150"/>
      <c r="QF150"/>
      <c r="QG150"/>
      <c r="QH150"/>
      <c r="QI150"/>
      <c r="QJ150"/>
      <c r="QK150"/>
      <c r="QL150"/>
      <c r="QM150"/>
      <c r="QN150"/>
      <c r="QO150"/>
      <c r="QP150"/>
      <c r="QQ150"/>
      <c r="QR150"/>
      <c r="QS150"/>
      <c r="QT150"/>
      <c r="QU150"/>
      <c r="QV150"/>
      <c r="QW150"/>
      <c r="QX150"/>
    </row>
    <row r="151" spans="1:466" x14ac:dyDescent="0.35">
      <c r="A151" s="53"/>
      <c r="B151" s="53"/>
      <c r="C151" s="55"/>
      <c r="D151" s="53"/>
      <c r="E151" s="53"/>
      <c r="F151" s="126" t="s">
        <v>259</v>
      </c>
      <c r="G151" s="125">
        <v>0.53878423999999969</v>
      </c>
      <c r="H151" s="125">
        <v>883.60615359999952</v>
      </c>
      <c r="I151" s="133">
        <v>1640</v>
      </c>
      <c r="J151" s="53"/>
      <c r="K151" s="53"/>
      <c r="L151" s="53"/>
      <c r="M151" s="53"/>
      <c r="N151" s="53"/>
      <c r="O151" s="53"/>
      <c r="P151" s="53"/>
      <c r="Q151" s="53"/>
      <c r="R151" s="53"/>
      <c r="S151" s="53"/>
      <c r="T151" s="53"/>
      <c r="U151" s="53"/>
      <c r="V151" s="53"/>
      <c r="W151" s="53"/>
      <c r="X151" s="53"/>
      <c r="Y151" s="53"/>
      <c r="Z151" s="53"/>
      <c r="AA151" s="53"/>
      <c r="AB151" s="53"/>
      <c r="AC151" s="53"/>
      <c r="AD151" s="53"/>
      <c r="AE151" s="53"/>
      <c r="AF151" s="63"/>
      <c r="AG151" s="64"/>
      <c r="AH151" s="65"/>
      <c r="AI151" s="65"/>
      <c r="AJ151" s="53"/>
      <c r="AK151" s="62"/>
      <c r="AL151" s="62"/>
      <c r="AM151" s="62"/>
      <c r="AN151" s="62"/>
      <c r="AO151" s="62"/>
      <c r="AP151" s="62"/>
      <c r="AQ151" s="62"/>
      <c r="AR151" s="62"/>
      <c r="AS151" s="62"/>
      <c r="AT151" s="62"/>
      <c r="AU151" s="62"/>
      <c r="AV151" s="62"/>
      <c r="AW151" s="62"/>
      <c r="AX151" s="62"/>
      <c r="AY151" s="62"/>
      <c r="AZ151" s="62"/>
      <c r="BA151" s="62"/>
      <c r="BB151" s="62"/>
      <c r="BC151" s="62"/>
      <c r="BD151" s="62"/>
      <c r="BE151" s="62"/>
      <c r="BF151" s="62"/>
      <c r="BG151" s="62"/>
      <c r="BH151" s="62"/>
      <c r="BI151" s="62"/>
      <c r="BJ151" s="62"/>
      <c r="BK151" s="62"/>
      <c r="BL151" s="62"/>
      <c r="BM151" s="62"/>
      <c r="BN151" s="62"/>
      <c r="BO151" s="62"/>
      <c r="BP151" s="62"/>
      <c r="BQ151" s="62"/>
      <c r="BR151" s="62"/>
      <c r="BS151" s="62"/>
      <c r="BT151" s="62"/>
      <c r="BU151" s="62"/>
      <c r="BV151" s="62"/>
      <c r="BW151" s="62"/>
      <c r="BX151" s="62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  <c r="IC151"/>
      <c r="ID151"/>
      <c r="IE151"/>
      <c r="IF151"/>
      <c r="IG151"/>
      <c r="IH151"/>
      <c r="II151"/>
      <c r="IJ151"/>
      <c r="IK151"/>
      <c r="IL151"/>
      <c r="IM151"/>
      <c r="IN151"/>
      <c r="IO151"/>
      <c r="IP151"/>
      <c r="IQ151"/>
      <c r="IR151"/>
      <c r="IS151"/>
      <c r="IT151"/>
      <c r="IU151"/>
      <c r="IV151"/>
      <c r="IW151"/>
      <c r="IX151"/>
      <c r="IY151"/>
      <c r="IZ151"/>
      <c r="JA151"/>
      <c r="JB151"/>
      <c r="JC151"/>
      <c r="JD151"/>
      <c r="JE151"/>
      <c r="JF151"/>
      <c r="JG151"/>
      <c r="JH151"/>
      <c r="JI151"/>
      <c r="JJ151"/>
      <c r="JK151"/>
      <c r="JL151"/>
      <c r="JM151"/>
      <c r="JN151"/>
      <c r="JO151"/>
      <c r="JP151"/>
      <c r="JQ151"/>
      <c r="JR151"/>
      <c r="JS151"/>
      <c r="JT151"/>
      <c r="JU151"/>
      <c r="JV151"/>
      <c r="JW151"/>
      <c r="JX151"/>
      <c r="JY151"/>
      <c r="JZ151"/>
      <c r="KA151"/>
      <c r="KB151"/>
      <c r="KC151"/>
      <c r="KD151"/>
      <c r="KE151"/>
      <c r="KF151"/>
      <c r="KG151"/>
      <c r="KH151"/>
      <c r="KI151"/>
      <c r="KJ151"/>
      <c r="KK151"/>
      <c r="KL151"/>
      <c r="KM151"/>
      <c r="KN151"/>
      <c r="KO151"/>
      <c r="KP151"/>
      <c r="KQ151"/>
      <c r="KR151"/>
      <c r="KS151"/>
      <c r="KT151"/>
      <c r="KU151"/>
      <c r="KV151"/>
      <c r="KW151"/>
      <c r="KX151"/>
      <c r="KY151"/>
      <c r="KZ151"/>
      <c r="LA151"/>
      <c r="LB151"/>
      <c r="LC151"/>
      <c r="LD151"/>
      <c r="LE151"/>
      <c r="LF151"/>
      <c r="LG151"/>
      <c r="LH151"/>
      <c r="LI151"/>
      <c r="LJ151"/>
      <c r="LK151"/>
      <c r="LL151"/>
      <c r="LM151"/>
      <c r="LN151"/>
      <c r="LO151"/>
      <c r="LP151"/>
      <c r="LQ151"/>
      <c r="LR151"/>
      <c r="LS151"/>
      <c r="LT151"/>
      <c r="LU151"/>
      <c r="LV151"/>
      <c r="LW151"/>
      <c r="LX151"/>
      <c r="LY151"/>
      <c r="LZ151"/>
      <c r="MA151"/>
      <c r="MB151"/>
      <c r="MC151"/>
      <c r="MD151"/>
      <c r="ME151"/>
      <c r="MF151"/>
      <c r="MG151"/>
      <c r="MH151"/>
      <c r="MI151"/>
      <c r="MJ151"/>
      <c r="MK151"/>
      <c r="ML151"/>
      <c r="MM151"/>
      <c r="MN151"/>
      <c r="MO151"/>
      <c r="MP151"/>
      <c r="MQ151"/>
      <c r="MR151"/>
      <c r="MS151"/>
      <c r="MT151"/>
      <c r="MU151"/>
      <c r="MV151"/>
      <c r="MW151"/>
      <c r="MX151"/>
      <c r="MY151"/>
      <c r="MZ151"/>
      <c r="NA151"/>
      <c r="NB151"/>
      <c r="NC151"/>
      <c r="ND151"/>
      <c r="NE151"/>
      <c r="NF151"/>
      <c r="NG151"/>
      <c r="NH151"/>
      <c r="NI151"/>
      <c r="NJ151"/>
      <c r="NK151"/>
      <c r="NL151"/>
      <c r="NM151"/>
      <c r="NN151"/>
      <c r="NO151"/>
      <c r="NP151"/>
      <c r="NQ151"/>
      <c r="NR151"/>
      <c r="NS151"/>
      <c r="NT151"/>
      <c r="NU151"/>
      <c r="NV151"/>
      <c r="NW151"/>
      <c r="NX151"/>
      <c r="NY151"/>
      <c r="NZ151"/>
      <c r="OA151"/>
      <c r="OB151"/>
      <c r="OC151"/>
      <c r="OD151"/>
      <c r="OE151"/>
      <c r="OF151"/>
      <c r="OG151"/>
      <c r="OH151"/>
      <c r="OI151"/>
      <c r="OJ151"/>
      <c r="OK151"/>
      <c r="OL151"/>
      <c r="OM151"/>
      <c r="ON151"/>
      <c r="OO151"/>
      <c r="OP151"/>
      <c r="OQ151"/>
      <c r="OR151"/>
      <c r="OS151"/>
      <c r="OT151"/>
      <c r="OU151"/>
      <c r="OV151"/>
      <c r="OW151"/>
      <c r="OX151"/>
      <c r="OY151"/>
      <c r="OZ151"/>
      <c r="PA151"/>
      <c r="PB151"/>
      <c r="PC151"/>
      <c r="PD151"/>
      <c r="PE151"/>
      <c r="PF151"/>
      <c r="PG151"/>
      <c r="PH151"/>
      <c r="PI151"/>
      <c r="PJ151"/>
      <c r="PK151"/>
      <c r="PL151"/>
      <c r="PM151"/>
      <c r="PN151"/>
      <c r="PO151"/>
      <c r="PP151"/>
      <c r="PQ151"/>
      <c r="PR151"/>
      <c r="PS151"/>
      <c r="PT151"/>
      <c r="PU151"/>
      <c r="PV151"/>
      <c r="PW151"/>
      <c r="PX151"/>
      <c r="PY151"/>
      <c r="PZ151"/>
      <c r="QA151"/>
      <c r="QB151"/>
      <c r="QC151"/>
      <c r="QD151"/>
      <c r="QE151"/>
      <c r="QF151"/>
      <c r="QG151"/>
      <c r="QH151"/>
      <c r="QI151"/>
      <c r="QJ151"/>
      <c r="QK151"/>
      <c r="QL151"/>
      <c r="QM151"/>
      <c r="QN151"/>
      <c r="QO151"/>
      <c r="QP151"/>
      <c r="QQ151"/>
      <c r="QR151"/>
      <c r="QS151"/>
      <c r="QT151"/>
      <c r="QU151"/>
      <c r="QV151"/>
      <c r="QW151"/>
      <c r="QX151"/>
    </row>
    <row r="152" spans="1:466" x14ac:dyDescent="0.35">
      <c r="A152" s="53"/>
      <c r="B152" s="53"/>
      <c r="C152" s="55"/>
      <c r="D152" s="53"/>
      <c r="E152" s="53"/>
      <c r="F152" s="126" t="s">
        <v>277</v>
      </c>
      <c r="G152" s="125">
        <v>0.53878423999999969</v>
      </c>
      <c r="H152" s="125">
        <v>0</v>
      </c>
      <c r="I152" s="133">
        <v>0</v>
      </c>
      <c r="J152" s="53"/>
      <c r="K152" s="53"/>
      <c r="L152" s="53"/>
      <c r="M152" s="53"/>
      <c r="N152" s="53"/>
      <c r="O152" s="53"/>
      <c r="P152" s="53"/>
      <c r="Q152" s="53"/>
      <c r="R152" s="53"/>
      <c r="S152" s="53"/>
      <c r="T152" s="53"/>
      <c r="U152" s="53"/>
      <c r="V152" s="53"/>
      <c r="W152" s="53"/>
      <c r="X152" s="53"/>
      <c r="Y152" s="53"/>
      <c r="Z152" s="53"/>
      <c r="AA152" s="53"/>
      <c r="AB152" s="53"/>
      <c r="AC152" s="53"/>
      <c r="AD152" s="53"/>
      <c r="AE152" s="53"/>
      <c r="AF152" s="63"/>
      <c r="AG152" s="64"/>
      <c r="AH152" s="65"/>
      <c r="AI152" s="65"/>
      <c r="AJ152" s="53"/>
      <c r="AK152" s="62"/>
      <c r="AL152" s="62"/>
      <c r="AM152" s="62"/>
      <c r="AN152" s="62"/>
      <c r="AO152" s="62"/>
      <c r="AP152" s="62"/>
      <c r="AQ152" s="62"/>
      <c r="AR152" s="62"/>
      <c r="AS152" s="62"/>
      <c r="AT152" s="62"/>
      <c r="AU152" s="62"/>
      <c r="AV152" s="62"/>
      <c r="AW152" s="62"/>
      <c r="AX152" s="62"/>
      <c r="AY152" s="62"/>
      <c r="AZ152" s="62"/>
      <c r="BA152" s="62"/>
      <c r="BB152" s="62"/>
      <c r="BC152" s="62"/>
      <c r="BD152" s="62"/>
      <c r="BE152" s="62"/>
      <c r="BF152" s="62"/>
      <c r="BG152" s="62"/>
      <c r="BH152" s="62"/>
      <c r="BI152" s="62"/>
      <c r="BJ152" s="62"/>
      <c r="BK152" s="62"/>
      <c r="BL152" s="62"/>
      <c r="BM152" s="62"/>
      <c r="BN152" s="62"/>
      <c r="BO152" s="62"/>
      <c r="BP152" s="62"/>
      <c r="BQ152" s="62"/>
      <c r="BR152" s="62"/>
      <c r="BS152" s="62"/>
      <c r="BT152" s="62"/>
      <c r="BU152" s="62"/>
      <c r="BV152" s="62"/>
      <c r="BW152" s="62"/>
      <c r="BX152" s="6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  <c r="HX152"/>
      <c r="HY152"/>
      <c r="HZ152"/>
      <c r="IA152"/>
      <c r="IB152"/>
      <c r="IC152"/>
      <c r="ID152"/>
      <c r="IE152"/>
      <c r="IF152"/>
      <c r="IG152"/>
      <c r="IH152"/>
      <c r="II152"/>
      <c r="IJ152"/>
      <c r="IK152"/>
      <c r="IL152"/>
      <c r="IM152"/>
      <c r="IN152"/>
      <c r="IO152"/>
      <c r="IP152"/>
      <c r="IQ152"/>
      <c r="IR152"/>
      <c r="IS152"/>
      <c r="IT152"/>
      <c r="IU152"/>
      <c r="IV152"/>
      <c r="IW152"/>
      <c r="IX152"/>
      <c r="IY152"/>
      <c r="IZ152"/>
      <c r="JA152"/>
      <c r="JB152"/>
      <c r="JC152"/>
      <c r="JD152"/>
      <c r="JE152"/>
      <c r="JF152"/>
      <c r="JG152"/>
      <c r="JH152"/>
      <c r="JI152"/>
      <c r="JJ152"/>
      <c r="JK152"/>
      <c r="JL152"/>
      <c r="JM152"/>
      <c r="JN152"/>
      <c r="JO152"/>
      <c r="JP152"/>
      <c r="JQ152"/>
      <c r="JR152"/>
      <c r="JS152"/>
      <c r="JT152"/>
      <c r="JU152"/>
      <c r="JV152"/>
      <c r="JW152"/>
      <c r="JX152"/>
      <c r="JY152"/>
      <c r="JZ152"/>
      <c r="KA152"/>
      <c r="KB152"/>
      <c r="KC152"/>
      <c r="KD152"/>
      <c r="KE152"/>
      <c r="KF152"/>
      <c r="KG152"/>
      <c r="KH152"/>
      <c r="KI152"/>
      <c r="KJ152"/>
      <c r="KK152"/>
      <c r="KL152"/>
      <c r="KM152"/>
      <c r="KN152"/>
      <c r="KO152"/>
      <c r="KP152"/>
      <c r="KQ152"/>
      <c r="KR152"/>
      <c r="KS152"/>
      <c r="KT152"/>
      <c r="KU152"/>
      <c r="KV152"/>
      <c r="KW152"/>
      <c r="KX152"/>
      <c r="KY152"/>
      <c r="KZ152"/>
      <c r="LA152"/>
      <c r="LB152"/>
      <c r="LC152"/>
      <c r="LD152"/>
      <c r="LE152"/>
      <c r="LF152"/>
      <c r="LG152"/>
      <c r="LH152"/>
      <c r="LI152"/>
      <c r="LJ152"/>
      <c r="LK152"/>
      <c r="LL152"/>
      <c r="LM152"/>
      <c r="LN152"/>
      <c r="LO152"/>
      <c r="LP152"/>
      <c r="LQ152"/>
      <c r="LR152"/>
      <c r="LS152"/>
      <c r="LT152"/>
      <c r="LU152"/>
      <c r="LV152"/>
      <c r="LW152"/>
      <c r="LX152"/>
      <c r="LY152"/>
      <c r="LZ152"/>
      <c r="MA152"/>
      <c r="MB152"/>
      <c r="MC152"/>
      <c r="MD152"/>
      <c r="ME152"/>
      <c r="MF152"/>
      <c r="MG152"/>
      <c r="MH152"/>
      <c r="MI152"/>
      <c r="MJ152"/>
      <c r="MK152"/>
      <c r="ML152"/>
      <c r="MM152"/>
      <c r="MN152"/>
      <c r="MO152"/>
      <c r="MP152"/>
      <c r="MQ152"/>
      <c r="MR152"/>
      <c r="MS152"/>
      <c r="MT152"/>
      <c r="MU152"/>
      <c r="MV152"/>
      <c r="MW152"/>
      <c r="MX152"/>
      <c r="MY152"/>
      <c r="MZ152"/>
      <c r="NA152"/>
      <c r="NB152"/>
      <c r="NC152"/>
      <c r="ND152"/>
      <c r="NE152"/>
      <c r="NF152"/>
      <c r="NG152"/>
      <c r="NH152"/>
      <c r="NI152"/>
      <c r="NJ152"/>
      <c r="NK152"/>
      <c r="NL152"/>
      <c r="NM152"/>
      <c r="NN152"/>
      <c r="NO152"/>
      <c r="NP152"/>
      <c r="NQ152"/>
      <c r="NR152"/>
      <c r="NS152"/>
      <c r="NT152"/>
      <c r="NU152"/>
      <c r="NV152"/>
      <c r="NW152"/>
      <c r="NX152"/>
      <c r="NY152"/>
      <c r="NZ152"/>
      <c r="OA152"/>
      <c r="OB152"/>
      <c r="OC152"/>
      <c r="OD152"/>
      <c r="OE152"/>
      <c r="OF152"/>
      <c r="OG152"/>
      <c r="OH152"/>
      <c r="OI152"/>
      <c r="OJ152"/>
      <c r="OK152"/>
      <c r="OL152"/>
      <c r="OM152"/>
      <c r="ON152"/>
      <c r="OO152"/>
      <c r="OP152"/>
      <c r="OQ152"/>
      <c r="OR152"/>
      <c r="OS152"/>
      <c r="OT152"/>
      <c r="OU152"/>
      <c r="OV152"/>
      <c r="OW152"/>
      <c r="OX152"/>
      <c r="OY152"/>
      <c r="OZ152"/>
      <c r="PA152"/>
      <c r="PB152"/>
      <c r="PC152"/>
      <c r="PD152"/>
      <c r="PE152"/>
      <c r="PF152"/>
      <c r="PG152"/>
      <c r="PH152"/>
      <c r="PI152"/>
      <c r="PJ152"/>
      <c r="PK152"/>
      <c r="PL152"/>
      <c r="PM152"/>
      <c r="PN152"/>
      <c r="PO152"/>
      <c r="PP152"/>
      <c r="PQ152"/>
      <c r="PR152"/>
      <c r="PS152"/>
      <c r="PT152"/>
      <c r="PU152"/>
      <c r="PV152"/>
      <c r="PW152"/>
      <c r="PX152"/>
      <c r="PY152"/>
      <c r="PZ152"/>
      <c r="QA152"/>
      <c r="QB152"/>
      <c r="QC152"/>
      <c r="QD152"/>
      <c r="QE152"/>
      <c r="QF152"/>
      <c r="QG152"/>
      <c r="QH152"/>
      <c r="QI152"/>
      <c r="QJ152"/>
      <c r="QK152"/>
      <c r="QL152"/>
      <c r="QM152"/>
      <c r="QN152"/>
      <c r="QO152"/>
      <c r="QP152"/>
      <c r="QQ152"/>
      <c r="QR152"/>
      <c r="QS152"/>
      <c r="QT152"/>
      <c r="QU152"/>
      <c r="QV152"/>
      <c r="QW152"/>
      <c r="QX152"/>
    </row>
    <row r="153" spans="1:466" x14ac:dyDescent="0.35">
      <c r="A153" s="53"/>
      <c r="B153" s="53"/>
      <c r="C153" s="55"/>
      <c r="D153" s="53"/>
      <c r="E153" s="53"/>
      <c r="F153" s="126" t="s">
        <v>239</v>
      </c>
      <c r="G153" s="125">
        <v>0.67247999999999997</v>
      </c>
      <c r="H153" s="125">
        <v>614.64671999999996</v>
      </c>
      <c r="I153" s="133">
        <v>914</v>
      </c>
      <c r="J153" s="53"/>
      <c r="K153" s="53"/>
      <c r="L153" s="53"/>
      <c r="M153" s="53"/>
      <c r="N153" s="53"/>
      <c r="O153" s="53"/>
      <c r="P153" s="53"/>
      <c r="Q153" s="53"/>
      <c r="R153" s="53"/>
      <c r="S153" s="53"/>
      <c r="T153" s="53"/>
      <c r="U153" s="53"/>
      <c r="V153" s="53"/>
      <c r="W153" s="53"/>
      <c r="X153" s="53"/>
      <c r="Y153" s="53"/>
      <c r="Z153" s="53"/>
      <c r="AA153" s="53"/>
      <c r="AB153" s="53"/>
      <c r="AC153" s="53"/>
      <c r="AD153" s="53"/>
      <c r="AE153" s="53"/>
      <c r="AF153" s="63"/>
      <c r="AG153" s="64"/>
      <c r="AH153" s="65"/>
      <c r="AI153" s="65"/>
      <c r="AJ153" s="53"/>
      <c r="AK153" s="62"/>
      <c r="AL153" s="62"/>
      <c r="AM153" s="62"/>
      <c r="AN153" s="62"/>
      <c r="AO153" s="62"/>
      <c r="AP153" s="62"/>
      <c r="AQ153" s="62"/>
      <c r="AR153" s="62"/>
      <c r="AS153" s="62"/>
      <c r="AT153" s="62"/>
      <c r="AU153" s="62"/>
      <c r="AV153" s="62"/>
      <c r="AW153" s="62"/>
      <c r="AX153" s="62"/>
      <c r="AY153" s="62"/>
      <c r="AZ153" s="62"/>
      <c r="BA153" s="62"/>
      <c r="BB153" s="62"/>
      <c r="BC153" s="62"/>
      <c r="BD153" s="62"/>
      <c r="BE153" s="62"/>
      <c r="BF153" s="62"/>
      <c r="BG153" s="62"/>
      <c r="BH153" s="62"/>
      <c r="BI153" s="62"/>
      <c r="BJ153" s="62"/>
      <c r="BK153" s="62"/>
      <c r="BL153" s="62"/>
      <c r="BM153" s="62"/>
      <c r="BN153" s="62"/>
      <c r="BO153" s="62"/>
      <c r="BP153" s="62"/>
      <c r="BQ153" s="62"/>
      <c r="BR153" s="62"/>
      <c r="BS153" s="62"/>
      <c r="BT153" s="62"/>
      <c r="BU153" s="62"/>
      <c r="BV153" s="62"/>
      <c r="BW153" s="62"/>
      <c r="BX153" s="62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  <c r="HB153"/>
      <c r="HC153"/>
      <c r="HD153"/>
      <c r="HE153"/>
      <c r="HF153"/>
      <c r="HG153"/>
      <c r="HH153"/>
      <c r="HI153"/>
      <c r="HJ153"/>
      <c r="HK153"/>
      <c r="HL153"/>
      <c r="HM153"/>
      <c r="HN153"/>
      <c r="HO153"/>
      <c r="HP153"/>
      <c r="HQ153"/>
      <c r="HR153"/>
      <c r="HS153"/>
      <c r="HT153"/>
      <c r="HU153"/>
      <c r="HV153"/>
      <c r="HW153"/>
      <c r="HX153"/>
      <c r="HY153"/>
      <c r="HZ153"/>
      <c r="IA153"/>
      <c r="IB153"/>
      <c r="IC153"/>
      <c r="ID153"/>
      <c r="IE153"/>
      <c r="IF153"/>
      <c r="IG153"/>
      <c r="IH153"/>
      <c r="II153"/>
      <c r="IJ153"/>
      <c r="IK153"/>
      <c r="IL153"/>
      <c r="IM153"/>
      <c r="IN153"/>
      <c r="IO153"/>
      <c r="IP153"/>
      <c r="IQ153"/>
      <c r="IR153"/>
      <c r="IS153"/>
      <c r="IT153"/>
      <c r="IU153"/>
      <c r="IV153"/>
      <c r="IW153"/>
      <c r="IX153"/>
      <c r="IY153"/>
      <c r="IZ153"/>
      <c r="JA153"/>
      <c r="JB153"/>
      <c r="JC153"/>
      <c r="JD153"/>
      <c r="JE153"/>
      <c r="JF153"/>
      <c r="JG153"/>
      <c r="JH153"/>
      <c r="JI153"/>
      <c r="JJ153"/>
      <c r="JK153"/>
      <c r="JL153"/>
      <c r="JM153"/>
      <c r="JN153"/>
      <c r="JO153"/>
      <c r="JP153"/>
      <c r="JQ153"/>
      <c r="JR153"/>
      <c r="JS153"/>
      <c r="JT153"/>
      <c r="JU153"/>
      <c r="JV153"/>
      <c r="JW153"/>
      <c r="JX153"/>
      <c r="JY153"/>
      <c r="JZ153"/>
      <c r="KA153"/>
      <c r="KB153"/>
      <c r="KC153"/>
      <c r="KD153"/>
      <c r="KE153"/>
      <c r="KF153"/>
      <c r="KG153"/>
      <c r="KH153"/>
      <c r="KI153"/>
      <c r="KJ153"/>
      <c r="KK153"/>
      <c r="KL153"/>
      <c r="KM153"/>
      <c r="KN153"/>
      <c r="KO153"/>
      <c r="KP153"/>
      <c r="KQ153"/>
      <c r="KR153"/>
      <c r="KS153"/>
      <c r="KT153"/>
      <c r="KU153"/>
      <c r="KV153"/>
      <c r="KW153"/>
      <c r="KX153"/>
      <c r="KY153"/>
      <c r="KZ153"/>
      <c r="LA153"/>
      <c r="LB153"/>
      <c r="LC153"/>
      <c r="LD153"/>
      <c r="LE153"/>
      <c r="LF153"/>
      <c r="LG153"/>
      <c r="LH153"/>
      <c r="LI153"/>
      <c r="LJ153"/>
      <c r="LK153"/>
      <c r="LL153"/>
      <c r="LM153"/>
      <c r="LN153"/>
      <c r="LO153"/>
      <c r="LP153"/>
      <c r="LQ153"/>
      <c r="LR153"/>
      <c r="LS153"/>
      <c r="LT153"/>
      <c r="LU153"/>
      <c r="LV153"/>
      <c r="LW153"/>
      <c r="LX153"/>
      <c r="LY153"/>
      <c r="LZ153"/>
      <c r="MA153"/>
      <c r="MB153"/>
      <c r="MC153"/>
      <c r="MD153"/>
      <c r="ME153"/>
      <c r="MF153"/>
      <c r="MG153"/>
      <c r="MH153"/>
      <c r="MI153"/>
      <c r="MJ153"/>
      <c r="MK153"/>
      <c r="ML153"/>
      <c r="MM153"/>
      <c r="MN153"/>
      <c r="MO153"/>
      <c r="MP153"/>
      <c r="MQ153"/>
      <c r="MR153"/>
      <c r="MS153"/>
      <c r="MT153"/>
      <c r="MU153"/>
      <c r="MV153"/>
      <c r="MW153"/>
      <c r="MX153"/>
      <c r="MY153"/>
      <c r="MZ153"/>
      <c r="NA153"/>
      <c r="NB153"/>
      <c r="NC153"/>
      <c r="ND153"/>
      <c r="NE153"/>
      <c r="NF153"/>
      <c r="NG153"/>
      <c r="NH153"/>
      <c r="NI153"/>
      <c r="NJ153"/>
      <c r="NK153"/>
      <c r="NL153"/>
      <c r="NM153"/>
      <c r="NN153"/>
      <c r="NO153"/>
      <c r="NP153"/>
      <c r="NQ153"/>
      <c r="NR153"/>
      <c r="NS153"/>
      <c r="NT153"/>
      <c r="NU153"/>
      <c r="NV153"/>
      <c r="NW153"/>
      <c r="NX153"/>
      <c r="NY153"/>
      <c r="NZ153"/>
      <c r="OA153"/>
      <c r="OB153"/>
      <c r="OC153"/>
      <c r="OD153"/>
      <c r="OE153"/>
      <c r="OF153"/>
      <c r="OG153"/>
      <c r="OH153"/>
      <c r="OI153"/>
      <c r="OJ153"/>
      <c r="OK153"/>
      <c r="OL153"/>
      <c r="OM153"/>
      <c r="ON153"/>
      <c r="OO153"/>
      <c r="OP153"/>
      <c r="OQ153"/>
      <c r="OR153"/>
      <c r="OS153"/>
      <c r="OT153"/>
      <c r="OU153"/>
      <c r="OV153"/>
      <c r="OW153"/>
      <c r="OX153"/>
      <c r="OY153"/>
      <c r="OZ153"/>
      <c r="PA153"/>
      <c r="PB153"/>
      <c r="PC153"/>
      <c r="PD153"/>
      <c r="PE153"/>
      <c r="PF153"/>
      <c r="PG153"/>
      <c r="PH153"/>
      <c r="PI153"/>
      <c r="PJ153"/>
      <c r="PK153"/>
      <c r="PL153"/>
      <c r="PM153"/>
      <c r="PN153"/>
      <c r="PO153"/>
      <c r="PP153"/>
      <c r="PQ153"/>
      <c r="PR153"/>
      <c r="PS153"/>
      <c r="PT153"/>
      <c r="PU153"/>
      <c r="PV153"/>
      <c r="PW153"/>
      <c r="PX153"/>
      <c r="PY153"/>
      <c r="PZ153"/>
      <c r="QA153"/>
      <c r="QB153"/>
      <c r="QC153"/>
      <c r="QD153"/>
      <c r="QE153"/>
      <c r="QF153"/>
      <c r="QG153"/>
      <c r="QH153"/>
      <c r="QI153"/>
      <c r="QJ153"/>
      <c r="QK153"/>
      <c r="QL153"/>
      <c r="QM153"/>
      <c r="QN153"/>
      <c r="QO153"/>
      <c r="QP153"/>
      <c r="QQ153"/>
      <c r="QR153"/>
      <c r="QS153"/>
      <c r="QT153"/>
      <c r="QU153"/>
      <c r="QV153"/>
      <c r="QW153"/>
      <c r="QX153"/>
    </row>
    <row r="154" spans="1:466" x14ac:dyDescent="0.35">
      <c r="A154" s="53"/>
      <c r="B154" s="53"/>
      <c r="C154" s="55"/>
      <c r="D154" s="53"/>
      <c r="E154" s="53"/>
      <c r="F154" s="126" t="s">
        <v>291</v>
      </c>
      <c r="G154" s="125">
        <v>0.67247999999999997</v>
      </c>
      <c r="H154" s="125">
        <v>445.18176</v>
      </c>
      <c r="I154" s="133">
        <v>662</v>
      </c>
      <c r="J154" s="53"/>
      <c r="K154" s="53"/>
      <c r="L154" s="53"/>
      <c r="M154" s="53"/>
      <c r="N154" s="53"/>
      <c r="O154" s="53"/>
      <c r="P154" s="53"/>
      <c r="Q154" s="53"/>
      <c r="R154" s="53"/>
      <c r="S154" s="53"/>
      <c r="T154" s="53"/>
      <c r="U154" s="53"/>
      <c r="V154" s="53"/>
      <c r="W154" s="53"/>
      <c r="X154" s="53"/>
      <c r="Y154" s="53"/>
      <c r="Z154" s="53"/>
      <c r="AA154" s="53"/>
      <c r="AB154" s="53"/>
      <c r="AC154" s="53"/>
      <c r="AD154" s="53"/>
      <c r="AE154" s="53"/>
      <c r="AF154" s="63"/>
      <c r="AG154" s="64"/>
      <c r="AH154" s="65"/>
      <c r="AI154" s="65"/>
      <c r="AJ154" s="53"/>
      <c r="AK154" s="62"/>
      <c r="AL154" s="62"/>
      <c r="AM154" s="62"/>
      <c r="AN154" s="62"/>
      <c r="AO154" s="62"/>
      <c r="AP154" s="62"/>
      <c r="AQ154" s="62"/>
      <c r="AR154" s="62"/>
      <c r="AS154" s="62"/>
      <c r="AT154" s="62"/>
      <c r="AU154" s="62"/>
      <c r="AV154" s="62"/>
      <c r="AW154" s="62"/>
      <c r="AX154" s="62"/>
      <c r="AY154" s="62"/>
      <c r="AZ154" s="62"/>
      <c r="BA154" s="62"/>
      <c r="BB154" s="62"/>
      <c r="BC154" s="62"/>
      <c r="BD154" s="62"/>
      <c r="BE154" s="62"/>
      <c r="BF154" s="62"/>
      <c r="BG154" s="62"/>
      <c r="BH154" s="62"/>
      <c r="BI154" s="62"/>
      <c r="BJ154" s="62"/>
      <c r="BK154" s="62"/>
      <c r="BL154" s="62"/>
      <c r="BM154" s="62"/>
      <c r="BN154" s="62"/>
      <c r="BO154" s="62"/>
      <c r="BP154" s="62"/>
      <c r="BQ154" s="62"/>
      <c r="BR154" s="62"/>
      <c r="BS154" s="62"/>
      <c r="BT154" s="62"/>
      <c r="BU154" s="62"/>
      <c r="BV154" s="62"/>
      <c r="BW154" s="62"/>
      <c r="BX154" s="62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  <c r="HB154"/>
      <c r="HC154"/>
      <c r="HD154"/>
      <c r="HE154"/>
      <c r="HF154"/>
      <c r="HG154"/>
      <c r="HH154"/>
      <c r="HI154"/>
      <c r="HJ154"/>
      <c r="HK154"/>
      <c r="HL154"/>
      <c r="HM154"/>
      <c r="HN154"/>
      <c r="HO154"/>
      <c r="HP154"/>
      <c r="HQ154"/>
      <c r="HR154"/>
      <c r="HS154"/>
      <c r="HT154"/>
      <c r="HU154"/>
      <c r="HV154"/>
      <c r="HW154"/>
      <c r="HX154"/>
      <c r="HY154"/>
      <c r="HZ154"/>
      <c r="IA154"/>
      <c r="IB154"/>
      <c r="IC154"/>
      <c r="ID154"/>
      <c r="IE154"/>
      <c r="IF154"/>
      <c r="IG154"/>
      <c r="IH154"/>
      <c r="II154"/>
      <c r="IJ154"/>
      <c r="IK154"/>
      <c r="IL154"/>
      <c r="IM154"/>
      <c r="IN154"/>
      <c r="IO154"/>
      <c r="IP154"/>
      <c r="IQ154"/>
      <c r="IR154"/>
      <c r="IS154"/>
      <c r="IT154"/>
      <c r="IU154"/>
      <c r="IV154"/>
      <c r="IW154"/>
      <c r="IX154"/>
      <c r="IY154"/>
      <c r="IZ154"/>
      <c r="JA154"/>
      <c r="JB154"/>
      <c r="JC154"/>
      <c r="JD154"/>
      <c r="JE154"/>
      <c r="JF154"/>
      <c r="JG154"/>
      <c r="JH154"/>
      <c r="JI154"/>
      <c r="JJ154"/>
      <c r="JK154"/>
      <c r="JL154"/>
      <c r="JM154"/>
      <c r="JN154"/>
      <c r="JO154"/>
      <c r="JP154"/>
      <c r="JQ154"/>
      <c r="JR154"/>
      <c r="JS154"/>
      <c r="JT154"/>
      <c r="JU154"/>
      <c r="JV154"/>
      <c r="JW154"/>
      <c r="JX154"/>
      <c r="JY154"/>
      <c r="JZ154"/>
      <c r="KA154"/>
      <c r="KB154"/>
      <c r="KC154"/>
      <c r="KD154"/>
      <c r="KE154"/>
      <c r="KF154"/>
      <c r="KG154"/>
      <c r="KH154"/>
      <c r="KI154"/>
      <c r="KJ154"/>
      <c r="KK154"/>
      <c r="KL154"/>
      <c r="KM154"/>
      <c r="KN154"/>
      <c r="KO154"/>
      <c r="KP154"/>
      <c r="KQ154"/>
      <c r="KR154"/>
      <c r="KS154"/>
      <c r="KT154"/>
      <c r="KU154"/>
      <c r="KV154"/>
      <c r="KW154"/>
      <c r="KX154"/>
      <c r="KY154"/>
      <c r="KZ154"/>
      <c r="LA154"/>
      <c r="LB154"/>
      <c r="LC154"/>
      <c r="LD154"/>
      <c r="LE154"/>
      <c r="LF154"/>
      <c r="LG154"/>
      <c r="LH154"/>
      <c r="LI154"/>
      <c r="LJ154"/>
      <c r="LK154"/>
      <c r="LL154"/>
      <c r="LM154"/>
      <c r="LN154"/>
      <c r="LO154"/>
      <c r="LP154"/>
      <c r="LQ154"/>
      <c r="LR154"/>
      <c r="LS154"/>
      <c r="LT154"/>
      <c r="LU154"/>
      <c r="LV154"/>
      <c r="LW154"/>
      <c r="LX154"/>
      <c r="LY154"/>
      <c r="LZ154"/>
      <c r="MA154"/>
      <c r="MB154"/>
      <c r="MC154"/>
      <c r="MD154"/>
      <c r="ME154"/>
      <c r="MF154"/>
      <c r="MG154"/>
      <c r="MH154"/>
      <c r="MI154"/>
      <c r="MJ154"/>
      <c r="MK154"/>
      <c r="ML154"/>
      <c r="MM154"/>
      <c r="MN154"/>
      <c r="MO154"/>
      <c r="MP154"/>
      <c r="MQ154"/>
      <c r="MR154"/>
      <c r="MS154"/>
      <c r="MT154"/>
      <c r="MU154"/>
      <c r="MV154"/>
      <c r="MW154"/>
      <c r="MX154"/>
      <c r="MY154"/>
      <c r="MZ154"/>
      <c r="NA154"/>
      <c r="NB154"/>
      <c r="NC154"/>
      <c r="ND154"/>
      <c r="NE154"/>
      <c r="NF154"/>
      <c r="NG154"/>
      <c r="NH154"/>
      <c r="NI154"/>
      <c r="NJ154"/>
      <c r="NK154"/>
      <c r="NL154"/>
      <c r="NM154"/>
      <c r="NN154"/>
      <c r="NO154"/>
      <c r="NP154"/>
      <c r="NQ154"/>
      <c r="NR154"/>
      <c r="NS154"/>
      <c r="NT154"/>
      <c r="NU154"/>
      <c r="NV154"/>
      <c r="NW154"/>
      <c r="NX154"/>
      <c r="NY154"/>
      <c r="NZ154"/>
      <c r="OA154"/>
      <c r="OB154"/>
      <c r="OC154"/>
      <c r="OD154"/>
      <c r="OE154"/>
      <c r="OF154"/>
      <c r="OG154"/>
      <c r="OH154"/>
      <c r="OI154"/>
      <c r="OJ154"/>
      <c r="OK154"/>
      <c r="OL154"/>
      <c r="OM154"/>
      <c r="ON154"/>
      <c r="OO154"/>
      <c r="OP154"/>
      <c r="OQ154"/>
      <c r="OR154"/>
      <c r="OS154"/>
      <c r="OT154"/>
      <c r="OU154"/>
      <c r="OV154"/>
      <c r="OW154"/>
      <c r="OX154"/>
      <c r="OY154"/>
      <c r="OZ154"/>
      <c r="PA154"/>
      <c r="PB154"/>
      <c r="PC154"/>
      <c r="PD154"/>
      <c r="PE154"/>
      <c r="PF154"/>
      <c r="PG154"/>
      <c r="PH154"/>
      <c r="PI154"/>
      <c r="PJ154"/>
      <c r="PK154"/>
      <c r="PL154"/>
      <c r="PM154"/>
      <c r="PN154"/>
      <c r="PO154"/>
      <c r="PP154"/>
      <c r="PQ154"/>
      <c r="PR154"/>
      <c r="PS154"/>
      <c r="PT154"/>
      <c r="PU154"/>
      <c r="PV154"/>
      <c r="PW154"/>
      <c r="PX154"/>
      <c r="PY154"/>
      <c r="PZ154"/>
      <c r="QA154"/>
      <c r="QB154"/>
      <c r="QC154"/>
      <c r="QD154"/>
      <c r="QE154"/>
      <c r="QF154"/>
      <c r="QG154"/>
      <c r="QH154"/>
      <c r="QI154"/>
      <c r="QJ154"/>
      <c r="QK154"/>
      <c r="QL154"/>
      <c r="QM154"/>
      <c r="QN154"/>
      <c r="QO154"/>
      <c r="QP154"/>
      <c r="QQ154"/>
      <c r="QR154"/>
      <c r="QS154"/>
      <c r="QT154"/>
      <c r="QU154"/>
      <c r="QV154"/>
      <c r="QW154"/>
      <c r="QX154"/>
    </row>
    <row r="155" spans="1:466" x14ac:dyDescent="0.35">
      <c r="A155" s="53"/>
      <c r="B155" s="53"/>
      <c r="C155" s="55"/>
      <c r="D155" s="53"/>
      <c r="E155" s="53"/>
      <c r="F155" s="126" t="s">
        <v>218</v>
      </c>
      <c r="G155" s="125">
        <v>0.67247999999999997</v>
      </c>
      <c r="H155" s="125">
        <v>270.33695999999998</v>
      </c>
      <c r="I155" s="133">
        <v>402</v>
      </c>
      <c r="J155" s="53"/>
      <c r="K155" s="53"/>
      <c r="L155" s="53"/>
      <c r="M155" s="53"/>
      <c r="N155" s="53"/>
      <c r="O155" s="53"/>
      <c r="P155" s="53"/>
      <c r="Q155" s="53"/>
      <c r="R155" s="53"/>
      <c r="S155" s="53"/>
      <c r="T155" s="53"/>
      <c r="U155" s="53"/>
      <c r="V155" s="53"/>
      <c r="W155" s="53"/>
      <c r="X155" s="53"/>
      <c r="Y155" s="53"/>
      <c r="Z155" s="53"/>
      <c r="AA155" s="53"/>
      <c r="AB155" s="53"/>
      <c r="AC155" s="53"/>
      <c r="AD155" s="53"/>
      <c r="AE155" s="53"/>
      <c r="AF155" s="63"/>
      <c r="AG155" s="64"/>
      <c r="AH155" s="65"/>
      <c r="AI155" s="65"/>
      <c r="AJ155" s="53"/>
      <c r="AK155" s="62"/>
      <c r="AL155" s="62"/>
      <c r="AM155" s="62"/>
      <c r="AN155" s="62"/>
      <c r="AO155" s="62"/>
      <c r="AP155" s="62"/>
      <c r="AQ155" s="62"/>
      <c r="AR155" s="62"/>
      <c r="AS155" s="62"/>
      <c r="AT155" s="62"/>
      <c r="AU155" s="62"/>
      <c r="AV155" s="62"/>
      <c r="AW155" s="62"/>
      <c r="AX155" s="62"/>
      <c r="AY155" s="62"/>
      <c r="AZ155" s="62"/>
      <c r="BA155" s="62"/>
      <c r="BB155" s="62"/>
      <c r="BC155" s="62"/>
      <c r="BD155" s="62"/>
      <c r="BE155" s="62"/>
      <c r="BF155" s="62"/>
      <c r="BG155" s="62"/>
      <c r="BH155" s="62"/>
      <c r="BI155" s="62"/>
      <c r="BJ155" s="62"/>
      <c r="BK155" s="62"/>
      <c r="BL155" s="62"/>
      <c r="BM155" s="62"/>
      <c r="BN155" s="62"/>
      <c r="BO155" s="62"/>
      <c r="BP155" s="62"/>
      <c r="BQ155" s="62"/>
      <c r="BR155" s="62"/>
      <c r="BS155" s="62"/>
      <c r="BT155" s="62"/>
      <c r="BU155" s="62"/>
      <c r="BV155" s="62"/>
      <c r="BW155" s="62"/>
      <c r="BX155" s="62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  <c r="HB155"/>
      <c r="HC155"/>
      <c r="HD155"/>
      <c r="HE155"/>
      <c r="HF155"/>
      <c r="HG155"/>
      <c r="HH155"/>
      <c r="HI155"/>
      <c r="HJ155"/>
      <c r="HK155"/>
      <c r="HL155"/>
      <c r="HM155"/>
      <c r="HN155"/>
      <c r="HO155"/>
      <c r="HP155"/>
      <c r="HQ155"/>
      <c r="HR155"/>
      <c r="HS155"/>
      <c r="HT155"/>
      <c r="HU155"/>
      <c r="HV155"/>
      <c r="HW155"/>
      <c r="HX155"/>
      <c r="HY155"/>
      <c r="HZ155"/>
      <c r="IA155"/>
      <c r="IB155"/>
      <c r="IC155"/>
      <c r="ID155"/>
      <c r="IE155"/>
      <c r="IF155"/>
      <c r="IG155"/>
      <c r="IH155"/>
      <c r="II155"/>
      <c r="IJ155"/>
      <c r="IK155"/>
      <c r="IL155"/>
      <c r="IM155"/>
      <c r="IN155"/>
      <c r="IO155"/>
      <c r="IP155"/>
      <c r="IQ155"/>
      <c r="IR155"/>
      <c r="IS155"/>
      <c r="IT155"/>
      <c r="IU155"/>
      <c r="IV155"/>
      <c r="IW155"/>
      <c r="IX155"/>
      <c r="IY155"/>
      <c r="IZ155"/>
      <c r="JA155"/>
      <c r="JB155"/>
      <c r="JC155"/>
      <c r="JD155"/>
      <c r="JE155"/>
      <c r="JF155"/>
      <c r="JG155"/>
      <c r="JH155"/>
      <c r="JI155"/>
      <c r="JJ155"/>
      <c r="JK155"/>
      <c r="JL155"/>
      <c r="JM155"/>
      <c r="JN155"/>
      <c r="JO155"/>
      <c r="JP155"/>
      <c r="JQ155"/>
      <c r="JR155"/>
      <c r="JS155"/>
      <c r="JT155"/>
      <c r="JU155"/>
      <c r="JV155"/>
      <c r="JW155"/>
      <c r="JX155"/>
      <c r="JY155"/>
      <c r="JZ155"/>
      <c r="KA155"/>
      <c r="KB155"/>
      <c r="KC155"/>
      <c r="KD155"/>
      <c r="KE155"/>
      <c r="KF155"/>
      <c r="KG155"/>
      <c r="KH155"/>
      <c r="KI155"/>
      <c r="KJ155"/>
      <c r="KK155"/>
      <c r="KL155"/>
      <c r="KM155"/>
      <c r="KN155"/>
      <c r="KO155"/>
      <c r="KP155"/>
      <c r="KQ155"/>
      <c r="KR155"/>
      <c r="KS155"/>
      <c r="KT155"/>
      <c r="KU155"/>
      <c r="KV155"/>
      <c r="KW155"/>
      <c r="KX155"/>
      <c r="KY155"/>
      <c r="KZ155"/>
      <c r="LA155"/>
      <c r="LB155"/>
      <c r="LC155"/>
      <c r="LD155"/>
      <c r="LE155"/>
      <c r="LF155"/>
      <c r="LG155"/>
      <c r="LH155"/>
      <c r="LI155"/>
      <c r="LJ155"/>
      <c r="LK155"/>
      <c r="LL155"/>
      <c r="LM155"/>
      <c r="LN155"/>
      <c r="LO155"/>
      <c r="LP155"/>
      <c r="LQ155"/>
      <c r="LR155"/>
      <c r="LS155"/>
      <c r="LT155"/>
      <c r="LU155"/>
      <c r="LV155"/>
      <c r="LW155"/>
      <c r="LX155"/>
      <c r="LY155"/>
      <c r="LZ155"/>
      <c r="MA155"/>
      <c r="MB155"/>
      <c r="MC155"/>
      <c r="MD155"/>
      <c r="ME155"/>
      <c r="MF155"/>
      <c r="MG155"/>
      <c r="MH155"/>
      <c r="MI155"/>
      <c r="MJ155"/>
      <c r="MK155"/>
      <c r="ML155"/>
      <c r="MM155"/>
      <c r="MN155"/>
      <c r="MO155"/>
      <c r="MP155"/>
      <c r="MQ155"/>
      <c r="MR155"/>
      <c r="MS155"/>
      <c r="MT155"/>
      <c r="MU155"/>
      <c r="MV155"/>
      <c r="MW155"/>
      <c r="MX155"/>
      <c r="MY155"/>
      <c r="MZ155"/>
      <c r="NA155"/>
      <c r="NB155"/>
      <c r="NC155"/>
      <c r="ND155"/>
      <c r="NE155"/>
      <c r="NF155"/>
      <c r="NG155"/>
      <c r="NH155"/>
      <c r="NI155"/>
      <c r="NJ155"/>
      <c r="NK155"/>
      <c r="NL155"/>
      <c r="NM155"/>
      <c r="NN155"/>
      <c r="NO155"/>
      <c r="NP155"/>
      <c r="NQ155"/>
      <c r="NR155"/>
      <c r="NS155"/>
      <c r="NT155"/>
      <c r="NU155"/>
      <c r="NV155"/>
      <c r="NW155"/>
      <c r="NX155"/>
      <c r="NY155"/>
      <c r="NZ155"/>
      <c r="OA155"/>
      <c r="OB155"/>
      <c r="OC155"/>
      <c r="OD155"/>
      <c r="OE155"/>
      <c r="OF155"/>
      <c r="OG155"/>
      <c r="OH155"/>
      <c r="OI155"/>
      <c r="OJ155"/>
      <c r="OK155"/>
      <c r="OL155"/>
      <c r="OM155"/>
      <c r="ON155"/>
      <c r="OO155"/>
      <c r="OP155"/>
      <c r="OQ155"/>
      <c r="OR155"/>
      <c r="OS155"/>
      <c r="OT155"/>
      <c r="OU155"/>
      <c r="OV155"/>
      <c r="OW155"/>
      <c r="OX155"/>
      <c r="OY155"/>
      <c r="OZ155"/>
      <c r="PA155"/>
      <c r="PB155"/>
      <c r="PC155"/>
      <c r="PD155"/>
      <c r="PE155"/>
      <c r="PF155"/>
      <c r="PG155"/>
      <c r="PH155"/>
      <c r="PI155"/>
      <c r="PJ155"/>
      <c r="PK155"/>
      <c r="PL155"/>
      <c r="PM155"/>
      <c r="PN155"/>
      <c r="PO155"/>
      <c r="PP155"/>
      <c r="PQ155"/>
      <c r="PR155"/>
      <c r="PS155"/>
      <c r="PT155"/>
      <c r="PU155"/>
      <c r="PV155"/>
      <c r="PW155"/>
      <c r="PX155"/>
      <c r="PY155"/>
      <c r="PZ155"/>
      <c r="QA155"/>
      <c r="QB155"/>
      <c r="QC155"/>
      <c r="QD155"/>
      <c r="QE155"/>
      <c r="QF155"/>
      <c r="QG155"/>
      <c r="QH155"/>
      <c r="QI155"/>
      <c r="QJ155"/>
      <c r="QK155"/>
      <c r="QL155"/>
      <c r="QM155"/>
      <c r="QN155"/>
      <c r="QO155"/>
      <c r="QP155"/>
      <c r="QQ155"/>
      <c r="QR155"/>
      <c r="QS155"/>
      <c r="QT155"/>
      <c r="QU155"/>
      <c r="QV155"/>
      <c r="QW155"/>
      <c r="QX155"/>
    </row>
    <row r="156" spans="1:466" x14ac:dyDescent="0.35">
      <c r="A156" s="53"/>
      <c r="B156" s="53"/>
      <c r="C156" s="55"/>
      <c r="D156" s="53"/>
      <c r="E156" s="53"/>
      <c r="F156" s="126" t="s">
        <v>261</v>
      </c>
      <c r="G156" s="125">
        <v>0.67247999999999997</v>
      </c>
      <c r="H156" s="125">
        <v>528.56927999999994</v>
      </c>
      <c r="I156" s="133">
        <v>786</v>
      </c>
      <c r="J156" s="53"/>
      <c r="K156" s="53"/>
      <c r="L156" s="53"/>
      <c r="M156" s="53"/>
      <c r="N156" s="53"/>
      <c r="O156" s="53"/>
      <c r="P156" s="53"/>
      <c r="Q156" s="53"/>
      <c r="R156" s="53"/>
      <c r="S156" s="53"/>
      <c r="T156" s="53"/>
      <c r="U156" s="53"/>
      <c r="V156" s="53"/>
      <c r="W156" s="53"/>
      <c r="X156" s="53"/>
      <c r="Y156" s="53"/>
      <c r="Z156" s="53"/>
      <c r="AA156" s="53"/>
      <c r="AB156" s="53"/>
      <c r="AC156" s="53"/>
      <c r="AD156" s="53"/>
      <c r="AE156" s="53"/>
      <c r="AF156" s="63"/>
      <c r="AG156" s="64"/>
      <c r="AH156" s="65"/>
      <c r="AI156" s="65"/>
      <c r="AJ156" s="53"/>
      <c r="AK156" s="62"/>
      <c r="AL156" s="62"/>
      <c r="AM156" s="62"/>
      <c r="AN156" s="62"/>
      <c r="AO156" s="62"/>
      <c r="AP156" s="62"/>
      <c r="AQ156" s="62"/>
      <c r="AR156" s="62"/>
      <c r="AS156" s="62"/>
      <c r="AT156" s="62"/>
      <c r="AU156" s="62"/>
      <c r="AV156" s="62"/>
      <c r="AW156" s="62"/>
      <c r="AX156" s="62"/>
      <c r="AY156" s="62"/>
      <c r="AZ156" s="62"/>
      <c r="BA156" s="62"/>
      <c r="BB156" s="62"/>
      <c r="BC156" s="62"/>
      <c r="BD156" s="62"/>
      <c r="BE156" s="62"/>
      <c r="BF156" s="62"/>
      <c r="BG156" s="62"/>
      <c r="BH156" s="62"/>
      <c r="BI156" s="62"/>
      <c r="BJ156" s="62"/>
      <c r="BK156" s="62"/>
      <c r="BL156" s="62"/>
      <c r="BM156" s="62"/>
      <c r="BN156" s="62"/>
      <c r="BO156" s="62"/>
      <c r="BP156" s="62"/>
      <c r="BQ156" s="62"/>
      <c r="BR156" s="62"/>
      <c r="BS156" s="62"/>
      <c r="BT156" s="62"/>
      <c r="BU156" s="62"/>
      <c r="BV156" s="62"/>
      <c r="BW156" s="62"/>
      <c r="BX156" s="62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  <c r="HB156"/>
      <c r="HC156"/>
      <c r="HD156"/>
      <c r="HE156"/>
      <c r="HF156"/>
      <c r="HG156"/>
      <c r="HH156"/>
      <c r="HI156"/>
      <c r="HJ156"/>
      <c r="HK156"/>
      <c r="HL156"/>
      <c r="HM156"/>
      <c r="HN156"/>
      <c r="HO156"/>
      <c r="HP156"/>
      <c r="HQ156"/>
      <c r="HR156"/>
      <c r="HS156"/>
      <c r="HT156"/>
      <c r="HU156"/>
      <c r="HV156"/>
      <c r="HW156"/>
      <c r="HX156"/>
      <c r="HY156"/>
      <c r="HZ156"/>
      <c r="IA156"/>
      <c r="IB156"/>
      <c r="IC156"/>
      <c r="ID156"/>
      <c r="IE156"/>
      <c r="IF156"/>
      <c r="IG156"/>
      <c r="IH156"/>
      <c r="II156"/>
      <c r="IJ156"/>
      <c r="IK156"/>
      <c r="IL156"/>
      <c r="IM156"/>
      <c r="IN156"/>
      <c r="IO156"/>
      <c r="IP156"/>
      <c r="IQ156"/>
      <c r="IR156"/>
      <c r="IS156"/>
      <c r="IT156"/>
      <c r="IU156"/>
      <c r="IV156"/>
      <c r="IW156"/>
      <c r="IX156"/>
      <c r="IY156"/>
      <c r="IZ156"/>
      <c r="JA156"/>
      <c r="JB156"/>
      <c r="JC156"/>
      <c r="JD156"/>
      <c r="JE156"/>
      <c r="JF156"/>
      <c r="JG156"/>
      <c r="JH156"/>
      <c r="JI156"/>
      <c r="JJ156"/>
      <c r="JK156"/>
      <c r="JL156"/>
      <c r="JM156"/>
      <c r="JN156"/>
      <c r="JO156"/>
      <c r="JP156"/>
      <c r="JQ156"/>
      <c r="JR156"/>
      <c r="JS156"/>
      <c r="JT156"/>
      <c r="JU156"/>
      <c r="JV156"/>
      <c r="JW156"/>
      <c r="JX156"/>
      <c r="JY156"/>
      <c r="JZ156"/>
      <c r="KA156"/>
      <c r="KB156"/>
      <c r="KC156"/>
      <c r="KD156"/>
      <c r="KE156"/>
      <c r="KF156"/>
      <c r="KG156"/>
      <c r="KH156"/>
      <c r="KI156"/>
      <c r="KJ156"/>
      <c r="KK156"/>
      <c r="KL156"/>
      <c r="KM156"/>
      <c r="KN156"/>
      <c r="KO156"/>
      <c r="KP156"/>
      <c r="KQ156"/>
      <c r="KR156"/>
      <c r="KS156"/>
      <c r="KT156"/>
      <c r="KU156"/>
      <c r="KV156"/>
      <c r="KW156"/>
      <c r="KX156"/>
      <c r="KY156"/>
      <c r="KZ156"/>
      <c r="LA156"/>
      <c r="LB156"/>
      <c r="LC156"/>
      <c r="LD156"/>
      <c r="LE156"/>
      <c r="LF156"/>
      <c r="LG156"/>
      <c r="LH156"/>
      <c r="LI156"/>
      <c r="LJ156"/>
      <c r="LK156"/>
      <c r="LL156"/>
      <c r="LM156"/>
      <c r="LN156"/>
      <c r="LO156"/>
      <c r="LP156"/>
      <c r="LQ156"/>
      <c r="LR156"/>
      <c r="LS156"/>
      <c r="LT156"/>
      <c r="LU156"/>
      <c r="LV156"/>
      <c r="LW156"/>
      <c r="LX156"/>
      <c r="LY156"/>
      <c r="LZ156"/>
      <c r="MA156"/>
      <c r="MB156"/>
      <c r="MC156"/>
      <c r="MD156"/>
      <c r="ME156"/>
      <c r="MF156"/>
      <c r="MG156"/>
      <c r="MH156"/>
      <c r="MI156"/>
      <c r="MJ156"/>
      <c r="MK156"/>
      <c r="ML156"/>
      <c r="MM156"/>
      <c r="MN156"/>
      <c r="MO156"/>
      <c r="MP156"/>
      <c r="MQ156"/>
      <c r="MR156"/>
      <c r="MS156"/>
      <c r="MT156"/>
      <c r="MU156"/>
      <c r="MV156"/>
      <c r="MW156"/>
      <c r="MX156"/>
      <c r="MY156"/>
      <c r="MZ156"/>
      <c r="NA156"/>
      <c r="NB156"/>
      <c r="NC156"/>
      <c r="ND156"/>
      <c r="NE156"/>
      <c r="NF156"/>
      <c r="NG156"/>
      <c r="NH156"/>
      <c r="NI156"/>
      <c r="NJ156"/>
      <c r="NK156"/>
      <c r="NL156"/>
      <c r="NM156"/>
      <c r="NN156"/>
      <c r="NO156"/>
      <c r="NP156"/>
      <c r="NQ156"/>
      <c r="NR156"/>
      <c r="NS156"/>
      <c r="NT156"/>
      <c r="NU156"/>
      <c r="NV156"/>
      <c r="NW156"/>
      <c r="NX156"/>
      <c r="NY156"/>
      <c r="NZ156"/>
      <c r="OA156"/>
      <c r="OB156"/>
      <c r="OC156"/>
      <c r="OD156"/>
      <c r="OE156"/>
      <c r="OF156"/>
      <c r="OG156"/>
      <c r="OH156"/>
      <c r="OI156"/>
      <c r="OJ156"/>
      <c r="OK156"/>
      <c r="OL156"/>
      <c r="OM156"/>
      <c r="ON156"/>
      <c r="OO156"/>
      <c r="OP156"/>
      <c r="OQ156"/>
      <c r="OR156"/>
      <c r="OS156"/>
      <c r="OT156"/>
      <c r="OU156"/>
      <c r="OV156"/>
      <c r="OW156"/>
      <c r="OX156"/>
      <c r="OY156"/>
      <c r="OZ156"/>
      <c r="PA156"/>
      <c r="PB156"/>
      <c r="PC156"/>
      <c r="PD156"/>
      <c r="PE156"/>
      <c r="PF156"/>
      <c r="PG156"/>
      <c r="PH156"/>
      <c r="PI156"/>
      <c r="PJ156"/>
      <c r="PK156"/>
      <c r="PL156"/>
      <c r="PM156"/>
      <c r="PN156"/>
      <c r="PO156"/>
      <c r="PP156"/>
      <c r="PQ156"/>
      <c r="PR156"/>
      <c r="PS156"/>
      <c r="PT156"/>
      <c r="PU156"/>
      <c r="PV156"/>
      <c r="PW156"/>
      <c r="PX156"/>
      <c r="PY156"/>
      <c r="PZ156"/>
      <c r="QA156"/>
      <c r="QB156"/>
      <c r="QC156"/>
      <c r="QD156"/>
      <c r="QE156"/>
      <c r="QF156"/>
      <c r="QG156"/>
      <c r="QH156"/>
      <c r="QI156"/>
      <c r="QJ156"/>
      <c r="QK156"/>
      <c r="QL156"/>
      <c r="QM156"/>
      <c r="QN156"/>
      <c r="QO156"/>
      <c r="QP156"/>
      <c r="QQ156"/>
      <c r="QR156"/>
      <c r="QS156"/>
      <c r="QT156"/>
      <c r="QU156"/>
      <c r="QV156"/>
      <c r="QW156"/>
      <c r="QX156"/>
    </row>
    <row r="157" spans="1:466" x14ac:dyDescent="0.35">
      <c r="A157" s="53"/>
      <c r="B157" s="53"/>
      <c r="C157" s="55"/>
      <c r="D157" s="53"/>
      <c r="E157" s="53"/>
      <c r="F157" s="126" t="s">
        <v>279</v>
      </c>
      <c r="G157" s="125">
        <v>0.67247999999999997</v>
      </c>
      <c r="H157" s="125">
        <v>0</v>
      </c>
      <c r="I157" s="133">
        <v>0</v>
      </c>
      <c r="J157" s="53"/>
      <c r="K157" s="53"/>
      <c r="L157" s="53"/>
      <c r="M157" s="53"/>
      <c r="N157" s="53"/>
      <c r="O157" s="53"/>
      <c r="P157" s="53"/>
      <c r="Q157" s="53"/>
      <c r="R157" s="53"/>
      <c r="S157" s="53"/>
      <c r="T157" s="53"/>
      <c r="U157" s="53"/>
      <c r="V157" s="53"/>
      <c r="W157" s="53"/>
      <c r="X157" s="53"/>
      <c r="Y157" s="53"/>
      <c r="Z157" s="53"/>
      <c r="AA157" s="53"/>
      <c r="AB157" s="53"/>
      <c r="AC157" s="53"/>
      <c r="AD157" s="53"/>
      <c r="AE157" s="53"/>
      <c r="AF157" s="63"/>
      <c r="AG157" s="64"/>
      <c r="AH157" s="65"/>
      <c r="AI157" s="65"/>
      <c r="AJ157" s="53"/>
      <c r="AK157" s="62"/>
      <c r="AL157" s="62"/>
      <c r="AM157" s="62"/>
      <c r="AN157" s="62"/>
      <c r="AO157" s="62"/>
      <c r="AP157" s="62"/>
      <c r="AQ157" s="62"/>
      <c r="AR157" s="62"/>
      <c r="AS157" s="62"/>
      <c r="AT157" s="62"/>
      <c r="AU157" s="62"/>
      <c r="AV157" s="62"/>
      <c r="AW157" s="62"/>
      <c r="AX157" s="62"/>
      <c r="AY157" s="62"/>
      <c r="AZ157" s="62"/>
      <c r="BA157" s="62"/>
      <c r="BB157" s="62"/>
      <c r="BC157" s="62"/>
      <c r="BD157" s="62"/>
      <c r="BE157" s="62"/>
      <c r="BF157" s="62"/>
      <c r="BG157" s="62"/>
      <c r="BH157" s="62"/>
      <c r="BI157" s="62"/>
      <c r="BJ157" s="62"/>
      <c r="BK157" s="62"/>
      <c r="BL157" s="62"/>
      <c r="BM157" s="62"/>
      <c r="BN157" s="62"/>
      <c r="BO157" s="62"/>
      <c r="BP157" s="62"/>
      <c r="BQ157" s="62"/>
      <c r="BR157" s="62"/>
      <c r="BS157" s="62"/>
      <c r="BT157" s="62"/>
      <c r="BU157" s="62"/>
      <c r="BV157" s="62"/>
      <c r="BW157" s="62"/>
      <c r="BX157" s="62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  <c r="HB157"/>
      <c r="HC157"/>
      <c r="HD157"/>
      <c r="HE157"/>
      <c r="HF157"/>
      <c r="HG157"/>
      <c r="HH157"/>
      <c r="HI157"/>
      <c r="HJ157"/>
      <c r="HK157"/>
      <c r="HL157"/>
      <c r="HM157"/>
      <c r="HN157"/>
      <c r="HO157"/>
      <c r="HP157"/>
      <c r="HQ157"/>
      <c r="HR157"/>
      <c r="HS157"/>
      <c r="HT157"/>
      <c r="HU157"/>
      <c r="HV157"/>
      <c r="HW157"/>
      <c r="HX157"/>
      <c r="HY157"/>
      <c r="HZ157"/>
      <c r="IA157"/>
      <c r="IB157"/>
      <c r="IC157"/>
      <c r="ID157"/>
      <c r="IE157"/>
      <c r="IF157"/>
      <c r="IG157"/>
      <c r="IH157"/>
      <c r="II157"/>
      <c r="IJ157"/>
      <c r="IK157"/>
      <c r="IL157"/>
      <c r="IM157"/>
      <c r="IN157"/>
      <c r="IO157"/>
      <c r="IP157"/>
      <c r="IQ157"/>
      <c r="IR157"/>
      <c r="IS157"/>
      <c r="IT157"/>
      <c r="IU157"/>
      <c r="IV157"/>
      <c r="IW157"/>
      <c r="IX157"/>
      <c r="IY157"/>
      <c r="IZ157"/>
      <c r="JA157"/>
      <c r="JB157"/>
      <c r="JC157"/>
      <c r="JD157"/>
      <c r="JE157"/>
      <c r="JF157"/>
      <c r="JG157"/>
      <c r="JH157"/>
      <c r="JI157"/>
      <c r="JJ157"/>
      <c r="JK157"/>
      <c r="JL157"/>
      <c r="JM157"/>
      <c r="JN157"/>
      <c r="JO157"/>
      <c r="JP157"/>
      <c r="JQ157"/>
      <c r="JR157"/>
      <c r="JS157"/>
      <c r="JT157"/>
      <c r="JU157"/>
      <c r="JV157"/>
      <c r="JW157"/>
      <c r="JX157"/>
      <c r="JY157"/>
      <c r="JZ157"/>
      <c r="KA157"/>
      <c r="KB157"/>
      <c r="KC157"/>
      <c r="KD157"/>
      <c r="KE157"/>
      <c r="KF157"/>
      <c r="KG157"/>
      <c r="KH157"/>
      <c r="KI157"/>
      <c r="KJ157"/>
      <c r="KK157"/>
      <c r="KL157"/>
      <c r="KM157"/>
      <c r="KN157"/>
      <c r="KO157"/>
      <c r="KP157"/>
      <c r="KQ157"/>
      <c r="KR157"/>
      <c r="KS157"/>
      <c r="KT157"/>
      <c r="KU157"/>
      <c r="KV157"/>
      <c r="KW157"/>
      <c r="KX157"/>
      <c r="KY157"/>
      <c r="KZ157"/>
      <c r="LA157"/>
      <c r="LB157"/>
      <c r="LC157"/>
      <c r="LD157"/>
      <c r="LE157"/>
      <c r="LF157"/>
      <c r="LG157"/>
      <c r="LH157"/>
      <c r="LI157"/>
      <c r="LJ157"/>
      <c r="LK157"/>
      <c r="LL157"/>
      <c r="LM157"/>
      <c r="LN157"/>
      <c r="LO157"/>
      <c r="LP157"/>
      <c r="LQ157"/>
      <c r="LR157"/>
      <c r="LS157"/>
      <c r="LT157"/>
      <c r="LU157"/>
      <c r="LV157"/>
      <c r="LW157"/>
      <c r="LX157"/>
      <c r="LY157"/>
      <c r="LZ157"/>
      <c r="MA157"/>
      <c r="MB157"/>
      <c r="MC157"/>
      <c r="MD157"/>
      <c r="ME157"/>
      <c r="MF157"/>
      <c r="MG157"/>
      <c r="MH157"/>
      <c r="MI157"/>
      <c r="MJ157"/>
      <c r="MK157"/>
      <c r="ML157"/>
      <c r="MM157"/>
      <c r="MN157"/>
      <c r="MO157"/>
      <c r="MP157"/>
      <c r="MQ157"/>
      <c r="MR157"/>
      <c r="MS157"/>
      <c r="MT157"/>
      <c r="MU157"/>
      <c r="MV157"/>
      <c r="MW157"/>
      <c r="MX157"/>
      <c r="MY157"/>
      <c r="MZ157"/>
      <c r="NA157"/>
      <c r="NB157"/>
      <c r="NC157"/>
      <c r="ND157"/>
      <c r="NE157"/>
      <c r="NF157"/>
      <c r="NG157"/>
      <c r="NH157"/>
      <c r="NI157"/>
      <c r="NJ157"/>
      <c r="NK157"/>
      <c r="NL157"/>
      <c r="NM157"/>
      <c r="NN157"/>
      <c r="NO157"/>
      <c r="NP157"/>
      <c r="NQ157"/>
      <c r="NR157"/>
      <c r="NS157"/>
      <c r="NT157"/>
      <c r="NU157"/>
      <c r="NV157"/>
      <c r="NW157"/>
      <c r="NX157"/>
      <c r="NY157"/>
      <c r="NZ157"/>
      <c r="OA157"/>
      <c r="OB157"/>
      <c r="OC157"/>
      <c r="OD157"/>
      <c r="OE157"/>
      <c r="OF157"/>
      <c r="OG157"/>
      <c r="OH157"/>
      <c r="OI157"/>
      <c r="OJ157"/>
      <c r="OK157"/>
      <c r="OL157"/>
      <c r="OM157"/>
      <c r="ON157"/>
      <c r="OO157"/>
      <c r="OP157"/>
      <c r="OQ157"/>
      <c r="OR157"/>
      <c r="OS157"/>
      <c r="OT157"/>
      <c r="OU157"/>
      <c r="OV157"/>
      <c r="OW157"/>
      <c r="OX157"/>
      <c r="OY157"/>
      <c r="OZ157"/>
      <c r="PA157"/>
      <c r="PB157"/>
      <c r="PC157"/>
      <c r="PD157"/>
      <c r="PE157"/>
      <c r="PF157"/>
      <c r="PG157"/>
      <c r="PH157"/>
      <c r="PI157"/>
      <c r="PJ157"/>
      <c r="PK157"/>
      <c r="PL157"/>
      <c r="PM157"/>
      <c r="PN157"/>
      <c r="PO157"/>
      <c r="PP157"/>
      <c r="PQ157"/>
      <c r="PR157"/>
      <c r="PS157"/>
      <c r="PT157"/>
      <c r="PU157"/>
      <c r="PV157"/>
      <c r="PW157"/>
      <c r="PX157"/>
      <c r="PY157"/>
      <c r="PZ157"/>
      <c r="QA157"/>
      <c r="QB157"/>
      <c r="QC157"/>
      <c r="QD157"/>
      <c r="QE157"/>
      <c r="QF157"/>
      <c r="QG157"/>
      <c r="QH157"/>
      <c r="QI157"/>
      <c r="QJ157"/>
      <c r="QK157"/>
      <c r="QL157"/>
      <c r="QM157"/>
      <c r="QN157"/>
      <c r="QO157"/>
      <c r="QP157"/>
      <c r="QQ157"/>
      <c r="QR157"/>
      <c r="QS157"/>
      <c r="QT157"/>
      <c r="QU157"/>
      <c r="QV157"/>
      <c r="QW157"/>
      <c r="QX157"/>
    </row>
    <row r="158" spans="1:466" x14ac:dyDescent="0.35">
      <c r="A158" s="53"/>
      <c r="B158" s="53"/>
      <c r="C158" s="55"/>
      <c r="D158" s="53"/>
      <c r="E158" s="53"/>
      <c r="F158" s="126" t="s">
        <v>241</v>
      </c>
      <c r="G158" s="125">
        <v>0.82379999999999998</v>
      </c>
      <c r="H158" s="125">
        <v>2.4714</v>
      </c>
      <c r="I158" s="133">
        <v>3</v>
      </c>
      <c r="J158" s="53"/>
      <c r="K158" s="53"/>
      <c r="L158" s="53"/>
      <c r="M158" s="53"/>
      <c r="N158" s="53"/>
      <c r="O158" s="53"/>
      <c r="P158" s="53"/>
      <c r="Q158" s="53"/>
      <c r="R158" s="53"/>
      <c r="S158" s="53"/>
      <c r="T158" s="53"/>
      <c r="U158" s="53"/>
      <c r="V158" s="53"/>
      <c r="W158" s="53"/>
      <c r="X158" s="53"/>
      <c r="Y158" s="53"/>
      <c r="Z158" s="53"/>
      <c r="AA158" s="53"/>
      <c r="AB158" s="53"/>
      <c r="AC158" s="53"/>
      <c r="AD158" s="53"/>
      <c r="AE158" s="53"/>
      <c r="AF158" s="63"/>
      <c r="AG158" s="64"/>
      <c r="AH158" s="65"/>
      <c r="AI158" s="65"/>
      <c r="AJ158" s="53"/>
      <c r="AK158" s="62"/>
      <c r="AL158" s="62"/>
      <c r="AM158" s="62"/>
      <c r="AN158" s="62"/>
      <c r="AO158" s="62"/>
      <c r="AP158" s="62"/>
      <c r="AQ158" s="62"/>
      <c r="AR158" s="62"/>
      <c r="AS158" s="62"/>
      <c r="AT158" s="62"/>
      <c r="AU158" s="62"/>
      <c r="AV158" s="62"/>
      <c r="AW158" s="62"/>
      <c r="AX158" s="62"/>
      <c r="AY158" s="62"/>
      <c r="AZ158" s="62"/>
      <c r="BA158" s="62"/>
      <c r="BB158" s="62"/>
      <c r="BC158" s="62"/>
      <c r="BD158" s="62"/>
      <c r="BE158" s="62"/>
      <c r="BF158" s="62"/>
      <c r="BG158" s="62"/>
      <c r="BH158" s="62"/>
      <c r="BI158" s="62"/>
      <c r="BJ158" s="62"/>
      <c r="BK158" s="62"/>
      <c r="BL158" s="62"/>
      <c r="BM158" s="62"/>
      <c r="BN158" s="62"/>
      <c r="BO158" s="62"/>
      <c r="BP158" s="62"/>
      <c r="BQ158" s="62"/>
      <c r="BR158" s="62"/>
      <c r="BS158" s="62"/>
      <c r="BT158" s="62"/>
      <c r="BU158" s="62"/>
      <c r="BV158" s="62"/>
      <c r="BW158" s="62"/>
      <c r="BX158" s="62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  <c r="HB158"/>
      <c r="HC158"/>
      <c r="HD158"/>
      <c r="HE158"/>
      <c r="HF158"/>
      <c r="HG158"/>
      <c r="HH158"/>
      <c r="HI158"/>
      <c r="HJ158"/>
      <c r="HK158"/>
      <c r="HL158"/>
      <c r="HM158"/>
      <c r="HN158"/>
      <c r="HO158"/>
      <c r="HP158"/>
      <c r="HQ158"/>
      <c r="HR158"/>
      <c r="HS158"/>
      <c r="HT158"/>
      <c r="HU158"/>
      <c r="HV158"/>
      <c r="HW158"/>
      <c r="HX158"/>
      <c r="HY158"/>
      <c r="HZ158"/>
      <c r="IA158"/>
      <c r="IB158"/>
      <c r="IC158"/>
      <c r="ID158"/>
      <c r="IE158"/>
      <c r="IF158"/>
      <c r="IG158"/>
      <c r="IH158"/>
      <c r="II158"/>
      <c r="IJ158"/>
      <c r="IK158"/>
      <c r="IL158"/>
      <c r="IM158"/>
      <c r="IN158"/>
      <c r="IO158"/>
      <c r="IP158"/>
      <c r="IQ158"/>
      <c r="IR158"/>
      <c r="IS158"/>
      <c r="IT158"/>
      <c r="IU158"/>
      <c r="IV158"/>
      <c r="IW158"/>
      <c r="IX158"/>
      <c r="IY158"/>
      <c r="IZ158"/>
      <c r="JA158"/>
      <c r="JB158"/>
      <c r="JC158"/>
      <c r="JD158"/>
      <c r="JE158"/>
      <c r="JF158"/>
      <c r="JG158"/>
      <c r="JH158"/>
      <c r="JI158"/>
      <c r="JJ158"/>
      <c r="JK158"/>
      <c r="JL158"/>
      <c r="JM158"/>
      <c r="JN158"/>
      <c r="JO158"/>
      <c r="JP158"/>
      <c r="JQ158"/>
      <c r="JR158"/>
      <c r="JS158"/>
      <c r="JT158"/>
      <c r="JU158"/>
      <c r="JV158"/>
      <c r="JW158"/>
      <c r="JX158"/>
      <c r="JY158"/>
      <c r="JZ158"/>
      <c r="KA158"/>
      <c r="KB158"/>
      <c r="KC158"/>
      <c r="KD158"/>
      <c r="KE158"/>
      <c r="KF158"/>
      <c r="KG158"/>
      <c r="KH158"/>
      <c r="KI158"/>
      <c r="KJ158"/>
      <c r="KK158"/>
      <c r="KL158"/>
      <c r="KM158"/>
      <c r="KN158"/>
      <c r="KO158"/>
      <c r="KP158"/>
      <c r="KQ158"/>
      <c r="KR158"/>
      <c r="KS158"/>
      <c r="KT158"/>
      <c r="KU158"/>
      <c r="KV158"/>
      <c r="KW158"/>
      <c r="KX158"/>
      <c r="KY158"/>
      <c r="KZ158"/>
      <c r="LA158"/>
      <c r="LB158"/>
      <c r="LC158"/>
      <c r="LD158"/>
      <c r="LE158"/>
      <c r="LF158"/>
      <c r="LG158"/>
      <c r="LH158"/>
      <c r="LI158"/>
      <c r="LJ158"/>
      <c r="LK158"/>
      <c r="LL158"/>
      <c r="LM158"/>
      <c r="LN158"/>
      <c r="LO158"/>
      <c r="LP158"/>
      <c r="LQ158"/>
      <c r="LR158"/>
      <c r="LS158"/>
      <c r="LT158"/>
      <c r="LU158"/>
      <c r="LV158"/>
      <c r="LW158"/>
      <c r="LX158"/>
      <c r="LY158"/>
      <c r="LZ158"/>
      <c r="MA158"/>
      <c r="MB158"/>
      <c r="MC158"/>
      <c r="MD158"/>
      <c r="ME158"/>
      <c r="MF158"/>
      <c r="MG158"/>
      <c r="MH158"/>
      <c r="MI158"/>
      <c r="MJ158"/>
      <c r="MK158"/>
      <c r="ML158"/>
      <c r="MM158"/>
      <c r="MN158"/>
      <c r="MO158"/>
      <c r="MP158"/>
      <c r="MQ158"/>
      <c r="MR158"/>
      <c r="MS158"/>
      <c r="MT158"/>
      <c r="MU158"/>
      <c r="MV158"/>
      <c r="MW158"/>
      <c r="MX158"/>
      <c r="MY158"/>
      <c r="MZ158"/>
      <c r="NA158"/>
      <c r="NB158"/>
      <c r="NC158"/>
      <c r="ND158"/>
      <c r="NE158"/>
      <c r="NF158"/>
      <c r="NG158"/>
      <c r="NH158"/>
      <c r="NI158"/>
      <c r="NJ158"/>
      <c r="NK158"/>
      <c r="NL158"/>
      <c r="NM158"/>
      <c r="NN158"/>
      <c r="NO158"/>
      <c r="NP158"/>
      <c r="NQ158"/>
      <c r="NR158"/>
      <c r="NS158"/>
      <c r="NT158"/>
      <c r="NU158"/>
      <c r="NV158"/>
      <c r="NW158"/>
      <c r="NX158"/>
      <c r="NY158"/>
      <c r="NZ158"/>
      <c r="OA158"/>
      <c r="OB158"/>
      <c r="OC158"/>
      <c r="OD158"/>
      <c r="OE158"/>
      <c r="OF158"/>
      <c r="OG158"/>
      <c r="OH158"/>
      <c r="OI158"/>
      <c r="OJ158"/>
      <c r="OK158"/>
      <c r="OL158"/>
      <c r="OM158"/>
      <c r="ON158"/>
      <c r="OO158"/>
      <c r="OP158"/>
      <c r="OQ158"/>
      <c r="OR158"/>
      <c r="OS158"/>
      <c r="OT158"/>
      <c r="OU158"/>
      <c r="OV158"/>
      <c r="OW158"/>
      <c r="OX158"/>
      <c r="OY158"/>
      <c r="OZ158"/>
      <c r="PA158"/>
      <c r="PB158"/>
      <c r="PC158"/>
      <c r="PD158"/>
      <c r="PE158"/>
      <c r="PF158"/>
      <c r="PG158"/>
      <c r="PH158"/>
      <c r="PI158"/>
      <c r="PJ158"/>
      <c r="PK158"/>
      <c r="PL158"/>
      <c r="PM158"/>
      <c r="PN158"/>
      <c r="PO158"/>
      <c r="PP158"/>
      <c r="PQ158"/>
      <c r="PR158"/>
      <c r="PS158"/>
      <c r="PT158"/>
      <c r="PU158"/>
      <c r="PV158"/>
      <c r="PW158"/>
      <c r="PX158"/>
      <c r="PY158"/>
      <c r="PZ158"/>
      <c r="QA158"/>
      <c r="QB158"/>
      <c r="QC158"/>
      <c r="QD158"/>
      <c r="QE158"/>
      <c r="QF158"/>
      <c r="QG158"/>
      <c r="QH158"/>
      <c r="QI158"/>
      <c r="QJ158"/>
      <c r="QK158"/>
      <c r="QL158"/>
      <c r="QM158"/>
      <c r="QN158"/>
      <c r="QO158"/>
      <c r="QP158"/>
      <c r="QQ158"/>
      <c r="QR158"/>
      <c r="QS158"/>
      <c r="QT158"/>
      <c r="QU158"/>
      <c r="QV158"/>
      <c r="QW158"/>
      <c r="QX158"/>
    </row>
    <row r="159" spans="1:466" x14ac:dyDescent="0.35">
      <c r="A159" s="53"/>
      <c r="B159" s="53"/>
      <c r="C159" s="55"/>
      <c r="D159" s="53"/>
      <c r="E159" s="53"/>
      <c r="F159" s="126" t="s">
        <v>293</v>
      </c>
      <c r="G159" s="125">
        <v>0.82379999999999998</v>
      </c>
      <c r="H159" s="125">
        <v>0</v>
      </c>
      <c r="I159" s="133">
        <v>0</v>
      </c>
      <c r="J159" s="53"/>
      <c r="K159" s="53"/>
      <c r="L159" s="53"/>
      <c r="M159" s="53"/>
      <c r="N159" s="53"/>
      <c r="O159" s="53"/>
      <c r="P159" s="53"/>
      <c r="Q159" s="53"/>
      <c r="R159" s="53"/>
      <c r="S159" s="53"/>
      <c r="T159" s="53"/>
      <c r="U159" s="53"/>
      <c r="V159" s="53"/>
      <c r="W159" s="53"/>
      <c r="X159" s="53"/>
      <c r="Y159" s="53"/>
      <c r="Z159" s="53"/>
      <c r="AA159" s="53"/>
      <c r="AB159" s="53"/>
      <c r="AC159" s="53"/>
      <c r="AD159" s="53"/>
      <c r="AE159" s="53"/>
      <c r="AF159" s="63"/>
      <c r="AG159" s="64"/>
      <c r="AH159" s="65"/>
      <c r="AI159" s="65"/>
      <c r="AJ159" s="53"/>
      <c r="AK159" s="62"/>
      <c r="AL159" s="62"/>
      <c r="AM159" s="62"/>
      <c r="AN159" s="62"/>
      <c r="AO159" s="62"/>
      <c r="AP159" s="62"/>
      <c r="AQ159" s="62"/>
      <c r="AR159" s="62"/>
      <c r="AS159" s="62"/>
      <c r="AT159" s="62"/>
      <c r="AU159" s="62"/>
      <c r="AV159" s="62"/>
      <c r="AW159" s="62"/>
      <c r="AX159" s="62"/>
      <c r="AY159" s="62"/>
      <c r="AZ159" s="62"/>
      <c r="BA159" s="62"/>
      <c r="BB159" s="62"/>
      <c r="BC159" s="62"/>
      <c r="BD159" s="62"/>
      <c r="BE159" s="62"/>
      <c r="BF159" s="62"/>
      <c r="BG159" s="62"/>
      <c r="BH159" s="62"/>
      <c r="BI159" s="62"/>
      <c r="BJ159" s="62"/>
      <c r="BK159" s="62"/>
      <c r="BL159" s="62"/>
      <c r="BM159" s="62"/>
      <c r="BN159" s="62"/>
      <c r="BO159" s="62"/>
      <c r="BP159" s="62"/>
      <c r="BQ159" s="62"/>
      <c r="BR159" s="62"/>
      <c r="BS159" s="62"/>
      <c r="BT159" s="62"/>
      <c r="BU159" s="62"/>
      <c r="BV159" s="62"/>
      <c r="BW159" s="62"/>
      <c r="BX159" s="62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  <c r="HB159"/>
      <c r="HC159"/>
      <c r="HD159"/>
      <c r="HE159"/>
      <c r="HF159"/>
      <c r="HG159"/>
      <c r="HH159"/>
      <c r="HI159"/>
      <c r="HJ159"/>
      <c r="HK159"/>
      <c r="HL159"/>
      <c r="HM159"/>
      <c r="HN159"/>
      <c r="HO159"/>
      <c r="HP159"/>
      <c r="HQ159"/>
      <c r="HR159"/>
      <c r="HS159"/>
      <c r="HT159"/>
      <c r="HU159"/>
      <c r="HV159"/>
      <c r="HW159"/>
      <c r="HX159"/>
      <c r="HY159"/>
      <c r="HZ159"/>
      <c r="IA159"/>
      <c r="IB159"/>
      <c r="IC159"/>
      <c r="ID159"/>
      <c r="IE159"/>
      <c r="IF159"/>
      <c r="IG159"/>
      <c r="IH159"/>
      <c r="II159"/>
      <c r="IJ159"/>
      <c r="IK159"/>
      <c r="IL159"/>
      <c r="IM159"/>
      <c r="IN159"/>
      <c r="IO159"/>
      <c r="IP159"/>
      <c r="IQ159"/>
      <c r="IR159"/>
      <c r="IS159"/>
      <c r="IT159"/>
      <c r="IU159"/>
      <c r="IV159"/>
      <c r="IW159"/>
      <c r="IX159"/>
      <c r="IY159"/>
      <c r="IZ159"/>
      <c r="JA159"/>
      <c r="JB159"/>
      <c r="JC159"/>
      <c r="JD159"/>
      <c r="JE159"/>
      <c r="JF159"/>
      <c r="JG159"/>
      <c r="JH159"/>
      <c r="JI159"/>
      <c r="JJ159"/>
      <c r="JK159"/>
      <c r="JL159"/>
      <c r="JM159"/>
      <c r="JN159"/>
      <c r="JO159"/>
      <c r="JP159"/>
      <c r="JQ159"/>
      <c r="JR159"/>
      <c r="JS159"/>
      <c r="JT159"/>
      <c r="JU159"/>
      <c r="JV159"/>
      <c r="JW159"/>
      <c r="JX159"/>
      <c r="JY159"/>
      <c r="JZ159"/>
      <c r="KA159"/>
      <c r="KB159"/>
      <c r="KC159"/>
      <c r="KD159"/>
      <c r="KE159"/>
      <c r="KF159"/>
      <c r="KG159"/>
      <c r="KH159"/>
      <c r="KI159"/>
      <c r="KJ159"/>
      <c r="KK159"/>
      <c r="KL159"/>
      <c r="KM159"/>
      <c r="KN159"/>
      <c r="KO159"/>
      <c r="KP159"/>
      <c r="KQ159"/>
      <c r="KR159"/>
      <c r="KS159"/>
      <c r="KT159"/>
      <c r="KU159"/>
      <c r="KV159"/>
      <c r="KW159"/>
      <c r="KX159"/>
      <c r="KY159"/>
      <c r="KZ159"/>
      <c r="LA159"/>
      <c r="LB159"/>
      <c r="LC159"/>
      <c r="LD159"/>
      <c r="LE159"/>
      <c r="LF159"/>
      <c r="LG159"/>
      <c r="LH159"/>
      <c r="LI159"/>
      <c r="LJ159"/>
      <c r="LK159"/>
      <c r="LL159"/>
      <c r="LM159"/>
      <c r="LN159"/>
      <c r="LO159"/>
      <c r="LP159"/>
      <c r="LQ159"/>
      <c r="LR159"/>
      <c r="LS159"/>
      <c r="LT159"/>
      <c r="LU159"/>
      <c r="LV159"/>
      <c r="LW159"/>
      <c r="LX159"/>
      <c r="LY159"/>
      <c r="LZ159"/>
      <c r="MA159"/>
      <c r="MB159"/>
      <c r="MC159"/>
      <c r="MD159"/>
      <c r="ME159"/>
      <c r="MF159"/>
      <c r="MG159"/>
      <c r="MH159"/>
      <c r="MI159"/>
      <c r="MJ159"/>
      <c r="MK159"/>
      <c r="ML159"/>
      <c r="MM159"/>
      <c r="MN159"/>
      <c r="MO159"/>
      <c r="MP159"/>
      <c r="MQ159"/>
      <c r="MR159"/>
      <c r="MS159"/>
      <c r="MT159"/>
      <c r="MU159"/>
      <c r="MV159"/>
      <c r="MW159"/>
      <c r="MX159"/>
      <c r="MY159"/>
      <c r="MZ159"/>
      <c r="NA159"/>
      <c r="NB159"/>
      <c r="NC159"/>
      <c r="ND159"/>
      <c r="NE159"/>
      <c r="NF159"/>
      <c r="NG159"/>
      <c r="NH159"/>
      <c r="NI159"/>
      <c r="NJ159"/>
      <c r="NK159"/>
      <c r="NL159"/>
      <c r="NM159"/>
      <c r="NN159"/>
      <c r="NO159"/>
      <c r="NP159"/>
      <c r="NQ159"/>
      <c r="NR159"/>
      <c r="NS159"/>
      <c r="NT159"/>
      <c r="NU159"/>
      <c r="NV159"/>
      <c r="NW159"/>
      <c r="NX159"/>
      <c r="NY159"/>
      <c r="NZ159"/>
      <c r="OA159"/>
      <c r="OB159"/>
      <c r="OC159"/>
      <c r="OD159"/>
      <c r="OE159"/>
      <c r="OF159"/>
      <c r="OG159"/>
      <c r="OH159"/>
      <c r="OI159"/>
      <c r="OJ159"/>
      <c r="OK159"/>
      <c r="OL159"/>
      <c r="OM159"/>
      <c r="ON159"/>
      <c r="OO159"/>
      <c r="OP159"/>
      <c r="OQ159"/>
      <c r="OR159"/>
      <c r="OS159"/>
      <c r="OT159"/>
      <c r="OU159"/>
      <c r="OV159"/>
      <c r="OW159"/>
      <c r="OX159"/>
      <c r="OY159"/>
      <c r="OZ159"/>
      <c r="PA159"/>
      <c r="PB159"/>
      <c r="PC159"/>
      <c r="PD159"/>
      <c r="PE159"/>
      <c r="PF159"/>
      <c r="PG159"/>
      <c r="PH159"/>
      <c r="PI159"/>
      <c r="PJ159"/>
      <c r="PK159"/>
      <c r="PL159"/>
      <c r="PM159"/>
      <c r="PN159"/>
      <c r="PO159"/>
      <c r="PP159"/>
      <c r="PQ159"/>
      <c r="PR159"/>
      <c r="PS159"/>
      <c r="PT159"/>
      <c r="PU159"/>
      <c r="PV159"/>
      <c r="PW159"/>
      <c r="PX159"/>
      <c r="PY159"/>
      <c r="PZ159"/>
      <c r="QA159"/>
      <c r="QB159"/>
      <c r="QC159"/>
      <c r="QD159"/>
      <c r="QE159"/>
      <c r="QF159"/>
      <c r="QG159"/>
      <c r="QH159"/>
      <c r="QI159"/>
      <c r="QJ159"/>
      <c r="QK159"/>
      <c r="QL159"/>
      <c r="QM159"/>
      <c r="QN159"/>
      <c r="QO159"/>
      <c r="QP159"/>
      <c r="QQ159"/>
      <c r="QR159"/>
      <c r="QS159"/>
      <c r="QT159"/>
      <c r="QU159"/>
      <c r="QV159"/>
      <c r="QW159"/>
      <c r="QX159"/>
    </row>
    <row r="160" spans="1:466" x14ac:dyDescent="0.35">
      <c r="A160" s="53"/>
      <c r="B160" s="53"/>
      <c r="C160" s="55"/>
      <c r="D160" s="53"/>
      <c r="E160" s="53"/>
      <c r="F160" s="126" t="s">
        <v>220</v>
      </c>
      <c r="G160" s="125">
        <v>0.82379999999999998</v>
      </c>
      <c r="H160" s="125">
        <v>0</v>
      </c>
      <c r="I160" s="133">
        <v>0</v>
      </c>
      <c r="J160" s="53"/>
      <c r="K160" s="53"/>
      <c r="L160" s="53"/>
      <c r="M160" s="53"/>
      <c r="N160" s="53"/>
      <c r="O160" s="53"/>
      <c r="P160" s="53"/>
      <c r="Q160" s="53"/>
      <c r="R160" s="53"/>
      <c r="S160" s="53"/>
      <c r="T160" s="53"/>
      <c r="U160" s="53"/>
      <c r="V160" s="53"/>
      <c r="W160" s="53"/>
      <c r="X160" s="53"/>
      <c r="Y160" s="53"/>
      <c r="Z160" s="53"/>
      <c r="AA160" s="53"/>
      <c r="AB160" s="53"/>
      <c r="AC160" s="53"/>
      <c r="AD160" s="53"/>
      <c r="AE160" s="53"/>
      <c r="AF160" s="63"/>
      <c r="AG160" s="64"/>
      <c r="AH160" s="65"/>
      <c r="AI160" s="65"/>
      <c r="AJ160" s="53"/>
      <c r="AK160" s="62"/>
      <c r="AL160" s="62"/>
      <c r="AM160" s="62"/>
      <c r="AN160" s="62"/>
      <c r="AO160" s="62"/>
      <c r="AP160" s="62"/>
      <c r="AQ160" s="62"/>
      <c r="AR160" s="62"/>
      <c r="AS160" s="62"/>
      <c r="AT160" s="62"/>
      <c r="AU160" s="62"/>
      <c r="AV160" s="62"/>
      <c r="AW160" s="62"/>
      <c r="AX160" s="62"/>
      <c r="AY160" s="62"/>
      <c r="AZ160" s="62"/>
      <c r="BA160" s="62"/>
      <c r="BB160" s="62"/>
      <c r="BC160" s="62"/>
      <c r="BD160" s="62"/>
      <c r="BE160" s="62"/>
      <c r="BF160" s="62"/>
      <c r="BG160" s="62"/>
      <c r="BH160" s="62"/>
      <c r="BI160" s="62"/>
      <c r="BJ160" s="62"/>
      <c r="BK160" s="62"/>
      <c r="BL160" s="62"/>
      <c r="BM160" s="62"/>
      <c r="BN160" s="62"/>
      <c r="BO160" s="62"/>
      <c r="BP160" s="62"/>
      <c r="BQ160" s="62"/>
      <c r="BR160" s="62"/>
      <c r="BS160" s="62"/>
      <c r="BT160" s="62"/>
      <c r="BU160" s="62"/>
      <c r="BV160" s="62"/>
      <c r="BW160" s="62"/>
      <c r="BX160" s="62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  <c r="HB160"/>
      <c r="HC160"/>
      <c r="HD160"/>
      <c r="HE160"/>
      <c r="HF160"/>
      <c r="HG160"/>
      <c r="HH160"/>
      <c r="HI160"/>
      <c r="HJ160"/>
      <c r="HK160"/>
      <c r="HL160"/>
      <c r="HM160"/>
      <c r="HN160"/>
      <c r="HO160"/>
      <c r="HP160"/>
      <c r="HQ160"/>
      <c r="HR160"/>
      <c r="HS160"/>
      <c r="HT160"/>
      <c r="HU160"/>
      <c r="HV160"/>
      <c r="HW160"/>
      <c r="HX160"/>
      <c r="HY160"/>
      <c r="HZ160"/>
      <c r="IA160"/>
      <c r="IB160"/>
      <c r="IC160"/>
      <c r="ID160"/>
      <c r="IE160"/>
      <c r="IF160"/>
      <c r="IG160"/>
      <c r="IH160"/>
      <c r="II160"/>
      <c r="IJ160"/>
      <c r="IK160"/>
      <c r="IL160"/>
      <c r="IM160"/>
      <c r="IN160"/>
      <c r="IO160"/>
      <c r="IP160"/>
      <c r="IQ160"/>
      <c r="IR160"/>
      <c r="IS160"/>
      <c r="IT160"/>
      <c r="IU160"/>
      <c r="IV160"/>
      <c r="IW160"/>
      <c r="IX160"/>
      <c r="IY160"/>
      <c r="IZ160"/>
      <c r="JA160"/>
      <c r="JB160"/>
      <c r="JC160"/>
      <c r="JD160"/>
      <c r="JE160"/>
      <c r="JF160"/>
      <c r="JG160"/>
      <c r="JH160"/>
      <c r="JI160"/>
      <c r="JJ160"/>
      <c r="JK160"/>
      <c r="JL160"/>
      <c r="JM160"/>
      <c r="JN160"/>
      <c r="JO160"/>
      <c r="JP160"/>
      <c r="JQ160"/>
      <c r="JR160"/>
      <c r="JS160"/>
      <c r="JT160"/>
      <c r="JU160"/>
      <c r="JV160"/>
      <c r="JW160"/>
      <c r="JX160"/>
      <c r="JY160"/>
      <c r="JZ160"/>
      <c r="KA160"/>
      <c r="KB160"/>
      <c r="KC160"/>
      <c r="KD160"/>
      <c r="KE160"/>
      <c r="KF160"/>
      <c r="KG160"/>
      <c r="KH160"/>
      <c r="KI160"/>
      <c r="KJ160"/>
      <c r="KK160"/>
      <c r="KL160"/>
      <c r="KM160"/>
      <c r="KN160"/>
      <c r="KO160"/>
      <c r="KP160"/>
      <c r="KQ160"/>
      <c r="KR160"/>
      <c r="KS160"/>
      <c r="KT160"/>
      <c r="KU160"/>
      <c r="KV160"/>
      <c r="KW160"/>
      <c r="KX160"/>
      <c r="KY160"/>
      <c r="KZ160"/>
      <c r="LA160"/>
      <c r="LB160"/>
      <c r="LC160"/>
      <c r="LD160"/>
      <c r="LE160"/>
      <c r="LF160"/>
      <c r="LG160"/>
      <c r="LH160"/>
      <c r="LI160"/>
      <c r="LJ160"/>
      <c r="LK160"/>
      <c r="LL160"/>
      <c r="LM160"/>
      <c r="LN160"/>
      <c r="LO160"/>
      <c r="LP160"/>
      <c r="LQ160"/>
      <c r="LR160"/>
      <c r="LS160"/>
      <c r="LT160"/>
      <c r="LU160"/>
      <c r="LV160"/>
      <c r="LW160"/>
      <c r="LX160"/>
      <c r="LY160"/>
      <c r="LZ160"/>
      <c r="MA160"/>
      <c r="MB160"/>
      <c r="MC160"/>
      <c r="MD160"/>
      <c r="ME160"/>
      <c r="MF160"/>
      <c r="MG160"/>
      <c r="MH160"/>
      <c r="MI160"/>
      <c r="MJ160"/>
      <c r="MK160"/>
      <c r="ML160"/>
      <c r="MM160"/>
      <c r="MN160"/>
      <c r="MO160"/>
      <c r="MP160"/>
      <c r="MQ160"/>
      <c r="MR160"/>
      <c r="MS160"/>
      <c r="MT160"/>
      <c r="MU160"/>
      <c r="MV160"/>
      <c r="MW160"/>
      <c r="MX160"/>
      <c r="MY160"/>
      <c r="MZ160"/>
      <c r="NA160"/>
      <c r="NB160"/>
      <c r="NC160"/>
      <c r="ND160"/>
      <c r="NE160"/>
      <c r="NF160"/>
      <c r="NG160"/>
      <c r="NH160"/>
      <c r="NI160"/>
      <c r="NJ160"/>
      <c r="NK160"/>
      <c r="NL160"/>
      <c r="NM160"/>
      <c r="NN160"/>
      <c r="NO160"/>
      <c r="NP160"/>
      <c r="NQ160"/>
      <c r="NR160"/>
      <c r="NS160"/>
      <c r="NT160"/>
      <c r="NU160"/>
      <c r="NV160"/>
      <c r="NW160"/>
      <c r="NX160"/>
      <c r="NY160"/>
      <c r="NZ160"/>
      <c r="OA160"/>
      <c r="OB160"/>
      <c r="OC160"/>
      <c r="OD160"/>
      <c r="OE160"/>
      <c r="OF160"/>
      <c r="OG160"/>
      <c r="OH160"/>
      <c r="OI160"/>
      <c r="OJ160"/>
      <c r="OK160"/>
      <c r="OL160"/>
      <c r="OM160"/>
      <c r="ON160"/>
      <c r="OO160"/>
      <c r="OP160"/>
      <c r="OQ160"/>
      <c r="OR160"/>
      <c r="OS160"/>
      <c r="OT160"/>
      <c r="OU160"/>
      <c r="OV160"/>
      <c r="OW160"/>
      <c r="OX160"/>
      <c r="OY160"/>
      <c r="OZ160"/>
      <c r="PA160"/>
      <c r="PB160"/>
      <c r="PC160"/>
      <c r="PD160"/>
      <c r="PE160"/>
      <c r="PF160"/>
      <c r="PG160"/>
      <c r="PH160"/>
      <c r="PI160"/>
      <c r="PJ160"/>
      <c r="PK160"/>
      <c r="PL160"/>
      <c r="PM160"/>
      <c r="PN160"/>
      <c r="PO160"/>
      <c r="PP160"/>
      <c r="PQ160"/>
      <c r="PR160"/>
      <c r="PS160"/>
      <c r="PT160"/>
      <c r="PU160"/>
      <c r="PV160"/>
      <c r="PW160"/>
      <c r="PX160"/>
      <c r="PY160"/>
      <c r="PZ160"/>
      <c r="QA160"/>
      <c r="QB160"/>
      <c r="QC160"/>
      <c r="QD160"/>
      <c r="QE160"/>
      <c r="QF160"/>
      <c r="QG160"/>
      <c r="QH160"/>
      <c r="QI160"/>
      <c r="QJ160"/>
      <c r="QK160"/>
      <c r="QL160"/>
      <c r="QM160"/>
      <c r="QN160"/>
      <c r="QO160"/>
      <c r="QP160"/>
      <c r="QQ160"/>
      <c r="QR160"/>
      <c r="QS160"/>
      <c r="QT160"/>
      <c r="QU160"/>
      <c r="QV160"/>
      <c r="QW160"/>
      <c r="QX160"/>
    </row>
    <row r="161" spans="1:466" x14ac:dyDescent="0.35">
      <c r="A161" s="53"/>
      <c r="B161" s="53"/>
      <c r="C161" s="55"/>
      <c r="D161" s="53"/>
      <c r="E161" s="53"/>
      <c r="F161" s="126" t="s">
        <v>263</v>
      </c>
      <c r="G161" s="125">
        <v>0.82379999999999998</v>
      </c>
      <c r="H161" s="125">
        <v>0</v>
      </c>
      <c r="I161" s="133">
        <v>0</v>
      </c>
      <c r="J161" s="53"/>
      <c r="K161" s="53"/>
      <c r="L161" s="53"/>
      <c r="M161" s="53"/>
      <c r="N161" s="53"/>
      <c r="O161" s="53"/>
      <c r="P161" s="53"/>
      <c r="Q161" s="53"/>
      <c r="R161" s="53"/>
      <c r="S161" s="53"/>
      <c r="T161" s="53"/>
      <c r="U161" s="53"/>
      <c r="V161" s="53"/>
      <c r="W161" s="53"/>
      <c r="X161" s="53"/>
      <c r="Y161" s="53"/>
      <c r="Z161" s="53"/>
      <c r="AA161" s="53"/>
      <c r="AB161" s="53"/>
      <c r="AC161" s="53"/>
      <c r="AD161" s="53"/>
      <c r="AE161" s="53"/>
      <c r="AF161" s="63"/>
      <c r="AG161" s="64"/>
      <c r="AH161" s="65"/>
      <c r="AI161" s="65"/>
      <c r="AJ161" s="53"/>
      <c r="AK161" s="62"/>
      <c r="AL161" s="62"/>
      <c r="AM161" s="62"/>
      <c r="AN161" s="62"/>
      <c r="AO161" s="62"/>
      <c r="AP161" s="62"/>
      <c r="AQ161" s="62"/>
      <c r="AR161" s="62"/>
      <c r="AS161" s="62"/>
      <c r="AT161" s="62"/>
      <c r="AU161" s="62"/>
      <c r="AV161" s="62"/>
      <c r="AW161" s="62"/>
      <c r="AX161" s="62"/>
      <c r="AY161" s="62"/>
      <c r="AZ161" s="62"/>
      <c r="BA161" s="62"/>
      <c r="BB161" s="62"/>
      <c r="BC161" s="62"/>
      <c r="BD161" s="62"/>
      <c r="BE161" s="62"/>
      <c r="BF161" s="62"/>
      <c r="BG161" s="62"/>
      <c r="BH161" s="62"/>
      <c r="BI161" s="62"/>
      <c r="BJ161" s="62"/>
      <c r="BK161" s="62"/>
      <c r="BL161" s="62"/>
      <c r="BM161" s="62"/>
      <c r="BN161" s="62"/>
      <c r="BO161" s="62"/>
      <c r="BP161" s="62"/>
      <c r="BQ161" s="62"/>
      <c r="BR161" s="62"/>
      <c r="BS161" s="62"/>
      <c r="BT161" s="62"/>
      <c r="BU161" s="62"/>
      <c r="BV161" s="62"/>
      <c r="BW161" s="62"/>
      <c r="BX161" s="62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  <c r="HB161"/>
      <c r="HC161"/>
      <c r="HD161"/>
      <c r="HE161"/>
      <c r="HF161"/>
      <c r="HG161"/>
      <c r="HH161"/>
      <c r="HI161"/>
      <c r="HJ161"/>
      <c r="HK161"/>
      <c r="HL161"/>
      <c r="HM161"/>
      <c r="HN161"/>
      <c r="HO161"/>
      <c r="HP161"/>
      <c r="HQ161"/>
      <c r="HR161"/>
      <c r="HS161"/>
      <c r="HT161"/>
      <c r="HU161"/>
      <c r="HV161"/>
      <c r="HW161"/>
      <c r="HX161"/>
      <c r="HY161"/>
      <c r="HZ161"/>
      <c r="IA161"/>
      <c r="IB161"/>
      <c r="IC161"/>
      <c r="ID161"/>
      <c r="IE161"/>
      <c r="IF161"/>
      <c r="IG161"/>
      <c r="IH161"/>
      <c r="II161"/>
      <c r="IJ161"/>
      <c r="IK161"/>
      <c r="IL161"/>
      <c r="IM161"/>
      <c r="IN161"/>
      <c r="IO161"/>
      <c r="IP161"/>
      <c r="IQ161"/>
      <c r="IR161"/>
      <c r="IS161"/>
      <c r="IT161"/>
      <c r="IU161"/>
      <c r="IV161"/>
      <c r="IW161"/>
      <c r="IX161"/>
      <c r="IY161"/>
      <c r="IZ161"/>
      <c r="JA161"/>
      <c r="JB161"/>
      <c r="JC161"/>
      <c r="JD161"/>
      <c r="JE161"/>
      <c r="JF161"/>
      <c r="JG161"/>
      <c r="JH161"/>
      <c r="JI161"/>
      <c r="JJ161"/>
      <c r="JK161"/>
      <c r="JL161"/>
      <c r="JM161"/>
      <c r="JN161"/>
      <c r="JO161"/>
      <c r="JP161"/>
      <c r="JQ161"/>
      <c r="JR161"/>
      <c r="JS161"/>
      <c r="JT161"/>
      <c r="JU161"/>
      <c r="JV161"/>
      <c r="JW161"/>
      <c r="JX161"/>
      <c r="JY161"/>
      <c r="JZ161"/>
      <c r="KA161"/>
      <c r="KB161"/>
      <c r="KC161"/>
      <c r="KD161"/>
      <c r="KE161"/>
      <c r="KF161"/>
      <c r="KG161"/>
      <c r="KH161"/>
      <c r="KI161"/>
      <c r="KJ161"/>
      <c r="KK161"/>
      <c r="KL161"/>
      <c r="KM161"/>
      <c r="KN161"/>
      <c r="KO161"/>
      <c r="KP161"/>
      <c r="KQ161"/>
      <c r="KR161"/>
      <c r="KS161"/>
      <c r="KT161"/>
      <c r="KU161"/>
      <c r="KV161"/>
      <c r="KW161"/>
      <c r="KX161"/>
      <c r="KY161"/>
      <c r="KZ161"/>
      <c r="LA161"/>
      <c r="LB161"/>
      <c r="LC161"/>
      <c r="LD161"/>
      <c r="LE161"/>
      <c r="LF161"/>
      <c r="LG161"/>
      <c r="LH161"/>
      <c r="LI161"/>
      <c r="LJ161"/>
      <c r="LK161"/>
      <c r="LL161"/>
      <c r="LM161"/>
      <c r="LN161"/>
      <c r="LO161"/>
      <c r="LP161"/>
      <c r="LQ161"/>
      <c r="LR161"/>
      <c r="LS161"/>
      <c r="LT161"/>
      <c r="LU161"/>
      <c r="LV161"/>
      <c r="LW161"/>
      <c r="LX161"/>
      <c r="LY161"/>
      <c r="LZ161"/>
      <c r="MA161"/>
      <c r="MB161"/>
      <c r="MC161"/>
      <c r="MD161"/>
      <c r="ME161"/>
      <c r="MF161"/>
      <c r="MG161"/>
      <c r="MH161"/>
      <c r="MI161"/>
      <c r="MJ161"/>
      <c r="MK161"/>
      <c r="ML161"/>
      <c r="MM161"/>
      <c r="MN161"/>
      <c r="MO161"/>
      <c r="MP161"/>
      <c r="MQ161"/>
      <c r="MR161"/>
      <c r="MS161"/>
      <c r="MT161"/>
      <c r="MU161"/>
      <c r="MV161"/>
      <c r="MW161"/>
      <c r="MX161"/>
      <c r="MY161"/>
      <c r="MZ161"/>
      <c r="NA161"/>
      <c r="NB161"/>
      <c r="NC161"/>
      <c r="ND161"/>
      <c r="NE161"/>
      <c r="NF161"/>
      <c r="NG161"/>
      <c r="NH161"/>
      <c r="NI161"/>
      <c r="NJ161"/>
      <c r="NK161"/>
      <c r="NL161"/>
      <c r="NM161"/>
      <c r="NN161"/>
      <c r="NO161"/>
      <c r="NP161"/>
      <c r="NQ161"/>
      <c r="NR161"/>
      <c r="NS161"/>
      <c r="NT161"/>
      <c r="NU161"/>
      <c r="NV161"/>
      <c r="NW161"/>
      <c r="NX161"/>
      <c r="NY161"/>
      <c r="NZ161"/>
      <c r="OA161"/>
      <c r="OB161"/>
      <c r="OC161"/>
      <c r="OD161"/>
      <c r="OE161"/>
      <c r="OF161"/>
      <c r="OG161"/>
      <c r="OH161"/>
      <c r="OI161"/>
      <c r="OJ161"/>
      <c r="OK161"/>
      <c r="OL161"/>
      <c r="OM161"/>
      <c r="ON161"/>
      <c r="OO161"/>
      <c r="OP161"/>
      <c r="OQ161"/>
      <c r="OR161"/>
      <c r="OS161"/>
      <c r="OT161"/>
      <c r="OU161"/>
      <c r="OV161"/>
      <c r="OW161"/>
      <c r="OX161"/>
      <c r="OY161"/>
      <c r="OZ161"/>
      <c r="PA161"/>
      <c r="PB161"/>
      <c r="PC161"/>
      <c r="PD161"/>
      <c r="PE161"/>
      <c r="PF161"/>
      <c r="PG161"/>
      <c r="PH161"/>
      <c r="PI161"/>
      <c r="PJ161"/>
      <c r="PK161"/>
      <c r="PL161"/>
      <c r="PM161"/>
      <c r="PN161"/>
      <c r="PO161"/>
      <c r="PP161"/>
      <c r="PQ161"/>
      <c r="PR161"/>
      <c r="PS161"/>
      <c r="PT161"/>
      <c r="PU161"/>
      <c r="PV161"/>
      <c r="PW161"/>
      <c r="PX161"/>
      <c r="PY161"/>
      <c r="PZ161"/>
      <c r="QA161"/>
      <c r="QB161"/>
      <c r="QC161"/>
      <c r="QD161"/>
      <c r="QE161"/>
      <c r="QF161"/>
      <c r="QG161"/>
      <c r="QH161"/>
      <c r="QI161"/>
      <c r="QJ161"/>
      <c r="QK161"/>
      <c r="QL161"/>
      <c r="QM161"/>
      <c r="QN161"/>
      <c r="QO161"/>
      <c r="QP161"/>
      <c r="QQ161"/>
      <c r="QR161"/>
      <c r="QS161"/>
      <c r="QT161"/>
      <c r="QU161"/>
      <c r="QV161"/>
      <c r="QW161"/>
      <c r="QX161"/>
    </row>
    <row r="162" spans="1:466" x14ac:dyDescent="0.35">
      <c r="A162" s="53"/>
      <c r="B162" s="53"/>
      <c r="C162" s="55"/>
      <c r="D162" s="53"/>
      <c r="E162" s="53"/>
      <c r="F162" s="126" t="s">
        <v>281</v>
      </c>
      <c r="G162" s="125">
        <v>0.82379999999999998</v>
      </c>
      <c r="H162" s="125">
        <v>0</v>
      </c>
      <c r="I162" s="133">
        <v>0</v>
      </c>
      <c r="J162" s="53"/>
      <c r="K162" s="53"/>
      <c r="L162" s="53"/>
      <c r="M162" s="53"/>
      <c r="N162" s="53"/>
      <c r="O162" s="53"/>
      <c r="P162" s="53"/>
      <c r="Q162" s="53"/>
      <c r="R162" s="53"/>
      <c r="S162" s="53"/>
      <c r="T162" s="53"/>
      <c r="U162" s="53"/>
      <c r="V162" s="53"/>
      <c r="W162" s="53"/>
      <c r="X162" s="53"/>
      <c r="Y162" s="53"/>
      <c r="Z162" s="53"/>
      <c r="AA162" s="53"/>
      <c r="AB162" s="53"/>
      <c r="AC162" s="53"/>
      <c r="AD162" s="53"/>
      <c r="AE162" s="53"/>
      <c r="AF162" s="63"/>
      <c r="AG162" s="64"/>
      <c r="AH162" s="65"/>
      <c r="AI162" s="65"/>
      <c r="AJ162" s="53"/>
      <c r="AK162" s="62"/>
      <c r="AL162" s="62"/>
      <c r="AM162" s="62"/>
      <c r="AN162" s="62"/>
      <c r="AO162" s="62"/>
      <c r="AP162" s="62"/>
      <c r="AQ162" s="62"/>
      <c r="AR162" s="62"/>
      <c r="AS162" s="62"/>
      <c r="AT162" s="62"/>
      <c r="AU162" s="62"/>
      <c r="AV162" s="62"/>
      <c r="AW162" s="62"/>
      <c r="AX162" s="62"/>
      <c r="AY162" s="62"/>
      <c r="AZ162" s="62"/>
      <c r="BA162" s="62"/>
      <c r="BB162" s="62"/>
      <c r="BC162" s="62"/>
      <c r="BD162" s="62"/>
      <c r="BE162" s="62"/>
      <c r="BF162" s="62"/>
      <c r="BG162" s="62"/>
      <c r="BH162" s="62"/>
      <c r="BI162" s="62"/>
      <c r="BJ162" s="62"/>
      <c r="BK162" s="62"/>
      <c r="BL162" s="62"/>
      <c r="BM162" s="62"/>
      <c r="BN162" s="62"/>
      <c r="BO162" s="62"/>
      <c r="BP162" s="62"/>
      <c r="BQ162" s="62"/>
      <c r="BR162" s="62"/>
      <c r="BS162" s="62"/>
      <c r="BT162" s="62"/>
      <c r="BU162" s="62"/>
      <c r="BV162" s="62"/>
      <c r="BW162" s="62"/>
      <c r="BX162" s="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  <c r="HB162"/>
      <c r="HC162"/>
      <c r="HD162"/>
      <c r="HE162"/>
      <c r="HF162"/>
      <c r="HG162"/>
      <c r="HH162"/>
      <c r="HI162"/>
      <c r="HJ162"/>
      <c r="HK162"/>
      <c r="HL162"/>
      <c r="HM162"/>
      <c r="HN162"/>
      <c r="HO162"/>
      <c r="HP162"/>
      <c r="HQ162"/>
      <c r="HR162"/>
      <c r="HS162"/>
      <c r="HT162"/>
      <c r="HU162"/>
      <c r="HV162"/>
      <c r="HW162"/>
      <c r="HX162"/>
      <c r="HY162"/>
      <c r="HZ162"/>
      <c r="IA162"/>
      <c r="IB162"/>
      <c r="IC162"/>
      <c r="ID162"/>
      <c r="IE162"/>
      <c r="IF162"/>
      <c r="IG162"/>
      <c r="IH162"/>
      <c r="II162"/>
      <c r="IJ162"/>
      <c r="IK162"/>
      <c r="IL162"/>
      <c r="IM162"/>
      <c r="IN162"/>
      <c r="IO162"/>
      <c r="IP162"/>
      <c r="IQ162"/>
      <c r="IR162"/>
      <c r="IS162"/>
      <c r="IT162"/>
      <c r="IU162"/>
      <c r="IV162"/>
      <c r="IW162"/>
      <c r="IX162"/>
      <c r="IY162"/>
      <c r="IZ162"/>
      <c r="JA162"/>
      <c r="JB162"/>
      <c r="JC162"/>
      <c r="JD162"/>
      <c r="JE162"/>
      <c r="JF162"/>
      <c r="JG162"/>
      <c r="JH162"/>
      <c r="JI162"/>
      <c r="JJ162"/>
      <c r="JK162"/>
      <c r="JL162"/>
      <c r="JM162"/>
      <c r="JN162"/>
      <c r="JO162"/>
      <c r="JP162"/>
      <c r="JQ162"/>
      <c r="JR162"/>
      <c r="JS162"/>
      <c r="JT162"/>
      <c r="JU162"/>
      <c r="JV162"/>
      <c r="JW162"/>
      <c r="JX162"/>
      <c r="JY162"/>
      <c r="JZ162"/>
      <c r="KA162"/>
      <c r="KB162"/>
      <c r="KC162"/>
      <c r="KD162"/>
      <c r="KE162"/>
      <c r="KF162"/>
      <c r="KG162"/>
      <c r="KH162"/>
      <c r="KI162"/>
      <c r="KJ162"/>
      <c r="KK162"/>
      <c r="KL162"/>
      <c r="KM162"/>
      <c r="KN162"/>
      <c r="KO162"/>
      <c r="KP162"/>
      <c r="KQ162"/>
      <c r="KR162"/>
      <c r="KS162"/>
      <c r="KT162"/>
      <c r="KU162"/>
      <c r="KV162"/>
      <c r="KW162"/>
      <c r="KX162"/>
      <c r="KY162"/>
      <c r="KZ162"/>
      <c r="LA162"/>
      <c r="LB162"/>
      <c r="LC162"/>
      <c r="LD162"/>
      <c r="LE162"/>
      <c r="LF162"/>
      <c r="LG162"/>
      <c r="LH162"/>
      <c r="LI162"/>
      <c r="LJ162"/>
      <c r="LK162"/>
      <c r="LL162"/>
      <c r="LM162"/>
      <c r="LN162"/>
      <c r="LO162"/>
      <c r="LP162"/>
      <c r="LQ162"/>
      <c r="LR162"/>
      <c r="LS162"/>
      <c r="LT162"/>
      <c r="LU162"/>
      <c r="LV162"/>
      <c r="LW162"/>
      <c r="LX162"/>
      <c r="LY162"/>
      <c r="LZ162"/>
      <c r="MA162"/>
      <c r="MB162"/>
      <c r="MC162"/>
      <c r="MD162"/>
      <c r="ME162"/>
      <c r="MF162"/>
      <c r="MG162"/>
      <c r="MH162"/>
      <c r="MI162"/>
      <c r="MJ162"/>
      <c r="MK162"/>
      <c r="ML162"/>
      <c r="MM162"/>
      <c r="MN162"/>
      <c r="MO162"/>
      <c r="MP162"/>
      <c r="MQ162"/>
      <c r="MR162"/>
      <c r="MS162"/>
      <c r="MT162"/>
      <c r="MU162"/>
      <c r="MV162"/>
      <c r="MW162"/>
      <c r="MX162"/>
      <c r="MY162"/>
      <c r="MZ162"/>
      <c r="NA162"/>
      <c r="NB162"/>
      <c r="NC162"/>
      <c r="ND162"/>
      <c r="NE162"/>
      <c r="NF162"/>
      <c r="NG162"/>
      <c r="NH162"/>
      <c r="NI162"/>
      <c r="NJ162"/>
      <c r="NK162"/>
      <c r="NL162"/>
      <c r="NM162"/>
      <c r="NN162"/>
      <c r="NO162"/>
      <c r="NP162"/>
      <c r="NQ162"/>
      <c r="NR162"/>
      <c r="NS162"/>
      <c r="NT162"/>
      <c r="NU162"/>
      <c r="NV162"/>
      <c r="NW162"/>
      <c r="NX162"/>
      <c r="NY162"/>
      <c r="NZ162"/>
      <c r="OA162"/>
      <c r="OB162"/>
      <c r="OC162"/>
      <c r="OD162"/>
      <c r="OE162"/>
      <c r="OF162"/>
      <c r="OG162"/>
      <c r="OH162"/>
      <c r="OI162"/>
      <c r="OJ162"/>
      <c r="OK162"/>
      <c r="OL162"/>
      <c r="OM162"/>
      <c r="ON162"/>
      <c r="OO162"/>
      <c r="OP162"/>
      <c r="OQ162"/>
      <c r="OR162"/>
      <c r="OS162"/>
      <c r="OT162"/>
      <c r="OU162"/>
      <c r="OV162"/>
      <c r="OW162"/>
      <c r="OX162"/>
      <c r="OY162"/>
      <c r="OZ162"/>
      <c r="PA162"/>
      <c r="PB162"/>
      <c r="PC162"/>
      <c r="PD162"/>
      <c r="PE162"/>
      <c r="PF162"/>
      <c r="PG162"/>
      <c r="PH162"/>
      <c r="PI162"/>
      <c r="PJ162"/>
      <c r="PK162"/>
      <c r="PL162"/>
      <c r="PM162"/>
      <c r="PN162"/>
      <c r="PO162"/>
      <c r="PP162"/>
      <c r="PQ162"/>
      <c r="PR162"/>
      <c r="PS162"/>
      <c r="PT162"/>
      <c r="PU162"/>
      <c r="PV162"/>
      <c r="PW162"/>
      <c r="PX162"/>
      <c r="PY162"/>
      <c r="PZ162"/>
      <c r="QA162"/>
      <c r="QB162"/>
      <c r="QC162"/>
      <c r="QD162"/>
      <c r="QE162"/>
      <c r="QF162"/>
      <c r="QG162"/>
      <c r="QH162"/>
      <c r="QI162"/>
      <c r="QJ162"/>
      <c r="QK162"/>
      <c r="QL162"/>
      <c r="QM162"/>
      <c r="QN162"/>
      <c r="QO162"/>
      <c r="QP162"/>
      <c r="QQ162"/>
      <c r="QR162"/>
      <c r="QS162"/>
      <c r="QT162"/>
      <c r="QU162"/>
      <c r="QV162"/>
      <c r="QW162"/>
      <c r="QX162"/>
    </row>
    <row r="163" spans="1:466" x14ac:dyDescent="0.35">
      <c r="A163" s="53"/>
      <c r="B163" s="53"/>
      <c r="C163" s="55"/>
      <c r="D163" s="53"/>
      <c r="E163" s="53"/>
      <c r="F163" s="126" t="s">
        <v>244</v>
      </c>
      <c r="G163" s="125">
        <v>1.2661199999999999</v>
      </c>
      <c r="H163" s="125">
        <v>0</v>
      </c>
      <c r="I163" s="133">
        <v>0</v>
      </c>
      <c r="J163" s="53"/>
      <c r="K163" s="53"/>
      <c r="L163" s="53"/>
      <c r="M163" s="53"/>
      <c r="N163" s="53"/>
      <c r="O163" s="53"/>
      <c r="P163" s="53"/>
      <c r="Q163" s="53"/>
      <c r="R163" s="53"/>
      <c r="S163" s="53"/>
      <c r="T163" s="53"/>
      <c r="U163" s="53"/>
      <c r="V163" s="53"/>
      <c r="W163" s="53"/>
      <c r="X163" s="53"/>
      <c r="Y163" s="53"/>
      <c r="Z163" s="53"/>
      <c r="AA163" s="53"/>
      <c r="AB163" s="53"/>
      <c r="AC163" s="53"/>
      <c r="AD163" s="53"/>
      <c r="AE163" s="53"/>
      <c r="AF163" s="63"/>
      <c r="AG163" s="64"/>
      <c r="AH163" s="65"/>
      <c r="AI163" s="65"/>
      <c r="AJ163" s="53"/>
      <c r="AK163" s="62"/>
      <c r="AL163" s="62"/>
      <c r="AM163" s="62"/>
      <c r="AN163" s="62"/>
      <c r="AO163" s="62"/>
      <c r="AP163" s="62"/>
      <c r="AQ163" s="62"/>
      <c r="AR163" s="62"/>
      <c r="AS163" s="62"/>
      <c r="AT163" s="62"/>
      <c r="AU163" s="62"/>
      <c r="AV163" s="62"/>
      <c r="AW163" s="62"/>
      <c r="AX163" s="62"/>
      <c r="AY163" s="62"/>
      <c r="AZ163" s="62"/>
      <c r="BA163" s="62"/>
      <c r="BB163" s="62"/>
      <c r="BC163" s="62"/>
      <c r="BD163" s="62"/>
      <c r="BE163" s="62"/>
      <c r="BF163" s="62"/>
      <c r="BG163" s="62"/>
      <c r="BH163" s="62"/>
      <c r="BI163" s="62"/>
      <c r="BJ163" s="62"/>
      <c r="BK163" s="62"/>
      <c r="BL163" s="62"/>
      <c r="BM163" s="62"/>
      <c r="BN163" s="62"/>
      <c r="BO163" s="62"/>
      <c r="BP163" s="62"/>
      <c r="BQ163" s="62"/>
      <c r="BR163" s="62"/>
      <c r="BS163" s="62"/>
      <c r="BT163" s="62"/>
      <c r="BU163" s="62"/>
      <c r="BV163" s="62"/>
      <c r="BW163" s="62"/>
      <c r="BX163" s="62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  <c r="HB163"/>
      <c r="HC163"/>
      <c r="HD163"/>
      <c r="HE163"/>
      <c r="HF163"/>
      <c r="HG163"/>
      <c r="HH163"/>
      <c r="HI163"/>
      <c r="HJ163"/>
      <c r="HK163"/>
      <c r="HL163"/>
      <c r="HM163"/>
      <c r="HN163"/>
      <c r="HO163"/>
      <c r="HP163"/>
      <c r="HQ163"/>
      <c r="HR163"/>
      <c r="HS163"/>
      <c r="HT163"/>
      <c r="HU163"/>
      <c r="HV163"/>
      <c r="HW163"/>
      <c r="HX163"/>
      <c r="HY163"/>
      <c r="HZ163"/>
      <c r="IA163"/>
      <c r="IB163"/>
      <c r="IC163"/>
      <c r="ID163"/>
      <c r="IE163"/>
      <c r="IF163"/>
      <c r="IG163"/>
      <c r="IH163"/>
      <c r="II163"/>
      <c r="IJ163"/>
      <c r="IK163"/>
      <c r="IL163"/>
      <c r="IM163"/>
      <c r="IN163"/>
      <c r="IO163"/>
      <c r="IP163"/>
      <c r="IQ163"/>
      <c r="IR163"/>
      <c r="IS163"/>
      <c r="IT163"/>
      <c r="IU163"/>
      <c r="IV163"/>
      <c r="IW163"/>
      <c r="IX163"/>
      <c r="IY163"/>
      <c r="IZ163"/>
      <c r="JA163"/>
      <c r="JB163"/>
      <c r="JC163"/>
      <c r="JD163"/>
      <c r="JE163"/>
      <c r="JF163"/>
      <c r="JG163"/>
      <c r="JH163"/>
      <c r="JI163"/>
      <c r="JJ163"/>
      <c r="JK163"/>
      <c r="JL163"/>
      <c r="JM163"/>
      <c r="JN163"/>
      <c r="JO163"/>
      <c r="JP163"/>
      <c r="JQ163"/>
      <c r="JR163"/>
      <c r="JS163"/>
      <c r="JT163"/>
      <c r="JU163"/>
      <c r="JV163"/>
      <c r="JW163"/>
      <c r="JX163"/>
      <c r="JY163"/>
      <c r="JZ163"/>
      <c r="KA163"/>
      <c r="KB163"/>
      <c r="KC163"/>
      <c r="KD163"/>
      <c r="KE163"/>
      <c r="KF163"/>
      <c r="KG163"/>
      <c r="KH163"/>
      <c r="KI163"/>
      <c r="KJ163"/>
      <c r="KK163"/>
      <c r="KL163"/>
      <c r="KM163"/>
      <c r="KN163"/>
      <c r="KO163"/>
      <c r="KP163"/>
      <c r="KQ163"/>
      <c r="KR163"/>
      <c r="KS163"/>
      <c r="KT163"/>
      <c r="KU163"/>
      <c r="KV163"/>
      <c r="KW163"/>
      <c r="KX163"/>
      <c r="KY163"/>
      <c r="KZ163"/>
      <c r="LA163"/>
      <c r="LB163"/>
      <c r="LC163"/>
      <c r="LD163"/>
      <c r="LE163"/>
      <c r="LF163"/>
      <c r="LG163"/>
      <c r="LH163"/>
      <c r="LI163"/>
      <c r="LJ163"/>
      <c r="LK163"/>
      <c r="LL163"/>
      <c r="LM163"/>
      <c r="LN163"/>
      <c r="LO163"/>
      <c r="LP163"/>
      <c r="LQ163"/>
      <c r="LR163"/>
      <c r="LS163"/>
      <c r="LT163"/>
      <c r="LU163"/>
      <c r="LV163"/>
      <c r="LW163"/>
      <c r="LX163"/>
      <c r="LY163"/>
      <c r="LZ163"/>
      <c r="MA163"/>
      <c r="MB163"/>
      <c r="MC163"/>
      <c r="MD163"/>
      <c r="ME163"/>
      <c r="MF163"/>
      <c r="MG163"/>
      <c r="MH163"/>
      <c r="MI163"/>
      <c r="MJ163"/>
      <c r="MK163"/>
      <c r="ML163"/>
      <c r="MM163"/>
      <c r="MN163"/>
      <c r="MO163"/>
      <c r="MP163"/>
      <c r="MQ163"/>
      <c r="MR163"/>
      <c r="MS163"/>
      <c r="MT163"/>
      <c r="MU163"/>
      <c r="MV163"/>
      <c r="MW163"/>
      <c r="MX163"/>
      <c r="MY163"/>
      <c r="MZ163"/>
      <c r="NA163"/>
      <c r="NB163"/>
      <c r="NC163"/>
      <c r="ND163"/>
      <c r="NE163"/>
      <c r="NF163"/>
      <c r="NG163"/>
      <c r="NH163"/>
      <c r="NI163"/>
      <c r="NJ163"/>
      <c r="NK163"/>
      <c r="NL163"/>
      <c r="NM163"/>
      <c r="NN163"/>
      <c r="NO163"/>
      <c r="NP163"/>
      <c r="NQ163"/>
      <c r="NR163"/>
      <c r="NS163"/>
      <c r="NT163"/>
      <c r="NU163"/>
      <c r="NV163"/>
      <c r="NW163"/>
      <c r="NX163"/>
      <c r="NY163"/>
      <c r="NZ163"/>
      <c r="OA163"/>
      <c r="OB163"/>
      <c r="OC163"/>
      <c r="OD163"/>
      <c r="OE163"/>
      <c r="OF163"/>
      <c r="OG163"/>
      <c r="OH163"/>
      <c r="OI163"/>
      <c r="OJ163"/>
      <c r="OK163"/>
      <c r="OL163"/>
      <c r="OM163"/>
      <c r="ON163"/>
      <c r="OO163"/>
      <c r="OP163"/>
      <c r="OQ163"/>
      <c r="OR163"/>
      <c r="OS163"/>
      <c r="OT163"/>
      <c r="OU163"/>
      <c r="OV163"/>
      <c r="OW163"/>
      <c r="OX163"/>
      <c r="OY163"/>
      <c r="OZ163"/>
      <c r="PA163"/>
      <c r="PB163"/>
      <c r="PC163"/>
      <c r="PD163"/>
      <c r="PE163"/>
      <c r="PF163"/>
      <c r="PG163"/>
      <c r="PH163"/>
      <c r="PI163"/>
      <c r="PJ163"/>
      <c r="PK163"/>
      <c r="PL163"/>
      <c r="PM163"/>
      <c r="PN163"/>
      <c r="PO163"/>
      <c r="PP163"/>
      <c r="PQ163"/>
      <c r="PR163"/>
      <c r="PS163"/>
      <c r="PT163"/>
      <c r="PU163"/>
      <c r="PV163"/>
      <c r="PW163"/>
      <c r="PX163"/>
      <c r="PY163"/>
      <c r="PZ163"/>
      <c r="QA163"/>
      <c r="QB163"/>
      <c r="QC163"/>
      <c r="QD163"/>
      <c r="QE163"/>
      <c r="QF163"/>
      <c r="QG163"/>
      <c r="QH163"/>
      <c r="QI163"/>
      <c r="QJ163"/>
      <c r="QK163"/>
      <c r="QL163"/>
      <c r="QM163"/>
      <c r="QN163"/>
      <c r="QO163"/>
      <c r="QP163"/>
      <c r="QQ163"/>
      <c r="QR163"/>
      <c r="QS163"/>
      <c r="QT163"/>
      <c r="QU163"/>
      <c r="QV163"/>
      <c r="QW163"/>
      <c r="QX163"/>
    </row>
    <row r="164" spans="1:466" x14ac:dyDescent="0.35">
      <c r="A164" s="53"/>
      <c r="B164" s="53"/>
      <c r="C164" s="55"/>
      <c r="D164" s="53"/>
      <c r="E164" s="53"/>
      <c r="F164" s="126" t="s">
        <v>295</v>
      </c>
      <c r="G164" s="125">
        <v>1.2661199999999999</v>
      </c>
      <c r="H164" s="125">
        <v>6.3305999999999996</v>
      </c>
      <c r="I164" s="133">
        <v>5</v>
      </c>
      <c r="J164" s="53"/>
      <c r="K164" s="53"/>
      <c r="L164" s="53"/>
      <c r="M164" s="53"/>
      <c r="N164" s="53"/>
      <c r="O164" s="53"/>
      <c r="P164" s="53"/>
      <c r="Q164" s="53"/>
      <c r="R164" s="53"/>
      <c r="S164" s="53"/>
      <c r="T164" s="53"/>
      <c r="U164" s="53"/>
      <c r="V164" s="53"/>
      <c r="W164" s="53"/>
      <c r="X164" s="53"/>
      <c r="Y164" s="53"/>
      <c r="Z164" s="53"/>
      <c r="AA164" s="53"/>
      <c r="AB164" s="53"/>
      <c r="AC164" s="53"/>
      <c r="AD164" s="53"/>
      <c r="AE164" s="53"/>
      <c r="AF164" s="63"/>
      <c r="AG164" s="64"/>
      <c r="AH164" s="65"/>
      <c r="AI164" s="65"/>
      <c r="AJ164" s="53"/>
      <c r="AK164" s="62"/>
      <c r="AL164" s="62"/>
      <c r="AM164" s="62"/>
      <c r="AN164" s="62"/>
      <c r="AO164" s="62"/>
      <c r="AP164" s="62"/>
      <c r="AQ164" s="62"/>
      <c r="AR164" s="62"/>
      <c r="AS164" s="62"/>
      <c r="AT164" s="62"/>
      <c r="AU164" s="62"/>
      <c r="AV164" s="62"/>
      <c r="AW164" s="62"/>
      <c r="AX164" s="62"/>
      <c r="AY164" s="62"/>
      <c r="AZ164" s="62"/>
      <c r="BA164" s="62"/>
      <c r="BB164" s="62"/>
      <c r="BC164" s="62"/>
      <c r="BD164" s="62"/>
      <c r="BE164" s="62"/>
      <c r="BF164" s="62"/>
      <c r="BG164" s="62"/>
      <c r="BH164" s="62"/>
      <c r="BI164" s="62"/>
      <c r="BJ164" s="62"/>
      <c r="BK164" s="62"/>
      <c r="BL164" s="62"/>
      <c r="BM164" s="62"/>
      <c r="BN164" s="62"/>
      <c r="BO164" s="62"/>
      <c r="BP164" s="62"/>
      <c r="BQ164" s="62"/>
      <c r="BR164" s="62"/>
      <c r="BS164" s="62"/>
      <c r="BT164" s="62"/>
      <c r="BU164" s="62"/>
      <c r="BV164" s="62"/>
      <c r="BW164" s="62"/>
      <c r="BX164" s="62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  <c r="HB164"/>
      <c r="HC164"/>
      <c r="HD164"/>
      <c r="HE164"/>
      <c r="HF164"/>
      <c r="HG164"/>
      <c r="HH164"/>
      <c r="HI164"/>
      <c r="HJ164"/>
      <c r="HK164"/>
      <c r="HL164"/>
      <c r="HM164"/>
      <c r="HN164"/>
      <c r="HO164"/>
      <c r="HP164"/>
      <c r="HQ164"/>
      <c r="HR164"/>
      <c r="HS164"/>
      <c r="HT164"/>
      <c r="HU164"/>
      <c r="HV164"/>
      <c r="HW164"/>
      <c r="HX164"/>
      <c r="HY164"/>
      <c r="HZ164"/>
      <c r="IA164"/>
      <c r="IB164"/>
      <c r="IC164"/>
      <c r="ID164"/>
      <c r="IE164"/>
      <c r="IF164"/>
      <c r="IG164"/>
      <c r="IH164"/>
      <c r="II164"/>
      <c r="IJ164"/>
      <c r="IK164"/>
      <c r="IL164"/>
      <c r="IM164"/>
      <c r="IN164"/>
      <c r="IO164"/>
      <c r="IP164"/>
      <c r="IQ164"/>
      <c r="IR164"/>
      <c r="IS164"/>
      <c r="IT164"/>
      <c r="IU164"/>
      <c r="IV164"/>
      <c r="IW164"/>
      <c r="IX164"/>
      <c r="IY164"/>
      <c r="IZ164"/>
      <c r="JA164"/>
      <c r="JB164"/>
      <c r="JC164"/>
      <c r="JD164"/>
      <c r="JE164"/>
      <c r="JF164"/>
      <c r="JG164"/>
      <c r="JH164"/>
      <c r="JI164"/>
      <c r="JJ164"/>
      <c r="JK164"/>
      <c r="JL164"/>
      <c r="JM164"/>
      <c r="JN164"/>
      <c r="JO164"/>
      <c r="JP164"/>
      <c r="JQ164"/>
      <c r="JR164"/>
      <c r="JS164"/>
      <c r="JT164"/>
      <c r="JU164"/>
      <c r="JV164"/>
      <c r="JW164"/>
      <c r="JX164"/>
      <c r="JY164"/>
      <c r="JZ164"/>
      <c r="KA164"/>
      <c r="KB164"/>
      <c r="KC164"/>
      <c r="KD164"/>
      <c r="KE164"/>
      <c r="KF164"/>
      <c r="KG164"/>
      <c r="KH164"/>
      <c r="KI164"/>
      <c r="KJ164"/>
      <c r="KK164"/>
      <c r="KL164"/>
      <c r="KM164"/>
      <c r="KN164"/>
      <c r="KO164"/>
      <c r="KP164"/>
      <c r="KQ164"/>
      <c r="KR164"/>
      <c r="KS164"/>
      <c r="KT164"/>
      <c r="KU164"/>
      <c r="KV164"/>
      <c r="KW164"/>
      <c r="KX164"/>
      <c r="KY164"/>
      <c r="KZ164"/>
      <c r="LA164"/>
      <c r="LB164"/>
      <c r="LC164"/>
      <c r="LD164"/>
      <c r="LE164"/>
      <c r="LF164"/>
      <c r="LG164"/>
      <c r="LH164"/>
      <c r="LI164"/>
      <c r="LJ164"/>
      <c r="LK164"/>
      <c r="LL164"/>
      <c r="LM164"/>
      <c r="LN164"/>
      <c r="LO164"/>
      <c r="LP164"/>
      <c r="LQ164"/>
      <c r="LR164"/>
      <c r="LS164"/>
      <c r="LT164"/>
      <c r="LU164"/>
      <c r="LV164"/>
      <c r="LW164"/>
      <c r="LX164"/>
      <c r="LY164"/>
      <c r="LZ164"/>
      <c r="MA164"/>
      <c r="MB164"/>
      <c r="MC164"/>
      <c r="MD164"/>
      <c r="ME164"/>
      <c r="MF164"/>
      <c r="MG164"/>
      <c r="MH164"/>
      <c r="MI164"/>
      <c r="MJ164"/>
      <c r="MK164"/>
      <c r="ML164"/>
      <c r="MM164"/>
      <c r="MN164"/>
      <c r="MO164"/>
      <c r="MP164"/>
      <c r="MQ164"/>
      <c r="MR164"/>
      <c r="MS164"/>
      <c r="MT164"/>
      <c r="MU164"/>
      <c r="MV164"/>
      <c r="MW164"/>
      <c r="MX164"/>
      <c r="MY164"/>
      <c r="MZ164"/>
      <c r="NA164"/>
      <c r="NB164"/>
      <c r="NC164"/>
      <c r="ND164"/>
      <c r="NE164"/>
      <c r="NF164"/>
      <c r="NG164"/>
      <c r="NH164"/>
      <c r="NI164"/>
      <c r="NJ164"/>
      <c r="NK164"/>
      <c r="NL164"/>
      <c r="NM164"/>
      <c r="NN164"/>
      <c r="NO164"/>
      <c r="NP164"/>
      <c r="NQ164"/>
      <c r="NR164"/>
      <c r="NS164"/>
      <c r="NT164"/>
      <c r="NU164"/>
      <c r="NV164"/>
      <c r="NW164"/>
      <c r="NX164"/>
      <c r="NY164"/>
      <c r="NZ164"/>
      <c r="OA164"/>
      <c r="OB164"/>
      <c r="OC164"/>
      <c r="OD164"/>
      <c r="OE164"/>
      <c r="OF164"/>
      <c r="OG164"/>
      <c r="OH164"/>
      <c r="OI164"/>
      <c r="OJ164"/>
      <c r="OK164"/>
      <c r="OL164"/>
      <c r="OM164"/>
      <c r="ON164"/>
      <c r="OO164"/>
      <c r="OP164"/>
      <c r="OQ164"/>
      <c r="OR164"/>
      <c r="OS164"/>
      <c r="OT164"/>
      <c r="OU164"/>
      <c r="OV164"/>
      <c r="OW164"/>
      <c r="OX164"/>
      <c r="OY164"/>
      <c r="OZ164"/>
      <c r="PA164"/>
      <c r="PB164"/>
      <c r="PC164"/>
      <c r="PD164"/>
      <c r="PE164"/>
      <c r="PF164"/>
      <c r="PG164"/>
      <c r="PH164"/>
      <c r="PI164"/>
      <c r="PJ164"/>
      <c r="PK164"/>
      <c r="PL164"/>
      <c r="PM164"/>
      <c r="PN164"/>
      <c r="PO164"/>
      <c r="PP164"/>
      <c r="PQ164"/>
      <c r="PR164"/>
      <c r="PS164"/>
      <c r="PT164"/>
      <c r="PU164"/>
      <c r="PV164"/>
      <c r="PW164"/>
      <c r="PX164"/>
      <c r="PY164"/>
      <c r="PZ164"/>
      <c r="QA164"/>
      <c r="QB164"/>
      <c r="QC164"/>
      <c r="QD164"/>
      <c r="QE164"/>
      <c r="QF164"/>
      <c r="QG164"/>
      <c r="QH164"/>
      <c r="QI164"/>
      <c r="QJ164"/>
      <c r="QK164"/>
      <c r="QL164"/>
      <c r="QM164"/>
      <c r="QN164"/>
      <c r="QO164"/>
      <c r="QP164"/>
      <c r="QQ164"/>
      <c r="QR164"/>
      <c r="QS164"/>
      <c r="QT164"/>
      <c r="QU164"/>
      <c r="QV164"/>
      <c r="QW164"/>
      <c r="QX164"/>
    </row>
    <row r="165" spans="1:466" x14ac:dyDescent="0.35">
      <c r="A165" s="53"/>
      <c r="B165" s="53"/>
      <c r="C165" s="55"/>
      <c r="D165" s="53"/>
      <c r="E165" s="53"/>
      <c r="F165" s="126" t="s">
        <v>222</v>
      </c>
      <c r="G165" s="125">
        <v>1.2661199999999999</v>
      </c>
      <c r="H165" s="125">
        <v>0</v>
      </c>
      <c r="I165" s="133">
        <v>0</v>
      </c>
      <c r="J165" s="53"/>
      <c r="K165" s="53"/>
      <c r="L165" s="53"/>
      <c r="M165" s="53"/>
      <c r="N165" s="53"/>
      <c r="O165" s="53"/>
      <c r="P165" s="53"/>
      <c r="Q165" s="53"/>
      <c r="R165" s="53"/>
      <c r="S165" s="53"/>
      <c r="T165" s="53"/>
      <c r="U165" s="53"/>
      <c r="V165" s="53"/>
      <c r="W165" s="53"/>
      <c r="X165" s="53"/>
      <c r="Y165" s="53"/>
      <c r="Z165" s="53"/>
      <c r="AA165" s="53"/>
      <c r="AB165" s="53"/>
      <c r="AC165" s="53"/>
      <c r="AD165" s="53"/>
      <c r="AE165" s="53"/>
      <c r="AF165" s="63"/>
      <c r="AG165" s="64"/>
      <c r="AH165" s="65"/>
      <c r="AI165" s="65"/>
      <c r="AJ165" s="53"/>
      <c r="AK165" s="62"/>
      <c r="AL165" s="62"/>
      <c r="AM165" s="62"/>
      <c r="AN165" s="62"/>
      <c r="AO165" s="62"/>
      <c r="AP165" s="62"/>
      <c r="AQ165" s="62"/>
      <c r="AR165" s="62"/>
      <c r="AS165" s="62"/>
      <c r="AT165" s="62"/>
      <c r="AU165" s="62"/>
      <c r="AV165" s="62"/>
      <c r="AW165" s="62"/>
      <c r="AX165" s="62"/>
      <c r="AY165" s="62"/>
      <c r="AZ165" s="62"/>
      <c r="BA165" s="62"/>
      <c r="BB165" s="62"/>
      <c r="BC165" s="62"/>
      <c r="BD165" s="62"/>
      <c r="BE165" s="62"/>
      <c r="BF165" s="62"/>
      <c r="BG165" s="62"/>
      <c r="BH165" s="62"/>
      <c r="BI165" s="62"/>
      <c r="BJ165" s="62"/>
      <c r="BK165" s="62"/>
      <c r="BL165" s="62"/>
      <c r="BM165" s="62"/>
      <c r="BN165" s="62"/>
      <c r="BO165" s="62"/>
      <c r="BP165" s="62"/>
      <c r="BQ165" s="62"/>
      <c r="BR165" s="62"/>
      <c r="BS165" s="62"/>
      <c r="BT165" s="62"/>
      <c r="BU165" s="62"/>
      <c r="BV165" s="62"/>
      <c r="BW165" s="62"/>
      <c r="BX165" s="62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  <c r="HB165"/>
      <c r="HC165"/>
      <c r="HD165"/>
      <c r="HE165"/>
      <c r="HF165"/>
      <c r="HG165"/>
      <c r="HH165"/>
      <c r="HI165"/>
      <c r="HJ165"/>
      <c r="HK165"/>
      <c r="HL165"/>
      <c r="HM165"/>
      <c r="HN165"/>
      <c r="HO165"/>
      <c r="HP165"/>
      <c r="HQ165"/>
      <c r="HR165"/>
      <c r="HS165"/>
      <c r="HT165"/>
      <c r="HU165"/>
      <c r="HV165"/>
      <c r="HW165"/>
      <c r="HX165"/>
      <c r="HY165"/>
      <c r="HZ165"/>
      <c r="IA165"/>
      <c r="IB165"/>
      <c r="IC165"/>
      <c r="ID165"/>
      <c r="IE165"/>
      <c r="IF165"/>
      <c r="IG165"/>
      <c r="IH165"/>
      <c r="II165"/>
      <c r="IJ165"/>
      <c r="IK165"/>
      <c r="IL165"/>
      <c r="IM165"/>
      <c r="IN165"/>
      <c r="IO165"/>
      <c r="IP165"/>
      <c r="IQ165"/>
      <c r="IR165"/>
      <c r="IS165"/>
      <c r="IT165"/>
      <c r="IU165"/>
      <c r="IV165"/>
      <c r="IW165"/>
      <c r="IX165"/>
      <c r="IY165"/>
      <c r="IZ165"/>
      <c r="JA165"/>
      <c r="JB165"/>
      <c r="JC165"/>
      <c r="JD165"/>
      <c r="JE165"/>
      <c r="JF165"/>
      <c r="JG165"/>
      <c r="JH165"/>
      <c r="JI165"/>
      <c r="JJ165"/>
      <c r="JK165"/>
      <c r="JL165"/>
      <c r="JM165"/>
      <c r="JN165"/>
      <c r="JO165"/>
      <c r="JP165"/>
      <c r="JQ165"/>
      <c r="JR165"/>
      <c r="JS165"/>
      <c r="JT165"/>
      <c r="JU165"/>
      <c r="JV165"/>
      <c r="JW165"/>
      <c r="JX165"/>
      <c r="JY165"/>
      <c r="JZ165"/>
      <c r="KA165"/>
      <c r="KB165"/>
      <c r="KC165"/>
      <c r="KD165"/>
      <c r="KE165"/>
      <c r="KF165"/>
      <c r="KG165"/>
      <c r="KH165"/>
      <c r="KI165"/>
      <c r="KJ165"/>
      <c r="KK165"/>
      <c r="KL165"/>
      <c r="KM165"/>
      <c r="KN165"/>
      <c r="KO165"/>
      <c r="KP165"/>
      <c r="KQ165"/>
      <c r="KR165"/>
      <c r="KS165"/>
      <c r="KT165"/>
      <c r="KU165"/>
      <c r="KV165"/>
      <c r="KW165"/>
      <c r="KX165"/>
      <c r="KY165"/>
      <c r="KZ165"/>
      <c r="LA165"/>
      <c r="LB165"/>
      <c r="LC165"/>
      <c r="LD165"/>
      <c r="LE165"/>
      <c r="LF165"/>
      <c r="LG165"/>
      <c r="LH165"/>
      <c r="LI165"/>
      <c r="LJ165"/>
      <c r="LK165"/>
      <c r="LL165"/>
      <c r="LM165"/>
      <c r="LN165"/>
      <c r="LO165"/>
      <c r="LP165"/>
      <c r="LQ165"/>
      <c r="LR165"/>
      <c r="LS165"/>
      <c r="LT165"/>
      <c r="LU165"/>
      <c r="LV165"/>
      <c r="LW165"/>
      <c r="LX165"/>
      <c r="LY165"/>
      <c r="LZ165"/>
      <c r="MA165"/>
      <c r="MB165"/>
      <c r="MC165"/>
      <c r="MD165"/>
      <c r="ME165"/>
      <c r="MF165"/>
      <c r="MG165"/>
      <c r="MH165"/>
      <c r="MI165"/>
      <c r="MJ165"/>
      <c r="MK165"/>
      <c r="ML165"/>
      <c r="MM165"/>
      <c r="MN165"/>
      <c r="MO165"/>
      <c r="MP165"/>
      <c r="MQ165"/>
      <c r="MR165"/>
      <c r="MS165"/>
      <c r="MT165"/>
      <c r="MU165"/>
      <c r="MV165"/>
      <c r="MW165"/>
      <c r="MX165"/>
      <c r="MY165"/>
      <c r="MZ165"/>
      <c r="NA165"/>
      <c r="NB165"/>
      <c r="NC165"/>
      <c r="ND165"/>
      <c r="NE165"/>
      <c r="NF165"/>
      <c r="NG165"/>
      <c r="NH165"/>
      <c r="NI165"/>
      <c r="NJ165"/>
      <c r="NK165"/>
      <c r="NL165"/>
      <c r="NM165"/>
      <c r="NN165"/>
      <c r="NO165"/>
      <c r="NP165"/>
      <c r="NQ165"/>
      <c r="NR165"/>
      <c r="NS165"/>
      <c r="NT165"/>
      <c r="NU165"/>
      <c r="NV165"/>
      <c r="NW165"/>
      <c r="NX165"/>
      <c r="NY165"/>
      <c r="NZ165"/>
      <c r="OA165"/>
      <c r="OB165"/>
      <c r="OC165"/>
      <c r="OD165"/>
      <c r="OE165"/>
      <c r="OF165"/>
      <c r="OG165"/>
      <c r="OH165"/>
      <c r="OI165"/>
      <c r="OJ165"/>
      <c r="OK165"/>
      <c r="OL165"/>
      <c r="OM165"/>
      <c r="ON165"/>
      <c r="OO165"/>
      <c r="OP165"/>
      <c r="OQ165"/>
      <c r="OR165"/>
      <c r="OS165"/>
      <c r="OT165"/>
      <c r="OU165"/>
      <c r="OV165"/>
      <c r="OW165"/>
      <c r="OX165"/>
      <c r="OY165"/>
      <c r="OZ165"/>
      <c r="PA165"/>
      <c r="PB165"/>
      <c r="PC165"/>
      <c r="PD165"/>
      <c r="PE165"/>
      <c r="PF165"/>
      <c r="PG165"/>
      <c r="PH165"/>
      <c r="PI165"/>
      <c r="PJ165"/>
      <c r="PK165"/>
      <c r="PL165"/>
      <c r="PM165"/>
      <c r="PN165"/>
      <c r="PO165"/>
      <c r="PP165"/>
      <c r="PQ165"/>
      <c r="PR165"/>
      <c r="PS165"/>
      <c r="PT165"/>
      <c r="PU165"/>
      <c r="PV165"/>
      <c r="PW165"/>
      <c r="PX165"/>
      <c r="PY165"/>
      <c r="PZ165"/>
      <c r="QA165"/>
      <c r="QB165"/>
      <c r="QC165"/>
      <c r="QD165"/>
      <c r="QE165"/>
      <c r="QF165"/>
      <c r="QG165"/>
      <c r="QH165"/>
      <c r="QI165"/>
      <c r="QJ165"/>
      <c r="QK165"/>
      <c r="QL165"/>
      <c r="QM165"/>
      <c r="QN165"/>
      <c r="QO165"/>
      <c r="QP165"/>
      <c r="QQ165"/>
      <c r="QR165"/>
      <c r="QS165"/>
      <c r="QT165"/>
      <c r="QU165"/>
      <c r="QV165"/>
      <c r="QW165"/>
      <c r="QX165"/>
    </row>
    <row r="166" spans="1:466" x14ac:dyDescent="0.35">
      <c r="A166" s="53"/>
      <c r="B166" s="53"/>
      <c r="C166" s="55"/>
      <c r="D166" s="53"/>
      <c r="E166" s="53"/>
      <c r="F166" s="126" t="s">
        <v>265</v>
      </c>
      <c r="G166" s="125">
        <v>1.2661199999999999</v>
      </c>
      <c r="H166" s="125">
        <v>6.3305999999999996</v>
      </c>
      <c r="I166" s="133">
        <v>5</v>
      </c>
      <c r="J166" s="53"/>
      <c r="K166" s="53"/>
      <c r="L166" s="53"/>
      <c r="M166" s="53"/>
      <c r="N166" s="53"/>
      <c r="O166" s="53"/>
      <c r="P166" s="53"/>
      <c r="Q166" s="53"/>
      <c r="R166" s="53"/>
      <c r="S166" s="53"/>
      <c r="T166" s="53"/>
      <c r="U166" s="53"/>
      <c r="V166" s="53"/>
      <c r="W166" s="53"/>
      <c r="X166" s="53"/>
      <c r="Y166" s="53"/>
      <c r="Z166" s="53"/>
      <c r="AA166" s="53"/>
      <c r="AB166" s="53"/>
      <c r="AC166" s="53"/>
      <c r="AD166" s="53"/>
      <c r="AE166" s="53"/>
      <c r="AF166" s="63"/>
      <c r="AG166" s="64"/>
      <c r="AH166" s="65"/>
      <c r="AI166" s="65"/>
      <c r="AJ166" s="53"/>
      <c r="AK166" s="62"/>
      <c r="AL166" s="62"/>
      <c r="AM166" s="62"/>
      <c r="AN166" s="62"/>
      <c r="AO166" s="62"/>
      <c r="AP166" s="62"/>
      <c r="AQ166" s="62"/>
      <c r="AR166" s="62"/>
      <c r="AS166" s="62"/>
      <c r="AT166" s="62"/>
      <c r="AU166" s="62"/>
      <c r="AV166" s="62"/>
      <c r="AW166" s="62"/>
      <c r="AX166" s="62"/>
      <c r="AY166" s="62"/>
      <c r="AZ166" s="62"/>
      <c r="BA166" s="62"/>
      <c r="BB166" s="62"/>
      <c r="BC166" s="62"/>
      <c r="BD166" s="62"/>
      <c r="BE166" s="62"/>
      <c r="BF166" s="62"/>
      <c r="BG166" s="62"/>
      <c r="BH166" s="62"/>
      <c r="BI166" s="62"/>
      <c r="BJ166" s="62"/>
      <c r="BK166" s="62"/>
      <c r="BL166" s="62"/>
      <c r="BM166" s="62"/>
      <c r="BN166" s="62"/>
      <c r="BO166" s="62"/>
      <c r="BP166" s="62"/>
      <c r="BQ166" s="62"/>
      <c r="BR166" s="62"/>
      <c r="BS166" s="62"/>
      <c r="BT166" s="62"/>
      <c r="BU166" s="62"/>
      <c r="BV166" s="62"/>
      <c r="BW166" s="62"/>
      <c r="BX166" s="62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  <c r="HB166"/>
      <c r="HC166"/>
      <c r="HD166"/>
      <c r="HE166"/>
      <c r="HF166"/>
      <c r="HG166"/>
      <c r="HH166"/>
      <c r="HI166"/>
      <c r="HJ166"/>
      <c r="HK166"/>
      <c r="HL166"/>
      <c r="HM166"/>
      <c r="HN166"/>
      <c r="HO166"/>
      <c r="HP166"/>
      <c r="HQ166"/>
      <c r="HR166"/>
      <c r="HS166"/>
      <c r="HT166"/>
      <c r="HU166"/>
      <c r="HV166"/>
      <c r="HW166"/>
      <c r="HX166"/>
      <c r="HY166"/>
      <c r="HZ166"/>
      <c r="IA166"/>
      <c r="IB166"/>
      <c r="IC166"/>
      <c r="ID166"/>
      <c r="IE166"/>
      <c r="IF166"/>
      <c r="IG166"/>
      <c r="IH166"/>
      <c r="II166"/>
      <c r="IJ166"/>
      <c r="IK166"/>
      <c r="IL166"/>
      <c r="IM166"/>
      <c r="IN166"/>
      <c r="IO166"/>
      <c r="IP166"/>
      <c r="IQ166"/>
      <c r="IR166"/>
      <c r="IS166"/>
      <c r="IT166"/>
      <c r="IU166"/>
      <c r="IV166"/>
      <c r="IW166"/>
      <c r="IX166"/>
      <c r="IY166"/>
      <c r="IZ166"/>
      <c r="JA166"/>
      <c r="JB166"/>
      <c r="JC166"/>
      <c r="JD166"/>
      <c r="JE166"/>
      <c r="JF166"/>
      <c r="JG166"/>
      <c r="JH166"/>
      <c r="JI166"/>
      <c r="JJ166"/>
      <c r="JK166"/>
      <c r="JL166"/>
      <c r="JM166"/>
      <c r="JN166"/>
      <c r="JO166"/>
      <c r="JP166"/>
      <c r="JQ166"/>
      <c r="JR166"/>
      <c r="JS166"/>
      <c r="JT166"/>
      <c r="JU166"/>
      <c r="JV166"/>
      <c r="JW166"/>
      <c r="JX166"/>
      <c r="JY166"/>
      <c r="JZ166"/>
      <c r="KA166"/>
      <c r="KB166"/>
      <c r="KC166"/>
      <c r="KD166"/>
      <c r="KE166"/>
      <c r="KF166"/>
      <c r="KG166"/>
      <c r="KH166"/>
      <c r="KI166"/>
      <c r="KJ166"/>
      <c r="KK166"/>
      <c r="KL166"/>
      <c r="KM166"/>
      <c r="KN166"/>
      <c r="KO166"/>
      <c r="KP166"/>
      <c r="KQ166"/>
      <c r="KR166"/>
      <c r="KS166"/>
      <c r="KT166"/>
      <c r="KU166"/>
      <c r="KV166"/>
      <c r="KW166"/>
      <c r="KX166"/>
      <c r="KY166"/>
      <c r="KZ166"/>
      <c r="LA166"/>
      <c r="LB166"/>
      <c r="LC166"/>
      <c r="LD166"/>
      <c r="LE166"/>
      <c r="LF166"/>
      <c r="LG166"/>
      <c r="LH166"/>
      <c r="LI166"/>
      <c r="LJ166"/>
      <c r="LK166"/>
      <c r="LL166"/>
      <c r="LM166"/>
      <c r="LN166"/>
      <c r="LO166"/>
      <c r="LP166"/>
      <c r="LQ166"/>
      <c r="LR166"/>
      <c r="LS166"/>
      <c r="LT166"/>
      <c r="LU166"/>
      <c r="LV166"/>
      <c r="LW166"/>
      <c r="LX166"/>
      <c r="LY166"/>
      <c r="LZ166"/>
      <c r="MA166"/>
      <c r="MB166"/>
      <c r="MC166"/>
      <c r="MD166"/>
      <c r="ME166"/>
      <c r="MF166"/>
      <c r="MG166"/>
      <c r="MH166"/>
      <c r="MI166"/>
      <c r="MJ166"/>
      <c r="MK166"/>
      <c r="ML166"/>
      <c r="MM166"/>
      <c r="MN166"/>
      <c r="MO166"/>
      <c r="MP166"/>
      <c r="MQ166"/>
      <c r="MR166"/>
      <c r="MS166"/>
      <c r="MT166"/>
      <c r="MU166"/>
      <c r="MV166"/>
      <c r="MW166"/>
      <c r="MX166"/>
      <c r="MY166"/>
      <c r="MZ166"/>
      <c r="NA166"/>
      <c r="NB166"/>
      <c r="NC166"/>
      <c r="ND166"/>
      <c r="NE166"/>
      <c r="NF166"/>
      <c r="NG166"/>
      <c r="NH166"/>
      <c r="NI166"/>
      <c r="NJ166"/>
      <c r="NK166"/>
      <c r="NL166"/>
      <c r="NM166"/>
      <c r="NN166"/>
      <c r="NO166"/>
      <c r="NP166"/>
      <c r="NQ166"/>
      <c r="NR166"/>
      <c r="NS166"/>
      <c r="NT166"/>
      <c r="NU166"/>
      <c r="NV166"/>
      <c r="NW166"/>
      <c r="NX166"/>
      <c r="NY166"/>
      <c r="NZ166"/>
      <c r="OA166"/>
      <c r="OB166"/>
      <c r="OC166"/>
      <c r="OD166"/>
      <c r="OE166"/>
      <c r="OF166"/>
      <c r="OG166"/>
      <c r="OH166"/>
      <c r="OI166"/>
      <c r="OJ166"/>
      <c r="OK166"/>
      <c r="OL166"/>
      <c r="OM166"/>
      <c r="ON166"/>
      <c r="OO166"/>
      <c r="OP166"/>
      <c r="OQ166"/>
      <c r="OR166"/>
      <c r="OS166"/>
      <c r="OT166"/>
      <c r="OU166"/>
      <c r="OV166"/>
      <c r="OW166"/>
      <c r="OX166"/>
      <c r="OY166"/>
      <c r="OZ166"/>
      <c r="PA166"/>
      <c r="PB166"/>
      <c r="PC166"/>
      <c r="PD166"/>
      <c r="PE166"/>
      <c r="PF166"/>
      <c r="PG166"/>
      <c r="PH166"/>
      <c r="PI166"/>
      <c r="PJ166"/>
      <c r="PK166"/>
      <c r="PL166"/>
      <c r="PM166"/>
      <c r="PN166"/>
      <c r="PO166"/>
      <c r="PP166"/>
      <c r="PQ166"/>
      <c r="PR166"/>
      <c r="PS166"/>
      <c r="PT166"/>
      <c r="PU166"/>
      <c r="PV166"/>
      <c r="PW166"/>
      <c r="PX166"/>
      <c r="PY166"/>
      <c r="PZ166"/>
      <c r="QA166"/>
      <c r="QB166"/>
      <c r="QC166"/>
      <c r="QD166"/>
      <c r="QE166"/>
      <c r="QF166"/>
      <c r="QG166"/>
      <c r="QH166"/>
      <c r="QI166"/>
      <c r="QJ166"/>
      <c r="QK166"/>
      <c r="QL166"/>
      <c r="QM166"/>
      <c r="QN166"/>
      <c r="QO166"/>
      <c r="QP166"/>
      <c r="QQ166"/>
      <c r="QR166"/>
      <c r="QS166"/>
      <c r="QT166"/>
      <c r="QU166"/>
      <c r="QV166"/>
      <c r="QW166"/>
      <c r="QX166"/>
    </row>
    <row r="167" spans="1:466" x14ac:dyDescent="0.35">
      <c r="A167" s="53"/>
      <c r="B167" s="53"/>
      <c r="C167" s="55"/>
      <c r="D167" s="53"/>
      <c r="E167" s="53"/>
      <c r="F167" s="126" t="s">
        <v>283</v>
      </c>
      <c r="G167" s="125">
        <v>1.2661199999999999</v>
      </c>
      <c r="H167" s="125">
        <v>24.056279999999997</v>
      </c>
      <c r="I167" s="133">
        <v>19</v>
      </c>
      <c r="J167" s="53"/>
      <c r="K167" s="53"/>
      <c r="L167" s="53"/>
      <c r="M167" s="53"/>
      <c r="N167" s="53"/>
      <c r="O167" s="53"/>
      <c r="P167" s="53"/>
      <c r="Q167" s="53"/>
      <c r="R167" s="53"/>
      <c r="S167" s="53"/>
      <c r="T167" s="53"/>
      <c r="U167" s="53"/>
      <c r="V167" s="53"/>
      <c r="W167" s="53"/>
      <c r="X167" s="53"/>
      <c r="Y167" s="53"/>
      <c r="Z167" s="53"/>
      <c r="AA167" s="53"/>
      <c r="AB167" s="53"/>
      <c r="AC167" s="53"/>
      <c r="AD167" s="53"/>
      <c r="AE167" s="53"/>
      <c r="AF167" s="63"/>
      <c r="AG167" s="64"/>
      <c r="AH167" s="65"/>
      <c r="AI167" s="65"/>
      <c r="AJ167" s="53"/>
      <c r="AK167" s="62"/>
      <c r="AL167" s="62"/>
      <c r="AM167" s="62"/>
      <c r="AN167" s="62"/>
      <c r="AO167" s="62"/>
      <c r="AP167" s="62"/>
      <c r="AQ167" s="62"/>
      <c r="AR167" s="62"/>
      <c r="AS167" s="62"/>
      <c r="AT167" s="62"/>
      <c r="AU167" s="62"/>
      <c r="AV167" s="62"/>
      <c r="AW167" s="62"/>
      <c r="AX167" s="62"/>
      <c r="AY167" s="62"/>
      <c r="AZ167" s="62"/>
      <c r="BA167" s="62"/>
      <c r="BB167" s="62"/>
      <c r="BC167" s="62"/>
      <c r="BD167" s="62"/>
      <c r="BE167" s="62"/>
      <c r="BF167" s="62"/>
      <c r="BG167" s="62"/>
      <c r="BH167" s="62"/>
      <c r="BI167" s="62"/>
      <c r="BJ167" s="62"/>
      <c r="BK167" s="62"/>
      <c r="BL167" s="62"/>
      <c r="BM167" s="62"/>
      <c r="BN167" s="62"/>
      <c r="BO167" s="62"/>
      <c r="BP167" s="62"/>
      <c r="BQ167" s="62"/>
      <c r="BR167" s="62"/>
      <c r="BS167" s="62"/>
      <c r="BT167" s="62"/>
      <c r="BU167" s="62"/>
      <c r="BV167" s="62"/>
      <c r="BW167" s="62"/>
      <c r="BX167" s="62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  <c r="HB167"/>
      <c r="HC167"/>
      <c r="HD167"/>
      <c r="HE167"/>
      <c r="HF167"/>
      <c r="HG167"/>
      <c r="HH167"/>
      <c r="HI167"/>
      <c r="HJ167"/>
      <c r="HK167"/>
      <c r="HL167"/>
      <c r="HM167"/>
      <c r="HN167"/>
      <c r="HO167"/>
      <c r="HP167"/>
      <c r="HQ167"/>
      <c r="HR167"/>
      <c r="HS167"/>
      <c r="HT167"/>
      <c r="HU167"/>
      <c r="HV167"/>
      <c r="HW167"/>
      <c r="HX167"/>
      <c r="HY167"/>
      <c r="HZ167"/>
      <c r="IA167"/>
      <c r="IB167"/>
      <c r="IC167"/>
      <c r="ID167"/>
      <c r="IE167"/>
      <c r="IF167"/>
      <c r="IG167"/>
      <c r="IH167"/>
      <c r="II167"/>
      <c r="IJ167"/>
      <c r="IK167"/>
      <c r="IL167"/>
      <c r="IM167"/>
      <c r="IN167"/>
      <c r="IO167"/>
      <c r="IP167"/>
      <c r="IQ167"/>
      <c r="IR167"/>
      <c r="IS167"/>
      <c r="IT167"/>
      <c r="IU167"/>
      <c r="IV167"/>
      <c r="IW167"/>
      <c r="IX167"/>
      <c r="IY167"/>
      <c r="IZ167"/>
      <c r="JA167"/>
      <c r="JB167"/>
      <c r="JC167"/>
      <c r="JD167"/>
      <c r="JE167"/>
      <c r="JF167"/>
      <c r="JG167"/>
      <c r="JH167"/>
      <c r="JI167"/>
      <c r="JJ167"/>
      <c r="JK167"/>
      <c r="JL167"/>
      <c r="JM167"/>
      <c r="JN167"/>
      <c r="JO167"/>
      <c r="JP167"/>
      <c r="JQ167"/>
      <c r="JR167"/>
      <c r="JS167"/>
      <c r="JT167"/>
      <c r="JU167"/>
      <c r="JV167"/>
      <c r="JW167"/>
      <c r="JX167"/>
      <c r="JY167"/>
      <c r="JZ167"/>
      <c r="KA167"/>
      <c r="KB167"/>
      <c r="KC167"/>
      <c r="KD167"/>
      <c r="KE167"/>
      <c r="KF167"/>
      <c r="KG167"/>
      <c r="KH167"/>
      <c r="KI167"/>
      <c r="KJ167"/>
      <c r="KK167"/>
      <c r="KL167"/>
      <c r="KM167"/>
      <c r="KN167"/>
      <c r="KO167"/>
      <c r="KP167"/>
      <c r="KQ167"/>
      <c r="KR167"/>
      <c r="KS167"/>
      <c r="KT167"/>
      <c r="KU167"/>
      <c r="KV167"/>
      <c r="KW167"/>
      <c r="KX167"/>
      <c r="KY167"/>
      <c r="KZ167"/>
      <c r="LA167"/>
      <c r="LB167"/>
      <c r="LC167"/>
      <c r="LD167"/>
      <c r="LE167"/>
      <c r="LF167"/>
      <c r="LG167"/>
      <c r="LH167"/>
      <c r="LI167"/>
      <c r="LJ167"/>
      <c r="LK167"/>
      <c r="LL167"/>
      <c r="LM167"/>
      <c r="LN167"/>
      <c r="LO167"/>
      <c r="LP167"/>
      <c r="LQ167"/>
      <c r="LR167"/>
      <c r="LS167"/>
      <c r="LT167"/>
      <c r="LU167"/>
      <c r="LV167"/>
      <c r="LW167"/>
      <c r="LX167"/>
      <c r="LY167"/>
      <c r="LZ167"/>
      <c r="MA167"/>
      <c r="MB167"/>
      <c r="MC167"/>
      <c r="MD167"/>
      <c r="ME167"/>
      <c r="MF167"/>
      <c r="MG167"/>
      <c r="MH167"/>
      <c r="MI167"/>
      <c r="MJ167"/>
      <c r="MK167"/>
      <c r="ML167"/>
      <c r="MM167"/>
      <c r="MN167"/>
      <c r="MO167"/>
      <c r="MP167"/>
      <c r="MQ167"/>
      <c r="MR167"/>
      <c r="MS167"/>
      <c r="MT167"/>
      <c r="MU167"/>
      <c r="MV167"/>
      <c r="MW167"/>
      <c r="MX167"/>
      <c r="MY167"/>
      <c r="MZ167"/>
      <c r="NA167"/>
      <c r="NB167"/>
      <c r="NC167"/>
      <c r="ND167"/>
      <c r="NE167"/>
      <c r="NF167"/>
      <c r="NG167"/>
      <c r="NH167"/>
      <c r="NI167"/>
      <c r="NJ167"/>
      <c r="NK167"/>
      <c r="NL167"/>
      <c r="NM167"/>
      <c r="NN167"/>
      <c r="NO167"/>
      <c r="NP167"/>
      <c r="NQ167"/>
      <c r="NR167"/>
      <c r="NS167"/>
      <c r="NT167"/>
      <c r="NU167"/>
      <c r="NV167"/>
      <c r="NW167"/>
      <c r="NX167"/>
      <c r="NY167"/>
      <c r="NZ167"/>
      <c r="OA167"/>
      <c r="OB167"/>
      <c r="OC167"/>
      <c r="OD167"/>
      <c r="OE167"/>
      <c r="OF167"/>
      <c r="OG167"/>
      <c r="OH167"/>
      <c r="OI167"/>
      <c r="OJ167"/>
      <c r="OK167"/>
      <c r="OL167"/>
      <c r="OM167"/>
      <c r="ON167"/>
      <c r="OO167"/>
      <c r="OP167"/>
      <c r="OQ167"/>
      <c r="OR167"/>
      <c r="OS167"/>
      <c r="OT167"/>
      <c r="OU167"/>
      <c r="OV167"/>
      <c r="OW167"/>
      <c r="OX167"/>
      <c r="OY167"/>
      <c r="OZ167"/>
      <c r="PA167"/>
      <c r="PB167"/>
      <c r="PC167"/>
      <c r="PD167"/>
      <c r="PE167"/>
      <c r="PF167"/>
      <c r="PG167"/>
      <c r="PH167"/>
      <c r="PI167"/>
      <c r="PJ167"/>
      <c r="PK167"/>
      <c r="PL167"/>
      <c r="PM167"/>
      <c r="PN167"/>
      <c r="PO167"/>
      <c r="PP167"/>
      <c r="PQ167"/>
      <c r="PR167"/>
      <c r="PS167"/>
      <c r="PT167"/>
      <c r="PU167"/>
      <c r="PV167"/>
      <c r="PW167"/>
      <c r="PX167"/>
      <c r="PY167"/>
      <c r="PZ167"/>
      <c r="QA167"/>
      <c r="QB167"/>
      <c r="QC167"/>
      <c r="QD167"/>
      <c r="QE167"/>
      <c r="QF167"/>
      <c r="QG167"/>
      <c r="QH167"/>
      <c r="QI167"/>
      <c r="QJ167"/>
      <c r="QK167"/>
      <c r="QL167"/>
      <c r="QM167"/>
      <c r="QN167"/>
      <c r="QO167"/>
      <c r="QP167"/>
      <c r="QQ167"/>
      <c r="QR167"/>
      <c r="QS167"/>
      <c r="QT167"/>
      <c r="QU167"/>
      <c r="QV167"/>
      <c r="QW167"/>
      <c r="QX167"/>
    </row>
    <row r="168" spans="1:466" x14ac:dyDescent="0.35">
      <c r="A168" s="53"/>
      <c r="B168" s="53"/>
      <c r="C168" s="55"/>
      <c r="D168" s="53"/>
      <c r="E168" s="53"/>
      <c r="F168" s="126" t="s">
        <v>246</v>
      </c>
      <c r="G168" s="125">
        <v>1.6967999999999999</v>
      </c>
      <c r="H168" s="125">
        <v>30.542399999999997</v>
      </c>
      <c r="I168" s="133">
        <v>18</v>
      </c>
      <c r="J168" s="53"/>
      <c r="K168" s="53"/>
      <c r="L168" s="53"/>
      <c r="M168" s="53"/>
      <c r="N168" s="53"/>
      <c r="O168" s="53"/>
      <c r="P168" s="53"/>
      <c r="Q168" s="53"/>
      <c r="R168" s="53"/>
      <c r="S168" s="53"/>
      <c r="T168" s="53"/>
      <c r="U168" s="53"/>
      <c r="V168" s="53"/>
      <c r="W168" s="53"/>
      <c r="X168" s="53"/>
      <c r="Y168" s="53"/>
      <c r="Z168" s="53"/>
      <c r="AA168" s="53"/>
      <c r="AB168" s="53"/>
      <c r="AC168" s="53"/>
      <c r="AD168" s="53"/>
      <c r="AE168" s="53"/>
      <c r="AF168" s="63"/>
      <c r="AG168" s="64"/>
      <c r="AH168" s="65"/>
      <c r="AI168" s="65"/>
      <c r="AJ168" s="53"/>
      <c r="AK168" s="62"/>
      <c r="AL168" s="62"/>
      <c r="AM168" s="62"/>
      <c r="AN168" s="62"/>
      <c r="AO168" s="62"/>
      <c r="AP168" s="62"/>
      <c r="AQ168" s="62"/>
      <c r="AR168" s="62"/>
      <c r="AS168" s="62"/>
      <c r="AT168" s="62"/>
      <c r="AU168" s="62"/>
      <c r="AV168" s="62"/>
      <c r="AW168" s="62"/>
      <c r="AX168" s="62"/>
      <c r="AY168" s="62"/>
      <c r="AZ168" s="62"/>
      <c r="BA168" s="62"/>
      <c r="BB168" s="62"/>
      <c r="BC168" s="62"/>
      <c r="BD168" s="62"/>
      <c r="BE168" s="62"/>
      <c r="BF168" s="62"/>
      <c r="BG168" s="62"/>
      <c r="BH168" s="62"/>
      <c r="BI168" s="62"/>
      <c r="BJ168" s="62"/>
      <c r="BK168" s="62"/>
      <c r="BL168" s="62"/>
      <c r="BM168" s="62"/>
      <c r="BN168" s="62"/>
      <c r="BO168" s="62"/>
      <c r="BP168" s="62"/>
      <c r="BQ168" s="62"/>
      <c r="BR168" s="62"/>
      <c r="BS168" s="62"/>
      <c r="BT168" s="62"/>
      <c r="BU168" s="62"/>
      <c r="BV168" s="62"/>
      <c r="BW168" s="62"/>
      <c r="BX168" s="62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  <c r="HB168"/>
      <c r="HC168"/>
      <c r="HD168"/>
      <c r="HE168"/>
      <c r="HF168"/>
      <c r="HG168"/>
      <c r="HH168"/>
      <c r="HI168"/>
      <c r="HJ168"/>
      <c r="HK168"/>
      <c r="HL168"/>
      <c r="HM168"/>
      <c r="HN168"/>
      <c r="HO168"/>
      <c r="HP168"/>
      <c r="HQ168"/>
      <c r="HR168"/>
      <c r="HS168"/>
      <c r="HT168"/>
      <c r="HU168"/>
      <c r="HV168"/>
      <c r="HW168"/>
      <c r="HX168"/>
      <c r="HY168"/>
      <c r="HZ168"/>
      <c r="IA168"/>
      <c r="IB168"/>
      <c r="IC168"/>
      <c r="ID168"/>
      <c r="IE168"/>
      <c r="IF168"/>
      <c r="IG168"/>
      <c r="IH168"/>
      <c r="II168"/>
      <c r="IJ168"/>
      <c r="IK168"/>
      <c r="IL168"/>
      <c r="IM168"/>
      <c r="IN168"/>
      <c r="IO168"/>
      <c r="IP168"/>
      <c r="IQ168"/>
      <c r="IR168"/>
      <c r="IS168"/>
      <c r="IT168"/>
      <c r="IU168"/>
      <c r="IV168"/>
      <c r="IW168"/>
      <c r="IX168"/>
      <c r="IY168"/>
      <c r="IZ168"/>
      <c r="JA168"/>
      <c r="JB168"/>
      <c r="JC168"/>
      <c r="JD168"/>
      <c r="JE168"/>
      <c r="JF168"/>
      <c r="JG168"/>
      <c r="JH168"/>
      <c r="JI168"/>
      <c r="JJ168"/>
      <c r="JK168"/>
      <c r="JL168"/>
      <c r="JM168"/>
      <c r="JN168"/>
      <c r="JO168"/>
      <c r="JP168"/>
      <c r="JQ168"/>
      <c r="JR168"/>
      <c r="JS168"/>
      <c r="JT168"/>
      <c r="JU168"/>
      <c r="JV168"/>
      <c r="JW168"/>
      <c r="JX168"/>
      <c r="JY168"/>
      <c r="JZ168"/>
      <c r="KA168"/>
      <c r="KB168"/>
      <c r="KC168"/>
      <c r="KD168"/>
      <c r="KE168"/>
      <c r="KF168"/>
      <c r="KG168"/>
      <c r="KH168"/>
      <c r="KI168"/>
      <c r="KJ168"/>
      <c r="KK168"/>
      <c r="KL168"/>
      <c r="KM168"/>
      <c r="KN168"/>
      <c r="KO168"/>
      <c r="KP168"/>
      <c r="KQ168"/>
      <c r="KR168"/>
      <c r="KS168"/>
      <c r="KT168"/>
      <c r="KU168"/>
      <c r="KV168"/>
      <c r="KW168"/>
      <c r="KX168"/>
      <c r="KY168"/>
      <c r="KZ168"/>
      <c r="LA168"/>
      <c r="LB168"/>
      <c r="LC168"/>
      <c r="LD168"/>
      <c r="LE168"/>
      <c r="LF168"/>
      <c r="LG168"/>
      <c r="LH168"/>
      <c r="LI168"/>
      <c r="LJ168"/>
      <c r="LK168"/>
      <c r="LL168"/>
      <c r="LM168"/>
      <c r="LN168"/>
      <c r="LO168"/>
      <c r="LP168"/>
      <c r="LQ168"/>
      <c r="LR168"/>
      <c r="LS168"/>
      <c r="LT168"/>
      <c r="LU168"/>
      <c r="LV168"/>
      <c r="LW168"/>
      <c r="LX168"/>
      <c r="LY168"/>
      <c r="LZ168"/>
      <c r="MA168"/>
      <c r="MB168"/>
      <c r="MC168"/>
      <c r="MD168"/>
      <c r="ME168"/>
      <c r="MF168"/>
      <c r="MG168"/>
      <c r="MH168"/>
      <c r="MI168"/>
      <c r="MJ168"/>
      <c r="MK168"/>
      <c r="ML168"/>
      <c r="MM168"/>
      <c r="MN168"/>
      <c r="MO168"/>
      <c r="MP168"/>
      <c r="MQ168"/>
      <c r="MR168"/>
      <c r="MS168"/>
      <c r="MT168"/>
      <c r="MU168"/>
      <c r="MV168"/>
      <c r="MW168"/>
      <c r="MX168"/>
      <c r="MY168"/>
      <c r="MZ168"/>
      <c r="NA168"/>
      <c r="NB168"/>
      <c r="NC168"/>
      <c r="ND168"/>
      <c r="NE168"/>
      <c r="NF168"/>
      <c r="NG168"/>
      <c r="NH168"/>
      <c r="NI168"/>
      <c r="NJ168"/>
      <c r="NK168"/>
      <c r="NL168"/>
      <c r="NM168"/>
      <c r="NN168"/>
      <c r="NO168"/>
      <c r="NP168"/>
      <c r="NQ168"/>
      <c r="NR168"/>
      <c r="NS168"/>
      <c r="NT168"/>
      <c r="NU168"/>
      <c r="NV168"/>
      <c r="NW168"/>
      <c r="NX168"/>
      <c r="NY168"/>
      <c r="NZ168"/>
      <c r="OA168"/>
      <c r="OB168"/>
      <c r="OC168"/>
      <c r="OD168"/>
      <c r="OE168"/>
      <c r="OF168"/>
      <c r="OG168"/>
      <c r="OH168"/>
      <c r="OI168"/>
      <c r="OJ168"/>
      <c r="OK168"/>
      <c r="OL168"/>
      <c r="OM168"/>
      <c r="ON168"/>
      <c r="OO168"/>
      <c r="OP168"/>
      <c r="OQ168"/>
      <c r="OR168"/>
      <c r="OS168"/>
      <c r="OT168"/>
      <c r="OU168"/>
      <c r="OV168"/>
      <c r="OW168"/>
      <c r="OX168"/>
      <c r="OY168"/>
      <c r="OZ168"/>
      <c r="PA168"/>
      <c r="PB168"/>
      <c r="PC168"/>
      <c r="PD168"/>
      <c r="PE168"/>
      <c r="PF168"/>
      <c r="PG168"/>
      <c r="PH168"/>
      <c r="PI168"/>
      <c r="PJ168"/>
      <c r="PK168"/>
      <c r="PL168"/>
      <c r="PM168"/>
      <c r="PN168"/>
      <c r="PO168"/>
      <c r="PP168"/>
      <c r="PQ168"/>
      <c r="PR168"/>
      <c r="PS168"/>
      <c r="PT168"/>
      <c r="PU168"/>
      <c r="PV168"/>
      <c r="PW168"/>
      <c r="PX168"/>
      <c r="PY168"/>
      <c r="PZ168"/>
      <c r="QA168"/>
      <c r="QB168"/>
      <c r="QC168"/>
      <c r="QD168"/>
      <c r="QE168"/>
      <c r="QF168"/>
      <c r="QG168"/>
      <c r="QH168"/>
      <c r="QI168"/>
      <c r="QJ168"/>
      <c r="QK168"/>
      <c r="QL168"/>
      <c r="QM168"/>
      <c r="QN168"/>
      <c r="QO168"/>
      <c r="QP168"/>
      <c r="QQ168"/>
      <c r="QR168"/>
      <c r="QS168"/>
      <c r="QT168"/>
      <c r="QU168"/>
      <c r="QV168"/>
      <c r="QW168"/>
      <c r="QX168"/>
    </row>
    <row r="169" spans="1:466" x14ac:dyDescent="0.35">
      <c r="A169" s="53"/>
      <c r="B169" s="53"/>
      <c r="C169" s="55"/>
      <c r="D169" s="53"/>
      <c r="E169" s="53"/>
      <c r="F169" s="126" t="s">
        <v>297</v>
      </c>
      <c r="G169" s="125">
        <v>1.6967999999999999</v>
      </c>
      <c r="H169" s="125">
        <v>174.7704</v>
      </c>
      <c r="I169" s="133">
        <v>103</v>
      </c>
      <c r="J169" s="53"/>
      <c r="K169" s="53"/>
      <c r="L169" s="53"/>
      <c r="M169" s="53"/>
      <c r="N169" s="53"/>
      <c r="O169" s="53"/>
      <c r="P169" s="53"/>
      <c r="Q169" s="53"/>
      <c r="R169" s="53"/>
      <c r="S169" s="53"/>
      <c r="T169" s="53"/>
      <c r="U169" s="53"/>
      <c r="V169" s="53"/>
      <c r="W169" s="53"/>
      <c r="X169" s="53"/>
      <c r="Y169" s="53"/>
      <c r="Z169" s="53"/>
      <c r="AA169" s="53"/>
      <c r="AB169" s="53"/>
      <c r="AC169" s="53"/>
      <c r="AD169" s="53"/>
      <c r="AE169" s="53"/>
      <c r="AF169" s="63"/>
      <c r="AG169" s="64"/>
      <c r="AH169" s="65"/>
      <c r="AI169" s="65"/>
      <c r="AJ169" s="53"/>
      <c r="AK169" s="62"/>
      <c r="AL169" s="62"/>
      <c r="AM169" s="62"/>
      <c r="AN169" s="62"/>
      <c r="AO169" s="62"/>
      <c r="AP169" s="62"/>
      <c r="AQ169" s="62"/>
      <c r="AR169" s="62"/>
      <c r="AS169" s="62"/>
      <c r="AT169" s="62"/>
      <c r="AU169" s="62"/>
      <c r="AV169" s="62"/>
      <c r="AW169" s="62"/>
      <c r="AX169" s="62"/>
      <c r="AY169" s="62"/>
      <c r="AZ169" s="62"/>
      <c r="BA169" s="62"/>
      <c r="BB169" s="62"/>
      <c r="BC169" s="62"/>
      <c r="BD169" s="62"/>
      <c r="BE169" s="62"/>
      <c r="BF169" s="62"/>
      <c r="BG169" s="62"/>
      <c r="BH169" s="62"/>
      <c r="BI169" s="62"/>
      <c r="BJ169" s="62"/>
      <c r="BK169" s="62"/>
      <c r="BL169" s="62"/>
      <c r="BM169" s="62"/>
      <c r="BN169" s="62"/>
      <c r="BO169" s="62"/>
      <c r="BP169" s="62"/>
      <c r="BQ169" s="62"/>
      <c r="BR169" s="62"/>
      <c r="BS169" s="62"/>
      <c r="BT169" s="62"/>
      <c r="BU169" s="62"/>
      <c r="BV169" s="62"/>
      <c r="BW169" s="62"/>
      <c r="BX169" s="62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  <c r="HB169"/>
      <c r="HC169"/>
      <c r="HD169"/>
      <c r="HE169"/>
      <c r="HF169"/>
      <c r="HG169"/>
      <c r="HH169"/>
      <c r="HI169"/>
      <c r="HJ169"/>
      <c r="HK169"/>
      <c r="HL169"/>
      <c r="HM169"/>
      <c r="HN169"/>
      <c r="HO169"/>
      <c r="HP169"/>
      <c r="HQ169"/>
      <c r="HR169"/>
      <c r="HS169"/>
      <c r="HT169"/>
      <c r="HU169"/>
      <c r="HV169"/>
      <c r="HW169"/>
      <c r="HX169"/>
      <c r="HY169"/>
      <c r="HZ169"/>
      <c r="IA169"/>
      <c r="IB169"/>
      <c r="IC169"/>
      <c r="ID169"/>
      <c r="IE169"/>
      <c r="IF169"/>
      <c r="IG169"/>
      <c r="IH169"/>
      <c r="II169"/>
      <c r="IJ169"/>
      <c r="IK169"/>
      <c r="IL169"/>
      <c r="IM169"/>
      <c r="IN169"/>
      <c r="IO169"/>
      <c r="IP169"/>
      <c r="IQ169"/>
      <c r="IR169"/>
      <c r="IS169"/>
      <c r="IT169"/>
      <c r="IU169"/>
      <c r="IV169"/>
      <c r="IW169"/>
      <c r="IX169"/>
      <c r="IY169"/>
      <c r="IZ169"/>
      <c r="JA169"/>
      <c r="JB169"/>
      <c r="JC169"/>
      <c r="JD169"/>
      <c r="JE169"/>
      <c r="JF169"/>
      <c r="JG169"/>
      <c r="JH169"/>
      <c r="JI169"/>
      <c r="JJ169"/>
      <c r="JK169"/>
      <c r="JL169"/>
      <c r="JM169"/>
      <c r="JN169"/>
      <c r="JO169"/>
      <c r="JP169"/>
      <c r="JQ169"/>
      <c r="JR169"/>
      <c r="JS169"/>
      <c r="JT169"/>
      <c r="JU169"/>
      <c r="JV169"/>
      <c r="JW169"/>
      <c r="JX169"/>
      <c r="JY169"/>
      <c r="JZ169"/>
      <c r="KA169"/>
      <c r="KB169"/>
      <c r="KC169"/>
      <c r="KD169"/>
      <c r="KE169"/>
      <c r="KF169"/>
      <c r="KG169"/>
      <c r="KH169"/>
      <c r="KI169"/>
      <c r="KJ169"/>
      <c r="KK169"/>
      <c r="KL169"/>
      <c r="KM169"/>
      <c r="KN169"/>
      <c r="KO169"/>
      <c r="KP169"/>
      <c r="KQ169"/>
      <c r="KR169"/>
      <c r="KS169"/>
      <c r="KT169"/>
      <c r="KU169"/>
      <c r="KV169"/>
      <c r="KW169"/>
      <c r="KX169"/>
      <c r="KY169"/>
      <c r="KZ169"/>
      <c r="LA169"/>
      <c r="LB169"/>
      <c r="LC169"/>
      <c r="LD169"/>
      <c r="LE169"/>
      <c r="LF169"/>
      <c r="LG169"/>
      <c r="LH169"/>
      <c r="LI169"/>
      <c r="LJ169"/>
      <c r="LK169"/>
      <c r="LL169"/>
      <c r="LM169"/>
      <c r="LN169"/>
      <c r="LO169"/>
      <c r="LP169"/>
      <c r="LQ169"/>
      <c r="LR169"/>
      <c r="LS169"/>
      <c r="LT169"/>
      <c r="LU169"/>
      <c r="LV169"/>
      <c r="LW169"/>
      <c r="LX169"/>
      <c r="LY169"/>
      <c r="LZ169"/>
      <c r="MA169"/>
      <c r="MB169"/>
      <c r="MC169"/>
      <c r="MD169"/>
      <c r="ME169"/>
      <c r="MF169"/>
      <c r="MG169"/>
      <c r="MH169"/>
      <c r="MI169"/>
      <c r="MJ169"/>
      <c r="MK169"/>
      <c r="ML169"/>
      <c r="MM169"/>
      <c r="MN169"/>
      <c r="MO169"/>
      <c r="MP169"/>
      <c r="MQ169"/>
      <c r="MR169"/>
      <c r="MS169"/>
      <c r="MT169"/>
      <c r="MU169"/>
      <c r="MV169"/>
      <c r="MW169"/>
      <c r="MX169"/>
      <c r="MY169"/>
      <c r="MZ169"/>
      <c r="NA169"/>
      <c r="NB169"/>
      <c r="NC169"/>
      <c r="ND169"/>
      <c r="NE169"/>
      <c r="NF169"/>
      <c r="NG169"/>
      <c r="NH169"/>
      <c r="NI169"/>
      <c r="NJ169"/>
      <c r="NK169"/>
      <c r="NL169"/>
      <c r="NM169"/>
      <c r="NN169"/>
      <c r="NO169"/>
      <c r="NP169"/>
      <c r="NQ169"/>
      <c r="NR169"/>
      <c r="NS169"/>
      <c r="NT169"/>
      <c r="NU169"/>
      <c r="NV169"/>
      <c r="NW169"/>
      <c r="NX169"/>
      <c r="NY169"/>
      <c r="NZ169"/>
      <c r="OA169"/>
      <c r="OB169"/>
      <c r="OC169"/>
      <c r="OD169"/>
      <c r="OE169"/>
      <c r="OF169"/>
      <c r="OG169"/>
      <c r="OH169"/>
      <c r="OI169"/>
      <c r="OJ169"/>
      <c r="OK169"/>
      <c r="OL169"/>
      <c r="OM169"/>
      <c r="ON169"/>
      <c r="OO169"/>
      <c r="OP169"/>
      <c r="OQ169"/>
      <c r="OR169"/>
      <c r="OS169"/>
      <c r="OT169"/>
      <c r="OU169"/>
      <c r="OV169"/>
      <c r="OW169"/>
      <c r="OX169"/>
      <c r="OY169"/>
      <c r="OZ169"/>
      <c r="PA169"/>
      <c r="PB169"/>
      <c r="PC169"/>
      <c r="PD169"/>
      <c r="PE169"/>
      <c r="PF169"/>
      <c r="PG169"/>
      <c r="PH169"/>
      <c r="PI169"/>
      <c r="PJ169"/>
      <c r="PK169"/>
      <c r="PL169"/>
      <c r="PM169"/>
      <c r="PN169"/>
      <c r="PO169"/>
      <c r="PP169"/>
      <c r="PQ169"/>
      <c r="PR169"/>
      <c r="PS169"/>
      <c r="PT169"/>
      <c r="PU169"/>
      <c r="PV169"/>
      <c r="PW169"/>
      <c r="PX169"/>
      <c r="PY169"/>
      <c r="PZ169"/>
      <c r="QA169"/>
      <c r="QB169"/>
      <c r="QC169"/>
      <c r="QD169"/>
      <c r="QE169"/>
      <c r="QF169"/>
      <c r="QG169"/>
      <c r="QH169"/>
      <c r="QI169"/>
      <c r="QJ169"/>
      <c r="QK169"/>
      <c r="QL169"/>
      <c r="QM169"/>
      <c r="QN169"/>
      <c r="QO169"/>
      <c r="QP169"/>
      <c r="QQ169"/>
      <c r="QR169"/>
      <c r="QS169"/>
      <c r="QT169"/>
      <c r="QU169"/>
      <c r="QV169"/>
      <c r="QW169"/>
      <c r="QX169"/>
    </row>
    <row r="170" spans="1:466" x14ac:dyDescent="0.35">
      <c r="A170" s="53"/>
      <c r="B170" s="53"/>
      <c r="C170" s="55"/>
      <c r="D170" s="53"/>
      <c r="E170" s="53"/>
      <c r="F170" s="126" t="s">
        <v>224</v>
      </c>
      <c r="G170" s="125">
        <v>1.6967999999999999</v>
      </c>
      <c r="H170" s="125">
        <v>110.29199999999999</v>
      </c>
      <c r="I170" s="133">
        <v>65</v>
      </c>
      <c r="J170" s="53"/>
      <c r="K170" s="53"/>
      <c r="L170" s="53"/>
      <c r="M170" s="53"/>
      <c r="N170" s="53"/>
      <c r="O170" s="53"/>
      <c r="P170" s="53"/>
      <c r="Q170" s="53"/>
      <c r="R170" s="53"/>
      <c r="S170" s="53"/>
      <c r="T170" s="53"/>
      <c r="U170" s="53"/>
      <c r="V170" s="53"/>
      <c r="W170" s="53"/>
      <c r="X170" s="53"/>
      <c r="Y170" s="53"/>
      <c r="Z170" s="53"/>
      <c r="AA170" s="53"/>
      <c r="AB170" s="53"/>
      <c r="AC170" s="53"/>
      <c r="AD170" s="53"/>
      <c r="AE170" s="53"/>
      <c r="AF170" s="63"/>
      <c r="AG170" s="64"/>
      <c r="AH170" s="65"/>
      <c r="AI170" s="65"/>
      <c r="AJ170" s="53"/>
      <c r="AK170" s="62"/>
      <c r="AL170" s="62"/>
      <c r="AM170" s="62"/>
      <c r="AN170" s="62"/>
      <c r="AO170" s="62"/>
      <c r="AP170" s="62"/>
      <c r="AQ170" s="62"/>
      <c r="AR170" s="62"/>
      <c r="AS170" s="62"/>
      <c r="AT170" s="62"/>
      <c r="AU170" s="62"/>
      <c r="AV170" s="62"/>
      <c r="AW170" s="62"/>
      <c r="AX170" s="62"/>
      <c r="AY170" s="62"/>
      <c r="AZ170" s="62"/>
      <c r="BA170" s="62"/>
      <c r="BB170" s="62"/>
      <c r="BC170" s="62"/>
      <c r="BD170" s="62"/>
      <c r="BE170" s="62"/>
      <c r="BF170" s="62"/>
      <c r="BG170" s="62"/>
      <c r="BH170" s="62"/>
      <c r="BI170" s="62"/>
      <c r="BJ170" s="62"/>
      <c r="BK170" s="62"/>
      <c r="BL170" s="62"/>
      <c r="BM170" s="62"/>
      <c r="BN170" s="62"/>
      <c r="BO170" s="62"/>
      <c r="BP170" s="62"/>
      <c r="BQ170" s="62"/>
      <c r="BR170" s="62"/>
      <c r="BS170" s="62"/>
      <c r="BT170" s="62"/>
      <c r="BU170" s="62"/>
      <c r="BV170" s="62"/>
      <c r="BW170" s="62"/>
      <c r="BX170" s="62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  <c r="HB170"/>
      <c r="HC170"/>
      <c r="HD170"/>
      <c r="HE170"/>
      <c r="HF170"/>
      <c r="HG170"/>
      <c r="HH170"/>
      <c r="HI170"/>
      <c r="HJ170"/>
      <c r="HK170"/>
      <c r="HL170"/>
      <c r="HM170"/>
      <c r="HN170"/>
      <c r="HO170"/>
      <c r="HP170"/>
      <c r="HQ170"/>
      <c r="HR170"/>
      <c r="HS170"/>
      <c r="HT170"/>
      <c r="HU170"/>
      <c r="HV170"/>
      <c r="HW170"/>
      <c r="HX170"/>
      <c r="HY170"/>
      <c r="HZ170"/>
      <c r="IA170"/>
      <c r="IB170"/>
      <c r="IC170"/>
      <c r="ID170"/>
      <c r="IE170"/>
      <c r="IF170"/>
      <c r="IG170"/>
      <c r="IH170"/>
      <c r="II170"/>
      <c r="IJ170"/>
      <c r="IK170"/>
      <c r="IL170"/>
      <c r="IM170"/>
      <c r="IN170"/>
      <c r="IO170"/>
      <c r="IP170"/>
      <c r="IQ170"/>
      <c r="IR170"/>
      <c r="IS170"/>
      <c r="IT170"/>
      <c r="IU170"/>
      <c r="IV170"/>
      <c r="IW170"/>
      <c r="IX170"/>
      <c r="IY170"/>
      <c r="IZ170"/>
      <c r="JA170"/>
      <c r="JB170"/>
      <c r="JC170"/>
      <c r="JD170"/>
      <c r="JE170"/>
      <c r="JF170"/>
      <c r="JG170"/>
      <c r="JH170"/>
      <c r="JI170"/>
      <c r="JJ170"/>
      <c r="JK170"/>
      <c r="JL170"/>
      <c r="JM170"/>
      <c r="JN170"/>
      <c r="JO170"/>
      <c r="JP170"/>
      <c r="JQ170"/>
      <c r="JR170"/>
      <c r="JS170"/>
      <c r="JT170"/>
      <c r="JU170"/>
      <c r="JV170"/>
      <c r="JW170"/>
      <c r="JX170"/>
      <c r="JY170"/>
      <c r="JZ170"/>
      <c r="KA170"/>
      <c r="KB170"/>
      <c r="KC170"/>
      <c r="KD170"/>
      <c r="KE170"/>
      <c r="KF170"/>
      <c r="KG170"/>
      <c r="KH170"/>
      <c r="KI170"/>
      <c r="KJ170"/>
      <c r="KK170"/>
      <c r="KL170"/>
      <c r="KM170"/>
      <c r="KN170"/>
      <c r="KO170"/>
      <c r="KP170"/>
      <c r="KQ170"/>
      <c r="KR170"/>
      <c r="KS170"/>
      <c r="KT170"/>
      <c r="KU170"/>
      <c r="KV170"/>
      <c r="KW170"/>
      <c r="KX170"/>
      <c r="KY170"/>
      <c r="KZ170"/>
      <c r="LA170"/>
      <c r="LB170"/>
      <c r="LC170"/>
      <c r="LD170"/>
      <c r="LE170"/>
      <c r="LF170"/>
      <c r="LG170"/>
      <c r="LH170"/>
      <c r="LI170"/>
      <c r="LJ170"/>
      <c r="LK170"/>
      <c r="LL170"/>
      <c r="LM170"/>
      <c r="LN170"/>
      <c r="LO170"/>
      <c r="LP170"/>
      <c r="LQ170"/>
      <c r="LR170"/>
      <c r="LS170"/>
      <c r="LT170"/>
      <c r="LU170"/>
      <c r="LV170"/>
      <c r="LW170"/>
      <c r="LX170"/>
      <c r="LY170"/>
      <c r="LZ170"/>
      <c r="MA170"/>
      <c r="MB170"/>
      <c r="MC170"/>
      <c r="MD170"/>
      <c r="ME170"/>
      <c r="MF170"/>
      <c r="MG170"/>
      <c r="MH170"/>
      <c r="MI170"/>
      <c r="MJ170"/>
      <c r="MK170"/>
      <c r="ML170"/>
      <c r="MM170"/>
      <c r="MN170"/>
      <c r="MO170"/>
      <c r="MP170"/>
      <c r="MQ170"/>
      <c r="MR170"/>
      <c r="MS170"/>
      <c r="MT170"/>
      <c r="MU170"/>
      <c r="MV170"/>
      <c r="MW170"/>
      <c r="MX170"/>
      <c r="MY170"/>
      <c r="MZ170"/>
      <c r="NA170"/>
      <c r="NB170"/>
      <c r="NC170"/>
      <c r="ND170"/>
      <c r="NE170"/>
      <c r="NF170"/>
      <c r="NG170"/>
      <c r="NH170"/>
      <c r="NI170"/>
      <c r="NJ170"/>
      <c r="NK170"/>
      <c r="NL170"/>
      <c r="NM170"/>
      <c r="NN170"/>
      <c r="NO170"/>
      <c r="NP170"/>
      <c r="NQ170"/>
      <c r="NR170"/>
      <c r="NS170"/>
      <c r="NT170"/>
      <c r="NU170"/>
      <c r="NV170"/>
      <c r="NW170"/>
      <c r="NX170"/>
      <c r="NY170"/>
      <c r="NZ170"/>
      <c r="OA170"/>
      <c r="OB170"/>
      <c r="OC170"/>
      <c r="OD170"/>
      <c r="OE170"/>
      <c r="OF170"/>
      <c r="OG170"/>
      <c r="OH170"/>
      <c r="OI170"/>
      <c r="OJ170"/>
      <c r="OK170"/>
      <c r="OL170"/>
      <c r="OM170"/>
      <c r="ON170"/>
      <c r="OO170"/>
      <c r="OP170"/>
      <c r="OQ170"/>
      <c r="OR170"/>
      <c r="OS170"/>
      <c r="OT170"/>
      <c r="OU170"/>
      <c r="OV170"/>
      <c r="OW170"/>
      <c r="OX170"/>
      <c r="OY170"/>
      <c r="OZ170"/>
      <c r="PA170"/>
      <c r="PB170"/>
      <c r="PC170"/>
      <c r="PD170"/>
      <c r="PE170"/>
      <c r="PF170"/>
      <c r="PG170"/>
      <c r="PH170"/>
      <c r="PI170"/>
      <c r="PJ170"/>
      <c r="PK170"/>
      <c r="PL170"/>
      <c r="PM170"/>
      <c r="PN170"/>
      <c r="PO170"/>
      <c r="PP170"/>
      <c r="PQ170"/>
      <c r="PR170"/>
      <c r="PS170"/>
      <c r="PT170"/>
      <c r="PU170"/>
      <c r="PV170"/>
      <c r="PW170"/>
      <c r="PX170"/>
      <c r="PY170"/>
      <c r="PZ170"/>
      <c r="QA170"/>
      <c r="QB170"/>
      <c r="QC170"/>
      <c r="QD170"/>
      <c r="QE170"/>
      <c r="QF170"/>
      <c r="QG170"/>
      <c r="QH170"/>
      <c r="QI170"/>
      <c r="QJ170"/>
      <c r="QK170"/>
      <c r="QL170"/>
      <c r="QM170"/>
      <c r="QN170"/>
      <c r="QO170"/>
      <c r="QP170"/>
      <c r="QQ170"/>
      <c r="QR170"/>
      <c r="QS170"/>
      <c r="QT170"/>
      <c r="QU170"/>
      <c r="QV170"/>
      <c r="QW170"/>
      <c r="QX170"/>
    </row>
    <row r="171" spans="1:466" x14ac:dyDescent="0.35">
      <c r="A171" s="53"/>
      <c r="B171" s="53"/>
      <c r="C171" s="55"/>
      <c r="D171" s="53"/>
      <c r="E171" s="53"/>
      <c r="F171" s="126" t="s">
        <v>267</v>
      </c>
      <c r="G171" s="125">
        <v>1.6967999999999999</v>
      </c>
      <c r="H171" s="125">
        <v>363.11519999999996</v>
      </c>
      <c r="I171" s="133">
        <v>214</v>
      </c>
      <c r="J171" s="53"/>
      <c r="K171" s="53"/>
      <c r="L171" s="53"/>
      <c r="M171" s="53"/>
      <c r="N171" s="53"/>
      <c r="O171" s="53"/>
      <c r="P171" s="53"/>
      <c r="Q171" s="53"/>
      <c r="R171" s="53"/>
      <c r="S171" s="53"/>
      <c r="T171" s="53"/>
      <c r="U171" s="53"/>
      <c r="V171" s="53"/>
      <c r="W171" s="53"/>
      <c r="X171" s="53"/>
      <c r="Y171" s="53"/>
      <c r="Z171" s="53"/>
      <c r="AA171" s="53"/>
      <c r="AB171" s="53"/>
      <c r="AC171" s="53"/>
      <c r="AD171" s="53"/>
      <c r="AE171" s="53"/>
      <c r="AF171" s="63"/>
      <c r="AG171" s="64"/>
      <c r="AH171" s="65"/>
      <c r="AI171" s="65"/>
      <c r="AJ171" s="53"/>
      <c r="AK171" s="62"/>
      <c r="AL171" s="62"/>
      <c r="AM171" s="62"/>
      <c r="AN171" s="62"/>
      <c r="AO171" s="62"/>
      <c r="AP171" s="62"/>
      <c r="AQ171" s="62"/>
      <c r="AR171" s="62"/>
      <c r="AS171" s="62"/>
      <c r="AT171" s="62"/>
      <c r="AU171" s="62"/>
      <c r="AV171" s="62"/>
      <c r="AW171" s="62"/>
      <c r="AX171" s="62"/>
      <c r="AY171" s="62"/>
      <c r="AZ171" s="62"/>
      <c r="BA171" s="62"/>
      <c r="BB171" s="62"/>
      <c r="BC171" s="62"/>
      <c r="BD171" s="62"/>
      <c r="BE171" s="62"/>
      <c r="BF171" s="62"/>
      <c r="BG171" s="62"/>
      <c r="BH171" s="62"/>
      <c r="BI171" s="62"/>
      <c r="BJ171" s="62"/>
      <c r="BK171" s="62"/>
      <c r="BL171" s="62"/>
      <c r="BM171" s="62"/>
      <c r="BN171" s="62"/>
      <c r="BO171" s="62"/>
      <c r="BP171" s="62"/>
      <c r="BQ171" s="62"/>
      <c r="BR171" s="62"/>
      <c r="BS171" s="62"/>
      <c r="BT171" s="62"/>
      <c r="BU171" s="62"/>
      <c r="BV171" s="62"/>
      <c r="BW171" s="62"/>
      <c r="BX171" s="62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  <c r="HB171"/>
      <c r="HC171"/>
      <c r="HD171"/>
      <c r="HE171"/>
      <c r="HF171"/>
      <c r="HG171"/>
      <c r="HH171"/>
      <c r="HI171"/>
      <c r="HJ171"/>
      <c r="HK171"/>
      <c r="HL171"/>
      <c r="HM171"/>
      <c r="HN171"/>
      <c r="HO171"/>
      <c r="HP171"/>
      <c r="HQ171"/>
      <c r="HR171"/>
      <c r="HS171"/>
      <c r="HT171"/>
      <c r="HU171"/>
      <c r="HV171"/>
      <c r="HW171"/>
      <c r="HX171"/>
      <c r="HY171"/>
      <c r="HZ171"/>
      <c r="IA171"/>
      <c r="IB171"/>
      <c r="IC171"/>
      <c r="ID171"/>
      <c r="IE171"/>
      <c r="IF171"/>
      <c r="IG171"/>
      <c r="IH171"/>
      <c r="II171"/>
      <c r="IJ171"/>
      <c r="IK171"/>
      <c r="IL171"/>
      <c r="IM171"/>
      <c r="IN171"/>
      <c r="IO171"/>
      <c r="IP171"/>
      <c r="IQ171"/>
      <c r="IR171"/>
      <c r="IS171"/>
      <c r="IT171"/>
      <c r="IU171"/>
      <c r="IV171"/>
      <c r="IW171"/>
      <c r="IX171"/>
      <c r="IY171"/>
      <c r="IZ171"/>
      <c r="JA171"/>
      <c r="JB171"/>
      <c r="JC171"/>
      <c r="JD171"/>
      <c r="JE171"/>
      <c r="JF171"/>
      <c r="JG171"/>
      <c r="JH171"/>
      <c r="JI171"/>
      <c r="JJ171"/>
      <c r="JK171"/>
      <c r="JL171"/>
      <c r="JM171"/>
      <c r="JN171"/>
      <c r="JO171"/>
      <c r="JP171"/>
      <c r="JQ171"/>
      <c r="JR171"/>
      <c r="JS171"/>
      <c r="JT171"/>
      <c r="JU171"/>
      <c r="JV171"/>
      <c r="JW171"/>
      <c r="JX171"/>
      <c r="JY171"/>
      <c r="JZ171"/>
      <c r="KA171"/>
      <c r="KB171"/>
      <c r="KC171"/>
      <c r="KD171"/>
      <c r="KE171"/>
      <c r="KF171"/>
      <c r="KG171"/>
      <c r="KH171"/>
      <c r="KI171"/>
      <c r="KJ171"/>
      <c r="KK171"/>
      <c r="KL171"/>
      <c r="KM171"/>
      <c r="KN171"/>
      <c r="KO171"/>
      <c r="KP171"/>
      <c r="KQ171"/>
      <c r="KR171"/>
      <c r="KS171"/>
      <c r="KT171"/>
      <c r="KU171"/>
      <c r="KV171"/>
      <c r="KW171"/>
      <c r="KX171"/>
      <c r="KY171"/>
      <c r="KZ171"/>
      <c r="LA171"/>
      <c r="LB171"/>
      <c r="LC171"/>
      <c r="LD171"/>
      <c r="LE171"/>
      <c r="LF171"/>
      <c r="LG171"/>
      <c r="LH171"/>
      <c r="LI171"/>
      <c r="LJ171"/>
      <c r="LK171"/>
      <c r="LL171"/>
      <c r="LM171"/>
      <c r="LN171"/>
      <c r="LO171"/>
      <c r="LP171"/>
      <c r="LQ171"/>
      <c r="LR171"/>
      <c r="LS171"/>
      <c r="LT171"/>
      <c r="LU171"/>
      <c r="LV171"/>
      <c r="LW171"/>
      <c r="LX171"/>
      <c r="LY171"/>
      <c r="LZ171"/>
      <c r="MA171"/>
      <c r="MB171"/>
      <c r="MC171"/>
      <c r="MD171"/>
      <c r="ME171"/>
      <c r="MF171"/>
      <c r="MG171"/>
      <c r="MH171"/>
      <c r="MI171"/>
      <c r="MJ171"/>
      <c r="MK171"/>
      <c r="ML171"/>
      <c r="MM171"/>
      <c r="MN171"/>
      <c r="MO171"/>
      <c r="MP171"/>
      <c r="MQ171"/>
      <c r="MR171"/>
      <c r="MS171"/>
      <c r="MT171"/>
      <c r="MU171"/>
      <c r="MV171"/>
      <c r="MW171"/>
      <c r="MX171"/>
      <c r="MY171"/>
      <c r="MZ171"/>
      <c r="NA171"/>
      <c r="NB171"/>
      <c r="NC171"/>
      <c r="ND171"/>
      <c r="NE171"/>
      <c r="NF171"/>
      <c r="NG171"/>
      <c r="NH171"/>
      <c r="NI171"/>
      <c r="NJ171"/>
      <c r="NK171"/>
      <c r="NL171"/>
      <c r="NM171"/>
      <c r="NN171"/>
      <c r="NO171"/>
      <c r="NP171"/>
      <c r="NQ171"/>
      <c r="NR171"/>
      <c r="NS171"/>
      <c r="NT171"/>
      <c r="NU171"/>
      <c r="NV171"/>
      <c r="NW171"/>
      <c r="NX171"/>
      <c r="NY171"/>
      <c r="NZ171"/>
      <c r="OA171"/>
      <c r="OB171"/>
      <c r="OC171"/>
      <c r="OD171"/>
      <c r="OE171"/>
      <c r="OF171"/>
      <c r="OG171"/>
      <c r="OH171"/>
      <c r="OI171"/>
      <c r="OJ171"/>
      <c r="OK171"/>
      <c r="OL171"/>
      <c r="OM171"/>
      <c r="ON171"/>
      <c r="OO171"/>
      <c r="OP171"/>
      <c r="OQ171"/>
      <c r="OR171"/>
      <c r="OS171"/>
      <c r="OT171"/>
      <c r="OU171"/>
      <c r="OV171"/>
      <c r="OW171"/>
      <c r="OX171"/>
      <c r="OY171"/>
      <c r="OZ171"/>
      <c r="PA171"/>
      <c r="PB171"/>
      <c r="PC171"/>
      <c r="PD171"/>
      <c r="PE171"/>
      <c r="PF171"/>
      <c r="PG171"/>
      <c r="PH171"/>
      <c r="PI171"/>
      <c r="PJ171"/>
      <c r="PK171"/>
      <c r="PL171"/>
      <c r="PM171"/>
      <c r="PN171"/>
      <c r="PO171"/>
      <c r="PP171"/>
      <c r="PQ171"/>
      <c r="PR171"/>
      <c r="PS171"/>
      <c r="PT171"/>
      <c r="PU171"/>
      <c r="PV171"/>
      <c r="PW171"/>
      <c r="PX171"/>
      <c r="PY171"/>
      <c r="PZ171"/>
      <c r="QA171"/>
      <c r="QB171"/>
      <c r="QC171"/>
      <c r="QD171"/>
      <c r="QE171"/>
      <c r="QF171"/>
      <c r="QG171"/>
      <c r="QH171"/>
      <c r="QI171"/>
      <c r="QJ171"/>
      <c r="QK171"/>
      <c r="QL171"/>
      <c r="QM171"/>
      <c r="QN171"/>
      <c r="QO171"/>
      <c r="QP171"/>
      <c r="QQ171"/>
      <c r="QR171"/>
      <c r="QS171"/>
      <c r="QT171"/>
      <c r="QU171"/>
      <c r="QV171"/>
      <c r="QW171"/>
      <c r="QX171"/>
    </row>
    <row r="172" spans="1:466" x14ac:dyDescent="0.35">
      <c r="A172" s="53"/>
      <c r="B172" s="53"/>
      <c r="C172" s="55"/>
      <c r="D172" s="53"/>
      <c r="E172" s="53"/>
      <c r="F172" s="126" t="s">
        <v>285</v>
      </c>
      <c r="G172" s="125">
        <v>1.6967999999999999</v>
      </c>
      <c r="H172" s="125">
        <v>118.776</v>
      </c>
      <c r="I172" s="133">
        <v>70</v>
      </c>
      <c r="J172" s="53"/>
      <c r="K172" s="53"/>
      <c r="L172" s="53"/>
      <c r="M172" s="53"/>
      <c r="N172" s="53"/>
      <c r="O172" s="53"/>
      <c r="P172" s="53"/>
      <c r="Q172" s="53"/>
      <c r="R172" s="53"/>
      <c r="S172" s="53"/>
      <c r="T172" s="53"/>
      <c r="U172" s="53"/>
      <c r="V172" s="53"/>
      <c r="W172" s="53"/>
      <c r="X172" s="53"/>
      <c r="Y172" s="53"/>
      <c r="Z172" s="53"/>
      <c r="AA172" s="53"/>
      <c r="AB172" s="53"/>
      <c r="AC172" s="53"/>
      <c r="AD172" s="53"/>
      <c r="AE172" s="53"/>
      <c r="AF172" s="63"/>
      <c r="AG172" s="64"/>
      <c r="AH172" s="65"/>
      <c r="AI172" s="65"/>
      <c r="AJ172" s="53"/>
      <c r="AK172" s="62"/>
      <c r="AL172" s="62"/>
      <c r="AM172" s="62"/>
      <c r="AN172" s="62"/>
      <c r="AO172" s="62"/>
      <c r="AP172" s="62"/>
      <c r="AQ172" s="62"/>
      <c r="AR172" s="62"/>
      <c r="AS172" s="62"/>
      <c r="AT172" s="62"/>
      <c r="AU172" s="62"/>
      <c r="AV172" s="62"/>
      <c r="AW172" s="62"/>
      <c r="AX172" s="62"/>
      <c r="AY172" s="62"/>
      <c r="AZ172" s="62"/>
      <c r="BA172" s="62"/>
      <c r="BB172" s="62"/>
      <c r="BC172" s="62"/>
      <c r="BD172" s="62"/>
      <c r="BE172" s="62"/>
      <c r="BF172" s="62"/>
      <c r="BG172" s="62"/>
      <c r="BH172" s="62"/>
      <c r="BI172" s="62"/>
      <c r="BJ172" s="62"/>
      <c r="BK172" s="62"/>
      <c r="BL172" s="62"/>
      <c r="BM172" s="62"/>
      <c r="BN172" s="62"/>
      <c r="BO172" s="62"/>
      <c r="BP172" s="62"/>
      <c r="BQ172" s="62"/>
      <c r="BR172" s="62"/>
      <c r="BS172" s="62"/>
      <c r="BT172" s="62"/>
      <c r="BU172" s="62"/>
      <c r="BV172" s="62"/>
      <c r="BW172" s="62"/>
      <c r="BX172" s="6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  <c r="HB172"/>
      <c r="HC172"/>
      <c r="HD172"/>
      <c r="HE172"/>
      <c r="HF172"/>
      <c r="HG172"/>
      <c r="HH172"/>
      <c r="HI172"/>
      <c r="HJ172"/>
      <c r="HK172"/>
      <c r="HL172"/>
      <c r="HM172"/>
      <c r="HN172"/>
      <c r="HO172"/>
      <c r="HP172"/>
      <c r="HQ172"/>
      <c r="HR172"/>
      <c r="HS172"/>
      <c r="HT172"/>
      <c r="HU172"/>
      <c r="HV172"/>
      <c r="HW172"/>
      <c r="HX172"/>
      <c r="HY172"/>
      <c r="HZ172"/>
      <c r="IA172"/>
      <c r="IB172"/>
      <c r="IC172"/>
      <c r="ID172"/>
      <c r="IE172"/>
      <c r="IF172"/>
      <c r="IG172"/>
      <c r="IH172"/>
      <c r="II172"/>
      <c r="IJ172"/>
      <c r="IK172"/>
      <c r="IL172"/>
      <c r="IM172"/>
      <c r="IN172"/>
      <c r="IO172"/>
      <c r="IP172"/>
      <c r="IQ172"/>
      <c r="IR172"/>
      <c r="IS172"/>
      <c r="IT172"/>
      <c r="IU172"/>
      <c r="IV172"/>
      <c r="IW172"/>
      <c r="IX172"/>
      <c r="IY172"/>
      <c r="IZ172"/>
      <c r="JA172"/>
      <c r="JB172"/>
      <c r="JC172"/>
      <c r="JD172"/>
      <c r="JE172"/>
      <c r="JF172"/>
      <c r="JG172"/>
      <c r="JH172"/>
      <c r="JI172"/>
      <c r="JJ172"/>
      <c r="JK172"/>
      <c r="JL172"/>
      <c r="JM172"/>
      <c r="JN172"/>
      <c r="JO172"/>
      <c r="JP172"/>
      <c r="JQ172"/>
      <c r="JR172"/>
      <c r="JS172"/>
      <c r="JT172"/>
      <c r="JU172"/>
      <c r="JV172"/>
      <c r="JW172"/>
      <c r="JX172"/>
      <c r="JY172"/>
      <c r="JZ172"/>
      <c r="KA172"/>
      <c r="KB172"/>
      <c r="KC172"/>
      <c r="KD172"/>
      <c r="KE172"/>
      <c r="KF172"/>
      <c r="KG172"/>
      <c r="KH172"/>
      <c r="KI172"/>
      <c r="KJ172"/>
      <c r="KK172"/>
      <c r="KL172"/>
      <c r="KM172"/>
      <c r="KN172"/>
      <c r="KO172"/>
      <c r="KP172"/>
      <c r="KQ172"/>
      <c r="KR172"/>
      <c r="KS172"/>
      <c r="KT172"/>
      <c r="KU172"/>
      <c r="KV172"/>
      <c r="KW172"/>
      <c r="KX172"/>
      <c r="KY172"/>
      <c r="KZ172"/>
      <c r="LA172"/>
      <c r="LB172"/>
      <c r="LC172"/>
      <c r="LD172"/>
      <c r="LE172"/>
      <c r="LF172"/>
      <c r="LG172"/>
      <c r="LH172"/>
      <c r="LI172"/>
      <c r="LJ172"/>
      <c r="LK172"/>
      <c r="LL172"/>
      <c r="LM172"/>
      <c r="LN172"/>
      <c r="LO172"/>
      <c r="LP172"/>
      <c r="LQ172"/>
      <c r="LR172"/>
      <c r="LS172"/>
      <c r="LT172"/>
      <c r="LU172"/>
      <c r="LV172"/>
      <c r="LW172"/>
      <c r="LX172"/>
      <c r="LY172"/>
      <c r="LZ172"/>
      <c r="MA172"/>
      <c r="MB172"/>
      <c r="MC172"/>
      <c r="MD172"/>
      <c r="ME172"/>
      <c r="MF172"/>
      <c r="MG172"/>
      <c r="MH172"/>
      <c r="MI172"/>
      <c r="MJ172"/>
      <c r="MK172"/>
      <c r="ML172"/>
      <c r="MM172"/>
      <c r="MN172"/>
      <c r="MO172"/>
      <c r="MP172"/>
      <c r="MQ172"/>
      <c r="MR172"/>
      <c r="MS172"/>
      <c r="MT172"/>
      <c r="MU172"/>
      <c r="MV172"/>
      <c r="MW172"/>
      <c r="MX172"/>
      <c r="MY172"/>
      <c r="MZ172"/>
      <c r="NA172"/>
      <c r="NB172"/>
      <c r="NC172"/>
      <c r="ND172"/>
      <c r="NE172"/>
      <c r="NF172"/>
      <c r="NG172"/>
      <c r="NH172"/>
      <c r="NI172"/>
      <c r="NJ172"/>
      <c r="NK172"/>
      <c r="NL172"/>
      <c r="NM172"/>
      <c r="NN172"/>
      <c r="NO172"/>
      <c r="NP172"/>
      <c r="NQ172"/>
      <c r="NR172"/>
      <c r="NS172"/>
      <c r="NT172"/>
      <c r="NU172"/>
      <c r="NV172"/>
      <c r="NW172"/>
      <c r="NX172"/>
      <c r="NY172"/>
      <c r="NZ172"/>
      <c r="OA172"/>
      <c r="OB172"/>
      <c r="OC172"/>
      <c r="OD172"/>
      <c r="OE172"/>
      <c r="OF172"/>
      <c r="OG172"/>
      <c r="OH172"/>
      <c r="OI172"/>
      <c r="OJ172"/>
      <c r="OK172"/>
      <c r="OL172"/>
      <c r="OM172"/>
      <c r="ON172"/>
      <c r="OO172"/>
      <c r="OP172"/>
      <c r="OQ172"/>
      <c r="OR172"/>
      <c r="OS172"/>
      <c r="OT172"/>
      <c r="OU172"/>
      <c r="OV172"/>
      <c r="OW172"/>
      <c r="OX172"/>
      <c r="OY172"/>
      <c r="OZ172"/>
      <c r="PA172"/>
      <c r="PB172"/>
      <c r="PC172"/>
      <c r="PD172"/>
      <c r="PE172"/>
      <c r="PF172"/>
      <c r="PG172"/>
      <c r="PH172"/>
      <c r="PI172"/>
      <c r="PJ172"/>
      <c r="PK172"/>
      <c r="PL172"/>
      <c r="PM172"/>
      <c r="PN172"/>
      <c r="PO172"/>
      <c r="PP172"/>
      <c r="PQ172"/>
      <c r="PR172"/>
      <c r="PS172"/>
      <c r="PT172"/>
      <c r="PU172"/>
      <c r="PV172"/>
      <c r="PW172"/>
      <c r="PX172"/>
      <c r="PY172"/>
      <c r="PZ172"/>
      <c r="QA172"/>
      <c r="QB172"/>
      <c r="QC172"/>
      <c r="QD172"/>
      <c r="QE172"/>
      <c r="QF172"/>
      <c r="QG172"/>
      <c r="QH172"/>
      <c r="QI172"/>
      <c r="QJ172"/>
      <c r="QK172"/>
      <c r="QL172"/>
      <c r="QM172"/>
      <c r="QN172"/>
      <c r="QO172"/>
      <c r="QP172"/>
      <c r="QQ172"/>
      <c r="QR172"/>
      <c r="QS172"/>
      <c r="QT172"/>
      <c r="QU172"/>
      <c r="QV172"/>
      <c r="QW172"/>
      <c r="QX172"/>
    </row>
    <row r="173" spans="1:466" x14ac:dyDescent="0.35">
      <c r="A173" s="53"/>
      <c r="B173" s="53"/>
      <c r="C173" s="55"/>
      <c r="D173" s="53"/>
      <c r="E173" s="53"/>
      <c r="F173" s="126" t="s">
        <v>249</v>
      </c>
      <c r="G173" s="125">
        <v>2.5930799999999996</v>
      </c>
      <c r="H173" s="125">
        <v>0</v>
      </c>
      <c r="I173" s="133">
        <v>0</v>
      </c>
      <c r="J173" s="53"/>
      <c r="K173" s="53"/>
      <c r="L173" s="53"/>
      <c r="M173" s="53"/>
      <c r="N173" s="53"/>
      <c r="O173" s="53"/>
      <c r="P173" s="53"/>
      <c r="Q173" s="53"/>
      <c r="R173" s="53"/>
      <c r="S173" s="53"/>
      <c r="T173" s="53"/>
      <c r="U173" s="53"/>
      <c r="V173" s="53"/>
      <c r="W173" s="53"/>
      <c r="X173" s="53"/>
      <c r="Y173" s="53"/>
      <c r="Z173" s="53"/>
      <c r="AA173" s="53"/>
      <c r="AB173" s="53"/>
      <c r="AC173" s="53"/>
      <c r="AD173" s="53"/>
      <c r="AE173" s="53"/>
      <c r="AF173" s="63"/>
      <c r="AG173" s="64"/>
      <c r="AH173" s="65"/>
      <c r="AI173" s="65"/>
      <c r="AJ173" s="53"/>
      <c r="AK173" s="62"/>
      <c r="AL173" s="62"/>
      <c r="AM173" s="62"/>
      <c r="AN173" s="62"/>
      <c r="AO173" s="62"/>
      <c r="AP173" s="62"/>
      <c r="AQ173" s="62"/>
      <c r="AR173" s="62"/>
      <c r="AS173" s="62"/>
      <c r="AT173" s="62"/>
      <c r="AU173" s="62"/>
      <c r="AV173" s="62"/>
      <c r="AW173" s="62"/>
      <c r="AX173" s="62"/>
      <c r="AY173" s="62"/>
      <c r="AZ173" s="62"/>
      <c r="BA173" s="62"/>
      <c r="BB173" s="62"/>
      <c r="BC173" s="62"/>
      <c r="BD173" s="62"/>
      <c r="BE173" s="62"/>
      <c r="BF173" s="62"/>
      <c r="BG173" s="62"/>
      <c r="BH173" s="62"/>
      <c r="BI173" s="62"/>
      <c r="BJ173" s="62"/>
      <c r="BK173" s="62"/>
      <c r="BL173" s="62"/>
      <c r="BM173" s="62"/>
      <c r="BN173" s="62"/>
      <c r="BO173" s="62"/>
      <c r="BP173" s="62"/>
      <c r="BQ173" s="62"/>
      <c r="BR173" s="62"/>
      <c r="BS173" s="62"/>
      <c r="BT173" s="62"/>
      <c r="BU173" s="62"/>
      <c r="BV173" s="62"/>
      <c r="BW173" s="62"/>
      <c r="BX173" s="62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  <c r="HB173"/>
      <c r="HC173"/>
      <c r="HD173"/>
      <c r="HE173"/>
      <c r="HF173"/>
      <c r="HG173"/>
      <c r="HH173"/>
      <c r="HI173"/>
      <c r="HJ173"/>
      <c r="HK173"/>
      <c r="HL173"/>
      <c r="HM173"/>
      <c r="HN173"/>
      <c r="HO173"/>
      <c r="HP173"/>
      <c r="HQ173"/>
      <c r="HR173"/>
      <c r="HS173"/>
      <c r="HT173"/>
      <c r="HU173"/>
      <c r="HV173"/>
      <c r="HW173"/>
      <c r="HX173"/>
      <c r="HY173"/>
      <c r="HZ173"/>
      <c r="IA173"/>
      <c r="IB173"/>
      <c r="IC173"/>
      <c r="ID173"/>
      <c r="IE173"/>
      <c r="IF173"/>
      <c r="IG173"/>
      <c r="IH173"/>
      <c r="II173"/>
      <c r="IJ173"/>
      <c r="IK173"/>
      <c r="IL173"/>
      <c r="IM173"/>
      <c r="IN173"/>
      <c r="IO173"/>
      <c r="IP173"/>
      <c r="IQ173"/>
      <c r="IR173"/>
      <c r="IS173"/>
      <c r="IT173"/>
      <c r="IU173"/>
      <c r="IV173"/>
      <c r="IW173"/>
      <c r="IX173"/>
      <c r="IY173"/>
      <c r="IZ173"/>
      <c r="JA173"/>
      <c r="JB173"/>
      <c r="JC173"/>
      <c r="JD173"/>
      <c r="JE173"/>
      <c r="JF173"/>
      <c r="JG173"/>
      <c r="JH173"/>
      <c r="JI173"/>
      <c r="JJ173"/>
      <c r="JK173"/>
      <c r="JL173"/>
      <c r="JM173"/>
      <c r="JN173"/>
      <c r="JO173"/>
      <c r="JP173"/>
      <c r="JQ173"/>
      <c r="JR173"/>
      <c r="JS173"/>
      <c r="JT173"/>
      <c r="JU173"/>
      <c r="JV173"/>
      <c r="JW173"/>
      <c r="JX173"/>
      <c r="JY173"/>
      <c r="JZ173"/>
      <c r="KA173"/>
      <c r="KB173"/>
      <c r="KC173"/>
      <c r="KD173"/>
      <c r="KE173"/>
      <c r="KF173"/>
      <c r="KG173"/>
      <c r="KH173"/>
      <c r="KI173"/>
      <c r="KJ173"/>
      <c r="KK173"/>
      <c r="KL173"/>
      <c r="KM173"/>
      <c r="KN173"/>
      <c r="KO173"/>
      <c r="KP173"/>
      <c r="KQ173"/>
      <c r="KR173"/>
      <c r="KS173"/>
      <c r="KT173"/>
      <c r="KU173"/>
      <c r="KV173"/>
      <c r="KW173"/>
      <c r="KX173"/>
      <c r="KY173"/>
      <c r="KZ173"/>
      <c r="LA173"/>
      <c r="LB173"/>
      <c r="LC173"/>
      <c r="LD173"/>
      <c r="LE173"/>
      <c r="LF173"/>
      <c r="LG173"/>
      <c r="LH173"/>
      <c r="LI173"/>
      <c r="LJ173"/>
      <c r="LK173"/>
      <c r="LL173"/>
      <c r="LM173"/>
      <c r="LN173"/>
      <c r="LO173"/>
      <c r="LP173"/>
      <c r="LQ173"/>
      <c r="LR173"/>
      <c r="LS173"/>
      <c r="LT173"/>
      <c r="LU173"/>
      <c r="LV173"/>
      <c r="LW173"/>
      <c r="LX173"/>
      <c r="LY173"/>
      <c r="LZ173"/>
      <c r="MA173"/>
      <c r="MB173"/>
      <c r="MC173"/>
      <c r="MD173"/>
      <c r="ME173"/>
      <c r="MF173"/>
      <c r="MG173"/>
      <c r="MH173"/>
      <c r="MI173"/>
      <c r="MJ173"/>
      <c r="MK173"/>
      <c r="ML173"/>
      <c r="MM173"/>
      <c r="MN173"/>
      <c r="MO173"/>
      <c r="MP173"/>
      <c r="MQ173"/>
      <c r="MR173"/>
      <c r="MS173"/>
      <c r="MT173"/>
      <c r="MU173"/>
      <c r="MV173"/>
      <c r="MW173"/>
      <c r="MX173"/>
      <c r="MY173"/>
      <c r="MZ173"/>
      <c r="NA173"/>
      <c r="NB173"/>
      <c r="NC173"/>
      <c r="ND173"/>
      <c r="NE173"/>
      <c r="NF173"/>
      <c r="NG173"/>
      <c r="NH173"/>
      <c r="NI173"/>
      <c r="NJ173"/>
      <c r="NK173"/>
      <c r="NL173"/>
      <c r="NM173"/>
      <c r="NN173"/>
      <c r="NO173"/>
      <c r="NP173"/>
      <c r="NQ173"/>
      <c r="NR173"/>
      <c r="NS173"/>
      <c r="NT173"/>
      <c r="NU173"/>
      <c r="NV173"/>
      <c r="NW173"/>
      <c r="NX173"/>
      <c r="NY173"/>
      <c r="NZ173"/>
      <c r="OA173"/>
      <c r="OB173"/>
      <c r="OC173"/>
      <c r="OD173"/>
      <c r="OE173"/>
      <c r="OF173"/>
      <c r="OG173"/>
      <c r="OH173"/>
      <c r="OI173"/>
      <c r="OJ173"/>
      <c r="OK173"/>
      <c r="OL173"/>
      <c r="OM173"/>
      <c r="ON173"/>
      <c r="OO173"/>
      <c r="OP173"/>
      <c r="OQ173"/>
      <c r="OR173"/>
      <c r="OS173"/>
      <c r="OT173"/>
      <c r="OU173"/>
      <c r="OV173"/>
      <c r="OW173"/>
      <c r="OX173"/>
      <c r="OY173"/>
      <c r="OZ173"/>
      <c r="PA173"/>
      <c r="PB173"/>
      <c r="PC173"/>
      <c r="PD173"/>
      <c r="PE173"/>
      <c r="PF173"/>
      <c r="PG173"/>
      <c r="PH173"/>
      <c r="PI173"/>
      <c r="PJ173"/>
      <c r="PK173"/>
      <c r="PL173"/>
      <c r="PM173"/>
      <c r="PN173"/>
      <c r="PO173"/>
      <c r="PP173"/>
      <c r="PQ173"/>
      <c r="PR173"/>
      <c r="PS173"/>
      <c r="PT173"/>
      <c r="PU173"/>
      <c r="PV173"/>
      <c r="PW173"/>
      <c r="PX173"/>
      <c r="PY173"/>
      <c r="PZ173"/>
      <c r="QA173"/>
      <c r="QB173"/>
      <c r="QC173"/>
      <c r="QD173"/>
      <c r="QE173"/>
      <c r="QF173"/>
      <c r="QG173"/>
      <c r="QH173"/>
      <c r="QI173"/>
      <c r="QJ173"/>
      <c r="QK173"/>
      <c r="QL173"/>
      <c r="QM173"/>
      <c r="QN173"/>
      <c r="QO173"/>
      <c r="QP173"/>
      <c r="QQ173"/>
      <c r="QR173"/>
      <c r="QS173"/>
      <c r="QT173"/>
      <c r="QU173"/>
      <c r="QV173"/>
      <c r="QW173"/>
      <c r="QX173"/>
    </row>
    <row r="174" spans="1:466" x14ac:dyDescent="0.35">
      <c r="A174" s="53"/>
      <c r="B174" s="53"/>
      <c r="C174" s="55"/>
      <c r="D174" s="53"/>
      <c r="E174" s="53"/>
      <c r="F174" s="126" t="s">
        <v>299</v>
      </c>
      <c r="G174" s="125">
        <v>2.5930799999999996</v>
      </c>
      <c r="H174" s="125">
        <v>77.792399999999986</v>
      </c>
      <c r="I174" s="133">
        <v>30</v>
      </c>
      <c r="J174" s="53"/>
      <c r="K174" s="53"/>
      <c r="L174" s="53"/>
      <c r="M174" s="53"/>
      <c r="N174" s="53"/>
      <c r="O174" s="53"/>
      <c r="P174" s="53"/>
      <c r="Q174" s="53"/>
      <c r="R174" s="53"/>
      <c r="S174" s="53"/>
      <c r="T174" s="53"/>
      <c r="U174" s="53"/>
      <c r="V174" s="53"/>
      <c r="W174" s="53"/>
      <c r="X174" s="53"/>
      <c r="Y174" s="53"/>
      <c r="Z174" s="53"/>
      <c r="AA174" s="53"/>
      <c r="AB174" s="53"/>
      <c r="AC174" s="53"/>
      <c r="AD174" s="53"/>
      <c r="AE174" s="53"/>
      <c r="AF174" s="63"/>
      <c r="AG174" s="64"/>
      <c r="AH174" s="65"/>
      <c r="AI174" s="65"/>
      <c r="AJ174" s="53"/>
      <c r="AK174" s="62"/>
      <c r="AL174" s="62"/>
      <c r="AM174" s="62"/>
      <c r="AN174" s="62"/>
      <c r="AO174" s="62"/>
      <c r="AP174" s="62"/>
      <c r="AQ174" s="62"/>
      <c r="AR174" s="62"/>
      <c r="AS174" s="62"/>
      <c r="AT174" s="62"/>
      <c r="AU174" s="62"/>
      <c r="AV174" s="62"/>
      <c r="AW174" s="62"/>
      <c r="AX174" s="62"/>
      <c r="AY174" s="62"/>
      <c r="AZ174" s="62"/>
      <c r="BA174" s="62"/>
      <c r="BB174" s="62"/>
      <c r="BC174" s="62"/>
      <c r="BD174" s="62"/>
      <c r="BE174" s="62"/>
      <c r="BF174" s="62"/>
      <c r="BG174" s="62"/>
      <c r="BH174" s="62"/>
      <c r="BI174" s="62"/>
      <c r="BJ174" s="62"/>
      <c r="BK174" s="62"/>
      <c r="BL174" s="62"/>
      <c r="BM174" s="62"/>
      <c r="BN174" s="62"/>
      <c r="BO174" s="62"/>
      <c r="BP174" s="62"/>
      <c r="BQ174" s="62"/>
      <c r="BR174" s="62"/>
      <c r="BS174" s="62"/>
      <c r="BT174" s="62"/>
      <c r="BU174" s="62"/>
      <c r="BV174" s="62"/>
      <c r="BW174" s="62"/>
      <c r="BX174" s="62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  <c r="HB174"/>
      <c r="HC174"/>
      <c r="HD174"/>
      <c r="HE174"/>
      <c r="HF174"/>
      <c r="HG174"/>
      <c r="HH174"/>
      <c r="HI174"/>
      <c r="HJ174"/>
      <c r="HK174"/>
      <c r="HL174"/>
      <c r="HM174"/>
      <c r="HN174"/>
      <c r="HO174"/>
      <c r="HP174"/>
      <c r="HQ174"/>
      <c r="HR174"/>
      <c r="HS174"/>
      <c r="HT174"/>
      <c r="HU174"/>
      <c r="HV174"/>
      <c r="HW174"/>
      <c r="HX174"/>
      <c r="HY174"/>
      <c r="HZ174"/>
      <c r="IA174"/>
      <c r="IB174"/>
      <c r="IC174"/>
      <c r="ID174"/>
      <c r="IE174"/>
      <c r="IF174"/>
      <c r="IG174"/>
      <c r="IH174"/>
      <c r="II174"/>
      <c r="IJ174"/>
      <c r="IK174"/>
      <c r="IL174"/>
      <c r="IM174"/>
      <c r="IN174"/>
      <c r="IO174"/>
      <c r="IP174"/>
      <c r="IQ174"/>
      <c r="IR174"/>
      <c r="IS174"/>
      <c r="IT174"/>
      <c r="IU174"/>
      <c r="IV174"/>
      <c r="IW174"/>
      <c r="IX174"/>
      <c r="IY174"/>
      <c r="IZ174"/>
      <c r="JA174"/>
      <c r="JB174"/>
      <c r="JC174"/>
      <c r="JD174"/>
      <c r="JE174"/>
      <c r="JF174"/>
      <c r="JG174"/>
      <c r="JH174"/>
      <c r="JI174"/>
      <c r="JJ174"/>
      <c r="JK174"/>
      <c r="JL174"/>
      <c r="JM174"/>
      <c r="JN174"/>
      <c r="JO174"/>
      <c r="JP174"/>
      <c r="JQ174"/>
      <c r="JR174"/>
      <c r="JS174"/>
      <c r="JT174"/>
      <c r="JU174"/>
      <c r="JV174"/>
      <c r="JW174"/>
      <c r="JX174"/>
      <c r="JY174"/>
      <c r="JZ174"/>
      <c r="KA174"/>
      <c r="KB174"/>
      <c r="KC174"/>
      <c r="KD174"/>
      <c r="KE174"/>
      <c r="KF174"/>
      <c r="KG174"/>
      <c r="KH174"/>
      <c r="KI174"/>
      <c r="KJ174"/>
      <c r="KK174"/>
      <c r="KL174"/>
      <c r="KM174"/>
      <c r="KN174"/>
      <c r="KO174"/>
      <c r="KP174"/>
      <c r="KQ174"/>
      <c r="KR174"/>
      <c r="KS174"/>
      <c r="KT174"/>
      <c r="KU174"/>
      <c r="KV174"/>
      <c r="KW174"/>
      <c r="KX174"/>
      <c r="KY174"/>
      <c r="KZ174"/>
      <c r="LA174"/>
      <c r="LB174"/>
      <c r="LC174"/>
      <c r="LD174"/>
      <c r="LE174"/>
      <c r="LF174"/>
      <c r="LG174"/>
      <c r="LH174"/>
      <c r="LI174"/>
      <c r="LJ174"/>
      <c r="LK174"/>
      <c r="LL174"/>
      <c r="LM174"/>
      <c r="LN174"/>
      <c r="LO174"/>
      <c r="LP174"/>
      <c r="LQ174"/>
      <c r="LR174"/>
      <c r="LS174"/>
      <c r="LT174"/>
      <c r="LU174"/>
      <c r="LV174"/>
      <c r="LW174"/>
      <c r="LX174"/>
      <c r="LY174"/>
      <c r="LZ174"/>
      <c r="MA174"/>
      <c r="MB174"/>
      <c r="MC174"/>
      <c r="MD174"/>
      <c r="ME174"/>
      <c r="MF174"/>
      <c r="MG174"/>
      <c r="MH174"/>
      <c r="MI174"/>
      <c r="MJ174"/>
      <c r="MK174"/>
      <c r="ML174"/>
      <c r="MM174"/>
      <c r="MN174"/>
      <c r="MO174"/>
      <c r="MP174"/>
      <c r="MQ174"/>
      <c r="MR174"/>
      <c r="MS174"/>
      <c r="MT174"/>
      <c r="MU174"/>
      <c r="MV174"/>
      <c r="MW174"/>
      <c r="MX174"/>
      <c r="MY174"/>
      <c r="MZ174"/>
      <c r="NA174"/>
      <c r="NB174"/>
      <c r="NC174"/>
      <c r="ND174"/>
      <c r="NE174"/>
      <c r="NF174"/>
      <c r="NG174"/>
      <c r="NH174"/>
      <c r="NI174"/>
      <c r="NJ174"/>
      <c r="NK174"/>
      <c r="NL174"/>
      <c r="NM174"/>
      <c r="NN174"/>
      <c r="NO174"/>
      <c r="NP174"/>
      <c r="NQ174"/>
      <c r="NR174"/>
      <c r="NS174"/>
      <c r="NT174"/>
      <c r="NU174"/>
      <c r="NV174"/>
      <c r="NW174"/>
      <c r="NX174"/>
      <c r="NY174"/>
      <c r="NZ174"/>
      <c r="OA174"/>
      <c r="OB174"/>
      <c r="OC174"/>
      <c r="OD174"/>
      <c r="OE174"/>
      <c r="OF174"/>
      <c r="OG174"/>
      <c r="OH174"/>
      <c r="OI174"/>
      <c r="OJ174"/>
      <c r="OK174"/>
      <c r="OL174"/>
      <c r="OM174"/>
      <c r="ON174"/>
      <c r="OO174"/>
      <c r="OP174"/>
      <c r="OQ174"/>
      <c r="OR174"/>
      <c r="OS174"/>
      <c r="OT174"/>
      <c r="OU174"/>
      <c r="OV174"/>
      <c r="OW174"/>
      <c r="OX174"/>
      <c r="OY174"/>
      <c r="OZ174"/>
      <c r="PA174"/>
      <c r="PB174"/>
      <c r="PC174"/>
      <c r="PD174"/>
      <c r="PE174"/>
      <c r="PF174"/>
      <c r="PG174"/>
      <c r="PH174"/>
      <c r="PI174"/>
      <c r="PJ174"/>
      <c r="PK174"/>
      <c r="PL174"/>
      <c r="PM174"/>
      <c r="PN174"/>
      <c r="PO174"/>
      <c r="PP174"/>
      <c r="PQ174"/>
      <c r="PR174"/>
      <c r="PS174"/>
      <c r="PT174"/>
      <c r="PU174"/>
      <c r="PV174"/>
      <c r="PW174"/>
      <c r="PX174"/>
      <c r="PY174"/>
      <c r="PZ174"/>
      <c r="QA174"/>
      <c r="QB174"/>
      <c r="QC174"/>
      <c r="QD174"/>
      <c r="QE174"/>
      <c r="QF174"/>
      <c r="QG174"/>
      <c r="QH174"/>
      <c r="QI174"/>
      <c r="QJ174"/>
      <c r="QK174"/>
      <c r="QL174"/>
      <c r="QM174"/>
      <c r="QN174"/>
      <c r="QO174"/>
      <c r="QP174"/>
      <c r="QQ174"/>
      <c r="QR174"/>
      <c r="QS174"/>
      <c r="QT174"/>
      <c r="QU174"/>
      <c r="QV174"/>
      <c r="QW174"/>
      <c r="QX174"/>
    </row>
    <row r="175" spans="1:466" x14ac:dyDescent="0.35">
      <c r="A175" s="53"/>
      <c r="B175" s="53"/>
      <c r="C175" s="55"/>
      <c r="D175" s="53"/>
      <c r="E175" s="53"/>
      <c r="F175" s="126" t="s">
        <v>226</v>
      </c>
      <c r="G175" s="125">
        <v>2.5930799999999996</v>
      </c>
      <c r="H175" s="125">
        <v>49.268519999999995</v>
      </c>
      <c r="I175" s="133">
        <v>19</v>
      </c>
      <c r="J175" s="53"/>
      <c r="K175" s="53"/>
      <c r="L175" s="53"/>
      <c r="M175" s="53"/>
      <c r="N175" s="53"/>
      <c r="O175" s="53"/>
      <c r="P175" s="53"/>
      <c r="Q175" s="53"/>
      <c r="R175" s="53"/>
      <c r="S175" s="53"/>
      <c r="T175" s="53"/>
      <c r="U175" s="53"/>
      <c r="V175" s="53"/>
      <c r="W175" s="53"/>
      <c r="X175" s="53"/>
      <c r="Y175" s="53"/>
      <c r="Z175" s="53"/>
      <c r="AA175" s="53"/>
      <c r="AB175" s="53"/>
      <c r="AC175" s="53"/>
      <c r="AD175" s="53"/>
      <c r="AE175" s="53"/>
      <c r="AF175" s="63"/>
      <c r="AG175" s="64"/>
      <c r="AH175" s="65"/>
      <c r="AI175" s="65"/>
      <c r="AJ175" s="53"/>
      <c r="AK175" s="62"/>
      <c r="AL175" s="62"/>
      <c r="AM175" s="62"/>
      <c r="AN175" s="62"/>
      <c r="AO175" s="62"/>
      <c r="AP175" s="62"/>
      <c r="AQ175" s="62"/>
      <c r="AR175" s="62"/>
      <c r="AS175" s="62"/>
      <c r="AT175" s="62"/>
      <c r="AU175" s="62"/>
      <c r="AV175" s="62"/>
      <c r="AW175" s="62"/>
      <c r="AX175" s="62"/>
      <c r="AY175" s="62"/>
      <c r="AZ175" s="62"/>
      <c r="BA175" s="62"/>
      <c r="BB175" s="62"/>
      <c r="BC175" s="62"/>
      <c r="BD175" s="62"/>
      <c r="BE175" s="62"/>
      <c r="BF175" s="62"/>
      <c r="BG175" s="62"/>
      <c r="BH175" s="62"/>
      <c r="BI175" s="62"/>
      <c r="BJ175" s="62"/>
      <c r="BK175" s="62"/>
      <c r="BL175" s="62"/>
      <c r="BM175" s="62"/>
      <c r="BN175" s="62"/>
      <c r="BO175" s="62"/>
      <c r="BP175" s="62"/>
      <c r="BQ175" s="62"/>
      <c r="BR175" s="62"/>
      <c r="BS175" s="62"/>
      <c r="BT175" s="62"/>
      <c r="BU175" s="62"/>
      <c r="BV175" s="62"/>
      <c r="BW175" s="62"/>
      <c r="BX175" s="62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  <c r="HB175"/>
      <c r="HC175"/>
      <c r="HD175"/>
      <c r="HE175"/>
      <c r="HF175"/>
      <c r="HG175"/>
      <c r="HH175"/>
      <c r="HI175"/>
      <c r="HJ175"/>
      <c r="HK175"/>
      <c r="HL175"/>
      <c r="HM175"/>
      <c r="HN175"/>
      <c r="HO175"/>
      <c r="HP175"/>
      <c r="HQ175"/>
      <c r="HR175"/>
      <c r="HS175"/>
      <c r="HT175"/>
      <c r="HU175"/>
      <c r="HV175"/>
      <c r="HW175"/>
      <c r="HX175"/>
      <c r="HY175"/>
      <c r="HZ175"/>
      <c r="IA175"/>
      <c r="IB175"/>
      <c r="IC175"/>
      <c r="ID175"/>
      <c r="IE175"/>
      <c r="IF175"/>
      <c r="IG175"/>
      <c r="IH175"/>
      <c r="II175"/>
      <c r="IJ175"/>
      <c r="IK175"/>
      <c r="IL175"/>
      <c r="IM175"/>
      <c r="IN175"/>
      <c r="IO175"/>
      <c r="IP175"/>
      <c r="IQ175"/>
      <c r="IR175"/>
      <c r="IS175"/>
      <c r="IT175"/>
      <c r="IU175"/>
      <c r="IV175"/>
      <c r="IW175"/>
      <c r="IX175"/>
      <c r="IY175"/>
      <c r="IZ175"/>
      <c r="JA175"/>
      <c r="JB175"/>
      <c r="JC175"/>
      <c r="JD175"/>
      <c r="JE175"/>
      <c r="JF175"/>
      <c r="JG175"/>
      <c r="JH175"/>
      <c r="JI175"/>
      <c r="JJ175"/>
      <c r="JK175"/>
      <c r="JL175"/>
      <c r="JM175"/>
      <c r="JN175"/>
      <c r="JO175"/>
      <c r="JP175"/>
      <c r="JQ175"/>
      <c r="JR175"/>
      <c r="JS175"/>
      <c r="JT175"/>
      <c r="JU175"/>
      <c r="JV175"/>
      <c r="JW175"/>
      <c r="JX175"/>
      <c r="JY175"/>
      <c r="JZ175"/>
      <c r="KA175"/>
      <c r="KB175"/>
      <c r="KC175"/>
      <c r="KD175"/>
      <c r="KE175"/>
      <c r="KF175"/>
      <c r="KG175"/>
      <c r="KH175"/>
      <c r="KI175"/>
      <c r="KJ175"/>
      <c r="KK175"/>
      <c r="KL175"/>
      <c r="KM175"/>
      <c r="KN175"/>
      <c r="KO175"/>
      <c r="KP175"/>
      <c r="KQ175"/>
      <c r="KR175"/>
      <c r="KS175"/>
      <c r="KT175"/>
      <c r="KU175"/>
      <c r="KV175"/>
      <c r="KW175"/>
      <c r="KX175"/>
      <c r="KY175"/>
      <c r="KZ175"/>
      <c r="LA175"/>
      <c r="LB175"/>
      <c r="LC175"/>
      <c r="LD175"/>
      <c r="LE175"/>
      <c r="LF175"/>
      <c r="LG175"/>
      <c r="LH175"/>
      <c r="LI175"/>
      <c r="LJ175"/>
      <c r="LK175"/>
      <c r="LL175"/>
      <c r="LM175"/>
      <c r="LN175"/>
      <c r="LO175"/>
      <c r="LP175"/>
      <c r="LQ175"/>
      <c r="LR175"/>
      <c r="LS175"/>
      <c r="LT175"/>
      <c r="LU175"/>
      <c r="LV175"/>
      <c r="LW175"/>
      <c r="LX175"/>
      <c r="LY175"/>
      <c r="LZ175"/>
      <c r="MA175"/>
      <c r="MB175"/>
      <c r="MC175"/>
      <c r="MD175"/>
      <c r="ME175"/>
      <c r="MF175"/>
      <c r="MG175"/>
      <c r="MH175"/>
      <c r="MI175"/>
      <c r="MJ175"/>
      <c r="MK175"/>
      <c r="ML175"/>
      <c r="MM175"/>
      <c r="MN175"/>
      <c r="MO175"/>
      <c r="MP175"/>
      <c r="MQ175"/>
      <c r="MR175"/>
      <c r="MS175"/>
      <c r="MT175"/>
      <c r="MU175"/>
      <c r="MV175"/>
      <c r="MW175"/>
      <c r="MX175"/>
      <c r="MY175"/>
      <c r="MZ175"/>
      <c r="NA175"/>
      <c r="NB175"/>
      <c r="NC175"/>
      <c r="ND175"/>
      <c r="NE175"/>
      <c r="NF175"/>
      <c r="NG175"/>
      <c r="NH175"/>
      <c r="NI175"/>
      <c r="NJ175"/>
      <c r="NK175"/>
      <c r="NL175"/>
      <c r="NM175"/>
      <c r="NN175"/>
      <c r="NO175"/>
      <c r="NP175"/>
      <c r="NQ175"/>
      <c r="NR175"/>
      <c r="NS175"/>
      <c r="NT175"/>
      <c r="NU175"/>
      <c r="NV175"/>
      <c r="NW175"/>
      <c r="NX175"/>
      <c r="NY175"/>
      <c r="NZ175"/>
      <c r="OA175"/>
      <c r="OB175"/>
      <c r="OC175"/>
      <c r="OD175"/>
      <c r="OE175"/>
      <c r="OF175"/>
      <c r="OG175"/>
      <c r="OH175"/>
      <c r="OI175"/>
      <c r="OJ175"/>
      <c r="OK175"/>
      <c r="OL175"/>
      <c r="OM175"/>
      <c r="ON175"/>
      <c r="OO175"/>
      <c r="OP175"/>
      <c r="OQ175"/>
      <c r="OR175"/>
      <c r="OS175"/>
      <c r="OT175"/>
      <c r="OU175"/>
      <c r="OV175"/>
      <c r="OW175"/>
      <c r="OX175"/>
      <c r="OY175"/>
      <c r="OZ175"/>
      <c r="PA175"/>
      <c r="PB175"/>
      <c r="PC175"/>
      <c r="PD175"/>
      <c r="PE175"/>
      <c r="PF175"/>
      <c r="PG175"/>
      <c r="PH175"/>
      <c r="PI175"/>
      <c r="PJ175"/>
      <c r="PK175"/>
      <c r="PL175"/>
      <c r="PM175"/>
      <c r="PN175"/>
      <c r="PO175"/>
      <c r="PP175"/>
      <c r="PQ175"/>
      <c r="PR175"/>
      <c r="PS175"/>
      <c r="PT175"/>
      <c r="PU175"/>
      <c r="PV175"/>
      <c r="PW175"/>
      <c r="PX175"/>
      <c r="PY175"/>
      <c r="PZ175"/>
      <c r="QA175"/>
      <c r="QB175"/>
      <c r="QC175"/>
      <c r="QD175"/>
      <c r="QE175"/>
      <c r="QF175"/>
      <c r="QG175"/>
      <c r="QH175"/>
      <c r="QI175"/>
      <c r="QJ175"/>
      <c r="QK175"/>
      <c r="QL175"/>
      <c r="QM175"/>
      <c r="QN175"/>
      <c r="QO175"/>
      <c r="QP175"/>
      <c r="QQ175"/>
      <c r="QR175"/>
      <c r="QS175"/>
      <c r="QT175"/>
      <c r="QU175"/>
      <c r="QV175"/>
      <c r="QW175"/>
      <c r="QX175"/>
    </row>
    <row r="176" spans="1:466" x14ac:dyDescent="0.35">
      <c r="A176" s="53"/>
      <c r="B176" s="53"/>
      <c r="C176" s="55"/>
      <c r="D176" s="53"/>
      <c r="E176" s="53"/>
      <c r="F176" s="126" t="s">
        <v>269</v>
      </c>
      <c r="G176" s="125">
        <v>2.5930799999999996</v>
      </c>
      <c r="H176" s="125">
        <v>77.792399999999986</v>
      </c>
      <c r="I176" s="133">
        <v>30</v>
      </c>
      <c r="J176" s="53"/>
      <c r="K176" s="53"/>
      <c r="L176" s="53"/>
      <c r="M176" s="53"/>
      <c r="N176" s="53"/>
      <c r="O176" s="53"/>
      <c r="P176" s="53"/>
      <c r="Q176" s="53"/>
      <c r="R176" s="53"/>
      <c r="S176" s="53"/>
      <c r="T176" s="53"/>
      <c r="U176" s="53"/>
      <c r="V176" s="53"/>
      <c r="W176" s="53"/>
      <c r="X176" s="53"/>
      <c r="Y176" s="53"/>
      <c r="Z176" s="53"/>
      <c r="AA176" s="53"/>
      <c r="AB176" s="53"/>
      <c r="AC176" s="53"/>
      <c r="AD176" s="53"/>
      <c r="AE176" s="53"/>
      <c r="AF176" s="63"/>
      <c r="AG176" s="64"/>
      <c r="AH176" s="65"/>
      <c r="AI176" s="65"/>
      <c r="AJ176" s="53"/>
      <c r="AK176" s="62"/>
      <c r="AL176" s="62"/>
      <c r="AM176" s="62"/>
      <c r="AN176" s="62"/>
      <c r="AO176" s="62"/>
      <c r="AP176" s="62"/>
      <c r="AQ176" s="62"/>
      <c r="AR176" s="62"/>
      <c r="AS176" s="62"/>
      <c r="AT176" s="62"/>
      <c r="AU176" s="62"/>
      <c r="AV176" s="62"/>
      <c r="AW176" s="62"/>
      <c r="AX176" s="62"/>
      <c r="AY176" s="62"/>
      <c r="AZ176" s="62"/>
      <c r="BA176" s="62"/>
      <c r="BB176" s="62"/>
      <c r="BC176" s="62"/>
      <c r="BD176" s="62"/>
      <c r="BE176" s="62"/>
      <c r="BF176" s="62"/>
      <c r="BG176" s="62"/>
      <c r="BH176" s="62"/>
      <c r="BI176" s="62"/>
      <c r="BJ176" s="62"/>
      <c r="BK176" s="62"/>
      <c r="BL176" s="62"/>
      <c r="BM176" s="62"/>
      <c r="BN176" s="62"/>
      <c r="BO176" s="62"/>
      <c r="BP176" s="62"/>
      <c r="BQ176" s="62"/>
      <c r="BR176" s="62"/>
      <c r="BS176" s="62"/>
      <c r="BT176" s="62"/>
      <c r="BU176" s="62"/>
      <c r="BV176" s="62"/>
      <c r="BW176" s="62"/>
      <c r="BX176" s="62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  <c r="HB176"/>
      <c r="HC176"/>
      <c r="HD176"/>
      <c r="HE176"/>
      <c r="HF176"/>
      <c r="HG176"/>
      <c r="HH176"/>
      <c r="HI176"/>
      <c r="HJ176"/>
      <c r="HK176"/>
      <c r="HL176"/>
      <c r="HM176"/>
      <c r="HN176"/>
      <c r="HO176"/>
      <c r="HP176"/>
      <c r="HQ176"/>
      <c r="HR176"/>
      <c r="HS176"/>
      <c r="HT176"/>
      <c r="HU176"/>
      <c r="HV176"/>
      <c r="HW176"/>
      <c r="HX176"/>
      <c r="HY176"/>
      <c r="HZ176"/>
      <c r="IA176"/>
      <c r="IB176"/>
      <c r="IC176"/>
      <c r="ID176"/>
      <c r="IE176"/>
      <c r="IF176"/>
      <c r="IG176"/>
      <c r="IH176"/>
      <c r="II176"/>
      <c r="IJ176"/>
      <c r="IK176"/>
      <c r="IL176"/>
      <c r="IM176"/>
      <c r="IN176"/>
      <c r="IO176"/>
      <c r="IP176"/>
      <c r="IQ176"/>
      <c r="IR176"/>
      <c r="IS176"/>
      <c r="IT176"/>
      <c r="IU176"/>
      <c r="IV176"/>
      <c r="IW176"/>
      <c r="IX176"/>
      <c r="IY176"/>
      <c r="IZ176"/>
      <c r="JA176"/>
      <c r="JB176"/>
      <c r="JC176"/>
      <c r="JD176"/>
      <c r="JE176"/>
      <c r="JF176"/>
      <c r="JG176"/>
      <c r="JH176"/>
      <c r="JI176"/>
      <c r="JJ176"/>
      <c r="JK176"/>
      <c r="JL176"/>
      <c r="JM176"/>
      <c r="JN176"/>
      <c r="JO176"/>
      <c r="JP176"/>
      <c r="JQ176"/>
      <c r="JR176"/>
      <c r="JS176"/>
      <c r="JT176"/>
      <c r="JU176"/>
      <c r="JV176"/>
      <c r="JW176"/>
      <c r="JX176"/>
      <c r="JY176"/>
      <c r="JZ176"/>
      <c r="KA176"/>
      <c r="KB176"/>
      <c r="KC176"/>
      <c r="KD176"/>
      <c r="KE176"/>
      <c r="KF176"/>
      <c r="KG176"/>
      <c r="KH176"/>
      <c r="KI176"/>
      <c r="KJ176"/>
      <c r="KK176"/>
      <c r="KL176"/>
      <c r="KM176"/>
      <c r="KN176"/>
      <c r="KO176"/>
      <c r="KP176"/>
      <c r="KQ176"/>
      <c r="KR176"/>
      <c r="KS176"/>
      <c r="KT176"/>
      <c r="KU176"/>
      <c r="KV176"/>
      <c r="KW176"/>
      <c r="KX176"/>
      <c r="KY176"/>
      <c r="KZ176"/>
      <c r="LA176"/>
      <c r="LB176"/>
      <c r="LC176"/>
      <c r="LD176"/>
      <c r="LE176"/>
      <c r="LF176"/>
      <c r="LG176"/>
      <c r="LH176"/>
      <c r="LI176"/>
      <c r="LJ176"/>
      <c r="LK176"/>
      <c r="LL176"/>
      <c r="LM176"/>
      <c r="LN176"/>
      <c r="LO176"/>
      <c r="LP176"/>
      <c r="LQ176"/>
      <c r="LR176"/>
      <c r="LS176"/>
      <c r="LT176"/>
      <c r="LU176"/>
      <c r="LV176"/>
      <c r="LW176"/>
      <c r="LX176"/>
      <c r="LY176"/>
      <c r="LZ176"/>
      <c r="MA176"/>
      <c r="MB176"/>
      <c r="MC176"/>
      <c r="MD176"/>
      <c r="ME176"/>
      <c r="MF176"/>
      <c r="MG176"/>
      <c r="MH176"/>
      <c r="MI176"/>
      <c r="MJ176"/>
      <c r="MK176"/>
      <c r="ML176"/>
      <c r="MM176"/>
      <c r="MN176"/>
      <c r="MO176"/>
      <c r="MP176"/>
      <c r="MQ176"/>
      <c r="MR176"/>
      <c r="MS176"/>
      <c r="MT176"/>
      <c r="MU176"/>
      <c r="MV176"/>
      <c r="MW176"/>
      <c r="MX176"/>
      <c r="MY176"/>
      <c r="MZ176"/>
      <c r="NA176"/>
      <c r="NB176"/>
      <c r="NC176"/>
      <c r="ND176"/>
      <c r="NE176"/>
      <c r="NF176"/>
      <c r="NG176"/>
      <c r="NH176"/>
      <c r="NI176"/>
      <c r="NJ176"/>
      <c r="NK176"/>
      <c r="NL176"/>
      <c r="NM176"/>
      <c r="NN176"/>
      <c r="NO176"/>
      <c r="NP176"/>
      <c r="NQ176"/>
      <c r="NR176"/>
      <c r="NS176"/>
      <c r="NT176"/>
      <c r="NU176"/>
      <c r="NV176"/>
      <c r="NW176"/>
      <c r="NX176"/>
      <c r="NY176"/>
      <c r="NZ176"/>
      <c r="OA176"/>
      <c r="OB176"/>
      <c r="OC176"/>
      <c r="OD176"/>
      <c r="OE176"/>
      <c r="OF176"/>
      <c r="OG176"/>
      <c r="OH176"/>
      <c r="OI176"/>
      <c r="OJ176"/>
      <c r="OK176"/>
      <c r="OL176"/>
      <c r="OM176"/>
      <c r="ON176"/>
      <c r="OO176"/>
      <c r="OP176"/>
      <c r="OQ176"/>
      <c r="OR176"/>
      <c r="OS176"/>
      <c r="OT176"/>
      <c r="OU176"/>
      <c r="OV176"/>
      <c r="OW176"/>
      <c r="OX176"/>
      <c r="OY176"/>
      <c r="OZ176"/>
      <c r="PA176"/>
      <c r="PB176"/>
      <c r="PC176"/>
      <c r="PD176"/>
      <c r="PE176"/>
      <c r="PF176"/>
      <c r="PG176"/>
      <c r="PH176"/>
      <c r="PI176"/>
      <c r="PJ176"/>
      <c r="PK176"/>
      <c r="PL176"/>
      <c r="PM176"/>
      <c r="PN176"/>
      <c r="PO176"/>
      <c r="PP176"/>
      <c r="PQ176"/>
      <c r="PR176"/>
      <c r="PS176"/>
      <c r="PT176"/>
      <c r="PU176"/>
      <c r="PV176"/>
      <c r="PW176"/>
      <c r="PX176"/>
      <c r="PY176"/>
      <c r="PZ176"/>
      <c r="QA176"/>
      <c r="QB176"/>
      <c r="QC176"/>
      <c r="QD176"/>
      <c r="QE176"/>
      <c r="QF176"/>
      <c r="QG176"/>
      <c r="QH176"/>
      <c r="QI176"/>
      <c r="QJ176"/>
      <c r="QK176"/>
      <c r="QL176"/>
      <c r="QM176"/>
      <c r="QN176"/>
      <c r="QO176"/>
      <c r="QP176"/>
      <c r="QQ176"/>
      <c r="QR176"/>
      <c r="QS176"/>
      <c r="QT176"/>
      <c r="QU176"/>
      <c r="QV176"/>
      <c r="QW176"/>
      <c r="QX176"/>
    </row>
    <row r="177" spans="1:466" x14ac:dyDescent="0.35">
      <c r="A177" s="53"/>
      <c r="B177" s="53"/>
      <c r="C177" s="55"/>
      <c r="D177" s="53"/>
      <c r="E177" s="53"/>
      <c r="F177" s="126" t="s">
        <v>251</v>
      </c>
      <c r="G177" s="125">
        <v>3.48936</v>
      </c>
      <c r="H177" s="125">
        <v>188.42544000000001</v>
      </c>
      <c r="I177" s="133">
        <v>54</v>
      </c>
      <c r="J177" s="53"/>
      <c r="K177" s="53"/>
      <c r="L177" s="53"/>
      <c r="M177" s="53"/>
      <c r="N177" s="53"/>
      <c r="O177" s="53"/>
      <c r="P177" s="53"/>
      <c r="Q177" s="53"/>
      <c r="R177" s="53"/>
      <c r="S177" s="53"/>
      <c r="T177" s="53"/>
      <c r="U177" s="53"/>
      <c r="V177" s="53"/>
      <c r="W177" s="53"/>
      <c r="X177" s="53"/>
      <c r="Y177" s="53"/>
      <c r="Z177" s="53"/>
      <c r="AA177" s="53"/>
      <c r="AB177" s="53"/>
      <c r="AC177" s="53"/>
      <c r="AD177" s="53"/>
      <c r="AE177" s="53"/>
      <c r="AF177" s="63"/>
      <c r="AG177" s="64"/>
      <c r="AH177" s="65"/>
      <c r="AI177" s="65"/>
      <c r="AJ177" s="53"/>
      <c r="AK177" s="62"/>
      <c r="AL177" s="62"/>
      <c r="AM177" s="62"/>
      <c r="AN177" s="62"/>
      <c r="AO177" s="62"/>
      <c r="AP177" s="62"/>
      <c r="AQ177" s="62"/>
      <c r="AR177" s="62"/>
      <c r="AS177" s="62"/>
      <c r="AT177" s="62"/>
      <c r="AU177" s="62"/>
      <c r="AV177" s="62"/>
      <c r="AW177" s="62"/>
      <c r="AX177" s="62"/>
      <c r="AY177" s="62"/>
      <c r="AZ177" s="62"/>
      <c r="BA177" s="62"/>
      <c r="BB177" s="62"/>
      <c r="BC177" s="62"/>
      <c r="BD177" s="62"/>
      <c r="BE177" s="62"/>
      <c r="BF177" s="62"/>
      <c r="BG177" s="62"/>
      <c r="BH177" s="62"/>
      <c r="BI177" s="62"/>
      <c r="BJ177" s="62"/>
      <c r="BK177" s="62"/>
      <c r="BL177" s="62"/>
      <c r="BM177" s="62"/>
      <c r="BN177" s="62"/>
      <c r="BO177" s="62"/>
      <c r="BP177" s="62"/>
      <c r="BQ177" s="62"/>
      <c r="BR177" s="62"/>
      <c r="BS177" s="62"/>
      <c r="BT177" s="62"/>
      <c r="BU177" s="62"/>
      <c r="BV177" s="62"/>
      <c r="BW177" s="62"/>
      <c r="BX177" s="62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  <c r="HB177"/>
      <c r="HC177"/>
      <c r="HD177"/>
      <c r="HE177"/>
      <c r="HF177"/>
      <c r="HG177"/>
      <c r="HH177"/>
      <c r="HI177"/>
      <c r="HJ177"/>
      <c r="HK177"/>
      <c r="HL177"/>
      <c r="HM177"/>
      <c r="HN177"/>
      <c r="HO177"/>
      <c r="HP177"/>
      <c r="HQ177"/>
      <c r="HR177"/>
      <c r="HS177"/>
      <c r="HT177"/>
      <c r="HU177"/>
      <c r="HV177"/>
      <c r="HW177"/>
      <c r="HX177"/>
      <c r="HY177"/>
      <c r="HZ177"/>
      <c r="IA177"/>
      <c r="IB177"/>
      <c r="IC177"/>
      <c r="ID177"/>
      <c r="IE177"/>
      <c r="IF177"/>
      <c r="IG177"/>
      <c r="IH177"/>
      <c r="II177"/>
      <c r="IJ177"/>
      <c r="IK177"/>
      <c r="IL177"/>
      <c r="IM177"/>
      <c r="IN177"/>
      <c r="IO177"/>
      <c r="IP177"/>
      <c r="IQ177"/>
      <c r="IR177"/>
      <c r="IS177"/>
      <c r="IT177"/>
      <c r="IU177"/>
      <c r="IV177"/>
      <c r="IW177"/>
      <c r="IX177"/>
      <c r="IY177"/>
      <c r="IZ177"/>
      <c r="JA177"/>
      <c r="JB177"/>
      <c r="JC177"/>
      <c r="JD177"/>
      <c r="JE177"/>
      <c r="JF177"/>
      <c r="JG177"/>
      <c r="JH177"/>
      <c r="JI177"/>
      <c r="JJ177"/>
      <c r="JK177"/>
      <c r="JL177"/>
      <c r="JM177"/>
      <c r="JN177"/>
      <c r="JO177"/>
      <c r="JP177"/>
      <c r="JQ177"/>
      <c r="JR177"/>
      <c r="JS177"/>
      <c r="JT177"/>
      <c r="JU177"/>
      <c r="JV177"/>
      <c r="JW177"/>
      <c r="JX177"/>
      <c r="JY177"/>
      <c r="JZ177"/>
      <c r="KA177"/>
      <c r="KB177"/>
      <c r="KC177"/>
      <c r="KD177"/>
      <c r="KE177"/>
      <c r="KF177"/>
      <c r="KG177"/>
      <c r="KH177"/>
      <c r="KI177"/>
      <c r="KJ177"/>
      <c r="KK177"/>
      <c r="KL177"/>
      <c r="KM177"/>
      <c r="KN177"/>
      <c r="KO177"/>
      <c r="KP177"/>
      <c r="KQ177"/>
      <c r="KR177"/>
      <c r="KS177"/>
      <c r="KT177"/>
      <c r="KU177"/>
      <c r="KV177"/>
      <c r="KW177"/>
      <c r="KX177"/>
      <c r="KY177"/>
      <c r="KZ177"/>
      <c r="LA177"/>
      <c r="LB177"/>
      <c r="LC177"/>
      <c r="LD177"/>
      <c r="LE177"/>
      <c r="LF177"/>
      <c r="LG177"/>
      <c r="LH177"/>
      <c r="LI177"/>
      <c r="LJ177"/>
      <c r="LK177"/>
      <c r="LL177"/>
      <c r="LM177"/>
      <c r="LN177"/>
      <c r="LO177"/>
      <c r="LP177"/>
      <c r="LQ177"/>
      <c r="LR177"/>
      <c r="LS177"/>
      <c r="LT177"/>
      <c r="LU177"/>
      <c r="LV177"/>
      <c r="LW177"/>
      <c r="LX177"/>
      <c r="LY177"/>
      <c r="LZ177"/>
      <c r="MA177"/>
      <c r="MB177"/>
      <c r="MC177"/>
      <c r="MD177"/>
      <c r="ME177"/>
      <c r="MF177"/>
      <c r="MG177"/>
      <c r="MH177"/>
      <c r="MI177"/>
      <c r="MJ177"/>
      <c r="MK177"/>
      <c r="ML177"/>
      <c r="MM177"/>
      <c r="MN177"/>
      <c r="MO177"/>
      <c r="MP177"/>
      <c r="MQ177"/>
      <c r="MR177"/>
      <c r="MS177"/>
      <c r="MT177"/>
      <c r="MU177"/>
      <c r="MV177"/>
      <c r="MW177"/>
      <c r="MX177"/>
      <c r="MY177"/>
      <c r="MZ177"/>
      <c r="NA177"/>
      <c r="NB177"/>
      <c r="NC177"/>
      <c r="ND177"/>
      <c r="NE177"/>
      <c r="NF177"/>
      <c r="NG177"/>
      <c r="NH177"/>
      <c r="NI177"/>
      <c r="NJ177"/>
      <c r="NK177"/>
      <c r="NL177"/>
      <c r="NM177"/>
      <c r="NN177"/>
      <c r="NO177"/>
      <c r="NP177"/>
      <c r="NQ177"/>
      <c r="NR177"/>
      <c r="NS177"/>
      <c r="NT177"/>
      <c r="NU177"/>
      <c r="NV177"/>
      <c r="NW177"/>
      <c r="NX177"/>
      <c r="NY177"/>
      <c r="NZ177"/>
      <c r="OA177"/>
      <c r="OB177"/>
      <c r="OC177"/>
      <c r="OD177"/>
      <c r="OE177"/>
      <c r="OF177"/>
      <c r="OG177"/>
      <c r="OH177"/>
      <c r="OI177"/>
      <c r="OJ177"/>
      <c r="OK177"/>
      <c r="OL177"/>
      <c r="OM177"/>
      <c r="ON177"/>
      <c r="OO177"/>
      <c r="OP177"/>
      <c r="OQ177"/>
      <c r="OR177"/>
      <c r="OS177"/>
      <c r="OT177"/>
      <c r="OU177"/>
      <c r="OV177"/>
      <c r="OW177"/>
      <c r="OX177"/>
      <c r="OY177"/>
      <c r="OZ177"/>
      <c r="PA177"/>
      <c r="PB177"/>
      <c r="PC177"/>
      <c r="PD177"/>
      <c r="PE177"/>
      <c r="PF177"/>
      <c r="PG177"/>
      <c r="PH177"/>
      <c r="PI177"/>
      <c r="PJ177"/>
      <c r="PK177"/>
      <c r="PL177"/>
      <c r="PM177"/>
      <c r="PN177"/>
      <c r="PO177"/>
      <c r="PP177"/>
      <c r="PQ177"/>
      <c r="PR177"/>
      <c r="PS177"/>
      <c r="PT177"/>
      <c r="PU177"/>
      <c r="PV177"/>
      <c r="PW177"/>
      <c r="PX177"/>
      <c r="PY177"/>
      <c r="PZ177"/>
      <c r="QA177"/>
      <c r="QB177"/>
      <c r="QC177"/>
      <c r="QD177"/>
      <c r="QE177"/>
      <c r="QF177"/>
      <c r="QG177"/>
      <c r="QH177"/>
      <c r="QI177"/>
      <c r="QJ177"/>
      <c r="QK177"/>
      <c r="QL177"/>
      <c r="QM177"/>
      <c r="QN177"/>
      <c r="QO177"/>
      <c r="QP177"/>
      <c r="QQ177"/>
      <c r="QR177"/>
      <c r="QS177"/>
      <c r="QT177"/>
      <c r="QU177"/>
      <c r="QV177"/>
      <c r="QW177"/>
      <c r="QX177"/>
    </row>
    <row r="178" spans="1:466" x14ac:dyDescent="0.35">
      <c r="A178" s="53"/>
      <c r="B178" s="53"/>
      <c r="C178" s="55"/>
      <c r="D178" s="53"/>
      <c r="E178" s="53"/>
      <c r="F178" s="126" t="s">
        <v>301</v>
      </c>
      <c r="G178" s="125">
        <v>3.48936</v>
      </c>
      <c r="H178" s="125">
        <v>104.6808</v>
      </c>
      <c r="I178" s="133">
        <v>30</v>
      </c>
      <c r="J178" s="53"/>
      <c r="K178" s="53"/>
      <c r="L178" s="53"/>
      <c r="M178" s="53"/>
      <c r="N178" s="53"/>
      <c r="O178" s="53"/>
      <c r="P178" s="53"/>
      <c r="Q178" s="53"/>
      <c r="R178" s="53"/>
      <c r="S178" s="53"/>
      <c r="T178" s="53"/>
      <c r="U178" s="53"/>
      <c r="V178" s="53"/>
      <c r="W178" s="53"/>
      <c r="X178" s="53"/>
      <c r="Y178" s="53"/>
      <c r="Z178" s="53"/>
      <c r="AA178" s="53"/>
      <c r="AB178" s="53"/>
      <c r="AC178" s="53"/>
      <c r="AD178" s="53"/>
      <c r="AE178" s="53"/>
      <c r="AF178" s="63"/>
      <c r="AG178" s="64"/>
      <c r="AH178" s="65"/>
      <c r="AI178" s="65"/>
      <c r="AJ178" s="53"/>
      <c r="AK178" s="62"/>
      <c r="AL178" s="62"/>
      <c r="AM178" s="62"/>
      <c r="AN178" s="62"/>
      <c r="AO178" s="62"/>
      <c r="AP178" s="62"/>
      <c r="AQ178" s="62"/>
      <c r="AR178" s="62"/>
      <c r="AS178" s="62"/>
      <c r="AT178" s="62"/>
      <c r="AU178" s="62"/>
      <c r="AV178" s="62"/>
      <c r="AW178" s="62"/>
      <c r="AX178" s="62"/>
      <c r="AY178" s="62"/>
      <c r="AZ178" s="62"/>
      <c r="BA178" s="62"/>
      <c r="BB178" s="62"/>
      <c r="BC178" s="62"/>
      <c r="BD178" s="62"/>
      <c r="BE178" s="62"/>
      <c r="BF178" s="62"/>
      <c r="BG178" s="62"/>
      <c r="BH178" s="62"/>
      <c r="BI178" s="62"/>
      <c r="BJ178" s="62"/>
      <c r="BK178" s="62"/>
      <c r="BL178" s="62"/>
      <c r="BM178" s="62"/>
      <c r="BN178" s="62"/>
      <c r="BO178" s="62"/>
      <c r="BP178" s="62"/>
      <c r="BQ178" s="62"/>
      <c r="BR178" s="62"/>
      <c r="BS178" s="62"/>
      <c r="BT178" s="62"/>
      <c r="BU178" s="62"/>
      <c r="BV178" s="62"/>
      <c r="BW178" s="62"/>
      <c r="BX178" s="62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  <c r="HB178"/>
      <c r="HC178"/>
      <c r="HD178"/>
      <c r="HE178"/>
      <c r="HF178"/>
      <c r="HG178"/>
      <c r="HH178"/>
      <c r="HI178"/>
      <c r="HJ178"/>
      <c r="HK178"/>
      <c r="HL178"/>
      <c r="HM178"/>
      <c r="HN178"/>
      <c r="HO178"/>
      <c r="HP178"/>
      <c r="HQ178"/>
      <c r="HR178"/>
      <c r="HS178"/>
      <c r="HT178"/>
      <c r="HU178"/>
      <c r="HV178"/>
      <c r="HW178"/>
      <c r="HX178"/>
      <c r="HY178"/>
      <c r="HZ178"/>
      <c r="IA178"/>
      <c r="IB178"/>
      <c r="IC178"/>
      <c r="ID178"/>
      <c r="IE178"/>
      <c r="IF178"/>
      <c r="IG178"/>
      <c r="IH178"/>
      <c r="II178"/>
      <c r="IJ178"/>
      <c r="IK178"/>
      <c r="IL178"/>
      <c r="IM178"/>
      <c r="IN178"/>
      <c r="IO178"/>
      <c r="IP178"/>
      <c r="IQ178"/>
      <c r="IR178"/>
      <c r="IS178"/>
      <c r="IT178"/>
      <c r="IU178"/>
      <c r="IV178"/>
      <c r="IW178"/>
      <c r="IX178"/>
      <c r="IY178"/>
      <c r="IZ178"/>
      <c r="JA178"/>
      <c r="JB178"/>
      <c r="JC178"/>
      <c r="JD178"/>
      <c r="JE178"/>
      <c r="JF178"/>
      <c r="JG178"/>
      <c r="JH178"/>
      <c r="JI178"/>
      <c r="JJ178"/>
      <c r="JK178"/>
      <c r="JL178"/>
      <c r="JM178"/>
      <c r="JN178"/>
      <c r="JO178"/>
      <c r="JP178"/>
      <c r="JQ178"/>
      <c r="JR178"/>
      <c r="JS178"/>
      <c r="JT178"/>
      <c r="JU178"/>
      <c r="JV178"/>
      <c r="JW178"/>
      <c r="JX178"/>
      <c r="JY178"/>
      <c r="JZ178"/>
      <c r="KA178"/>
      <c r="KB178"/>
      <c r="KC178"/>
      <c r="KD178"/>
      <c r="KE178"/>
      <c r="KF178"/>
      <c r="KG178"/>
      <c r="KH178"/>
      <c r="KI178"/>
      <c r="KJ178"/>
      <c r="KK178"/>
      <c r="KL178"/>
      <c r="KM178"/>
      <c r="KN178"/>
      <c r="KO178"/>
      <c r="KP178"/>
      <c r="KQ178"/>
      <c r="KR178"/>
      <c r="KS178"/>
      <c r="KT178"/>
      <c r="KU178"/>
      <c r="KV178"/>
      <c r="KW178"/>
      <c r="KX178"/>
      <c r="KY178"/>
      <c r="KZ178"/>
      <c r="LA178"/>
      <c r="LB178"/>
      <c r="LC178"/>
      <c r="LD178"/>
      <c r="LE178"/>
      <c r="LF178"/>
      <c r="LG178"/>
      <c r="LH178"/>
      <c r="LI178"/>
      <c r="LJ178"/>
      <c r="LK178"/>
      <c r="LL178"/>
      <c r="LM178"/>
      <c r="LN178"/>
      <c r="LO178"/>
      <c r="LP178"/>
      <c r="LQ178"/>
      <c r="LR178"/>
      <c r="LS178"/>
      <c r="LT178"/>
      <c r="LU178"/>
      <c r="LV178"/>
      <c r="LW178"/>
      <c r="LX178"/>
      <c r="LY178"/>
      <c r="LZ178"/>
      <c r="MA178"/>
      <c r="MB178"/>
      <c r="MC178"/>
      <c r="MD178"/>
      <c r="ME178"/>
      <c r="MF178"/>
      <c r="MG178"/>
      <c r="MH178"/>
      <c r="MI178"/>
      <c r="MJ178"/>
      <c r="MK178"/>
      <c r="ML178"/>
      <c r="MM178"/>
      <c r="MN178"/>
      <c r="MO178"/>
      <c r="MP178"/>
      <c r="MQ178"/>
      <c r="MR178"/>
      <c r="MS178"/>
      <c r="MT178"/>
      <c r="MU178"/>
      <c r="MV178"/>
      <c r="MW178"/>
      <c r="MX178"/>
      <c r="MY178"/>
      <c r="MZ178"/>
      <c r="NA178"/>
      <c r="NB178"/>
      <c r="NC178"/>
      <c r="ND178"/>
      <c r="NE178"/>
      <c r="NF178"/>
      <c r="NG178"/>
      <c r="NH178"/>
      <c r="NI178"/>
      <c r="NJ178"/>
      <c r="NK178"/>
      <c r="NL178"/>
      <c r="NM178"/>
      <c r="NN178"/>
      <c r="NO178"/>
      <c r="NP178"/>
      <c r="NQ178"/>
      <c r="NR178"/>
      <c r="NS178"/>
      <c r="NT178"/>
      <c r="NU178"/>
      <c r="NV178"/>
      <c r="NW178"/>
      <c r="NX178"/>
      <c r="NY178"/>
      <c r="NZ178"/>
      <c r="OA178"/>
      <c r="OB178"/>
      <c r="OC178"/>
      <c r="OD178"/>
      <c r="OE178"/>
      <c r="OF178"/>
      <c r="OG178"/>
      <c r="OH178"/>
      <c r="OI178"/>
      <c r="OJ178"/>
      <c r="OK178"/>
      <c r="OL178"/>
      <c r="OM178"/>
      <c r="ON178"/>
      <c r="OO178"/>
      <c r="OP178"/>
      <c r="OQ178"/>
      <c r="OR178"/>
      <c r="OS178"/>
      <c r="OT178"/>
      <c r="OU178"/>
      <c r="OV178"/>
      <c r="OW178"/>
      <c r="OX178"/>
      <c r="OY178"/>
      <c r="OZ178"/>
      <c r="PA178"/>
      <c r="PB178"/>
      <c r="PC178"/>
      <c r="PD178"/>
      <c r="PE178"/>
      <c r="PF178"/>
      <c r="PG178"/>
      <c r="PH178"/>
      <c r="PI178"/>
      <c r="PJ178"/>
      <c r="PK178"/>
      <c r="PL178"/>
      <c r="PM178"/>
      <c r="PN178"/>
      <c r="PO178"/>
      <c r="PP178"/>
      <c r="PQ178"/>
      <c r="PR178"/>
      <c r="PS178"/>
      <c r="PT178"/>
      <c r="PU178"/>
      <c r="PV178"/>
      <c r="PW178"/>
      <c r="PX178"/>
      <c r="PY178"/>
      <c r="PZ178"/>
      <c r="QA178"/>
      <c r="QB178"/>
      <c r="QC178"/>
      <c r="QD178"/>
      <c r="QE178"/>
      <c r="QF178"/>
      <c r="QG178"/>
      <c r="QH178"/>
      <c r="QI178"/>
      <c r="QJ178"/>
      <c r="QK178"/>
      <c r="QL178"/>
      <c r="QM178"/>
      <c r="QN178"/>
      <c r="QO178"/>
      <c r="QP178"/>
      <c r="QQ178"/>
      <c r="QR178"/>
      <c r="QS178"/>
      <c r="QT178"/>
      <c r="QU178"/>
      <c r="QV178"/>
      <c r="QW178"/>
      <c r="QX178"/>
    </row>
    <row r="179" spans="1:466" x14ac:dyDescent="0.35">
      <c r="A179" s="53"/>
      <c r="B179" s="53"/>
      <c r="C179" s="55"/>
      <c r="D179" s="53"/>
      <c r="E179" s="53"/>
      <c r="F179" s="126" t="s">
        <v>228</v>
      </c>
      <c r="G179" s="125">
        <v>3.48936</v>
      </c>
      <c r="H179" s="125">
        <v>167.48928000000001</v>
      </c>
      <c r="I179" s="133">
        <v>48</v>
      </c>
      <c r="J179" s="53"/>
      <c r="K179" s="53"/>
      <c r="L179" s="53"/>
      <c r="M179" s="53"/>
      <c r="N179" s="53"/>
      <c r="O179" s="53"/>
      <c r="P179" s="53"/>
      <c r="Q179" s="53"/>
      <c r="R179" s="53"/>
      <c r="S179" s="53"/>
      <c r="T179" s="53"/>
      <c r="U179" s="53"/>
      <c r="V179" s="53"/>
      <c r="W179" s="53"/>
      <c r="X179" s="53"/>
      <c r="Y179" s="53"/>
      <c r="Z179" s="53"/>
      <c r="AA179" s="53"/>
      <c r="AB179" s="53"/>
      <c r="AC179" s="53"/>
      <c r="AD179" s="53"/>
      <c r="AE179" s="53"/>
      <c r="AF179" s="63"/>
      <c r="AG179" s="64"/>
      <c r="AH179" s="65"/>
      <c r="AI179" s="65"/>
      <c r="AJ179" s="53"/>
      <c r="AK179" s="62"/>
      <c r="AL179" s="62"/>
      <c r="AM179" s="62"/>
      <c r="AN179" s="62"/>
      <c r="AO179" s="62"/>
      <c r="AP179" s="62"/>
      <c r="AQ179" s="62"/>
      <c r="AR179" s="62"/>
      <c r="AS179" s="62"/>
      <c r="AT179" s="62"/>
      <c r="AU179" s="62"/>
      <c r="AV179" s="62"/>
      <c r="AW179" s="62"/>
      <c r="AX179" s="62"/>
      <c r="AY179" s="62"/>
      <c r="AZ179" s="62"/>
      <c r="BA179" s="62"/>
      <c r="BB179" s="62"/>
      <c r="BC179" s="62"/>
      <c r="BD179" s="62"/>
      <c r="BE179" s="62"/>
      <c r="BF179" s="62"/>
      <c r="BG179" s="62"/>
      <c r="BH179" s="62"/>
      <c r="BI179" s="62"/>
      <c r="BJ179" s="62"/>
      <c r="BK179" s="62"/>
      <c r="BL179" s="62"/>
      <c r="BM179" s="62"/>
      <c r="BN179" s="62"/>
      <c r="BO179" s="62"/>
      <c r="BP179" s="62"/>
      <c r="BQ179" s="62"/>
      <c r="BR179" s="62"/>
      <c r="BS179" s="62"/>
      <c r="BT179" s="62"/>
      <c r="BU179" s="62"/>
      <c r="BV179" s="62"/>
      <c r="BW179" s="62"/>
      <c r="BX179" s="62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  <c r="HB179"/>
      <c r="HC179"/>
      <c r="HD179"/>
      <c r="HE179"/>
      <c r="HF179"/>
      <c r="HG179"/>
      <c r="HH179"/>
      <c r="HI179"/>
      <c r="HJ179"/>
      <c r="HK179"/>
      <c r="HL179"/>
      <c r="HM179"/>
      <c r="HN179"/>
      <c r="HO179"/>
      <c r="HP179"/>
      <c r="HQ179"/>
      <c r="HR179"/>
      <c r="HS179"/>
      <c r="HT179"/>
      <c r="HU179"/>
      <c r="HV179"/>
      <c r="HW179"/>
      <c r="HX179"/>
      <c r="HY179"/>
      <c r="HZ179"/>
      <c r="IA179"/>
      <c r="IB179"/>
      <c r="IC179"/>
      <c r="ID179"/>
      <c r="IE179"/>
      <c r="IF179"/>
      <c r="IG179"/>
      <c r="IH179"/>
      <c r="II179"/>
      <c r="IJ179"/>
      <c r="IK179"/>
      <c r="IL179"/>
      <c r="IM179"/>
      <c r="IN179"/>
      <c r="IO179"/>
      <c r="IP179"/>
      <c r="IQ179"/>
      <c r="IR179"/>
      <c r="IS179"/>
      <c r="IT179"/>
      <c r="IU179"/>
      <c r="IV179"/>
      <c r="IW179"/>
      <c r="IX179"/>
      <c r="IY179"/>
      <c r="IZ179"/>
      <c r="JA179"/>
      <c r="JB179"/>
      <c r="JC179"/>
      <c r="JD179"/>
      <c r="JE179"/>
      <c r="JF179"/>
      <c r="JG179"/>
      <c r="JH179"/>
      <c r="JI179"/>
      <c r="JJ179"/>
      <c r="JK179"/>
      <c r="JL179"/>
      <c r="JM179"/>
      <c r="JN179"/>
      <c r="JO179"/>
      <c r="JP179"/>
      <c r="JQ179"/>
      <c r="JR179"/>
      <c r="JS179"/>
      <c r="JT179"/>
      <c r="JU179"/>
      <c r="JV179"/>
      <c r="JW179"/>
      <c r="JX179"/>
      <c r="JY179"/>
      <c r="JZ179"/>
      <c r="KA179"/>
      <c r="KB179"/>
      <c r="KC179"/>
      <c r="KD179"/>
      <c r="KE179"/>
      <c r="KF179"/>
      <c r="KG179"/>
      <c r="KH179"/>
      <c r="KI179"/>
      <c r="KJ179"/>
      <c r="KK179"/>
      <c r="KL179"/>
      <c r="KM179"/>
      <c r="KN179"/>
      <c r="KO179"/>
      <c r="KP179"/>
      <c r="KQ179"/>
      <c r="KR179"/>
      <c r="KS179"/>
      <c r="KT179"/>
      <c r="KU179"/>
      <c r="KV179"/>
      <c r="KW179"/>
      <c r="KX179"/>
      <c r="KY179"/>
      <c r="KZ179"/>
      <c r="LA179"/>
      <c r="LB179"/>
      <c r="LC179"/>
      <c r="LD179"/>
      <c r="LE179"/>
      <c r="LF179"/>
      <c r="LG179"/>
      <c r="LH179"/>
      <c r="LI179"/>
      <c r="LJ179"/>
      <c r="LK179"/>
      <c r="LL179"/>
      <c r="LM179"/>
      <c r="LN179"/>
      <c r="LO179"/>
      <c r="LP179"/>
      <c r="LQ179"/>
      <c r="LR179"/>
      <c r="LS179"/>
      <c r="LT179"/>
      <c r="LU179"/>
      <c r="LV179"/>
      <c r="LW179"/>
      <c r="LX179"/>
      <c r="LY179"/>
      <c r="LZ179"/>
      <c r="MA179"/>
      <c r="MB179"/>
      <c r="MC179"/>
      <c r="MD179"/>
      <c r="ME179"/>
      <c r="MF179"/>
      <c r="MG179"/>
      <c r="MH179"/>
      <c r="MI179"/>
      <c r="MJ179"/>
      <c r="MK179"/>
      <c r="ML179"/>
      <c r="MM179"/>
      <c r="MN179"/>
      <c r="MO179"/>
      <c r="MP179"/>
      <c r="MQ179"/>
      <c r="MR179"/>
      <c r="MS179"/>
      <c r="MT179"/>
      <c r="MU179"/>
      <c r="MV179"/>
      <c r="MW179"/>
      <c r="MX179"/>
      <c r="MY179"/>
      <c r="MZ179"/>
      <c r="NA179"/>
      <c r="NB179"/>
      <c r="NC179"/>
      <c r="ND179"/>
      <c r="NE179"/>
      <c r="NF179"/>
      <c r="NG179"/>
      <c r="NH179"/>
      <c r="NI179"/>
      <c r="NJ179"/>
      <c r="NK179"/>
      <c r="NL179"/>
      <c r="NM179"/>
      <c r="NN179"/>
      <c r="NO179"/>
      <c r="NP179"/>
      <c r="NQ179"/>
      <c r="NR179"/>
      <c r="NS179"/>
      <c r="NT179"/>
      <c r="NU179"/>
      <c r="NV179"/>
      <c r="NW179"/>
      <c r="NX179"/>
      <c r="NY179"/>
      <c r="NZ179"/>
      <c r="OA179"/>
      <c r="OB179"/>
      <c r="OC179"/>
      <c r="OD179"/>
      <c r="OE179"/>
      <c r="OF179"/>
      <c r="OG179"/>
      <c r="OH179"/>
      <c r="OI179"/>
      <c r="OJ179"/>
      <c r="OK179"/>
      <c r="OL179"/>
      <c r="OM179"/>
      <c r="ON179"/>
      <c r="OO179"/>
      <c r="OP179"/>
      <c r="OQ179"/>
      <c r="OR179"/>
      <c r="OS179"/>
      <c r="OT179"/>
      <c r="OU179"/>
      <c r="OV179"/>
      <c r="OW179"/>
      <c r="OX179"/>
      <c r="OY179"/>
      <c r="OZ179"/>
      <c r="PA179"/>
      <c r="PB179"/>
      <c r="PC179"/>
      <c r="PD179"/>
      <c r="PE179"/>
      <c r="PF179"/>
      <c r="PG179"/>
      <c r="PH179"/>
      <c r="PI179"/>
      <c r="PJ179"/>
      <c r="PK179"/>
      <c r="PL179"/>
      <c r="PM179"/>
      <c r="PN179"/>
      <c r="PO179"/>
      <c r="PP179"/>
      <c r="PQ179"/>
      <c r="PR179"/>
      <c r="PS179"/>
      <c r="PT179"/>
      <c r="PU179"/>
      <c r="PV179"/>
      <c r="PW179"/>
      <c r="PX179"/>
      <c r="PY179"/>
      <c r="PZ179"/>
      <c r="QA179"/>
      <c r="QB179"/>
      <c r="QC179"/>
      <c r="QD179"/>
      <c r="QE179"/>
      <c r="QF179"/>
      <c r="QG179"/>
      <c r="QH179"/>
      <c r="QI179"/>
      <c r="QJ179"/>
      <c r="QK179"/>
      <c r="QL179"/>
      <c r="QM179"/>
      <c r="QN179"/>
      <c r="QO179"/>
      <c r="QP179"/>
      <c r="QQ179"/>
      <c r="QR179"/>
      <c r="QS179"/>
      <c r="QT179"/>
      <c r="QU179"/>
      <c r="QV179"/>
      <c r="QW179"/>
      <c r="QX179"/>
    </row>
    <row r="180" spans="1:466" x14ac:dyDescent="0.35">
      <c r="A180" s="53"/>
      <c r="B180" s="53"/>
      <c r="C180" s="55"/>
      <c r="D180" s="53"/>
      <c r="E180" s="53"/>
      <c r="F180" s="126" t="s">
        <v>271</v>
      </c>
      <c r="G180" s="125">
        <v>3.48936</v>
      </c>
      <c r="H180" s="125">
        <v>174.46799999999999</v>
      </c>
      <c r="I180" s="133">
        <v>50</v>
      </c>
      <c r="J180" s="53"/>
      <c r="K180" s="53"/>
      <c r="L180" s="53"/>
      <c r="M180" s="53"/>
      <c r="N180" s="53"/>
      <c r="O180" s="53"/>
      <c r="P180" s="53"/>
      <c r="Q180" s="53"/>
      <c r="R180" s="53"/>
      <c r="S180" s="53"/>
      <c r="T180" s="53"/>
      <c r="U180" s="53"/>
      <c r="V180" s="53"/>
      <c r="W180" s="53"/>
      <c r="X180" s="53"/>
      <c r="Y180" s="53"/>
      <c r="Z180" s="53"/>
      <c r="AA180" s="53"/>
      <c r="AB180" s="53"/>
      <c r="AC180" s="53"/>
      <c r="AD180" s="53"/>
      <c r="AE180" s="53"/>
      <c r="AF180" s="63"/>
      <c r="AG180" s="64"/>
      <c r="AH180" s="65"/>
      <c r="AI180" s="65"/>
      <c r="AJ180" s="53"/>
      <c r="AK180" s="62"/>
      <c r="AL180" s="62"/>
      <c r="AM180" s="62"/>
      <c r="AN180" s="62"/>
      <c r="AO180" s="62"/>
      <c r="AP180" s="62"/>
      <c r="AQ180" s="62"/>
      <c r="AR180" s="62"/>
      <c r="AS180" s="62"/>
      <c r="AT180" s="62"/>
      <c r="AU180" s="62"/>
      <c r="AV180" s="62"/>
      <c r="AW180" s="62"/>
      <c r="AX180" s="62"/>
      <c r="AY180" s="62"/>
      <c r="AZ180" s="62"/>
      <c r="BA180" s="62"/>
      <c r="BB180" s="62"/>
      <c r="BC180" s="62"/>
      <c r="BD180" s="62"/>
      <c r="BE180" s="62"/>
      <c r="BF180" s="62"/>
      <c r="BG180" s="62"/>
      <c r="BH180" s="62"/>
      <c r="BI180" s="62"/>
      <c r="BJ180" s="62"/>
      <c r="BK180" s="62"/>
      <c r="BL180" s="62"/>
      <c r="BM180" s="62"/>
      <c r="BN180" s="62"/>
      <c r="BO180" s="62"/>
      <c r="BP180" s="62"/>
      <c r="BQ180" s="62"/>
      <c r="BR180" s="62"/>
      <c r="BS180" s="62"/>
      <c r="BT180" s="62"/>
      <c r="BU180" s="62"/>
      <c r="BV180" s="62"/>
      <c r="BW180" s="62"/>
      <c r="BX180" s="62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  <c r="HB180"/>
      <c r="HC180"/>
      <c r="HD180"/>
      <c r="HE180"/>
      <c r="HF180"/>
      <c r="HG180"/>
      <c r="HH180"/>
      <c r="HI180"/>
      <c r="HJ180"/>
      <c r="HK180"/>
      <c r="HL180"/>
      <c r="HM180"/>
      <c r="HN180"/>
      <c r="HO180"/>
      <c r="HP180"/>
      <c r="HQ180"/>
      <c r="HR180"/>
      <c r="HS180"/>
      <c r="HT180"/>
      <c r="HU180"/>
      <c r="HV180"/>
      <c r="HW180"/>
      <c r="HX180"/>
      <c r="HY180"/>
      <c r="HZ180"/>
      <c r="IA180"/>
      <c r="IB180"/>
      <c r="IC180"/>
      <c r="ID180"/>
      <c r="IE180"/>
      <c r="IF180"/>
      <c r="IG180"/>
      <c r="IH180"/>
      <c r="II180"/>
      <c r="IJ180"/>
      <c r="IK180"/>
      <c r="IL180"/>
      <c r="IM180"/>
      <c r="IN180"/>
      <c r="IO180"/>
      <c r="IP180"/>
      <c r="IQ180"/>
      <c r="IR180"/>
      <c r="IS180"/>
      <c r="IT180"/>
      <c r="IU180"/>
      <c r="IV180"/>
      <c r="IW180"/>
      <c r="IX180"/>
      <c r="IY180"/>
      <c r="IZ180"/>
      <c r="JA180"/>
      <c r="JB180"/>
      <c r="JC180"/>
      <c r="JD180"/>
      <c r="JE180"/>
      <c r="JF180"/>
      <c r="JG180"/>
      <c r="JH180"/>
      <c r="JI180"/>
      <c r="JJ180"/>
      <c r="JK180"/>
      <c r="JL180"/>
      <c r="JM180"/>
      <c r="JN180"/>
      <c r="JO180"/>
      <c r="JP180"/>
      <c r="JQ180"/>
      <c r="JR180"/>
      <c r="JS180"/>
      <c r="JT180"/>
      <c r="JU180"/>
      <c r="JV180"/>
      <c r="JW180"/>
      <c r="JX180"/>
      <c r="JY180"/>
      <c r="JZ180"/>
      <c r="KA180"/>
      <c r="KB180"/>
      <c r="KC180"/>
      <c r="KD180"/>
      <c r="KE180"/>
      <c r="KF180"/>
      <c r="KG180"/>
      <c r="KH180"/>
      <c r="KI180"/>
      <c r="KJ180"/>
      <c r="KK180"/>
      <c r="KL180"/>
      <c r="KM180"/>
      <c r="KN180"/>
      <c r="KO180"/>
      <c r="KP180"/>
      <c r="KQ180"/>
      <c r="KR180"/>
      <c r="KS180"/>
      <c r="KT180"/>
      <c r="KU180"/>
      <c r="KV180"/>
      <c r="KW180"/>
      <c r="KX180"/>
      <c r="KY180"/>
      <c r="KZ180"/>
      <c r="LA180"/>
      <c r="LB180"/>
      <c r="LC180"/>
      <c r="LD180"/>
      <c r="LE180"/>
      <c r="LF180"/>
      <c r="LG180"/>
      <c r="LH180"/>
      <c r="LI180"/>
      <c r="LJ180"/>
      <c r="LK180"/>
      <c r="LL180"/>
      <c r="LM180"/>
      <c r="LN180"/>
      <c r="LO180"/>
      <c r="LP180"/>
      <c r="LQ180"/>
      <c r="LR180"/>
      <c r="LS180"/>
      <c r="LT180"/>
      <c r="LU180"/>
      <c r="LV180"/>
      <c r="LW180"/>
      <c r="LX180"/>
      <c r="LY180"/>
      <c r="LZ180"/>
      <c r="MA180"/>
      <c r="MB180"/>
      <c r="MC180"/>
      <c r="MD180"/>
      <c r="ME180"/>
      <c r="MF180"/>
      <c r="MG180"/>
      <c r="MH180"/>
      <c r="MI180"/>
      <c r="MJ180"/>
      <c r="MK180"/>
      <c r="ML180"/>
      <c r="MM180"/>
      <c r="MN180"/>
      <c r="MO180"/>
      <c r="MP180"/>
      <c r="MQ180"/>
      <c r="MR180"/>
      <c r="MS180"/>
      <c r="MT180"/>
      <c r="MU180"/>
      <c r="MV180"/>
      <c r="MW180"/>
      <c r="MX180"/>
      <c r="MY180"/>
      <c r="MZ180"/>
      <c r="NA180"/>
      <c r="NB180"/>
      <c r="NC180"/>
      <c r="ND180"/>
      <c r="NE180"/>
      <c r="NF180"/>
      <c r="NG180"/>
      <c r="NH180"/>
      <c r="NI180"/>
      <c r="NJ180"/>
      <c r="NK180"/>
      <c r="NL180"/>
      <c r="NM180"/>
      <c r="NN180"/>
      <c r="NO180"/>
      <c r="NP180"/>
      <c r="NQ180"/>
      <c r="NR180"/>
      <c r="NS180"/>
      <c r="NT180"/>
      <c r="NU180"/>
      <c r="NV180"/>
      <c r="NW180"/>
      <c r="NX180"/>
      <c r="NY180"/>
      <c r="NZ180"/>
      <c r="OA180"/>
      <c r="OB180"/>
      <c r="OC180"/>
      <c r="OD180"/>
      <c r="OE180"/>
      <c r="OF180"/>
      <c r="OG180"/>
      <c r="OH180"/>
      <c r="OI180"/>
      <c r="OJ180"/>
      <c r="OK180"/>
      <c r="OL180"/>
      <c r="OM180"/>
      <c r="ON180"/>
      <c r="OO180"/>
      <c r="OP180"/>
      <c r="OQ180"/>
      <c r="OR180"/>
      <c r="OS180"/>
      <c r="OT180"/>
      <c r="OU180"/>
      <c r="OV180"/>
      <c r="OW180"/>
      <c r="OX180"/>
      <c r="OY180"/>
      <c r="OZ180"/>
      <c r="PA180"/>
      <c r="PB180"/>
      <c r="PC180"/>
      <c r="PD180"/>
      <c r="PE180"/>
      <c r="PF180"/>
      <c r="PG180"/>
      <c r="PH180"/>
      <c r="PI180"/>
      <c r="PJ180"/>
      <c r="PK180"/>
      <c r="PL180"/>
      <c r="PM180"/>
      <c r="PN180"/>
      <c r="PO180"/>
      <c r="PP180"/>
      <c r="PQ180"/>
      <c r="PR180"/>
      <c r="PS180"/>
      <c r="PT180"/>
      <c r="PU180"/>
      <c r="PV180"/>
      <c r="PW180"/>
      <c r="PX180"/>
      <c r="PY180"/>
      <c r="PZ180"/>
      <c r="QA180"/>
      <c r="QB180"/>
      <c r="QC180"/>
      <c r="QD180"/>
      <c r="QE180"/>
      <c r="QF180"/>
      <c r="QG180"/>
      <c r="QH180"/>
      <c r="QI180"/>
      <c r="QJ180"/>
      <c r="QK180"/>
      <c r="QL180"/>
      <c r="QM180"/>
      <c r="QN180"/>
      <c r="QO180"/>
      <c r="QP180"/>
      <c r="QQ180"/>
      <c r="QR180"/>
      <c r="QS180"/>
      <c r="QT180"/>
      <c r="QU180"/>
      <c r="QV180"/>
      <c r="QW180"/>
      <c r="QX180"/>
    </row>
    <row r="181" spans="1:466" x14ac:dyDescent="0.35">
      <c r="A181" s="53"/>
      <c r="B181" s="53"/>
      <c r="C181" s="55"/>
      <c r="D181" s="53"/>
      <c r="E181" s="53"/>
      <c r="F181" s="126" t="s">
        <v>253</v>
      </c>
      <c r="G181" s="125">
        <v>4.82796</v>
      </c>
      <c r="H181" s="125">
        <v>106.21512</v>
      </c>
      <c r="I181" s="133">
        <v>22</v>
      </c>
      <c r="J181" s="53"/>
      <c r="K181" s="53"/>
      <c r="L181" s="53"/>
      <c r="M181" s="53"/>
      <c r="N181" s="53"/>
      <c r="O181" s="53"/>
      <c r="P181" s="53"/>
      <c r="Q181" s="53"/>
      <c r="R181" s="53"/>
      <c r="S181" s="53"/>
      <c r="T181" s="53"/>
      <c r="U181" s="53"/>
      <c r="V181" s="53"/>
      <c r="W181" s="53"/>
      <c r="X181" s="53"/>
      <c r="Y181" s="53"/>
      <c r="Z181" s="53"/>
      <c r="AA181" s="53"/>
      <c r="AB181" s="53"/>
      <c r="AC181" s="53"/>
      <c r="AD181" s="53"/>
      <c r="AE181" s="53"/>
      <c r="AF181" s="63"/>
      <c r="AG181" s="64"/>
      <c r="AH181" s="65"/>
      <c r="AI181" s="65"/>
      <c r="AJ181" s="53"/>
      <c r="AK181" s="62"/>
      <c r="AL181" s="62"/>
      <c r="AM181" s="62"/>
      <c r="AN181" s="62"/>
      <c r="AO181" s="62"/>
      <c r="AP181" s="62"/>
      <c r="AQ181" s="62"/>
      <c r="AR181" s="62"/>
      <c r="AS181" s="62"/>
      <c r="AT181" s="62"/>
      <c r="AU181" s="62"/>
      <c r="AV181" s="62"/>
      <c r="AW181" s="62"/>
      <c r="AX181" s="62"/>
      <c r="AY181" s="62"/>
      <c r="AZ181" s="62"/>
      <c r="BA181" s="62"/>
      <c r="BB181" s="62"/>
      <c r="BC181" s="62"/>
      <c r="BD181" s="62"/>
      <c r="BE181" s="62"/>
      <c r="BF181" s="62"/>
      <c r="BG181" s="62"/>
      <c r="BH181" s="62"/>
      <c r="BI181" s="62"/>
      <c r="BJ181" s="62"/>
      <c r="BK181" s="62"/>
      <c r="BL181" s="62"/>
      <c r="BM181" s="62"/>
      <c r="BN181" s="62"/>
      <c r="BO181" s="62"/>
      <c r="BP181" s="62"/>
      <c r="BQ181" s="62"/>
      <c r="BR181" s="62"/>
      <c r="BS181" s="62"/>
      <c r="BT181" s="62"/>
      <c r="BU181" s="62"/>
      <c r="BV181" s="62"/>
      <c r="BW181" s="62"/>
      <c r="BX181" s="62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  <c r="HB181"/>
      <c r="HC181"/>
      <c r="HD181"/>
      <c r="HE181"/>
      <c r="HF181"/>
      <c r="HG181"/>
      <c r="HH181"/>
      <c r="HI181"/>
      <c r="HJ181"/>
      <c r="HK181"/>
      <c r="HL181"/>
      <c r="HM181"/>
      <c r="HN181"/>
      <c r="HO181"/>
      <c r="HP181"/>
      <c r="HQ181"/>
      <c r="HR181"/>
      <c r="HS181"/>
      <c r="HT181"/>
      <c r="HU181"/>
      <c r="HV181"/>
      <c r="HW181"/>
      <c r="HX181"/>
      <c r="HY181"/>
      <c r="HZ181"/>
      <c r="IA181"/>
      <c r="IB181"/>
      <c r="IC181"/>
      <c r="ID181"/>
      <c r="IE181"/>
      <c r="IF181"/>
      <c r="IG181"/>
      <c r="IH181"/>
      <c r="II181"/>
      <c r="IJ181"/>
      <c r="IK181"/>
      <c r="IL181"/>
      <c r="IM181"/>
      <c r="IN181"/>
      <c r="IO181"/>
      <c r="IP181"/>
      <c r="IQ181"/>
      <c r="IR181"/>
      <c r="IS181"/>
      <c r="IT181"/>
      <c r="IU181"/>
      <c r="IV181"/>
      <c r="IW181"/>
      <c r="IX181"/>
      <c r="IY181"/>
      <c r="IZ181"/>
      <c r="JA181"/>
      <c r="JB181"/>
      <c r="JC181"/>
      <c r="JD181"/>
      <c r="JE181"/>
      <c r="JF181"/>
      <c r="JG181"/>
      <c r="JH181"/>
      <c r="JI181"/>
      <c r="JJ181"/>
      <c r="JK181"/>
      <c r="JL181"/>
      <c r="JM181"/>
      <c r="JN181"/>
      <c r="JO181"/>
      <c r="JP181"/>
      <c r="JQ181"/>
      <c r="JR181"/>
      <c r="JS181"/>
      <c r="JT181"/>
      <c r="JU181"/>
      <c r="JV181"/>
      <c r="JW181"/>
      <c r="JX181"/>
      <c r="JY181"/>
      <c r="JZ181"/>
      <c r="KA181"/>
      <c r="KB181"/>
      <c r="KC181"/>
      <c r="KD181"/>
      <c r="KE181"/>
      <c r="KF181"/>
      <c r="KG181"/>
      <c r="KH181"/>
      <c r="KI181"/>
      <c r="KJ181"/>
      <c r="KK181"/>
      <c r="KL181"/>
      <c r="KM181"/>
      <c r="KN181"/>
      <c r="KO181"/>
      <c r="KP181"/>
      <c r="KQ181"/>
      <c r="KR181"/>
      <c r="KS181"/>
      <c r="KT181"/>
      <c r="KU181"/>
      <c r="KV181"/>
      <c r="KW181"/>
      <c r="KX181"/>
      <c r="KY181"/>
      <c r="KZ181"/>
      <c r="LA181"/>
      <c r="LB181"/>
      <c r="LC181"/>
      <c r="LD181"/>
      <c r="LE181"/>
      <c r="LF181"/>
      <c r="LG181"/>
      <c r="LH181"/>
      <c r="LI181"/>
      <c r="LJ181"/>
      <c r="LK181"/>
      <c r="LL181"/>
      <c r="LM181"/>
      <c r="LN181"/>
      <c r="LO181"/>
      <c r="LP181"/>
      <c r="LQ181"/>
      <c r="LR181"/>
      <c r="LS181"/>
      <c r="LT181"/>
      <c r="LU181"/>
      <c r="LV181"/>
      <c r="LW181"/>
      <c r="LX181"/>
      <c r="LY181"/>
      <c r="LZ181"/>
      <c r="MA181"/>
      <c r="MB181"/>
      <c r="MC181"/>
      <c r="MD181"/>
      <c r="ME181"/>
      <c r="MF181"/>
      <c r="MG181"/>
      <c r="MH181"/>
      <c r="MI181"/>
      <c r="MJ181"/>
      <c r="MK181"/>
      <c r="ML181"/>
      <c r="MM181"/>
      <c r="MN181"/>
      <c r="MO181"/>
      <c r="MP181"/>
      <c r="MQ181"/>
      <c r="MR181"/>
      <c r="MS181"/>
      <c r="MT181"/>
      <c r="MU181"/>
      <c r="MV181"/>
      <c r="MW181"/>
      <c r="MX181"/>
      <c r="MY181"/>
      <c r="MZ181"/>
      <c r="NA181"/>
      <c r="NB181"/>
      <c r="NC181"/>
      <c r="ND181"/>
      <c r="NE181"/>
      <c r="NF181"/>
      <c r="NG181"/>
      <c r="NH181"/>
      <c r="NI181"/>
      <c r="NJ181"/>
      <c r="NK181"/>
      <c r="NL181"/>
      <c r="NM181"/>
      <c r="NN181"/>
      <c r="NO181"/>
      <c r="NP181"/>
      <c r="NQ181"/>
      <c r="NR181"/>
      <c r="NS181"/>
      <c r="NT181"/>
      <c r="NU181"/>
      <c r="NV181"/>
      <c r="NW181"/>
      <c r="NX181"/>
      <c r="NY181"/>
      <c r="NZ181"/>
      <c r="OA181"/>
      <c r="OB181"/>
      <c r="OC181"/>
      <c r="OD181"/>
      <c r="OE181"/>
      <c r="OF181"/>
      <c r="OG181"/>
      <c r="OH181"/>
      <c r="OI181"/>
      <c r="OJ181"/>
      <c r="OK181"/>
      <c r="OL181"/>
      <c r="OM181"/>
      <c r="ON181"/>
      <c r="OO181"/>
      <c r="OP181"/>
      <c r="OQ181"/>
      <c r="OR181"/>
      <c r="OS181"/>
      <c r="OT181"/>
      <c r="OU181"/>
      <c r="OV181"/>
      <c r="OW181"/>
      <c r="OX181"/>
      <c r="OY181"/>
      <c r="OZ181"/>
      <c r="PA181"/>
      <c r="PB181"/>
      <c r="PC181"/>
      <c r="PD181"/>
      <c r="PE181"/>
      <c r="PF181"/>
      <c r="PG181"/>
      <c r="PH181"/>
      <c r="PI181"/>
      <c r="PJ181"/>
      <c r="PK181"/>
      <c r="PL181"/>
      <c r="PM181"/>
      <c r="PN181"/>
      <c r="PO181"/>
      <c r="PP181"/>
      <c r="PQ181"/>
      <c r="PR181"/>
      <c r="PS181"/>
      <c r="PT181"/>
      <c r="PU181"/>
      <c r="PV181"/>
      <c r="PW181"/>
      <c r="PX181"/>
      <c r="PY181"/>
      <c r="PZ181"/>
      <c r="QA181"/>
      <c r="QB181"/>
      <c r="QC181"/>
      <c r="QD181"/>
      <c r="QE181"/>
      <c r="QF181"/>
      <c r="QG181"/>
      <c r="QH181"/>
      <c r="QI181"/>
      <c r="QJ181"/>
      <c r="QK181"/>
      <c r="QL181"/>
      <c r="QM181"/>
      <c r="QN181"/>
      <c r="QO181"/>
      <c r="QP181"/>
      <c r="QQ181"/>
      <c r="QR181"/>
      <c r="QS181"/>
      <c r="QT181"/>
      <c r="QU181"/>
      <c r="QV181"/>
      <c r="QW181"/>
      <c r="QX181"/>
    </row>
    <row r="182" spans="1:466" x14ac:dyDescent="0.35">
      <c r="A182" s="53"/>
      <c r="B182" s="53"/>
      <c r="C182" s="55"/>
      <c r="D182" s="53"/>
      <c r="E182" s="53"/>
      <c r="F182" s="126" t="s">
        <v>303</v>
      </c>
      <c r="G182" s="125">
        <v>4.82796</v>
      </c>
      <c r="H182" s="125">
        <v>48.279600000000002</v>
      </c>
      <c r="I182" s="133">
        <v>10</v>
      </c>
      <c r="J182" s="53"/>
      <c r="K182" s="53"/>
      <c r="L182" s="53"/>
      <c r="M182" s="53"/>
      <c r="N182" s="53"/>
      <c r="O182" s="53"/>
      <c r="P182" s="53"/>
      <c r="Q182" s="53"/>
      <c r="R182" s="53"/>
      <c r="S182" s="53"/>
      <c r="T182" s="53"/>
      <c r="U182" s="53"/>
      <c r="V182" s="53"/>
      <c r="W182" s="53"/>
      <c r="X182" s="53"/>
      <c r="Y182" s="53"/>
      <c r="Z182" s="53"/>
      <c r="AA182" s="53"/>
      <c r="AB182" s="53"/>
      <c r="AC182" s="53"/>
      <c r="AD182" s="53"/>
      <c r="AE182" s="53"/>
      <c r="AF182" s="63"/>
      <c r="AG182" s="64"/>
      <c r="AH182" s="65"/>
      <c r="AI182" s="65"/>
      <c r="AJ182" s="53"/>
      <c r="AK182" s="62"/>
      <c r="AL182" s="62"/>
      <c r="AM182" s="62"/>
      <c r="AN182" s="62"/>
      <c r="AO182" s="62"/>
      <c r="AP182" s="62"/>
      <c r="AQ182" s="62"/>
      <c r="AR182" s="62"/>
      <c r="AS182" s="62"/>
      <c r="AT182" s="62"/>
      <c r="AU182" s="62"/>
      <c r="AV182" s="62"/>
      <c r="AW182" s="62"/>
      <c r="AX182" s="62"/>
      <c r="AY182" s="62"/>
      <c r="AZ182" s="62"/>
      <c r="BA182" s="62"/>
      <c r="BB182" s="62"/>
      <c r="BC182" s="62"/>
      <c r="BD182" s="62"/>
      <c r="BE182" s="62"/>
      <c r="BF182" s="62"/>
      <c r="BG182" s="62"/>
      <c r="BH182" s="62"/>
      <c r="BI182" s="62"/>
      <c r="BJ182" s="62"/>
      <c r="BK182" s="62"/>
      <c r="BL182" s="62"/>
      <c r="BM182" s="62"/>
      <c r="BN182" s="62"/>
      <c r="BO182" s="62"/>
      <c r="BP182" s="62"/>
      <c r="BQ182" s="62"/>
      <c r="BR182" s="62"/>
      <c r="BS182" s="62"/>
      <c r="BT182" s="62"/>
      <c r="BU182" s="62"/>
      <c r="BV182" s="62"/>
      <c r="BW182" s="62"/>
      <c r="BX182" s="6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  <c r="HB182"/>
      <c r="HC182"/>
      <c r="HD182"/>
      <c r="HE182"/>
      <c r="HF182"/>
      <c r="HG182"/>
      <c r="HH182"/>
      <c r="HI182"/>
      <c r="HJ182"/>
      <c r="HK182"/>
      <c r="HL182"/>
      <c r="HM182"/>
      <c r="HN182"/>
      <c r="HO182"/>
      <c r="HP182"/>
      <c r="HQ182"/>
      <c r="HR182"/>
      <c r="HS182"/>
      <c r="HT182"/>
      <c r="HU182"/>
      <c r="HV182"/>
      <c r="HW182"/>
      <c r="HX182"/>
      <c r="HY182"/>
      <c r="HZ182"/>
      <c r="IA182"/>
      <c r="IB182"/>
      <c r="IC182"/>
      <c r="ID182"/>
      <c r="IE182"/>
      <c r="IF182"/>
      <c r="IG182"/>
      <c r="IH182"/>
      <c r="II182"/>
      <c r="IJ182"/>
      <c r="IK182"/>
      <c r="IL182"/>
      <c r="IM182"/>
      <c r="IN182"/>
      <c r="IO182"/>
      <c r="IP182"/>
      <c r="IQ182"/>
      <c r="IR182"/>
      <c r="IS182"/>
      <c r="IT182"/>
      <c r="IU182"/>
      <c r="IV182"/>
      <c r="IW182"/>
      <c r="IX182"/>
      <c r="IY182"/>
      <c r="IZ182"/>
      <c r="JA182"/>
      <c r="JB182"/>
      <c r="JC182"/>
      <c r="JD182"/>
      <c r="JE182"/>
      <c r="JF182"/>
      <c r="JG182"/>
      <c r="JH182"/>
      <c r="JI182"/>
      <c r="JJ182"/>
      <c r="JK182"/>
      <c r="JL182"/>
      <c r="JM182"/>
      <c r="JN182"/>
      <c r="JO182"/>
      <c r="JP182"/>
      <c r="JQ182"/>
      <c r="JR182"/>
      <c r="JS182"/>
      <c r="JT182"/>
      <c r="JU182"/>
      <c r="JV182"/>
      <c r="JW182"/>
      <c r="JX182"/>
      <c r="JY182"/>
      <c r="JZ182"/>
      <c r="KA182"/>
      <c r="KB182"/>
      <c r="KC182"/>
      <c r="KD182"/>
      <c r="KE182"/>
      <c r="KF182"/>
      <c r="KG182"/>
      <c r="KH182"/>
      <c r="KI182"/>
      <c r="KJ182"/>
      <c r="KK182"/>
      <c r="KL182"/>
      <c r="KM182"/>
      <c r="KN182"/>
      <c r="KO182"/>
      <c r="KP182"/>
      <c r="KQ182"/>
      <c r="KR182"/>
      <c r="KS182"/>
      <c r="KT182"/>
      <c r="KU182"/>
      <c r="KV182"/>
      <c r="KW182"/>
      <c r="KX182"/>
      <c r="KY182"/>
      <c r="KZ182"/>
      <c r="LA182"/>
      <c r="LB182"/>
      <c r="LC182"/>
      <c r="LD182"/>
      <c r="LE182"/>
      <c r="LF182"/>
      <c r="LG182"/>
      <c r="LH182"/>
      <c r="LI182"/>
      <c r="LJ182"/>
      <c r="LK182"/>
      <c r="LL182"/>
      <c r="LM182"/>
      <c r="LN182"/>
      <c r="LO182"/>
      <c r="LP182"/>
      <c r="LQ182"/>
      <c r="LR182"/>
      <c r="LS182"/>
      <c r="LT182"/>
      <c r="LU182"/>
      <c r="LV182"/>
      <c r="LW182"/>
      <c r="LX182"/>
      <c r="LY182"/>
      <c r="LZ182"/>
      <c r="MA182"/>
      <c r="MB182"/>
      <c r="MC182"/>
      <c r="MD182"/>
      <c r="ME182"/>
      <c r="MF182"/>
      <c r="MG182"/>
      <c r="MH182"/>
      <c r="MI182"/>
      <c r="MJ182"/>
      <c r="MK182"/>
      <c r="ML182"/>
      <c r="MM182"/>
      <c r="MN182"/>
      <c r="MO182"/>
      <c r="MP182"/>
      <c r="MQ182"/>
      <c r="MR182"/>
      <c r="MS182"/>
      <c r="MT182"/>
      <c r="MU182"/>
      <c r="MV182"/>
      <c r="MW182"/>
      <c r="MX182"/>
      <c r="MY182"/>
      <c r="MZ182"/>
      <c r="NA182"/>
      <c r="NB182"/>
      <c r="NC182"/>
      <c r="ND182"/>
      <c r="NE182"/>
      <c r="NF182"/>
      <c r="NG182"/>
      <c r="NH182"/>
      <c r="NI182"/>
      <c r="NJ182"/>
      <c r="NK182"/>
      <c r="NL182"/>
      <c r="NM182"/>
      <c r="NN182"/>
      <c r="NO182"/>
      <c r="NP182"/>
      <c r="NQ182"/>
      <c r="NR182"/>
      <c r="NS182"/>
      <c r="NT182"/>
      <c r="NU182"/>
      <c r="NV182"/>
      <c r="NW182"/>
      <c r="NX182"/>
      <c r="NY182"/>
      <c r="NZ182"/>
      <c r="OA182"/>
      <c r="OB182"/>
      <c r="OC182"/>
      <c r="OD182"/>
      <c r="OE182"/>
      <c r="OF182"/>
      <c r="OG182"/>
      <c r="OH182"/>
      <c r="OI182"/>
      <c r="OJ182"/>
      <c r="OK182"/>
      <c r="OL182"/>
      <c r="OM182"/>
      <c r="ON182"/>
      <c r="OO182"/>
      <c r="OP182"/>
      <c r="OQ182"/>
      <c r="OR182"/>
      <c r="OS182"/>
      <c r="OT182"/>
      <c r="OU182"/>
      <c r="OV182"/>
      <c r="OW182"/>
      <c r="OX182"/>
      <c r="OY182"/>
      <c r="OZ182"/>
      <c r="PA182"/>
      <c r="PB182"/>
      <c r="PC182"/>
      <c r="PD182"/>
      <c r="PE182"/>
      <c r="PF182"/>
      <c r="PG182"/>
      <c r="PH182"/>
      <c r="PI182"/>
      <c r="PJ182"/>
      <c r="PK182"/>
      <c r="PL182"/>
      <c r="PM182"/>
      <c r="PN182"/>
      <c r="PO182"/>
      <c r="PP182"/>
      <c r="PQ182"/>
      <c r="PR182"/>
      <c r="PS182"/>
      <c r="PT182"/>
      <c r="PU182"/>
      <c r="PV182"/>
      <c r="PW182"/>
      <c r="PX182"/>
      <c r="PY182"/>
      <c r="PZ182"/>
      <c r="QA182"/>
      <c r="QB182"/>
      <c r="QC182"/>
      <c r="QD182"/>
      <c r="QE182"/>
      <c r="QF182"/>
      <c r="QG182"/>
      <c r="QH182"/>
      <c r="QI182"/>
      <c r="QJ182"/>
      <c r="QK182"/>
      <c r="QL182"/>
      <c r="QM182"/>
      <c r="QN182"/>
      <c r="QO182"/>
      <c r="QP182"/>
      <c r="QQ182"/>
      <c r="QR182"/>
      <c r="QS182"/>
      <c r="QT182"/>
      <c r="QU182"/>
      <c r="QV182"/>
      <c r="QW182"/>
      <c r="QX182"/>
    </row>
    <row r="183" spans="1:466" x14ac:dyDescent="0.35">
      <c r="A183" s="53"/>
      <c r="B183" s="53"/>
      <c r="C183" s="55"/>
      <c r="D183" s="53"/>
      <c r="E183" s="53"/>
      <c r="F183" s="126" t="s">
        <v>230</v>
      </c>
      <c r="G183" s="125">
        <v>4.82796</v>
      </c>
      <c r="H183" s="125">
        <v>140.01084</v>
      </c>
      <c r="I183" s="133">
        <v>29</v>
      </c>
      <c r="J183" s="53"/>
      <c r="K183" s="53"/>
      <c r="L183" s="53"/>
      <c r="M183" s="53"/>
      <c r="N183" s="53"/>
      <c r="O183" s="53"/>
      <c r="P183" s="53"/>
      <c r="Q183" s="53"/>
      <c r="R183" s="53"/>
      <c r="S183" s="53"/>
      <c r="T183" s="53"/>
      <c r="U183" s="53"/>
      <c r="V183" s="53"/>
      <c r="W183" s="53"/>
      <c r="X183" s="53"/>
      <c r="Y183" s="53"/>
      <c r="Z183" s="53"/>
      <c r="AA183" s="53"/>
      <c r="AB183" s="53"/>
      <c r="AC183" s="53"/>
      <c r="AD183" s="53"/>
      <c r="AE183" s="53"/>
      <c r="AF183" s="63"/>
      <c r="AG183" s="64"/>
      <c r="AH183" s="65"/>
      <c r="AI183" s="65"/>
      <c r="AJ183" s="53"/>
      <c r="AK183" s="62"/>
      <c r="AL183" s="62"/>
      <c r="AM183" s="62"/>
      <c r="AN183" s="62"/>
      <c r="AO183" s="62"/>
      <c r="AP183" s="62"/>
      <c r="AQ183" s="62"/>
      <c r="AR183" s="62"/>
      <c r="AS183" s="62"/>
      <c r="AT183" s="62"/>
      <c r="AU183" s="62"/>
      <c r="AV183" s="62"/>
      <c r="AW183" s="62"/>
      <c r="AX183" s="62"/>
      <c r="AY183" s="62"/>
      <c r="AZ183" s="62"/>
      <c r="BA183" s="62"/>
      <c r="BB183" s="62"/>
      <c r="BC183" s="62"/>
      <c r="BD183" s="62"/>
      <c r="BE183" s="62"/>
      <c r="BF183" s="62"/>
      <c r="BG183" s="62"/>
      <c r="BH183" s="62"/>
      <c r="BI183" s="62"/>
      <c r="BJ183" s="62"/>
      <c r="BK183" s="62"/>
      <c r="BL183" s="62"/>
      <c r="BM183" s="62"/>
      <c r="BN183" s="62"/>
      <c r="BO183" s="62"/>
      <c r="BP183" s="62"/>
      <c r="BQ183" s="62"/>
      <c r="BR183" s="62"/>
      <c r="BS183" s="62"/>
      <c r="BT183" s="62"/>
      <c r="BU183" s="62"/>
      <c r="BV183" s="62"/>
      <c r="BW183" s="62"/>
      <c r="BX183" s="62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  <c r="HB183"/>
      <c r="HC183"/>
      <c r="HD183"/>
      <c r="HE183"/>
      <c r="HF183"/>
      <c r="HG183"/>
      <c r="HH183"/>
      <c r="HI183"/>
      <c r="HJ183"/>
      <c r="HK183"/>
      <c r="HL183"/>
      <c r="HM183"/>
      <c r="HN183"/>
      <c r="HO183"/>
      <c r="HP183"/>
      <c r="HQ183"/>
      <c r="HR183"/>
      <c r="HS183"/>
      <c r="HT183"/>
      <c r="HU183"/>
      <c r="HV183"/>
      <c r="HW183"/>
      <c r="HX183"/>
      <c r="HY183"/>
      <c r="HZ183"/>
      <c r="IA183"/>
      <c r="IB183"/>
      <c r="IC183"/>
      <c r="ID183"/>
      <c r="IE183"/>
      <c r="IF183"/>
      <c r="IG183"/>
      <c r="IH183"/>
      <c r="II183"/>
      <c r="IJ183"/>
      <c r="IK183"/>
      <c r="IL183"/>
      <c r="IM183"/>
      <c r="IN183"/>
      <c r="IO183"/>
      <c r="IP183"/>
      <c r="IQ183"/>
      <c r="IR183"/>
      <c r="IS183"/>
      <c r="IT183"/>
      <c r="IU183"/>
      <c r="IV183"/>
      <c r="IW183"/>
      <c r="IX183"/>
      <c r="IY183"/>
      <c r="IZ183"/>
      <c r="JA183"/>
      <c r="JB183"/>
      <c r="JC183"/>
      <c r="JD183"/>
      <c r="JE183"/>
      <c r="JF183"/>
      <c r="JG183"/>
      <c r="JH183"/>
      <c r="JI183"/>
      <c r="JJ183"/>
      <c r="JK183"/>
      <c r="JL183"/>
      <c r="JM183"/>
      <c r="JN183"/>
      <c r="JO183"/>
      <c r="JP183"/>
      <c r="JQ183"/>
      <c r="JR183"/>
      <c r="JS183"/>
      <c r="JT183"/>
      <c r="JU183"/>
      <c r="JV183"/>
      <c r="JW183"/>
      <c r="JX183"/>
      <c r="JY183"/>
      <c r="JZ183"/>
      <c r="KA183"/>
      <c r="KB183"/>
      <c r="KC183"/>
      <c r="KD183"/>
      <c r="KE183"/>
      <c r="KF183"/>
      <c r="KG183"/>
      <c r="KH183"/>
      <c r="KI183"/>
      <c r="KJ183"/>
      <c r="KK183"/>
      <c r="KL183"/>
      <c r="KM183"/>
      <c r="KN183"/>
      <c r="KO183"/>
      <c r="KP183"/>
      <c r="KQ183"/>
      <c r="KR183"/>
      <c r="KS183"/>
      <c r="KT183"/>
      <c r="KU183"/>
      <c r="KV183"/>
      <c r="KW183"/>
      <c r="KX183"/>
      <c r="KY183"/>
      <c r="KZ183"/>
      <c r="LA183"/>
      <c r="LB183"/>
      <c r="LC183"/>
      <c r="LD183"/>
      <c r="LE183"/>
      <c r="LF183"/>
      <c r="LG183"/>
      <c r="LH183"/>
      <c r="LI183"/>
      <c r="LJ183"/>
      <c r="LK183"/>
      <c r="LL183"/>
      <c r="LM183"/>
      <c r="LN183"/>
      <c r="LO183"/>
      <c r="LP183"/>
      <c r="LQ183"/>
      <c r="LR183"/>
      <c r="LS183"/>
      <c r="LT183"/>
      <c r="LU183"/>
      <c r="LV183"/>
      <c r="LW183"/>
      <c r="LX183"/>
      <c r="LY183"/>
      <c r="LZ183"/>
      <c r="MA183"/>
      <c r="MB183"/>
      <c r="MC183"/>
      <c r="MD183"/>
      <c r="ME183"/>
      <c r="MF183"/>
      <c r="MG183"/>
      <c r="MH183"/>
      <c r="MI183"/>
      <c r="MJ183"/>
      <c r="MK183"/>
      <c r="ML183"/>
      <c r="MM183"/>
      <c r="MN183"/>
      <c r="MO183"/>
      <c r="MP183"/>
      <c r="MQ183"/>
      <c r="MR183"/>
      <c r="MS183"/>
      <c r="MT183"/>
      <c r="MU183"/>
      <c r="MV183"/>
      <c r="MW183"/>
      <c r="MX183"/>
      <c r="MY183"/>
      <c r="MZ183"/>
      <c r="NA183"/>
      <c r="NB183"/>
      <c r="NC183"/>
      <c r="ND183"/>
      <c r="NE183"/>
      <c r="NF183"/>
      <c r="NG183"/>
      <c r="NH183"/>
      <c r="NI183"/>
      <c r="NJ183"/>
      <c r="NK183"/>
      <c r="NL183"/>
      <c r="NM183"/>
      <c r="NN183"/>
      <c r="NO183"/>
      <c r="NP183"/>
      <c r="NQ183"/>
      <c r="NR183"/>
      <c r="NS183"/>
      <c r="NT183"/>
      <c r="NU183"/>
      <c r="NV183"/>
      <c r="NW183"/>
      <c r="NX183"/>
      <c r="NY183"/>
      <c r="NZ183"/>
      <c r="OA183"/>
      <c r="OB183"/>
      <c r="OC183"/>
      <c r="OD183"/>
      <c r="OE183"/>
      <c r="OF183"/>
      <c r="OG183"/>
      <c r="OH183"/>
      <c r="OI183"/>
      <c r="OJ183"/>
      <c r="OK183"/>
      <c r="OL183"/>
      <c r="OM183"/>
      <c r="ON183"/>
      <c r="OO183"/>
      <c r="OP183"/>
      <c r="OQ183"/>
      <c r="OR183"/>
      <c r="OS183"/>
      <c r="OT183"/>
      <c r="OU183"/>
      <c r="OV183"/>
      <c r="OW183"/>
      <c r="OX183"/>
      <c r="OY183"/>
      <c r="OZ183"/>
      <c r="PA183"/>
      <c r="PB183"/>
      <c r="PC183"/>
      <c r="PD183"/>
      <c r="PE183"/>
      <c r="PF183"/>
      <c r="PG183"/>
      <c r="PH183"/>
      <c r="PI183"/>
      <c r="PJ183"/>
      <c r="PK183"/>
      <c r="PL183"/>
      <c r="PM183"/>
      <c r="PN183"/>
      <c r="PO183"/>
      <c r="PP183"/>
      <c r="PQ183"/>
      <c r="PR183"/>
      <c r="PS183"/>
      <c r="PT183"/>
      <c r="PU183"/>
      <c r="PV183"/>
      <c r="PW183"/>
      <c r="PX183"/>
      <c r="PY183"/>
      <c r="PZ183"/>
      <c r="QA183"/>
      <c r="QB183"/>
      <c r="QC183"/>
      <c r="QD183"/>
      <c r="QE183"/>
      <c r="QF183"/>
      <c r="QG183"/>
      <c r="QH183"/>
      <c r="QI183"/>
      <c r="QJ183"/>
      <c r="QK183"/>
      <c r="QL183"/>
      <c r="QM183"/>
      <c r="QN183"/>
      <c r="QO183"/>
      <c r="QP183"/>
      <c r="QQ183"/>
      <c r="QR183"/>
      <c r="QS183"/>
      <c r="QT183"/>
      <c r="QU183"/>
      <c r="QV183"/>
      <c r="QW183"/>
      <c r="QX183"/>
    </row>
    <row r="184" spans="1:466" x14ac:dyDescent="0.35">
      <c r="A184" s="53"/>
      <c r="B184" s="53"/>
      <c r="C184" s="55"/>
      <c r="D184" s="53"/>
      <c r="E184" s="53"/>
      <c r="F184" s="126" t="s">
        <v>273</v>
      </c>
      <c r="G184" s="125">
        <v>4.82796</v>
      </c>
      <c r="H184" s="125">
        <v>144.83879999999999</v>
      </c>
      <c r="I184" s="133">
        <v>30</v>
      </c>
      <c r="J184" s="53"/>
      <c r="K184" s="53"/>
      <c r="L184" s="53"/>
      <c r="M184" s="53"/>
      <c r="N184" s="53"/>
      <c r="O184" s="53"/>
      <c r="P184" s="53"/>
      <c r="Q184" s="53"/>
      <c r="R184" s="53"/>
      <c r="S184" s="53"/>
      <c r="T184" s="53"/>
      <c r="U184" s="53"/>
      <c r="V184" s="53"/>
      <c r="W184" s="53"/>
      <c r="X184" s="53"/>
      <c r="Y184" s="53"/>
      <c r="Z184" s="53"/>
      <c r="AA184" s="53"/>
      <c r="AB184" s="53"/>
      <c r="AC184" s="53"/>
      <c r="AD184" s="53"/>
      <c r="AE184" s="53"/>
      <c r="AF184" s="63"/>
      <c r="AG184" s="64"/>
      <c r="AH184" s="65"/>
      <c r="AI184" s="65"/>
      <c r="AJ184" s="53"/>
      <c r="AK184" s="62"/>
      <c r="AL184" s="62"/>
      <c r="AM184" s="62"/>
      <c r="AN184" s="62"/>
      <c r="AO184" s="62"/>
      <c r="AP184" s="62"/>
      <c r="AQ184" s="62"/>
      <c r="AR184" s="62"/>
      <c r="AS184" s="62"/>
      <c r="AT184" s="62"/>
      <c r="AU184" s="62"/>
      <c r="AV184" s="62"/>
      <c r="AW184" s="62"/>
      <c r="AX184" s="62"/>
      <c r="AY184" s="62"/>
      <c r="AZ184" s="62"/>
      <c r="BA184" s="62"/>
      <c r="BB184" s="62"/>
      <c r="BC184" s="62"/>
      <c r="BD184" s="62"/>
      <c r="BE184" s="62"/>
      <c r="BF184" s="62"/>
      <c r="BG184" s="62"/>
      <c r="BH184" s="62"/>
      <c r="BI184" s="62"/>
      <c r="BJ184" s="62"/>
      <c r="BK184" s="62"/>
      <c r="BL184" s="62"/>
      <c r="BM184" s="62"/>
      <c r="BN184" s="62"/>
      <c r="BO184" s="62"/>
      <c r="BP184" s="62"/>
      <c r="BQ184" s="62"/>
      <c r="BR184" s="62"/>
      <c r="BS184" s="62"/>
      <c r="BT184" s="62"/>
      <c r="BU184" s="62"/>
      <c r="BV184" s="62"/>
      <c r="BW184" s="62"/>
      <c r="BX184" s="62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  <c r="HB184"/>
      <c r="HC184"/>
      <c r="HD184"/>
      <c r="HE184"/>
      <c r="HF184"/>
      <c r="HG184"/>
      <c r="HH184"/>
      <c r="HI184"/>
      <c r="HJ184"/>
      <c r="HK184"/>
      <c r="HL184"/>
      <c r="HM184"/>
      <c r="HN184"/>
      <c r="HO184"/>
      <c r="HP184"/>
      <c r="HQ184"/>
      <c r="HR184"/>
      <c r="HS184"/>
      <c r="HT184"/>
      <c r="HU184"/>
      <c r="HV184"/>
      <c r="HW184"/>
      <c r="HX184"/>
      <c r="HY184"/>
      <c r="HZ184"/>
      <c r="IA184"/>
      <c r="IB184"/>
      <c r="IC184"/>
      <c r="ID184"/>
      <c r="IE184"/>
      <c r="IF184"/>
      <c r="IG184"/>
      <c r="IH184"/>
      <c r="II184"/>
      <c r="IJ184"/>
      <c r="IK184"/>
      <c r="IL184"/>
      <c r="IM184"/>
      <c r="IN184"/>
      <c r="IO184"/>
      <c r="IP184"/>
      <c r="IQ184"/>
      <c r="IR184"/>
      <c r="IS184"/>
      <c r="IT184"/>
      <c r="IU184"/>
      <c r="IV184"/>
      <c r="IW184"/>
      <c r="IX184"/>
      <c r="IY184"/>
      <c r="IZ184"/>
      <c r="JA184"/>
      <c r="JB184"/>
      <c r="JC184"/>
      <c r="JD184"/>
      <c r="JE184"/>
      <c r="JF184"/>
      <c r="JG184"/>
      <c r="JH184"/>
      <c r="JI184"/>
      <c r="JJ184"/>
      <c r="JK184"/>
      <c r="JL184"/>
      <c r="JM184"/>
      <c r="JN184"/>
      <c r="JO184"/>
      <c r="JP184"/>
      <c r="JQ184"/>
      <c r="JR184"/>
      <c r="JS184"/>
      <c r="JT184"/>
      <c r="JU184"/>
      <c r="JV184"/>
      <c r="JW184"/>
      <c r="JX184"/>
      <c r="JY184"/>
      <c r="JZ184"/>
      <c r="KA184"/>
      <c r="KB184"/>
      <c r="KC184"/>
      <c r="KD184"/>
      <c r="KE184"/>
      <c r="KF184"/>
      <c r="KG184"/>
      <c r="KH184"/>
      <c r="KI184"/>
      <c r="KJ184"/>
      <c r="KK184"/>
      <c r="KL184"/>
      <c r="KM184"/>
      <c r="KN184"/>
      <c r="KO184"/>
      <c r="KP184"/>
      <c r="KQ184"/>
      <c r="KR184"/>
      <c r="KS184"/>
      <c r="KT184"/>
      <c r="KU184"/>
      <c r="KV184"/>
      <c r="KW184"/>
      <c r="KX184"/>
      <c r="KY184"/>
      <c r="KZ184"/>
      <c r="LA184"/>
      <c r="LB184"/>
      <c r="LC184"/>
      <c r="LD184"/>
      <c r="LE184"/>
      <c r="LF184"/>
      <c r="LG184"/>
      <c r="LH184"/>
      <c r="LI184"/>
      <c r="LJ184"/>
      <c r="LK184"/>
      <c r="LL184"/>
      <c r="LM184"/>
      <c r="LN184"/>
      <c r="LO184"/>
      <c r="LP184"/>
      <c r="LQ184"/>
      <c r="LR184"/>
      <c r="LS184"/>
      <c r="LT184"/>
      <c r="LU184"/>
      <c r="LV184"/>
      <c r="LW184"/>
      <c r="LX184"/>
      <c r="LY184"/>
      <c r="LZ184"/>
      <c r="MA184"/>
      <c r="MB184"/>
      <c r="MC184"/>
      <c r="MD184"/>
      <c r="ME184"/>
      <c r="MF184"/>
      <c r="MG184"/>
      <c r="MH184"/>
      <c r="MI184"/>
      <c r="MJ184"/>
      <c r="MK184"/>
      <c r="ML184"/>
      <c r="MM184"/>
      <c r="MN184"/>
      <c r="MO184"/>
      <c r="MP184"/>
      <c r="MQ184"/>
      <c r="MR184"/>
      <c r="MS184"/>
      <c r="MT184"/>
      <c r="MU184"/>
      <c r="MV184"/>
      <c r="MW184"/>
      <c r="MX184"/>
      <c r="MY184"/>
      <c r="MZ184"/>
      <c r="NA184"/>
      <c r="NB184"/>
      <c r="NC184"/>
      <c r="ND184"/>
      <c r="NE184"/>
      <c r="NF184"/>
      <c r="NG184"/>
      <c r="NH184"/>
      <c r="NI184"/>
      <c r="NJ184"/>
      <c r="NK184"/>
      <c r="NL184"/>
      <c r="NM184"/>
      <c r="NN184"/>
      <c r="NO184"/>
      <c r="NP184"/>
      <c r="NQ184"/>
      <c r="NR184"/>
      <c r="NS184"/>
      <c r="NT184"/>
      <c r="NU184"/>
      <c r="NV184"/>
      <c r="NW184"/>
      <c r="NX184"/>
      <c r="NY184"/>
      <c r="NZ184"/>
      <c r="OA184"/>
      <c r="OB184"/>
      <c r="OC184"/>
      <c r="OD184"/>
      <c r="OE184"/>
      <c r="OF184"/>
      <c r="OG184"/>
      <c r="OH184"/>
      <c r="OI184"/>
      <c r="OJ184"/>
      <c r="OK184"/>
      <c r="OL184"/>
      <c r="OM184"/>
      <c r="ON184"/>
      <c r="OO184"/>
      <c r="OP184"/>
      <c r="OQ184"/>
      <c r="OR184"/>
      <c r="OS184"/>
      <c r="OT184"/>
      <c r="OU184"/>
      <c r="OV184"/>
      <c r="OW184"/>
      <c r="OX184"/>
      <c r="OY184"/>
      <c r="OZ184"/>
      <c r="PA184"/>
      <c r="PB184"/>
      <c r="PC184"/>
      <c r="PD184"/>
      <c r="PE184"/>
      <c r="PF184"/>
      <c r="PG184"/>
      <c r="PH184"/>
      <c r="PI184"/>
      <c r="PJ184"/>
      <c r="PK184"/>
      <c r="PL184"/>
      <c r="PM184"/>
      <c r="PN184"/>
      <c r="PO184"/>
      <c r="PP184"/>
      <c r="PQ184"/>
      <c r="PR184"/>
      <c r="PS184"/>
      <c r="PT184"/>
      <c r="PU184"/>
      <c r="PV184"/>
      <c r="PW184"/>
      <c r="PX184"/>
      <c r="PY184"/>
      <c r="PZ184"/>
      <c r="QA184"/>
      <c r="QB184"/>
      <c r="QC184"/>
      <c r="QD184"/>
      <c r="QE184"/>
      <c r="QF184"/>
      <c r="QG184"/>
      <c r="QH184"/>
      <c r="QI184"/>
      <c r="QJ184"/>
      <c r="QK184"/>
      <c r="QL184"/>
      <c r="QM184"/>
      <c r="QN184"/>
      <c r="QO184"/>
      <c r="QP184"/>
      <c r="QQ184"/>
      <c r="QR184"/>
      <c r="QS184"/>
      <c r="QT184"/>
      <c r="QU184"/>
      <c r="QV184"/>
      <c r="QW184"/>
      <c r="QX184"/>
    </row>
    <row r="185" spans="1:466" x14ac:dyDescent="0.35">
      <c r="A185" s="53"/>
      <c r="B185" s="53"/>
      <c r="C185" s="55"/>
      <c r="D185" s="53"/>
      <c r="E185" s="53"/>
      <c r="F185" s="126" t="s">
        <v>255</v>
      </c>
      <c r="G185" s="125">
        <v>7.1093999999999999</v>
      </c>
      <c r="H185" s="125">
        <v>142.18799999999999</v>
      </c>
      <c r="I185" s="133">
        <v>20</v>
      </c>
      <c r="J185" s="53"/>
      <c r="K185" s="53"/>
      <c r="L185" s="53"/>
      <c r="M185" s="53"/>
      <c r="N185" s="53"/>
      <c r="O185" s="53"/>
      <c r="P185" s="53"/>
      <c r="Q185" s="53"/>
      <c r="R185" s="53"/>
      <c r="S185" s="53"/>
      <c r="T185" s="53"/>
      <c r="U185" s="53"/>
      <c r="V185" s="53"/>
      <c r="W185" s="53"/>
      <c r="X185" s="53"/>
      <c r="Y185" s="53"/>
      <c r="Z185" s="53"/>
      <c r="AA185" s="53"/>
      <c r="AB185" s="53"/>
      <c r="AC185" s="53"/>
      <c r="AD185" s="53"/>
      <c r="AE185" s="53"/>
      <c r="AF185" s="63"/>
      <c r="AG185" s="64"/>
      <c r="AH185" s="65"/>
      <c r="AI185" s="65"/>
      <c r="AJ185" s="53"/>
      <c r="AK185" s="62"/>
      <c r="AL185" s="62"/>
      <c r="AM185" s="62"/>
      <c r="AN185" s="62"/>
      <c r="AO185" s="62"/>
      <c r="AP185" s="62"/>
      <c r="AQ185" s="62"/>
      <c r="AR185" s="62"/>
      <c r="AS185" s="62"/>
      <c r="AT185" s="62"/>
      <c r="AU185" s="62"/>
      <c r="AV185" s="62"/>
      <c r="AW185" s="62"/>
      <c r="AX185" s="62"/>
      <c r="AY185" s="62"/>
      <c r="AZ185" s="62"/>
      <c r="BA185" s="62"/>
      <c r="BB185" s="62"/>
      <c r="BC185" s="62"/>
      <c r="BD185" s="62"/>
      <c r="BE185" s="62"/>
      <c r="BF185" s="62"/>
      <c r="BG185" s="62"/>
      <c r="BH185" s="62"/>
      <c r="BI185" s="62"/>
      <c r="BJ185" s="62"/>
      <c r="BK185" s="62"/>
      <c r="BL185" s="62"/>
      <c r="BM185" s="62"/>
      <c r="BN185" s="62"/>
      <c r="BO185" s="62"/>
      <c r="BP185" s="62"/>
      <c r="BQ185" s="62"/>
      <c r="BR185" s="62"/>
      <c r="BS185" s="62"/>
      <c r="BT185" s="62"/>
      <c r="BU185" s="62"/>
      <c r="BV185" s="62"/>
      <c r="BW185" s="62"/>
      <c r="BX185" s="62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  <c r="HB185"/>
      <c r="HC185"/>
      <c r="HD185"/>
      <c r="HE185"/>
      <c r="HF185"/>
      <c r="HG185"/>
      <c r="HH185"/>
      <c r="HI185"/>
      <c r="HJ185"/>
      <c r="HK185"/>
      <c r="HL185"/>
      <c r="HM185"/>
      <c r="HN185"/>
      <c r="HO185"/>
      <c r="HP185"/>
      <c r="HQ185"/>
      <c r="HR185"/>
      <c r="HS185"/>
      <c r="HT185"/>
      <c r="HU185"/>
      <c r="HV185"/>
      <c r="HW185"/>
      <c r="HX185"/>
      <c r="HY185"/>
      <c r="HZ185"/>
      <c r="IA185"/>
      <c r="IB185"/>
      <c r="IC185"/>
      <c r="ID185"/>
      <c r="IE185"/>
      <c r="IF185"/>
      <c r="IG185"/>
      <c r="IH185"/>
      <c r="II185"/>
      <c r="IJ185"/>
      <c r="IK185"/>
      <c r="IL185"/>
      <c r="IM185"/>
      <c r="IN185"/>
      <c r="IO185"/>
      <c r="IP185"/>
      <c r="IQ185"/>
      <c r="IR185"/>
      <c r="IS185"/>
      <c r="IT185"/>
      <c r="IU185"/>
      <c r="IV185"/>
      <c r="IW185"/>
      <c r="IX185"/>
      <c r="IY185"/>
      <c r="IZ185"/>
      <c r="JA185"/>
      <c r="JB185"/>
      <c r="JC185"/>
      <c r="JD185"/>
      <c r="JE185"/>
      <c r="JF185"/>
      <c r="JG185"/>
      <c r="JH185"/>
      <c r="JI185"/>
      <c r="JJ185"/>
      <c r="JK185"/>
      <c r="JL185"/>
      <c r="JM185"/>
      <c r="JN185"/>
      <c r="JO185"/>
      <c r="JP185"/>
      <c r="JQ185"/>
      <c r="JR185"/>
      <c r="JS185"/>
      <c r="JT185"/>
      <c r="JU185"/>
      <c r="JV185"/>
      <c r="JW185"/>
      <c r="JX185"/>
      <c r="JY185"/>
      <c r="JZ185"/>
      <c r="KA185"/>
      <c r="KB185"/>
      <c r="KC185"/>
      <c r="KD185"/>
      <c r="KE185"/>
      <c r="KF185"/>
      <c r="KG185"/>
      <c r="KH185"/>
      <c r="KI185"/>
      <c r="KJ185"/>
      <c r="KK185"/>
      <c r="KL185"/>
      <c r="KM185"/>
      <c r="KN185"/>
      <c r="KO185"/>
      <c r="KP185"/>
      <c r="KQ185"/>
      <c r="KR185"/>
      <c r="KS185"/>
      <c r="KT185"/>
      <c r="KU185"/>
      <c r="KV185"/>
      <c r="KW185"/>
      <c r="KX185"/>
      <c r="KY185"/>
      <c r="KZ185"/>
      <c r="LA185"/>
      <c r="LB185"/>
      <c r="LC185"/>
      <c r="LD185"/>
      <c r="LE185"/>
      <c r="LF185"/>
      <c r="LG185"/>
      <c r="LH185"/>
      <c r="LI185"/>
      <c r="LJ185"/>
      <c r="LK185"/>
      <c r="LL185"/>
      <c r="LM185"/>
      <c r="LN185"/>
      <c r="LO185"/>
      <c r="LP185"/>
      <c r="LQ185"/>
      <c r="LR185"/>
      <c r="LS185"/>
      <c r="LT185"/>
      <c r="LU185"/>
      <c r="LV185"/>
      <c r="LW185"/>
      <c r="LX185"/>
      <c r="LY185"/>
      <c r="LZ185"/>
      <c r="MA185"/>
      <c r="MB185"/>
      <c r="MC185"/>
      <c r="MD185"/>
      <c r="ME185"/>
      <c r="MF185"/>
      <c r="MG185"/>
      <c r="MH185"/>
      <c r="MI185"/>
      <c r="MJ185"/>
      <c r="MK185"/>
      <c r="ML185"/>
      <c r="MM185"/>
      <c r="MN185"/>
      <c r="MO185"/>
      <c r="MP185"/>
      <c r="MQ185"/>
      <c r="MR185"/>
      <c r="MS185"/>
      <c r="MT185"/>
      <c r="MU185"/>
      <c r="MV185"/>
      <c r="MW185"/>
      <c r="MX185"/>
      <c r="MY185"/>
      <c r="MZ185"/>
      <c r="NA185"/>
      <c r="NB185"/>
      <c r="NC185"/>
      <c r="ND185"/>
      <c r="NE185"/>
      <c r="NF185"/>
      <c r="NG185"/>
      <c r="NH185"/>
      <c r="NI185"/>
      <c r="NJ185"/>
      <c r="NK185"/>
      <c r="NL185"/>
      <c r="NM185"/>
      <c r="NN185"/>
      <c r="NO185"/>
      <c r="NP185"/>
      <c r="NQ185"/>
      <c r="NR185"/>
      <c r="NS185"/>
      <c r="NT185"/>
      <c r="NU185"/>
      <c r="NV185"/>
      <c r="NW185"/>
      <c r="NX185"/>
      <c r="NY185"/>
      <c r="NZ185"/>
      <c r="OA185"/>
      <c r="OB185"/>
      <c r="OC185"/>
      <c r="OD185"/>
      <c r="OE185"/>
      <c r="OF185"/>
      <c r="OG185"/>
      <c r="OH185"/>
      <c r="OI185"/>
      <c r="OJ185"/>
      <c r="OK185"/>
      <c r="OL185"/>
      <c r="OM185"/>
      <c r="ON185"/>
      <c r="OO185"/>
      <c r="OP185"/>
      <c r="OQ185"/>
      <c r="OR185"/>
      <c r="OS185"/>
      <c r="OT185"/>
      <c r="OU185"/>
      <c r="OV185"/>
      <c r="OW185"/>
      <c r="OX185"/>
      <c r="OY185"/>
      <c r="OZ185"/>
      <c r="PA185"/>
      <c r="PB185"/>
      <c r="PC185"/>
      <c r="PD185"/>
      <c r="PE185"/>
      <c r="PF185"/>
      <c r="PG185"/>
      <c r="PH185"/>
      <c r="PI185"/>
      <c r="PJ185"/>
      <c r="PK185"/>
      <c r="PL185"/>
      <c r="PM185"/>
      <c r="PN185"/>
      <c r="PO185"/>
      <c r="PP185"/>
      <c r="PQ185"/>
      <c r="PR185"/>
      <c r="PS185"/>
      <c r="PT185"/>
      <c r="PU185"/>
      <c r="PV185"/>
      <c r="PW185"/>
      <c r="PX185"/>
      <c r="PY185"/>
      <c r="PZ185"/>
      <c r="QA185"/>
      <c r="QB185"/>
      <c r="QC185"/>
      <c r="QD185"/>
      <c r="QE185"/>
      <c r="QF185"/>
      <c r="QG185"/>
      <c r="QH185"/>
      <c r="QI185"/>
      <c r="QJ185"/>
      <c r="QK185"/>
      <c r="QL185"/>
      <c r="QM185"/>
      <c r="QN185"/>
      <c r="QO185"/>
      <c r="QP185"/>
      <c r="QQ185"/>
      <c r="QR185"/>
      <c r="QS185"/>
      <c r="QT185"/>
      <c r="QU185"/>
      <c r="QV185"/>
      <c r="QW185"/>
      <c r="QX185"/>
    </row>
    <row r="186" spans="1:466" x14ac:dyDescent="0.35">
      <c r="A186" s="53"/>
      <c r="B186" s="53"/>
      <c r="C186" s="55"/>
      <c r="D186" s="53"/>
      <c r="E186" s="53"/>
      <c r="F186" s="126" t="s">
        <v>305</v>
      </c>
      <c r="G186" s="125">
        <v>7.1093999999999999</v>
      </c>
      <c r="H186" s="125">
        <v>71.093999999999994</v>
      </c>
      <c r="I186" s="133">
        <v>10</v>
      </c>
      <c r="J186" s="53"/>
      <c r="K186" s="53"/>
      <c r="L186" s="53"/>
      <c r="M186" s="53"/>
      <c r="N186" s="53"/>
      <c r="O186" s="53"/>
      <c r="P186" s="53"/>
      <c r="Q186" s="53"/>
      <c r="R186" s="53"/>
      <c r="S186" s="53"/>
      <c r="T186" s="53"/>
      <c r="U186" s="53"/>
      <c r="V186" s="53"/>
      <c r="W186" s="53"/>
      <c r="X186" s="53"/>
      <c r="Y186" s="53"/>
      <c r="Z186" s="53"/>
      <c r="AA186" s="53"/>
      <c r="AB186" s="53"/>
      <c r="AC186" s="53"/>
      <c r="AD186" s="53"/>
      <c r="AE186" s="53"/>
      <c r="AF186" s="63"/>
      <c r="AG186" s="64"/>
      <c r="AH186" s="65"/>
      <c r="AI186" s="65"/>
      <c r="AJ186" s="53"/>
      <c r="AK186" s="62"/>
      <c r="AL186" s="62"/>
      <c r="AM186" s="62"/>
      <c r="AN186" s="62"/>
      <c r="AO186" s="62"/>
      <c r="AP186" s="62"/>
      <c r="AQ186" s="62"/>
      <c r="AR186" s="62"/>
      <c r="AS186" s="62"/>
      <c r="AT186" s="62"/>
      <c r="AU186" s="62"/>
      <c r="AV186" s="62"/>
      <c r="AW186" s="62"/>
      <c r="AX186" s="62"/>
      <c r="AY186" s="62"/>
      <c r="AZ186" s="62"/>
      <c r="BA186" s="62"/>
      <c r="BB186" s="62"/>
      <c r="BC186" s="62"/>
      <c r="BD186" s="62"/>
      <c r="BE186" s="62"/>
      <c r="BF186" s="62"/>
      <c r="BG186" s="62"/>
      <c r="BH186" s="62"/>
      <c r="BI186" s="62"/>
      <c r="BJ186" s="62"/>
      <c r="BK186" s="62"/>
      <c r="BL186" s="62"/>
      <c r="BM186" s="62"/>
      <c r="BN186" s="62"/>
      <c r="BO186" s="62"/>
      <c r="BP186" s="62"/>
      <c r="BQ186" s="62"/>
      <c r="BR186" s="62"/>
      <c r="BS186" s="62"/>
      <c r="BT186" s="62"/>
      <c r="BU186" s="62"/>
      <c r="BV186" s="62"/>
      <c r="BW186" s="62"/>
      <c r="BX186" s="62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  <c r="HB186"/>
      <c r="HC186"/>
      <c r="HD186"/>
      <c r="HE186"/>
      <c r="HF186"/>
      <c r="HG186"/>
      <c r="HH186"/>
      <c r="HI186"/>
      <c r="HJ186"/>
      <c r="HK186"/>
      <c r="HL186"/>
      <c r="HM186"/>
      <c r="HN186"/>
      <c r="HO186"/>
      <c r="HP186"/>
      <c r="HQ186"/>
      <c r="HR186"/>
      <c r="HS186"/>
      <c r="HT186"/>
      <c r="HU186"/>
      <c r="HV186"/>
      <c r="HW186"/>
      <c r="HX186"/>
      <c r="HY186"/>
      <c r="HZ186"/>
      <c r="IA186"/>
      <c r="IB186"/>
      <c r="IC186"/>
      <c r="ID186"/>
      <c r="IE186"/>
      <c r="IF186"/>
      <c r="IG186"/>
      <c r="IH186"/>
      <c r="II186"/>
      <c r="IJ186"/>
      <c r="IK186"/>
      <c r="IL186"/>
      <c r="IM186"/>
      <c r="IN186"/>
      <c r="IO186"/>
      <c r="IP186"/>
      <c r="IQ186"/>
      <c r="IR186"/>
      <c r="IS186"/>
      <c r="IT186"/>
      <c r="IU186"/>
      <c r="IV186"/>
      <c r="IW186"/>
      <c r="IX186"/>
      <c r="IY186"/>
      <c r="IZ186"/>
      <c r="JA186"/>
      <c r="JB186"/>
      <c r="JC186"/>
      <c r="JD186"/>
      <c r="JE186"/>
      <c r="JF186"/>
      <c r="JG186"/>
      <c r="JH186"/>
      <c r="JI186"/>
      <c r="JJ186"/>
      <c r="JK186"/>
      <c r="JL186"/>
      <c r="JM186"/>
      <c r="JN186"/>
      <c r="JO186"/>
      <c r="JP186"/>
      <c r="JQ186"/>
      <c r="JR186"/>
      <c r="JS186"/>
      <c r="JT186"/>
      <c r="JU186"/>
      <c r="JV186"/>
      <c r="JW186"/>
      <c r="JX186"/>
      <c r="JY186"/>
      <c r="JZ186"/>
      <c r="KA186"/>
      <c r="KB186"/>
      <c r="KC186"/>
      <c r="KD186"/>
      <c r="KE186"/>
      <c r="KF186"/>
      <c r="KG186"/>
      <c r="KH186"/>
      <c r="KI186"/>
      <c r="KJ186"/>
      <c r="KK186"/>
      <c r="KL186"/>
      <c r="KM186"/>
      <c r="KN186"/>
      <c r="KO186"/>
      <c r="KP186"/>
      <c r="KQ186"/>
      <c r="KR186"/>
      <c r="KS186"/>
      <c r="KT186"/>
      <c r="KU186"/>
      <c r="KV186"/>
      <c r="KW186"/>
      <c r="KX186"/>
      <c r="KY186"/>
      <c r="KZ186"/>
      <c r="LA186"/>
      <c r="LB186"/>
      <c r="LC186"/>
      <c r="LD186"/>
      <c r="LE186"/>
      <c r="LF186"/>
      <c r="LG186"/>
      <c r="LH186"/>
      <c r="LI186"/>
      <c r="LJ186"/>
      <c r="LK186"/>
      <c r="LL186"/>
      <c r="LM186"/>
      <c r="LN186"/>
      <c r="LO186"/>
      <c r="LP186"/>
      <c r="LQ186"/>
      <c r="LR186"/>
      <c r="LS186"/>
      <c r="LT186"/>
      <c r="LU186"/>
      <c r="LV186"/>
      <c r="LW186"/>
      <c r="LX186"/>
      <c r="LY186"/>
      <c r="LZ186"/>
      <c r="MA186"/>
      <c r="MB186"/>
      <c r="MC186"/>
      <c r="MD186"/>
      <c r="ME186"/>
      <c r="MF186"/>
      <c r="MG186"/>
      <c r="MH186"/>
      <c r="MI186"/>
      <c r="MJ186"/>
      <c r="MK186"/>
      <c r="ML186"/>
      <c r="MM186"/>
      <c r="MN186"/>
      <c r="MO186"/>
      <c r="MP186"/>
      <c r="MQ186"/>
      <c r="MR186"/>
      <c r="MS186"/>
      <c r="MT186"/>
      <c r="MU186"/>
      <c r="MV186"/>
      <c r="MW186"/>
      <c r="MX186"/>
      <c r="MY186"/>
      <c r="MZ186"/>
      <c r="NA186"/>
      <c r="NB186"/>
      <c r="NC186"/>
      <c r="ND186"/>
      <c r="NE186"/>
      <c r="NF186"/>
      <c r="NG186"/>
      <c r="NH186"/>
      <c r="NI186"/>
      <c r="NJ186"/>
      <c r="NK186"/>
      <c r="NL186"/>
      <c r="NM186"/>
      <c r="NN186"/>
      <c r="NO186"/>
      <c r="NP186"/>
      <c r="NQ186"/>
      <c r="NR186"/>
      <c r="NS186"/>
      <c r="NT186"/>
      <c r="NU186"/>
      <c r="NV186"/>
      <c r="NW186"/>
      <c r="NX186"/>
      <c r="NY186"/>
      <c r="NZ186"/>
      <c r="OA186"/>
      <c r="OB186"/>
      <c r="OC186"/>
      <c r="OD186"/>
      <c r="OE186"/>
      <c r="OF186"/>
      <c r="OG186"/>
      <c r="OH186"/>
      <c r="OI186"/>
      <c r="OJ186"/>
      <c r="OK186"/>
      <c r="OL186"/>
      <c r="OM186"/>
      <c r="ON186"/>
      <c r="OO186"/>
      <c r="OP186"/>
      <c r="OQ186"/>
      <c r="OR186"/>
      <c r="OS186"/>
      <c r="OT186"/>
      <c r="OU186"/>
      <c r="OV186"/>
      <c r="OW186"/>
      <c r="OX186"/>
      <c r="OY186"/>
      <c r="OZ186"/>
      <c r="PA186"/>
      <c r="PB186"/>
      <c r="PC186"/>
      <c r="PD186"/>
      <c r="PE186"/>
      <c r="PF186"/>
      <c r="PG186"/>
      <c r="PH186"/>
      <c r="PI186"/>
      <c r="PJ186"/>
      <c r="PK186"/>
      <c r="PL186"/>
      <c r="PM186"/>
      <c r="PN186"/>
      <c r="PO186"/>
      <c r="PP186"/>
      <c r="PQ186"/>
      <c r="PR186"/>
      <c r="PS186"/>
      <c r="PT186"/>
      <c r="PU186"/>
      <c r="PV186"/>
      <c r="PW186"/>
      <c r="PX186"/>
      <c r="PY186"/>
      <c r="PZ186"/>
      <c r="QA186"/>
      <c r="QB186"/>
      <c r="QC186"/>
      <c r="QD186"/>
      <c r="QE186"/>
      <c r="QF186"/>
      <c r="QG186"/>
      <c r="QH186"/>
      <c r="QI186"/>
      <c r="QJ186"/>
      <c r="QK186"/>
      <c r="QL186"/>
      <c r="QM186"/>
      <c r="QN186"/>
      <c r="QO186"/>
      <c r="QP186"/>
      <c r="QQ186"/>
      <c r="QR186"/>
      <c r="QS186"/>
      <c r="QT186"/>
      <c r="QU186"/>
      <c r="QV186"/>
      <c r="QW186"/>
      <c r="QX186"/>
    </row>
    <row r="187" spans="1:466" x14ac:dyDescent="0.35">
      <c r="A187" s="53"/>
      <c r="B187" s="53"/>
      <c r="C187" s="55"/>
      <c r="D187" s="53"/>
      <c r="E187" s="53"/>
      <c r="F187" s="126" t="s">
        <v>232</v>
      </c>
      <c r="G187" s="125">
        <v>7.1093999999999999</v>
      </c>
      <c r="H187" s="125">
        <v>113.7504</v>
      </c>
      <c r="I187" s="133">
        <v>16</v>
      </c>
      <c r="J187" s="53"/>
      <c r="K187" s="53"/>
      <c r="L187" s="53"/>
      <c r="M187" s="53"/>
      <c r="N187" s="53"/>
      <c r="O187" s="53"/>
      <c r="P187" s="53"/>
      <c r="Q187" s="53"/>
      <c r="R187" s="53"/>
      <c r="S187" s="53"/>
      <c r="T187" s="53"/>
      <c r="U187" s="53"/>
      <c r="V187" s="53"/>
      <c r="W187" s="53"/>
      <c r="X187" s="53"/>
      <c r="Y187" s="53"/>
      <c r="Z187" s="53"/>
      <c r="AA187" s="53"/>
      <c r="AB187" s="53"/>
      <c r="AC187" s="53"/>
      <c r="AD187" s="53"/>
      <c r="AE187" s="53"/>
      <c r="AF187" s="63"/>
      <c r="AG187" s="64"/>
      <c r="AH187" s="65"/>
      <c r="AI187" s="65"/>
      <c r="AJ187" s="53"/>
      <c r="AK187" s="62"/>
      <c r="AL187" s="62"/>
      <c r="AM187" s="62"/>
      <c r="AN187" s="62"/>
      <c r="AO187" s="62"/>
      <c r="AP187" s="62"/>
      <c r="AQ187" s="62"/>
      <c r="AR187" s="62"/>
      <c r="AS187" s="62"/>
      <c r="AT187" s="62"/>
      <c r="AU187" s="62"/>
      <c r="AV187" s="62"/>
      <c r="AW187" s="62"/>
      <c r="AX187" s="62"/>
      <c r="AY187" s="62"/>
      <c r="AZ187" s="62"/>
      <c r="BA187" s="62"/>
      <c r="BB187" s="62"/>
      <c r="BC187" s="62"/>
      <c r="BD187" s="62"/>
      <c r="BE187" s="62"/>
      <c r="BF187" s="62"/>
      <c r="BG187" s="62"/>
      <c r="BH187" s="62"/>
      <c r="BI187" s="62"/>
      <c r="BJ187" s="62"/>
      <c r="BK187" s="62"/>
      <c r="BL187" s="62"/>
      <c r="BM187" s="62"/>
      <c r="BN187" s="62"/>
      <c r="BO187" s="62"/>
      <c r="BP187" s="62"/>
      <c r="BQ187" s="62"/>
      <c r="BR187" s="62"/>
      <c r="BS187" s="62"/>
      <c r="BT187" s="62"/>
      <c r="BU187" s="62"/>
      <c r="BV187" s="62"/>
      <c r="BW187" s="62"/>
      <c r="BX187" s="62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  <c r="HB187"/>
      <c r="HC187"/>
      <c r="HD187"/>
      <c r="HE187"/>
      <c r="HF187"/>
      <c r="HG187"/>
      <c r="HH187"/>
      <c r="HI187"/>
      <c r="HJ187"/>
      <c r="HK187"/>
      <c r="HL187"/>
      <c r="HM187"/>
      <c r="HN187"/>
      <c r="HO187"/>
      <c r="HP187"/>
      <c r="HQ187"/>
      <c r="HR187"/>
      <c r="HS187"/>
      <c r="HT187"/>
      <c r="HU187"/>
      <c r="HV187"/>
      <c r="HW187"/>
      <c r="HX187"/>
      <c r="HY187"/>
      <c r="HZ187"/>
      <c r="IA187"/>
      <c r="IB187"/>
      <c r="IC187"/>
      <c r="ID187"/>
      <c r="IE187"/>
      <c r="IF187"/>
      <c r="IG187"/>
      <c r="IH187"/>
      <c r="II187"/>
      <c r="IJ187"/>
      <c r="IK187"/>
      <c r="IL187"/>
      <c r="IM187"/>
      <c r="IN187"/>
      <c r="IO187"/>
      <c r="IP187"/>
      <c r="IQ187"/>
      <c r="IR187"/>
      <c r="IS187"/>
      <c r="IT187"/>
      <c r="IU187"/>
      <c r="IV187"/>
      <c r="IW187"/>
      <c r="IX187"/>
      <c r="IY187"/>
      <c r="IZ187"/>
      <c r="JA187"/>
      <c r="JB187"/>
      <c r="JC187"/>
      <c r="JD187"/>
      <c r="JE187"/>
      <c r="JF187"/>
      <c r="JG187"/>
      <c r="JH187"/>
      <c r="JI187"/>
      <c r="JJ187"/>
      <c r="JK187"/>
      <c r="JL187"/>
      <c r="JM187"/>
      <c r="JN187"/>
      <c r="JO187"/>
      <c r="JP187"/>
      <c r="JQ187"/>
      <c r="JR187"/>
      <c r="JS187"/>
      <c r="JT187"/>
      <c r="JU187"/>
      <c r="JV187"/>
      <c r="JW187"/>
      <c r="JX187"/>
      <c r="JY187"/>
      <c r="JZ187"/>
      <c r="KA187"/>
      <c r="KB187"/>
      <c r="KC187"/>
      <c r="KD187"/>
      <c r="KE187"/>
      <c r="KF187"/>
      <c r="KG187"/>
      <c r="KH187"/>
      <c r="KI187"/>
      <c r="KJ187"/>
      <c r="KK187"/>
      <c r="KL187"/>
      <c r="KM187"/>
      <c r="KN187"/>
      <c r="KO187"/>
      <c r="KP187"/>
      <c r="KQ187"/>
      <c r="KR187"/>
      <c r="KS187"/>
      <c r="KT187"/>
      <c r="KU187"/>
      <c r="KV187"/>
      <c r="KW187"/>
      <c r="KX187"/>
      <c r="KY187"/>
      <c r="KZ187"/>
      <c r="LA187"/>
      <c r="LB187"/>
      <c r="LC187"/>
      <c r="LD187"/>
      <c r="LE187"/>
      <c r="LF187"/>
      <c r="LG187"/>
      <c r="LH187"/>
      <c r="LI187"/>
      <c r="LJ187"/>
      <c r="LK187"/>
      <c r="LL187"/>
      <c r="LM187"/>
      <c r="LN187"/>
      <c r="LO187"/>
      <c r="LP187"/>
      <c r="LQ187"/>
      <c r="LR187"/>
      <c r="LS187"/>
      <c r="LT187"/>
      <c r="LU187"/>
      <c r="LV187"/>
      <c r="LW187"/>
      <c r="LX187"/>
      <c r="LY187"/>
      <c r="LZ187"/>
      <c r="MA187"/>
      <c r="MB187"/>
      <c r="MC187"/>
      <c r="MD187"/>
      <c r="ME187"/>
      <c r="MF187"/>
      <c r="MG187"/>
      <c r="MH187"/>
      <c r="MI187"/>
      <c r="MJ187"/>
      <c r="MK187"/>
      <c r="ML187"/>
      <c r="MM187"/>
      <c r="MN187"/>
      <c r="MO187"/>
      <c r="MP187"/>
      <c r="MQ187"/>
      <c r="MR187"/>
      <c r="MS187"/>
      <c r="MT187"/>
      <c r="MU187"/>
      <c r="MV187"/>
      <c r="MW187"/>
      <c r="MX187"/>
      <c r="MY187"/>
      <c r="MZ187"/>
      <c r="NA187"/>
      <c r="NB187"/>
      <c r="NC187"/>
      <c r="ND187"/>
      <c r="NE187"/>
      <c r="NF187"/>
      <c r="NG187"/>
      <c r="NH187"/>
      <c r="NI187"/>
      <c r="NJ187"/>
      <c r="NK187"/>
      <c r="NL187"/>
      <c r="NM187"/>
      <c r="NN187"/>
      <c r="NO187"/>
      <c r="NP187"/>
      <c r="NQ187"/>
      <c r="NR187"/>
      <c r="NS187"/>
      <c r="NT187"/>
      <c r="NU187"/>
      <c r="NV187"/>
      <c r="NW187"/>
      <c r="NX187"/>
      <c r="NY187"/>
      <c r="NZ187"/>
      <c r="OA187"/>
      <c r="OB187"/>
      <c r="OC187"/>
      <c r="OD187"/>
      <c r="OE187"/>
      <c r="OF187"/>
      <c r="OG187"/>
      <c r="OH187"/>
      <c r="OI187"/>
      <c r="OJ187"/>
      <c r="OK187"/>
      <c r="OL187"/>
      <c r="OM187"/>
      <c r="ON187"/>
      <c r="OO187"/>
      <c r="OP187"/>
      <c r="OQ187"/>
      <c r="OR187"/>
      <c r="OS187"/>
      <c r="OT187"/>
      <c r="OU187"/>
      <c r="OV187"/>
      <c r="OW187"/>
      <c r="OX187"/>
      <c r="OY187"/>
      <c r="OZ187"/>
      <c r="PA187"/>
      <c r="PB187"/>
      <c r="PC187"/>
      <c r="PD187"/>
      <c r="PE187"/>
      <c r="PF187"/>
      <c r="PG187"/>
      <c r="PH187"/>
      <c r="PI187"/>
      <c r="PJ187"/>
      <c r="PK187"/>
      <c r="PL187"/>
      <c r="PM187"/>
      <c r="PN187"/>
      <c r="PO187"/>
      <c r="PP187"/>
      <c r="PQ187"/>
      <c r="PR187"/>
      <c r="PS187"/>
      <c r="PT187"/>
      <c r="PU187"/>
      <c r="PV187"/>
      <c r="PW187"/>
      <c r="PX187"/>
      <c r="PY187"/>
      <c r="PZ187"/>
      <c r="QA187"/>
      <c r="QB187"/>
      <c r="QC187"/>
      <c r="QD187"/>
      <c r="QE187"/>
      <c r="QF187"/>
      <c r="QG187"/>
      <c r="QH187"/>
      <c r="QI187"/>
      <c r="QJ187"/>
      <c r="QK187"/>
      <c r="QL187"/>
      <c r="QM187"/>
      <c r="QN187"/>
      <c r="QO187"/>
      <c r="QP187"/>
      <c r="QQ187"/>
      <c r="QR187"/>
      <c r="QS187"/>
      <c r="QT187"/>
      <c r="QU187"/>
      <c r="QV187"/>
      <c r="QW187"/>
      <c r="QX187"/>
    </row>
    <row r="188" spans="1:466" x14ac:dyDescent="0.35">
      <c r="A188" s="53"/>
      <c r="B188" s="53"/>
      <c r="C188" s="55"/>
      <c r="D188" s="53"/>
      <c r="E188" s="53"/>
      <c r="F188" s="126" t="s">
        <v>275</v>
      </c>
      <c r="G188" s="125">
        <v>7.1093999999999999</v>
      </c>
      <c r="H188" s="125">
        <v>142.18799999999999</v>
      </c>
      <c r="I188" s="133">
        <v>20</v>
      </c>
      <c r="J188" s="53"/>
      <c r="K188" s="53"/>
      <c r="L188" s="53"/>
      <c r="M188" s="53"/>
      <c r="N188" s="53"/>
      <c r="O188" s="53"/>
      <c r="P188" s="53"/>
      <c r="Q188" s="53"/>
      <c r="R188" s="53"/>
      <c r="S188" s="53"/>
      <c r="T188" s="53"/>
      <c r="U188" s="53"/>
      <c r="V188" s="53"/>
      <c r="W188" s="53"/>
      <c r="X188" s="53"/>
      <c r="Y188" s="53"/>
      <c r="Z188" s="53"/>
      <c r="AA188" s="53"/>
      <c r="AB188" s="53"/>
      <c r="AC188" s="53"/>
      <c r="AD188" s="53"/>
      <c r="AE188" s="53"/>
      <c r="AF188" s="63"/>
      <c r="AG188" s="64"/>
      <c r="AH188" s="65"/>
      <c r="AI188" s="65"/>
      <c r="AJ188" s="53"/>
      <c r="AK188" s="62"/>
      <c r="AL188" s="62"/>
      <c r="AM188" s="62"/>
      <c r="AN188" s="62"/>
      <c r="AO188" s="62"/>
      <c r="AP188" s="62"/>
      <c r="AQ188" s="62"/>
      <c r="AR188" s="62"/>
      <c r="AS188" s="62"/>
      <c r="AT188" s="62"/>
      <c r="AU188" s="62"/>
      <c r="AV188" s="62"/>
      <c r="AW188" s="62"/>
      <c r="AX188" s="62"/>
      <c r="AY188" s="62"/>
      <c r="AZ188" s="62"/>
      <c r="BA188" s="62"/>
      <c r="BB188" s="62"/>
      <c r="BC188" s="62"/>
      <c r="BD188" s="62"/>
      <c r="BE188" s="62"/>
      <c r="BF188" s="62"/>
      <c r="BG188" s="62"/>
      <c r="BH188" s="62"/>
      <c r="BI188" s="62"/>
      <c r="BJ188" s="62"/>
      <c r="BK188" s="62"/>
      <c r="BL188" s="62"/>
      <c r="BM188" s="62"/>
      <c r="BN188" s="62"/>
      <c r="BO188" s="62"/>
      <c r="BP188" s="62"/>
      <c r="BQ188" s="62"/>
      <c r="BR188" s="62"/>
      <c r="BS188" s="62"/>
      <c r="BT188" s="62"/>
      <c r="BU188" s="62"/>
      <c r="BV188" s="62"/>
      <c r="BW188" s="62"/>
      <c r="BX188" s="62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  <c r="HB188"/>
      <c r="HC188"/>
      <c r="HD188"/>
      <c r="HE188"/>
      <c r="HF188"/>
      <c r="HG188"/>
      <c r="HH188"/>
      <c r="HI188"/>
      <c r="HJ188"/>
      <c r="HK188"/>
      <c r="HL188"/>
      <c r="HM188"/>
      <c r="HN188"/>
      <c r="HO188"/>
      <c r="HP188"/>
      <c r="HQ188"/>
      <c r="HR188"/>
      <c r="HS188"/>
      <c r="HT188"/>
      <c r="HU188"/>
      <c r="HV188"/>
      <c r="HW188"/>
      <c r="HX188"/>
      <c r="HY188"/>
      <c r="HZ188"/>
      <c r="IA188"/>
      <c r="IB188"/>
      <c r="IC188"/>
      <c r="ID188"/>
      <c r="IE188"/>
      <c r="IF188"/>
      <c r="IG188"/>
      <c r="IH188"/>
      <c r="II188"/>
      <c r="IJ188"/>
      <c r="IK188"/>
      <c r="IL188"/>
      <c r="IM188"/>
      <c r="IN188"/>
      <c r="IO188"/>
      <c r="IP188"/>
      <c r="IQ188"/>
      <c r="IR188"/>
      <c r="IS188"/>
      <c r="IT188"/>
      <c r="IU188"/>
      <c r="IV188"/>
      <c r="IW188"/>
      <c r="IX188"/>
      <c r="IY188"/>
      <c r="IZ188"/>
      <c r="JA188"/>
      <c r="JB188"/>
      <c r="JC188"/>
      <c r="JD188"/>
      <c r="JE188"/>
      <c r="JF188"/>
      <c r="JG188"/>
      <c r="JH188"/>
      <c r="JI188"/>
      <c r="JJ188"/>
      <c r="JK188"/>
      <c r="JL188"/>
      <c r="JM188"/>
      <c r="JN188"/>
      <c r="JO188"/>
      <c r="JP188"/>
      <c r="JQ188"/>
      <c r="JR188"/>
      <c r="JS188"/>
      <c r="JT188"/>
      <c r="JU188"/>
      <c r="JV188"/>
      <c r="JW188"/>
      <c r="JX188"/>
      <c r="JY188"/>
      <c r="JZ188"/>
      <c r="KA188"/>
      <c r="KB188"/>
      <c r="KC188"/>
      <c r="KD188"/>
      <c r="KE188"/>
      <c r="KF188"/>
      <c r="KG188"/>
      <c r="KH188"/>
      <c r="KI188"/>
      <c r="KJ188"/>
      <c r="KK188"/>
      <c r="KL188"/>
      <c r="KM188"/>
      <c r="KN188"/>
      <c r="KO188"/>
      <c r="KP188"/>
      <c r="KQ188"/>
      <c r="KR188"/>
      <c r="KS188"/>
      <c r="KT188"/>
      <c r="KU188"/>
      <c r="KV188"/>
      <c r="KW188"/>
      <c r="KX188"/>
      <c r="KY188"/>
      <c r="KZ188"/>
      <c r="LA188"/>
      <c r="LB188"/>
      <c r="LC188"/>
      <c r="LD188"/>
      <c r="LE188"/>
      <c r="LF188"/>
      <c r="LG188"/>
      <c r="LH188"/>
      <c r="LI188"/>
      <c r="LJ188"/>
      <c r="LK188"/>
      <c r="LL188"/>
      <c r="LM188"/>
      <c r="LN188"/>
      <c r="LO188"/>
      <c r="LP188"/>
      <c r="LQ188"/>
      <c r="LR188"/>
      <c r="LS188"/>
      <c r="LT188"/>
      <c r="LU188"/>
      <c r="LV188"/>
      <c r="LW188"/>
      <c r="LX188"/>
      <c r="LY188"/>
      <c r="LZ188"/>
      <c r="MA188"/>
      <c r="MB188"/>
      <c r="MC188"/>
      <c r="MD188"/>
      <c r="ME188"/>
      <c r="MF188"/>
      <c r="MG188"/>
      <c r="MH188"/>
      <c r="MI188"/>
      <c r="MJ188"/>
      <c r="MK188"/>
      <c r="ML188"/>
      <c r="MM188"/>
      <c r="MN188"/>
      <c r="MO188"/>
      <c r="MP188"/>
      <c r="MQ188"/>
      <c r="MR188"/>
      <c r="MS188"/>
      <c r="MT188"/>
      <c r="MU188"/>
      <c r="MV188"/>
      <c r="MW188"/>
      <c r="MX188"/>
      <c r="MY188"/>
      <c r="MZ188"/>
      <c r="NA188"/>
      <c r="NB188"/>
      <c r="NC188"/>
      <c r="ND188"/>
      <c r="NE188"/>
      <c r="NF188"/>
      <c r="NG188"/>
      <c r="NH188"/>
      <c r="NI188"/>
      <c r="NJ188"/>
      <c r="NK188"/>
      <c r="NL188"/>
      <c r="NM188"/>
      <c r="NN188"/>
      <c r="NO188"/>
      <c r="NP188"/>
      <c r="NQ188"/>
      <c r="NR188"/>
      <c r="NS188"/>
      <c r="NT188"/>
      <c r="NU188"/>
      <c r="NV188"/>
      <c r="NW188"/>
      <c r="NX188"/>
      <c r="NY188"/>
      <c r="NZ188"/>
      <c r="OA188"/>
      <c r="OB188"/>
      <c r="OC188"/>
      <c r="OD188"/>
      <c r="OE188"/>
      <c r="OF188"/>
      <c r="OG188"/>
      <c r="OH188"/>
      <c r="OI188"/>
      <c r="OJ188"/>
      <c r="OK188"/>
      <c r="OL188"/>
      <c r="OM188"/>
      <c r="ON188"/>
      <c r="OO188"/>
      <c r="OP188"/>
      <c r="OQ188"/>
      <c r="OR188"/>
      <c r="OS188"/>
      <c r="OT188"/>
      <c r="OU188"/>
      <c r="OV188"/>
      <c r="OW188"/>
      <c r="OX188"/>
      <c r="OY188"/>
      <c r="OZ188"/>
      <c r="PA188"/>
      <c r="PB188"/>
      <c r="PC188"/>
      <c r="PD188"/>
      <c r="PE188"/>
      <c r="PF188"/>
      <c r="PG188"/>
      <c r="PH188"/>
      <c r="PI188"/>
      <c r="PJ188"/>
      <c r="PK188"/>
      <c r="PL188"/>
      <c r="PM188"/>
      <c r="PN188"/>
      <c r="PO188"/>
      <c r="PP188"/>
      <c r="PQ188"/>
      <c r="PR188"/>
      <c r="PS188"/>
      <c r="PT188"/>
      <c r="PU188"/>
      <c r="PV188"/>
      <c r="PW188"/>
      <c r="PX188"/>
      <c r="PY188"/>
      <c r="PZ188"/>
      <c r="QA188"/>
      <c r="QB188"/>
      <c r="QC188"/>
      <c r="QD188"/>
      <c r="QE188"/>
      <c r="QF188"/>
      <c r="QG188"/>
      <c r="QH188"/>
      <c r="QI188"/>
      <c r="QJ188"/>
      <c r="QK188"/>
      <c r="QL188"/>
      <c r="QM188"/>
      <c r="QN188"/>
      <c r="QO188"/>
      <c r="QP188"/>
      <c r="QQ188"/>
      <c r="QR188"/>
      <c r="QS188"/>
      <c r="QT188"/>
      <c r="QU188"/>
      <c r="QV188"/>
      <c r="QW188"/>
      <c r="QX188"/>
    </row>
    <row r="189" spans="1:466" x14ac:dyDescent="0.35">
      <c r="A189" s="53"/>
      <c r="B189" s="53"/>
      <c r="C189" s="55"/>
      <c r="D189" s="53"/>
      <c r="E189" s="53"/>
      <c r="F189" s="126" t="s">
        <v>204</v>
      </c>
      <c r="G189" s="125">
        <v>10.199999999999999</v>
      </c>
      <c r="H189" s="125">
        <v>663</v>
      </c>
      <c r="I189" s="133">
        <v>65</v>
      </c>
      <c r="J189" s="53"/>
      <c r="K189" s="53"/>
      <c r="L189" s="53"/>
      <c r="M189" s="53"/>
      <c r="N189" s="53"/>
      <c r="O189" s="53"/>
      <c r="P189" s="53"/>
      <c r="Q189" s="53"/>
      <c r="R189" s="53"/>
      <c r="S189" s="53"/>
      <c r="T189" s="53"/>
      <c r="U189" s="53"/>
      <c r="V189" s="53"/>
      <c r="W189" s="53"/>
      <c r="X189" s="53"/>
      <c r="Y189" s="53"/>
      <c r="Z189" s="53"/>
      <c r="AA189" s="53"/>
      <c r="AB189" s="53"/>
      <c r="AC189" s="53"/>
      <c r="AD189" s="53"/>
      <c r="AE189" s="53"/>
      <c r="AF189" s="63"/>
      <c r="AG189" s="64"/>
      <c r="AH189" s="65"/>
      <c r="AI189" s="65"/>
      <c r="AJ189" s="53"/>
      <c r="AK189" s="62"/>
      <c r="AL189" s="62"/>
      <c r="AM189" s="62"/>
      <c r="AN189" s="62"/>
      <c r="AO189" s="62"/>
      <c r="AP189" s="62"/>
      <c r="AQ189" s="62"/>
      <c r="AR189" s="62"/>
      <c r="AS189" s="62"/>
      <c r="AT189" s="62"/>
      <c r="AU189" s="62"/>
      <c r="AV189" s="62"/>
      <c r="AW189" s="62"/>
      <c r="AX189" s="62"/>
      <c r="AY189" s="62"/>
      <c r="AZ189" s="62"/>
      <c r="BA189" s="62"/>
      <c r="BB189" s="62"/>
      <c r="BC189" s="62"/>
      <c r="BD189" s="62"/>
      <c r="BE189" s="62"/>
      <c r="BF189" s="62"/>
      <c r="BG189" s="62"/>
      <c r="BH189" s="62"/>
      <c r="BI189" s="62"/>
      <c r="BJ189" s="62"/>
      <c r="BK189" s="62"/>
      <c r="BL189" s="62"/>
      <c r="BM189" s="62"/>
      <c r="BN189" s="62"/>
      <c r="BO189" s="62"/>
      <c r="BP189" s="62"/>
      <c r="BQ189" s="62"/>
      <c r="BR189" s="62"/>
      <c r="BS189" s="62"/>
      <c r="BT189" s="62"/>
      <c r="BU189" s="62"/>
      <c r="BV189" s="62"/>
      <c r="BW189" s="62"/>
      <c r="BX189" s="62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  <c r="HB189"/>
      <c r="HC189"/>
      <c r="HD189"/>
      <c r="HE189"/>
      <c r="HF189"/>
      <c r="HG189"/>
      <c r="HH189"/>
      <c r="HI189"/>
      <c r="HJ189"/>
      <c r="HK189"/>
      <c r="HL189"/>
      <c r="HM189"/>
      <c r="HN189"/>
      <c r="HO189"/>
      <c r="HP189"/>
      <c r="HQ189"/>
      <c r="HR189"/>
      <c r="HS189"/>
      <c r="HT189"/>
      <c r="HU189"/>
      <c r="HV189"/>
      <c r="HW189"/>
      <c r="HX189"/>
      <c r="HY189"/>
      <c r="HZ189"/>
      <c r="IA189"/>
      <c r="IB189"/>
      <c r="IC189"/>
      <c r="ID189"/>
      <c r="IE189"/>
      <c r="IF189"/>
      <c r="IG189"/>
      <c r="IH189"/>
      <c r="II189"/>
      <c r="IJ189"/>
      <c r="IK189"/>
      <c r="IL189"/>
      <c r="IM189"/>
      <c r="IN189"/>
      <c r="IO189"/>
      <c r="IP189"/>
      <c r="IQ189"/>
      <c r="IR189"/>
      <c r="IS189"/>
      <c r="IT189"/>
      <c r="IU189"/>
      <c r="IV189"/>
      <c r="IW189"/>
      <c r="IX189"/>
      <c r="IY189"/>
      <c r="IZ189"/>
      <c r="JA189"/>
      <c r="JB189"/>
      <c r="JC189"/>
      <c r="JD189"/>
      <c r="JE189"/>
      <c r="JF189"/>
      <c r="JG189"/>
      <c r="JH189"/>
      <c r="JI189"/>
      <c r="JJ189"/>
      <c r="JK189"/>
      <c r="JL189"/>
      <c r="JM189"/>
      <c r="JN189"/>
      <c r="JO189"/>
      <c r="JP189"/>
      <c r="JQ189"/>
      <c r="JR189"/>
      <c r="JS189"/>
      <c r="JT189"/>
      <c r="JU189"/>
      <c r="JV189"/>
      <c r="JW189"/>
      <c r="JX189"/>
      <c r="JY189"/>
      <c r="JZ189"/>
      <c r="KA189"/>
      <c r="KB189"/>
      <c r="KC189"/>
      <c r="KD189"/>
      <c r="KE189"/>
      <c r="KF189"/>
      <c r="KG189"/>
      <c r="KH189"/>
      <c r="KI189"/>
      <c r="KJ189"/>
      <c r="KK189"/>
      <c r="KL189"/>
      <c r="KM189"/>
      <c r="KN189"/>
      <c r="KO189"/>
      <c r="KP189"/>
      <c r="KQ189"/>
      <c r="KR189"/>
      <c r="KS189"/>
      <c r="KT189"/>
      <c r="KU189"/>
      <c r="KV189"/>
      <c r="KW189"/>
      <c r="KX189"/>
      <c r="KY189"/>
      <c r="KZ189"/>
      <c r="LA189"/>
      <c r="LB189"/>
      <c r="LC189"/>
      <c r="LD189"/>
      <c r="LE189"/>
      <c r="LF189"/>
      <c r="LG189"/>
      <c r="LH189"/>
      <c r="LI189"/>
      <c r="LJ189"/>
      <c r="LK189"/>
      <c r="LL189"/>
      <c r="LM189"/>
      <c r="LN189"/>
      <c r="LO189"/>
      <c r="LP189"/>
      <c r="LQ189"/>
      <c r="LR189"/>
      <c r="LS189"/>
      <c r="LT189"/>
      <c r="LU189"/>
      <c r="LV189"/>
      <c r="LW189"/>
      <c r="LX189"/>
      <c r="LY189"/>
      <c r="LZ189"/>
      <c r="MA189"/>
      <c r="MB189"/>
      <c r="MC189"/>
      <c r="MD189"/>
      <c r="ME189"/>
      <c r="MF189"/>
      <c r="MG189"/>
      <c r="MH189"/>
      <c r="MI189"/>
      <c r="MJ189"/>
      <c r="MK189"/>
      <c r="ML189"/>
      <c r="MM189"/>
      <c r="MN189"/>
      <c r="MO189"/>
      <c r="MP189"/>
      <c r="MQ189"/>
      <c r="MR189"/>
      <c r="MS189"/>
      <c r="MT189"/>
      <c r="MU189"/>
      <c r="MV189"/>
      <c r="MW189"/>
      <c r="MX189"/>
      <c r="MY189"/>
      <c r="MZ189"/>
      <c r="NA189"/>
      <c r="NB189"/>
      <c r="NC189"/>
      <c r="ND189"/>
      <c r="NE189"/>
      <c r="NF189"/>
      <c r="NG189"/>
      <c r="NH189"/>
      <c r="NI189"/>
      <c r="NJ189"/>
      <c r="NK189"/>
      <c r="NL189"/>
      <c r="NM189"/>
      <c r="NN189"/>
      <c r="NO189"/>
      <c r="NP189"/>
      <c r="NQ189"/>
      <c r="NR189"/>
      <c r="NS189"/>
      <c r="NT189"/>
      <c r="NU189"/>
      <c r="NV189"/>
      <c r="NW189"/>
      <c r="NX189"/>
      <c r="NY189"/>
      <c r="NZ189"/>
      <c r="OA189"/>
      <c r="OB189"/>
      <c r="OC189"/>
      <c r="OD189"/>
      <c r="OE189"/>
      <c r="OF189"/>
      <c r="OG189"/>
      <c r="OH189"/>
      <c r="OI189"/>
      <c r="OJ189"/>
      <c r="OK189"/>
      <c r="OL189"/>
      <c r="OM189"/>
      <c r="ON189"/>
      <c r="OO189"/>
      <c r="OP189"/>
      <c r="OQ189"/>
      <c r="OR189"/>
      <c r="OS189"/>
      <c r="OT189"/>
      <c r="OU189"/>
      <c r="OV189"/>
      <c r="OW189"/>
      <c r="OX189"/>
      <c r="OY189"/>
      <c r="OZ189"/>
      <c r="PA189"/>
      <c r="PB189"/>
      <c r="PC189"/>
      <c r="PD189"/>
      <c r="PE189"/>
      <c r="PF189"/>
      <c r="PG189"/>
      <c r="PH189"/>
      <c r="PI189"/>
      <c r="PJ189"/>
      <c r="PK189"/>
      <c r="PL189"/>
      <c r="PM189"/>
      <c r="PN189"/>
      <c r="PO189"/>
      <c r="PP189"/>
      <c r="PQ189"/>
      <c r="PR189"/>
      <c r="PS189"/>
      <c r="PT189"/>
      <c r="PU189"/>
      <c r="PV189"/>
      <c r="PW189"/>
      <c r="PX189"/>
      <c r="PY189"/>
      <c r="PZ189"/>
      <c r="QA189"/>
      <c r="QB189"/>
      <c r="QC189"/>
      <c r="QD189"/>
      <c r="QE189"/>
      <c r="QF189"/>
      <c r="QG189"/>
      <c r="QH189"/>
      <c r="QI189"/>
      <c r="QJ189"/>
      <c r="QK189"/>
      <c r="QL189"/>
      <c r="QM189"/>
      <c r="QN189"/>
      <c r="QO189"/>
      <c r="QP189"/>
      <c r="QQ189"/>
      <c r="QR189"/>
      <c r="QS189"/>
      <c r="QT189"/>
      <c r="QU189"/>
      <c r="QV189"/>
      <c r="QW189"/>
      <c r="QX189"/>
    </row>
    <row r="190" spans="1:466" x14ac:dyDescent="0.35">
      <c r="A190" s="53"/>
      <c r="B190" s="53"/>
      <c r="C190" s="55"/>
      <c r="D190" s="53"/>
      <c r="E190" s="53"/>
      <c r="F190" s="126" t="s">
        <v>207</v>
      </c>
      <c r="G190" s="125">
        <v>13.8</v>
      </c>
      <c r="H190" s="125">
        <v>1104</v>
      </c>
      <c r="I190" s="133">
        <v>80</v>
      </c>
      <c r="J190" s="53"/>
      <c r="K190" s="53"/>
      <c r="L190" s="53"/>
      <c r="M190" s="53"/>
      <c r="N190" s="53"/>
      <c r="O190" s="53"/>
      <c r="P190" s="53"/>
      <c r="Q190" s="53"/>
      <c r="R190" s="53"/>
      <c r="S190" s="53"/>
      <c r="T190" s="53"/>
      <c r="U190" s="53"/>
      <c r="V190" s="53"/>
      <c r="W190" s="53"/>
      <c r="X190" s="53"/>
      <c r="Y190" s="53"/>
      <c r="Z190" s="53"/>
      <c r="AA190" s="53"/>
      <c r="AB190" s="53"/>
      <c r="AC190" s="53"/>
      <c r="AD190" s="53"/>
      <c r="AE190" s="53"/>
      <c r="AF190" s="63"/>
      <c r="AG190" s="64"/>
      <c r="AH190" s="65"/>
      <c r="AI190" s="65"/>
      <c r="AJ190" s="53"/>
      <c r="AK190" s="62"/>
      <c r="AL190" s="62"/>
      <c r="AM190" s="62"/>
      <c r="AN190" s="62"/>
      <c r="AO190" s="62"/>
      <c r="AP190" s="62"/>
      <c r="AQ190" s="62"/>
      <c r="AR190" s="62"/>
      <c r="AS190" s="62"/>
      <c r="AT190" s="62"/>
      <c r="AU190" s="62"/>
      <c r="AV190" s="62"/>
      <c r="AW190" s="62"/>
      <c r="AX190" s="62"/>
      <c r="AY190" s="62"/>
      <c r="AZ190" s="62"/>
      <c r="BA190" s="62"/>
      <c r="BB190" s="62"/>
      <c r="BC190" s="62"/>
      <c r="BD190" s="62"/>
      <c r="BE190" s="62"/>
      <c r="BF190" s="62"/>
      <c r="BG190" s="62"/>
      <c r="BH190" s="62"/>
      <c r="BI190" s="62"/>
      <c r="BJ190" s="62"/>
      <c r="BK190" s="62"/>
      <c r="BL190" s="62"/>
      <c r="BM190" s="62"/>
      <c r="BN190" s="62"/>
      <c r="BO190" s="62"/>
      <c r="BP190" s="62"/>
      <c r="BQ190" s="62"/>
      <c r="BR190" s="62"/>
      <c r="BS190" s="62"/>
      <c r="BT190" s="62"/>
      <c r="BU190" s="62"/>
      <c r="BV190" s="62"/>
      <c r="BW190" s="62"/>
      <c r="BX190" s="62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  <c r="HB190"/>
      <c r="HC190"/>
      <c r="HD190"/>
      <c r="HE190"/>
      <c r="HF190"/>
      <c r="HG190"/>
      <c r="HH190"/>
      <c r="HI190"/>
      <c r="HJ190"/>
      <c r="HK190"/>
      <c r="HL190"/>
      <c r="HM190"/>
      <c r="HN190"/>
      <c r="HO190"/>
      <c r="HP190"/>
      <c r="HQ190"/>
      <c r="HR190"/>
      <c r="HS190"/>
      <c r="HT190"/>
      <c r="HU190"/>
      <c r="HV190"/>
      <c r="HW190"/>
      <c r="HX190"/>
      <c r="HY190"/>
      <c r="HZ190"/>
      <c r="IA190"/>
      <c r="IB190"/>
      <c r="IC190"/>
      <c r="ID190"/>
      <c r="IE190"/>
      <c r="IF190"/>
      <c r="IG190"/>
      <c r="IH190"/>
      <c r="II190"/>
      <c r="IJ190"/>
      <c r="IK190"/>
      <c r="IL190"/>
      <c r="IM190"/>
      <c r="IN190"/>
      <c r="IO190"/>
      <c r="IP190"/>
      <c r="IQ190"/>
      <c r="IR190"/>
      <c r="IS190"/>
      <c r="IT190"/>
      <c r="IU190"/>
      <c r="IV190"/>
      <c r="IW190"/>
      <c r="IX190"/>
      <c r="IY190"/>
      <c r="IZ190"/>
      <c r="JA190"/>
      <c r="JB190"/>
      <c r="JC190"/>
      <c r="JD190"/>
      <c r="JE190"/>
      <c r="JF190"/>
      <c r="JG190"/>
      <c r="JH190"/>
      <c r="JI190"/>
      <c r="JJ190"/>
      <c r="JK190"/>
      <c r="JL190"/>
      <c r="JM190"/>
      <c r="JN190"/>
      <c r="JO190"/>
      <c r="JP190"/>
      <c r="JQ190"/>
      <c r="JR190"/>
      <c r="JS190"/>
      <c r="JT190"/>
      <c r="JU190"/>
      <c r="JV190"/>
      <c r="JW190"/>
      <c r="JX190"/>
      <c r="JY190"/>
      <c r="JZ190"/>
      <c r="KA190"/>
      <c r="KB190"/>
      <c r="KC190"/>
      <c r="KD190"/>
      <c r="KE190"/>
      <c r="KF190"/>
      <c r="KG190"/>
      <c r="KH190"/>
      <c r="KI190"/>
      <c r="KJ190"/>
      <c r="KK190"/>
      <c r="KL190"/>
      <c r="KM190"/>
      <c r="KN190"/>
      <c r="KO190"/>
      <c r="KP190"/>
      <c r="KQ190"/>
      <c r="KR190"/>
      <c r="KS190"/>
      <c r="KT190"/>
      <c r="KU190"/>
      <c r="KV190"/>
      <c r="KW190"/>
      <c r="KX190"/>
      <c r="KY190"/>
      <c r="KZ190"/>
      <c r="LA190"/>
      <c r="LB190"/>
      <c r="LC190"/>
      <c r="LD190"/>
      <c r="LE190"/>
      <c r="LF190"/>
      <c r="LG190"/>
      <c r="LH190"/>
      <c r="LI190"/>
      <c r="LJ190"/>
      <c r="LK190"/>
      <c r="LL190"/>
      <c r="LM190"/>
      <c r="LN190"/>
      <c r="LO190"/>
      <c r="LP190"/>
      <c r="LQ190"/>
      <c r="LR190"/>
      <c r="LS190"/>
      <c r="LT190"/>
      <c r="LU190"/>
      <c r="LV190"/>
      <c r="LW190"/>
      <c r="LX190"/>
      <c r="LY190"/>
      <c r="LZ190"/>
      <c r="MA190"/>
      <c r="MB190"/>
      <c r="MC190"/>
      <c r="MD190"/>
      <c r="ME190"/>
      <c r="MF190"/>
      <c r="MG190"/>
      <c r="MH190"/>
      <c r="MI190"/>
      <c r="MJ190"/>
      <c r="MK190"/>
      <c r="ML190"/>
      <c r="MM190"/>
      <c r="MN190"/>
      <c r="MO190"/>
      <c r="MP190"/>
      <c r="MQ190"/>
      <c r="MR190"/>
      <c r="MS190"/>
      <c r="MT190"/>
      <c r="MU190"/>
      <c r="MV190"/>
      <c r="MW190"/>
      <c r="MX190"/>
      <c r="MY190"/>
      <c r="MZ190"/>
      <c r="NA190"/>
      <c r="NB190"/>
      <c r="NC190"/>
      <c r="ND190"/>
      <c r="NE190"/>
      <c r="NF190"/>
      <c r="NG190"/>
      <c r="NH190"/>
      <c r="NI190"/>
      <c r="NJ190"/>
      <c r="NK190"/>
      <c r="NL190"/>
      <c r="NM190"/>
      <c r="NN190"/>
      <c r="NO190"/>
      <c r="NP190"/>
      <c r="NQ190"/>
      <c r="NR190"/>
      <c r="NS190"/>
      <c r="NT190"/>
      <c r="NU190"/>
      <c r="NV190"/>
      <c r="NW190"/>
      <c r="NX190"/>
      <c r="NY190"/>
      <c r="NZ190"/>
      <c r="OA190"/>
      <c r="OB190"/>
      <c r="OC190"/>
      <c r="OD190"/>
      <c r="OE190"/>
      <c r="OF190"/>
      <c r="OG190"/>
      <c r="OH190"/>
      <c r="OI190"/>
      <c r="OJ190"/>
      <c r="OK190"/>
      <c r="OL190"/>
      <c r="OM190"/>
      <c r="ON190"/>
      <c r="OO190"/>
      <c r="OP190"/>
      <c r="OQ190"/>
      <c r="OR190"/>
      <c r="OS190"/>
      <c r="OT190"/>
      <c r="OU190"/>
      <c r="OV190"/>
      <c r="OW190"/>
      <c r="OX190"/>
      <c r="OY190"/>
      <c r="OZ190"/>
      <c r="PA190"/>
      <c r="PB190"/>
      <c r="PC190"/>
      <c r="PD190"/>
      <c r="PE190"/>
      <c r="PF190"/>
      <c r="PG190"/>
      <c r="PH190"/>
      <c r="PI190"/>
      <c r="PJ190"/>
      <c r="PK190"/>
      <c r="PL190"/>
      <c r="PM190"/>
      <c r="PN190"/>
      <c r="PO190"/>
      <c r="PP190"/>
      <c r="PQ190"/>
      <c r="PR190"/>
      <c r="PS190"/>
      <c r="PT190"/>
      <c r="PU190"/>
      <c r="PV190"/>
      <c r="PW190"/>
      <c r="PX190"/>
      <c r="PY190"/>
      <c r="PZ190"/>
      <c r="QA190"/>
      <c r="QB190"/>
      <c r="QC190"/>
      <c r="QD190"/>
      <c r="QE190"/>
      <c r="QF190"/>
      <c r="QG190"/>
      <c r="QH190"/>
      <c r="QI190"/>
      <c r="QJ190"/>
      <c r="QK190"/>
      <c r="QL190"/>
      <c r="QM190"/>
      <c r="QN190"/>
      <c r="QO190"/>
      <c r="QP190"/>
      <c r="QQ190"/>
      <c r="QR190"/>
      <c r="QS190"/>
      <c r="QT190"/>
      <c r="QU190"/>
      <c r="QV190"/>
      <c r="QW190"/>
      <c r="QX190"/>
    </row>
    <row r="191" spans="1:466" x14ac:dyDescent="0.35">
      <c r="A191" s="53"/>
      <c r="B191" s="53"/>
      <c r="C191" s="55"/>
      <c r="D191" s="53"/>
      <c r="E191" s="53"/>
      <c r="F191" s="126" t="s">
        <v>323</v>
      </c>
      <c r="G191" s="125">
        <v>0.51600000000000001</v>
      </c>
      <c r="H191" s="125">
        <v>516</v>
      </c>
      <c r="I191" s="133">
        <v>1000</v>
      </c>
      <c r="J191" s="53"/>
      <c r="K191" s="53"/>
      <c r="L191" s="53"/>
      <c r="M191" s="53"/>
      <c r="N191" s="53"/>
      <c r="O191" s="53"/>
      <c r="P191" s="53"/>
      <c r="Q191" s="53"/>
      <c r="R191" s="53"/>
      <c r="S191" s="53"/>
      <c r="T191" s="53"/>
      <c r="U191" s="53"/>
      <c r="V191" s="53"/>
      <c r="W191" s="53"/>
      <c r="X191" s="53"/>
      <c r="Y191" s="53"/>
      <c r="Z191" s="53"/>
      <c r="AA191" s="53"/>
      <c r="AB191" s="53"/>
      <c r="AC191" s="53"/>
      <c r="AD191" s="53"/>
      <c r="AE191" s="53"/>
      <c r="AF191" s="63"/>
      <c r="AG191" s="64"/>
      <c r="AH191" s="65"/>
      <c r="AI191" s="65"/>
      <c r="AJ191" s="53"/>
      <c r="AK191" s="62"/>
      <c r="AL191" s="62"/>
      <c r="AM191" s="62"/>
      <c r="AN191" s="62"/>
      <c r="AO191" s="62"/>
      <c r="AP191" s="62"/>
      <c r="AQ191" s="62"/>
      <c r="AR191" s="62"/>
      <c r="AS191" s="62"/>
      <c r="AT191" s="62"/>
      <c r="AU191" s="62"/>
      <c r="AV191" s="62"/>
      <c r="AW191" s="62"/>
      <c r="AX191" s="62"/>
      <c r="AY191" s="62"/>
      <c r="AZ191" s="62"/>
      <c r="BA191" s="62"/>
      <c r="BB191" s="62"/>
      <c r="BC191" s="62"/>
      <c r="BD191" s="62"/>
      <c r="BE191" s="62"/>
      <c r="BF191" s="62"/>
      <c r="BG191" s="62"/>
      <c r="BH191" s="62"/>
      <c r="BI191" s="62"/>
      <c r="BJ191" s="62"/>
      <c r="BK191" s="62"/>
      <c r="BL191" s="62"/>
      <c r="BM191" s="62"/>
      <c r="BN191" s="62"/>
      <c r="BO191" s="62"/>
      <c r="BP191" s="62"/>
      <c r="BQ191" s="62"/>
      <c r="BR191" s="62"/>
      <c r="BS191" s="62"/>
      <c r="BT191" s="62"/>
      <c r="BU191" s="62"/>
      <c r="BV191" s="62"/>
      <c r="BW191" s="62"/>
      <c r="BX191" s="62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  <c r="HB191"/>
      <c r="HC191"/>
      <c r="HD191"/>
      <c r="HE191"/>
      <c r="HF191"/>
      <c r="HG191"/>
      <c r="HH191"/>
      <c r="HI191"/>
      <c r="HJ191"/>
      <c r="HK191"/>
      <c r="HL191"/>
      <c r="HM191"/>
      <c r="HN191"/>
      <c r="HO191"/>
      <c r="HP191"/>
      <c r="HQ191"/>
      <c r="HR191"/>
      <c r="HS191"/>
      <c r="HT191"/>
      <c r="HU191"/>
      <c r="HV191"/>
      <c r="HW191"/>
      <c r="HX191"/>
      <c r="HY191"/>
      <c r="HZ191"/>
      <c r="IA191"/>
      <c r="IB191"/>
      <c r="IC191"/>
      <c r="ID191"/>
      <c r="IE191"/>
      <c r="IF191"/>
      <c r="IG191"/>
      <c r="IH191"/>
      <c r="II191"/>
      <c r="IJ191"/>
      <c r="IK191"/>
      <c r="IL191"/>
      <c r="IM191"/>
      <c r="IN191"/>
      <c r="IO191"/>
      <c r="IP191"/>
      <c r="IQ191"/>
      <c r="IR191"/>
      <c r="IS191"/>
      <c r="IT191"/>
      <c r="IU191"/>
      <c r="IV191"/>
      <c r="IW191"/>
      <c r="IX191"/>
      <c r="IY191"/>
      <c r="IZ191"/>
      <c r="JA191"/>
      <c r="JB191"/>
      <c r="JC191"/>
      <c r="JD191"/>
      <c r="JE191"/>
      <c r="JF191"/>
      <c r="JG191"/>
      <c r="JH191"/>
      <c r="JI191"/>
      <c r="JJ191"/>
      <c r="JK191"/>
      <c r="JL191"/>
      <c r="JM191"/>
      <c r="JN191"/>
      <c r="JO191"/>
      <c r="JP191"/>
      <c r="JQ191"/>
      <c r="JR191"/>
      <c r="JS191"/>
      <c r="JT191"/>
      <c r="JU191"/>
      <c r="JV191"/>
      <c r="JW191"/>
      <c r="JX191"/>
      <c r="JY191"/>
      <c r="JZ191"/>
      <c r="KA191"/>
      <c r="KB191"/>
      <c r="KC191"/>
      <c r="KD191"/>
      <c r="KE191"/>
      <c r="KF191"/>
      <c r="KG191"/>
      <c r="KH191"/>
      <c r="KI191"/>
      <c r="KJ191"/>
      <c r="KK191"/>
      <c r="KL191"/>
      <c r="KM191"/>
      <c r="KN191"/>
      <c r="KO191"/>
      <c r="KP191"/>
      <c r="KQ191"/>
      <c r="KR191"/>
      <c r="KS191"/>
      <c r="KT191"/>
      <c r="KU191"/>
      <c r="KV191"/>
      <c r="KW191"/>
      <c r="KX191"/>
      <c r="KY191"/>
      <c r="KZ191"/>
      <c r="LA191"/>
      <c r="LB191"/>
      <c r="LC191"/>
      <c r="LD191"/>
      <c r="LE191"/>
      <c r="LF191"/>
      <c r="LG191"/>
      <c r="LH191"/>
      <c r="LI191"/>
      <c r="LJ191"/>
      <c r="LK191"/>
      <c r="LL191"/>
      <c r="LM191"/>
      <c r="LN191"/>
      <c r="LO191"/>
      <c r="LP191"/>
      <c r="LQ191"/>
      <c r="LR191"/>
      <c r="LS191"/>
      <c r="LT191"/>
      <c r="LU191"/>
      <c r="LV191"/>
      <c r="LW191"/>
      <c r="LX191"/>
      <c r="LY191"/>
      <c r="LZ191"/>
      <c r="MA191"/>
      <c r="MB191"/>
      <c r="MC191"/>
      <c r="MD191"/>
      <c r="ME191"/>
      <c r="MF191"/>
      <c r="MG191"/>
      <c r="MH191"/>
      <c r="MI191"/>
      <c r="MJ191"/>
      <c r="MK191"/>
      <c r="ML191"/>
      <c r="MM191"/>
      <c r="MN191"/>
      <c r="MO191"/>
      <c r="MP191"/>
      <c r="MQ191"/>
      <c r="MR191"/>
      <c r="MS191"/>
      <c r="MT191"/>
      <c r="MU191"/>
      <c r="MV191"/>
      <c r="MW191"/>
      <c r="MX191"/>
      <c r="MY191"/>
      <c r="MZ191"/>
      <c r="NA191"/>
      <c r="NB191"/>
      <c r="NC191"/>
      <c r="ND191"/>
      <c r="NE191"/>
      <c r="NF191"/>
      <c r="NG191"/>
      <c r="NH191"/>
      <c r="NI191"/>
      <c r="NJ191"/>
      <c r="NK191"/>
      <c r="NL191"/>
      <c r="NM191"/>
      <c r="NN191"/>
      <c r="NO191"/>
      <c r="NP191"/>
      <c r="NQ191"/>
      <c r="NR191"/>
      <c r="NS191"/>
      <c r="NT191"/>
      <c r="NU191"/>
      <c r="NV191"/>
      <c r="NW191"/>
      <c r="NX191"/>
      <c r="NY191"/>
      <c r="NZ191"/>
      <c r="OA191"/>
      <c r="OB191"/>
      <c r="OC191"/>
      <c r="OD191"/>
      <c r="OE191"/>
      <c r="OF191"/>
      <c r="OG191"/>
      <c r="OH191"/>
      <c r="OI191"/>
      <c r="OJ191"/>
      <c r="OK191"/>
      <c r="OL191"/>
      <c r="OM191"/>
      <c r="ON191"/>
      <c r="OO191"/>
      <c r="OP191"/>
      <c r="OQ191"/>
      <c r="OR191"/>
      <c r="OS191"/>
      <c r="OT191"/>
      <c r="OU191"/>
      <c r="OV191"/>
      <c r="OW191"/>
      <c r="OX191"/>
      <c r="OY191"/>
      <c r="OZ191"/>
      <c r="PA191"/>
      <c r="PB191"/>
      <c r="PC191"/>
      <c r="PD191"/>
      <c r="PE191"/>
      <c r="PF191"/>
      <c r="PG191"/>
      <c r="PH191"/>
      <c r="PI191"/>
      <c r="PJ191"/>
      <c r="PK191"/>
      <c r="PL191"/>
      <c r="PM191"/>
      <c r="PN191"/>
      <c r="PO191"/>
      <c r="PP191"/>
      <c r="PQ191"/>
      <c r="PR191"/>
      <c r="PS191"/>
      <c r="PT191"/>
      <c r="PU191"/>
      <c r="PV191"/>
      <c r="PW191"/>
      <c r="PX191"/>
      <c r="PY191"/>
      <c r="PZ191"/>
      <c r="QA191"/>
      <c r="QB191"/>
      <c r="QC191"/>
      <c r="QD191"/>
      <c r="QE191"/>
      <c r="QF191"/>
      <c r="QG191"/>
      <c r="QH191"/>
      <c r="QI191"/>
      <c r="QJ191"/>
      <c r="QK191"/>
      <c r="QL191"/>
      <c r="QM191"/>
      <c r="QN191"/>
      <c r="QO191"/>
      <c r="QP191"/>
      <c r="QQ191"/>
      <c r="QR191"/>
      <c r="QS191"/>
      <c r="QT191"/>
      <c r="QU191"/>
      <c r="QV191"/>
      <c r="QW191"/>
      <c r="QX191"/>
    </row>
    <row r="192" spans="1:466" x14ac:dyDescent="0.35">
      <c r="A192" s="53"/>
      <c r="B192" s="53"/>
      <c r="C192" s="55"/>
      <c r="D192" s="53"/>
      <c r="E192" s="53"/>
      <c r="F192" s="126" t="s">
        <v>329</v>
      </c>
      <c r="G192" s="125"/>
      <c r="H192" s="125">
        <v>0</v>
      </c>
      <c r="I192" s="133">
        <v>0</v>
      </c>
      <c r="J192" s="53"/>
      <c r="K192" s="53"/>
      <c r="L192" s="53"/>
      <c r="M192" s="53"/>
      <c r="N192" s="53"/>
      <c r="O192" s="53"/>
      <c r="P192" s="53"/>
      <c r="Q192" s="53"/>
      <c r="R192" s="53"/>
      <c r="S192" s="53"/>
      <c r="T192" s="53"/>
      <c r="U192" s="53"/>
      <c r="V192" s="53"/>
      <c r="W192" s="53"/>
      <c r="X192" s="53"/>
      <c r="Y192" s="53"/>
      <c r="Z192" s="53"/>
      <c r="AA192" s="53"/>
      <c r="AB192" s="53"/>
      <c r="AC192" s="53"/>
      <c r="AD192" s="53"/>
      <c r="AE192" s="53"/>
      <c r="AF192" s="63"/>
      <c r="AG192" s="64"/>
      <c r="AH192" s="65"/>
      <c r="AI192" s="65"/>
      <c r="AJ192" s="53"/>
      <c r="AK192" s="62"/>
      <c r="AL192" s="62"/>
      <c r="AM192" s="62"/>
      <c r="AN192" s="62"/>
      <c r="AO192" s="62"/>
      <c r="AP192" s="62"/>
      <c r="AQ192" s="62"/>
      <c r="AR192" s="62"/>
      <c r="AS192" s="62"/>
      <c r="AT192" s="62"/>
      <c r="AU192" s="62"/>
      <c r="AV192" s="62"/>
      <c r="AW192" s="62"/>
      <c r="AX192" s="62"/>
      <c r="AY192" s="62"/>
      <c r="AZ192" s="62"/>
      <c r="BA192" s="62"/>
      <c r="BB192" s="62"/>
      <c r="BC192" s="62"/>
      <c r="BD192" s="62"/>
      <c r="BE192" s="62"/>
      <c r="BF192" s="62"/>
      <c r="BG192" s="62"/>
      <c r="BH192" s="62"/>
      <c r="BI192" s="62"/>
      <c r="BJ192" s="62"/>
      <c r="BK192" s="62"/>
      <c r="BL192" s="62"/>
      <c r="BM192" s="62"/>
      <c r="BN192" s="62"/>
      <c r="BO192" s="62"/>
      <c r="BP192" s="62"/>
      <c r="BQ192" s="62"/>
      <c r="BR192" s="62"/>
      <c r="BS192" s="62"/>
      <c r="BT192" s="62"/>
      <c r="BU192" s="62"/>
      <c r="BV192" s="62"/>
      <c r="BW192" s="62"/>
      <c r="BX192" s="6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  <c r="HB192"/>
      <c r="HC192"/>
      <c r="HD192"/>
      <c r="HE192"/>
      <c r="HF192"/>
      <c r="HG192"/>
      <c r="HH192"/>
      <c r="HI192"/>
      <c r="HJ192"/>
      <c r="HK192"/>
      <c r="HL192"/>
      <c r="HM192"/>
      <c r="HN192"/>
      <c r="HO192"/>
      <c r="HP192"/>
      <c r="HQ192"/>
      <c r="HR192"/>
      <c r="HS192"/>
      <c r="HT192"/>
      <c r="HU192"/>
      <c r="HV192"/>
      <c r="HW192"/>
      <c r="HX192"/>
      <c r="HY192"/>
      <c r="HZ192"/>
      <c r="IA192"/>
      <c r="IB192"/>
      <c r="IC192"/>
      <c r="ID192"/>
      <c r="IE192"/>
      <c r="IF192"/>
      <c r="IG192"/>
      <c r="IH192"/>
      <c r="II192"/>
      <c r="IJ192"/>
      <c r="IK192"/>
      <c r="IL192"/>
      <c r="IM192"/>
      <c r="IN192"/>
      <c r="IO192"/>
      <c r="IP192"/>
      <c r="IQ192"/>
      <c r="IR192"/>
      <c r="IS192"/>
      <c r="IT192"/>
      <c r="IU192"/>
      <c r="IV192"/>
      <c r="IW192"/>
      <c r="IX192"/>
      <c r="IY192"/>
      <c r="IZ192"/>
      <c r="JA192"/>
      <c r="JB192"/>
      <c r="JC192"/>
      <c r="JD192"/>
      <c r="JE192"/>
      <c r="JF192"/>
      <c r="JG192"/>
      <c r="JH192"/>
      <c r="JI192"/>
      <c r="JJ192"/>
      <c r="JK192"/>
      <c r="JL192"/>
      <c r="JM192"/>
      <c r="JN192"/>
      <c r="JO192"/>
      <c r="JP192"/>
      <c r="JQ192"/>
      <c r="JR192"/>
      <c r="JS192"/>
      <c r="JT192"/>
      <c r="JU192"/>
      <c r="JV192"/>
      <c r="JW192"/>
      <c r="JX192"/>
      <c r="JY192"/>
      <c r="JZ192"/>
      <c r="KA192"/>
      <c r="KB192"/>
      <c r="KC192"/>
      <c r="KD192"/>
      <c r="KE192"/>
      <c r="KF192"/>
      <c r="KG192"/>
      <c r="KH192"/>
      <c r="KI192"/>
      <c r="KJ192"/>
      <c r="KK192"/>
      <c r="KL192"/>
      <c r="KM192"/>
      <c r="KN192"/>
      <c r="KO192"/>
      <c r="KP192"/>
      <c r="KQ192"/>
      <c r="KR192"/>
      <c r="KS192"/>
      <c r="KT192"/>
      <c r="KU192"/>
      <c r="KV192"/>
      <c r="KW192"/>
      <c r="KX192"/>
      <c r="KY192"/>
      <c r="KZ192"/>
      <c r="LA192"/>
      <c r="LB192"/>
      <c r="LC192"/>
      <c r="LD192"/>
      <c r="LE192"/>
      <c r="LF192"/>
      <c r="LG192"/>
      <c r="LH192"/>
      <c r="LI192"/>
      <c r="LJ192"/>
      <c r="LK192"/>
      <c r="LL192"/>
      <c r="LM192"/>
      <c r="LN192"/>
      <c r="LO192"/>
      <c r="LP192"/>
      <c r="LQ192"/>
      <c r="LR192"/>
      <c r="LS192"/>
      <c r="LT192"/>
      <c r="LU192"/>
      <c r="LV192"/>
      <c r="LW192"/>
      <c r="LX192"/>
      <c r="LY192"/>
      <c r="LZ192"/>
      <c r="MA192"/>
      <c r="MB192"/>
      <c r="MC192"/>
      <c r="MD192"/>
      <c r="ME192"/>
      <c r="MF192"/>
      <c r="MG192"/>
      <c r="MH192"/>
      <c r="MI192"/>
      <c r="MJ192"/>
      <c r="MK192"/>
      <c r="ML192"/>
      <c r="MM192"/>
      <c r="MN192"/>
      <c r="MO192"/>
      <c r="MP192"/>
      <c r="MQ192"/>
      <c r="MR192"/>
      <c r="MS192"/>
      <c r="MT192"/>
      <c r="MU192"/>
      <c r="MV192"/>
      <c r="MW192"/>
      <c r="MX192"/>
      <c r="MY192"/>
      <c r="MZ192"/>
      <c r="NA192"/>
      <c r="NB192"/>
      <c r="NC192"/>
      <c r="ND192"/>
      <c r="NE192"/>
      <c r="NF192"/>
      <c r="NG192"/>
      <c r="NH192"/>
      <c r="NI192"/>
      <c r="NJ192"/>
      <c r="NK192"/>
      <c r="NL192"/>
      <c r="NM192"/>
      <c r="NN192"/>
      <c r="NO192"/>
      <c r="NP192"/>
      <c r="NQ192"/>
      <c r="NR192"/>
      <c r="NS192"/>
      <c r="NT192"/>
      <c r="NU192"/>
      <c r="NV192"/>
      <c r="NW192"/>
      <c r="NX192"/>
      <c r="NY192"/>
      <c r="NZ192"/>
      <c r="OA192"/>
      <c r="OB192"/>
      <c r="OC192"/>
      <c r="OD192"/>
      <c r="OE192"/>
      <c r="OF192"/>
      <c r="OG192"/>
      <c r="OH192"/>
      <c r="OI192"/>
      <c r="OJ192"/>
      <c r="OK192"/>
      <c r="OL192"/>
      <c r="OM192"/>
      <c r="ON192"/>
      <c r="OO192"/>
      <c r="OP192"/>
      <c r="OQ192"/>
      <c r="OR192"/>
      <c r="OS192"/>
      <c r="OT192"/>
      <c r="OU192"/>
      <c r="OV192"/>
      <c r="OW192"/>
      <c r="OX192"/>
      <c r="OY192"/>
      <c r="OZ192"/>
      <c r="PA192"/>
      <c r="PB192"/>
      <c r="PC192"/>
      <c r="PD192"/>
      <c r="PE192"/>
      <c r="PF192"/>
      <c r="PG192"/>
      <c r="PH192"/>
      <c r="PI192"/>
      <c r="PJ192"/>
      <c r="PK192"/>
      <c r="PL192"/>
      <c r="PM192"/>
      <c r="PN192"/>
      <c r="PO192"/>
      <c r="PP192"/>
      <c r="PQ192"/>
      <c r="PR192"/>
      <c r="PS192"/>
      <c r="PT192"/>
      <c r="PU192"/>
      <c r="PV192"/>
      <c r="PW192"/>
      <c r="PX192"/>
      <c r="PY192"/>
      <c r="PZ192"/>
      <c r="QA192"/>
      <c r="QB192"/>
      <c r="QC192"/>
      <c r="QD192"/>
      <c r="QE192"/>
      <c r="QF192"/>
      <c r="QG192"/>
      <c r="QH192"/>
      <c r="QI192"/>
      <c r="QJ192"/>
      <c r="QK192"/>
      <c r="QL192"/>
      <c r="QM192"/>
      <c r="QN192"/>
      <c r="QO192"/>
      <c r="QP192"/>
      <c r="QQ192"/>
      <c r="QR192"/>
      <c r="QS192"/>
      <c r="QT192"/>
      <c r="QU192"/>
      <c r="QV192"/>
      <c r="QW192"/>
      <c r="QX192"/>
    </row>
    <row r="193" spans="1:466" x14ac:dyDescent="0.35">
      <c r="A193" s="53"/>
      <c r="B193" s="53"/>
      <c r="C193" s="55"/>
      <c r="D193" s="53"/>
      <c r="E193" s="53"/>
      <c r="F193" s="126" t="s">
        <v>326</v>
      </c>
      <c r="G193" s="125">
        <v>0.51600000000000001</v>
      </c>
      <c r="H193" s="125">
        <v>6.1920000000000002</v>
      </c>
      <c r="I193" s="133">
        <v>12</v>
      </c>
      <c r="J193" s="53"/>
      <c r="K193" s="53"/>
      <c r="L193" s="53"/>
      <c r="M193" s="53"/>
      <c r="N193" s="53"/>
      <c r="O193" s="53"/>
      <c r="P193" s="53"/>
      <c r="Q193" s="53"/>
      <c r="R193" s="53"/>
      <c r="S193" s="53"/>
      <c r="T193" s="53"/>
      <c r="U193" s="53"/>
      <c r="V193" s="53"/>
      <c r="W193" s="53"/>
      <c r="X193" s="53"/>
      <c r="Y193" s="53"/>
      <c r="Z193" s="53"/>
      <c r="AA193" s="53"/>
      <c r="AB193" s="53"/>
      <c r="AC193" s="53"/>
      <c r="AD193" s="53"/>
      <c r="AE193" s="53"/>
      <c r="AF193" s="63"/>
      <c r="AG193" s="64"/>
      <c r="AH193" s="65"/>
      <c r="AI193" s="65"/>
      <c r="AJ193" s="53"/>
      <c r="AK193" s="62"/>
      <c r="AL193" s="62"/>
      <c r="AM193" s="62"/>
      <c r="AN193" s="62"/>
      <c r="AO193" s="62"/>
      <c r="AP193" s="62"/>
      <c r="AQ193" s="62"/>
      <c r="AR193" s="62"/>
      <c r="AS193" s="62"/>
      <c r="AT193" s="62"/>
      <c r="AU193" s="62"/>
      <c r="AV193" s="62"/>
      <c r="AW193" s="62"/>
      <c r="AX193" s="62"/>
      <c r="AY193" s="62"/>
      <c r="AZ193" s="62"/>
      <c r="BA193" s="62"/>
      <c r="BB193" s="62"/>
      <c r="BC193" s="62"/>
      <c r="BD193" s="62"/>
      <c r="BE193" s="62"/>
      <c r="BF193" s="62"/>
      <c r="BG193" s="62"/>
      <c r="BH193" s="62"/>
      <c r="BI193" s="62"/>
      <c r="BJ193" s="62"/>
      <c r="BK193" s="62"/>
      <c r="BL193" s="62"/>
      <c r="BM193" s="62"/>
      <c r="BN193" s="62"/>
      <c r="BO193" s="62"/>
      <c r="BP193" s="62"/>
      <c r="BQ193" s="62"/>
      <c r="BR193" s="62"/>
      <c r="BS193" s="62"/>
      <c r="BT193" s="62"/>
      <c r="BU193" s="62"/>
      <c r="BV193" s="62"/>
      <c r="BW193" s="62"/>
      <c r="BX193" s="62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  <c r="HB193"/>
      <c r="HC193"/>
      <c r="HD193"/>
      <c r="HE193"/>
      <c r="HF193"/>
      <c r="HG193"/>
      <c r="HH193"/>
      <c r="HI193"/>
      <c r="HJ193"/>
      <c r="HK193"/>
      <c r="HL193"/>
      <c r="HM193"/>
      <c r="HN193"/>
      <c r="HO193"/>
      <c r="HP193"/>
      <c r="HQ193"/>
      <c r="HR193"/>
      <c r="HS193"/>
      <c r="HT193"/>
      <c r="HU193"/>
      <c r="HV193"/>
      <c r="HW193"/>
      <c r="HX193"/>
      <c r="HY193"/>
      <c r="HZ193"/>
      <c r="IA193"/>
      <c r="IB193"/>
      <c r="IC193"/>
      <c r="ID193"/>
      <c r="IE193"/>
      <c r="IF193"/>
      <c r="IG193"/>
      <c r="IH193"/>
      <c r="II193"/>
      <c r="IJ193"/>
      <c r="IK193"/>
      <c r="IL193"/>
      <c r="IM193"/>
      <c r="IN193"/>
      <c r="IO193"/>
      <c r="IP193"/>
      <c r="IQ193"/>
      <c r="IR193"/>
      <c r="IS193"/>
      <c r="IT193"/>
      <c r="IU193"/>
      <c r="IV193"/>
      <c r="IW193"/>
      <c r="IX193"/>
      <c r="IY193"/>
      <c r="IZ193"/>
      <c r="JA193"/>
      <c r="JB193"/>
      <c r="JC193"/>
      <c r="JD193"/>
      <c r="JE193"/>
      <c r="JF193"/>
      <c r="JG193"/>
      <c r="JH193"/>
      <c r="JI193"/>
      <c r="JJ193"/>
      <c r="JK193"/>
      <c r="JL193"/>
      <c r="JM193"/>
      <c r="JN193"/>
      <c r="JO193"/>
      <c r="JP193"/>
      <c r="JQ193"/>
      <c r="JR193"/>
      <c r="JS193"/>
      <c r="JT193"/>
      <c r="JU193"/>
      <c r="JV193"/>
      <c r="JW193"/>
      <c r="JX193"/>
      <c r="JY193"/>
      <c r="JZ193"/>
      <c r="KA193"/>
      <c r="KB193"/>
      <c r="KC193"/>
      <c r="KD193"/>
      <c r="KE193"/>
      <c r="KF193"/>
      <c r="KG193"/>
      <c r="KH193"/>
      <c r="KI193"/>
      <c r="KJ193"/>
      <c r="KK193"/>
      <c r="KL193"/>
      <c r="KM193"/>
      <c r="KN193"/>
      <c r="KO193"/>
      <c r="KP193"/>
      <c r="KQ193"/>
      <c r="KR193"/>
      <c r="KS193"/>
      <c r="KT193"/>
      <c r="KU193"/>
      <c r="KV193"/>
      <c r="KW193"/>
      <c r="KX193"/>
      <c r="KY193"/>
      <c r="KZ193"/>
      <c r="LA193"/>
      <c r="LB193"/>
      <c r="LC193"/>
      <c r="LD193"/>
      <c r="LE193"/>
      <c r="LF193"/>
      <c r="LG193"/>
      <c r="LH193"/>
      <c r="LI193"/>
      <c r="LJ193"/>
      <c r="LK193"/>
      <c r="LL193"/>
      <c r="LM193"/>
      <c r="LN193"/>
      <c r="LO193"/>
      <c r="LP193"/>
      <c r="LQ193"/>
      <c r="LR193"/>
      <c r="LS193"/>
      <c r="LT193"/>
      <c r="LU193"/>
      <c r="LV193"/>
      <c r="LW193"/>
      <c r="LX193"/>
      <c r="LY193"/>
      <c r="LZ193"/>
      <c r="MA193"/>
      <c r="MB193"/>
      <c r="MC193"/>
      <c r="MD193"/>
      <c r="ME193"/>
      <c r="MF193"/>
      <c r="MG193"/>
      <c r="MH193"/>
      <c r="MI193"/>
      <c r="MJ193"/>
      <c r="MK193"/>
      <c r="ML193"/>
      <c r="MM193"/>
      <c r="MN193"/>
      <c r="MO193"/>
      <c r="MP193"/>
      <c r="MQ193"/>
      <c r="MR193"/>
      <c r="MS193"/>
      <c r="MT193"/>
      <c r="MU193"/>
      <c r="MV193"/>
      <c r="MW193"/>
      <c r="MX193"/>
      <c r="MY193"/>
      <c r="MZ193"/>
      <c r="NA193"/>
      <c r="NB193"/>
      <c r="NC193"/>
      <c r="ND193"/>
      <c r="NE193"/>
      <c r="NF193"/>
      <c r="NG193"/>
      <c r="NH193"/>
      <c r="NI193"/>
      <c r="NJ193"/>
      <c r="NK193"/>
      <c r="NL193"/>
      <c r="NM193"/>
      <c r="NN193"/>
      <c r="NO193"/>
      <c r="NP193"/>
      <c r="NQ193"/>
      <c r="NR193"/>
      <c r="NS193"/>
      <c r="NT193"/>
      <c r="NU193"/>
      <c r="NV193"/>
      <c r="NW193"/>
      <c r="NX193"/>
      <c r="NY193"/>
      <c r="NZ193"/>
      <c r="OA193"/>
      <c r="OB193"/>
      <c r="OC193"/>
      <c r="OD193"/>
      <c r="OE193"/>
      <c r="OF193"/>
      <c r="OG193"/>
      <c r="OH193"/>
      <c r="OI193"/>
      <c r="OJ193"/>
      <c r="OK193"/>
      <c r="OL193"/>
      <c r="OM193"/>
      <c r="ON193"/>
      <c r="OO193"/>
      <c r="OP193"/>
      <c r="OQ193"/>
      <c r="OR193"/>
      <c r="OS193"/>
      <c r="OT193"/>
      <c r="OU193"/>
      <c r="OV193"/>
      <c r="OW193"/>
      <c r="OX193"/>
      <c r="OY193"/>
      <c r="OZ193"/>
      <c r="PA193"/>
      <c r="PB193"/>
      <c r="PC193"/>
      <c r="PD193"/>
      <c r="PE193"/>
      <c r="PF193"/>
      <c r="PG193"/>
      <c r="PH193"/>
      <c r="PI193"/>
      <c r="PJ193"/>
      <c r="PK193"/>
      <c r="PL193"/>
      <c r="PM193"/>
      <c r="PN193"/>
      <c r="PO193"/>
      <c r="PP193"/>
      <c r="PQ193"/>
      <c r="PR193"/>
      <c r="PS193"/>
      <c r="PT193"/>
      <c r="PU193"/>
      <c r="PV193"/>
      <c r="PW193"/>
      <c r="PX193"/>
      <c r="PY193"/>
      <c r="PZ193"/>
      <c r="QA193"/>
      <c r="QB193"/>
      <c r="QC193"/>
      <c r="QD193"/>
      <c r="QE193"/>
      <c r="QF193"/>
      <c r="QG193"/>
      <c r="QH193"/>
      <c r="QI193"/>
      <c r="QJ193"/>
      <c r="QK193"/>
      <c r="QL193"/>
      <c r="QM193"/>
      <c r="QN193"/>
      <c r="QO193"/>
      <c r="QP193"/>
      <c r="QQ193"/>
      <c r="QR193"/>
      <c r="QS193"/>
      <c r="QT193"/>
      <c r="QU193"/>
      <c r="QV193"/>
      <c r="QW193"/>
      <c r="QX193"/>
    </row>
    <row r="194" spans="1:466" x14ac:dyDescent="0.35">
      <c r="A194" s="53"/>
      <c r="B194" s="53"/>
      <c r="C194" s="55"/>
      <c r="D194" s="53"/>
      <c r="E194" s="53"/>
      <c r="F194" s="126" t="s">
        <v>328</v>
      </c>
      <c r="G194" s="125">
        <v>0.432</v>
      </c>
      <c r="H194" s="125">
        <v>184.464</v>
      </c>
      <c r="I194" s="133">
        <v>427</v>
      </c>
      <c r="J194" s="53"/>
      <c r="K194" s="53"/>
      <c r="L194" s="53"/>
      <c r="M194" s="53"/>
      <c r="N194" s="53"/>
      <c r="O194" s="53"/>
      <c r="P194" s="53"/>
      <c r="Q194" s="53"/>
      <c r="R194" s="53"/>
      <c r="S194" s="53"/>
      <c r="T194" s="53"/>
      <c r="U194" s="53"/>
      <c r="V194" s="53"/>
      <c r="W194" s="53"/>
      <c r="X194" s="53"/>
      <c r="Y194" s="53"/>
      <c r="Z194" s="53"/>
      <c r="AA194" s="53"/>
      <c r="AB194" s="53"/>
      <c r="AC194" s="53"/>
      <c r="AD194" s="53"/>
      <c r="AE194" s="53"/>
      <c r="AF194" s="63"/>
      <c r="AG194" s="64"/>
      <c r="AH194" s="65"/>
      <c r="AI194" s="65"/>
      <c r="AJ194" s="53"/>
      <c r="AK194" s="62"/>
      <c r="AL194" s="62"/>
      <c r="AM194" s="62"/>
      <c r="AN194" s="62"/>
      <c r="AO194" s="62"/>
      <c r="AP194" s="62"/>
      <c r="AQ194" s="62"/>
      <c r="AR194" s="62"/>
      <c r="AS194" s="62"/>
      <c r="AT194" s="62"/>
      <c r="AU194" s="62"/>
      <c r="AV194" s="62"/>
      <c r="AW194" s="62"/>
      <c r="AX194" s="62"/>
      <c r="AY194" s="62"/>
      <c r="AZ194" s="62"/>
      <c r="BA194" s="62"/>
      <c r="BB194" s="62"/>
      <c r="BC194" s="62"/>
      <c r="BD194" s="62"/>
      <c r="BE194" s="62"/>
      <c r="BF194" s="62"/>
      <c r="BG194" s="62"/>
      <c r="BH194" s="62"/>
      <c r="BI194" s="62"/>
      <c r="BJ194" s="62"/>
      <c r="BK194" s="62"/>
      <c r="BL194" s="62"/>
      <c r="BM194" s="62"/>
      <c r="BN194" s="62"/>
      <c r="BO194" s="62"/>
      <c r="BP194" s="62"/>
      <c r="BQ194" s="62"/>
      <c r="BR194" s="62"/>
      <c r="BS194" s="62"/>
      <c r="BT194" s="62"/>
      <c r="BU194" s="62"/>
      <c r="BV194" s="62"/>
      <c r="BW194" s="62"/>
      <c r="BX194" s="62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  <c r="HB194"/>
      <c r="HC194"/>
      <c r="HD194"/>
      <c r="HE194"/>
      <c r="HF194"/>
      <c r="HG194"/>
      <c r="HH194"/>
      <c r="HI194"/>
      <c r="HJ194"/>
      <c r="HK194"/>
      <c r="HL194"/>
      <c r="HM194"/>
      <c r="HN194"/>
      <c r="HO194"/>
      <c r="HP194"/>
      <c r="HQ194"/>
      <c r="HR194"/>
      <c r="HS194"/>
      <c r="HT194"/>
      <c r="HU194"/>
      <c r="HV194"/>
      <c r="HW194"/>
      <c r="HX194"/>
      <c r="HY194"/>
      <c r="HZ194"/>
      <c r="IA194"/>
      <c r="IB194"/>
      <c r="IC194"/>
      <c r="ID194"/>
      <c r="IE194"/>
      <c r="IF194"/>
      <c r="IG194"/>
      <c r="IH194"/>
      <c r="II194"/>
      <c r="IJ194"/>
      <c r="IK194"/>
      <c r="IL194"/>
      <c r="IM194"/>
      <c r="IN194"/>
      <c r="IO194"/>
      <c r="IP194"/>
      <c r="IQ194"/>
      <c r="IR194"/>
      <c r="IS194"/>
      <c r="IT194"/>
      <c r="IU194"/>
      <c r="IV194"/>
      <c r="IW194"/>
      <c r="IX194"/>
      <c r="IY194"/>
      <c r="IZ194"/>
      <c r="JA194"/>
      <c r="JB194"/>
      <c r="JC194"/>
      <c r="JD194"/>
      <c r="JE194"/>
      <c r="JF194"/>
      <c r="JG194"/>
      <c r="JH194"/>
      <c r="JI194"/>
      <c r="JJ194"/>
      <c r="JK194"/>
      <c r="JL194"/>
      <c r="JM194"/>
      <c r="JN194"/>
      <c r="JO194"/>
      <c r="JP194"/>
      <c r="JQ194"/>
      <c r="JR194"/>
      <c r="JS194"/>
      <c r="JT194"/>
      <c r="JU194"/>
      <c r="JV194"/>
      <c r="JW194"/>
      <c r="JX194"/>
      <c r="JY194"/>
      <c r="JZ194"/>
      <c r="KA194"/>
      <c r="KB194"/>
      <c r="KC194"/>
      <c r="KD194"/>
      <c r="KE194"/>
      <c r="KF194"/>
      <c r="KG194"/>
      <c r="KH194"/>
      <c r="KI194"/>
      <c r="KJ194"/>
      <c r="KK194"/>
      <c r="KL194"/>
      <c r="KM194"/>
      <c r="KN194"/>
      <c r="KO194"/>
      <c r="KP194"/>
      <c r="KQ194"/>
      <c r="KR194"/>
      <c r="KS194"/>
      <c r="KT194"/>
      <c r="KU194"/>
      <c r="KV194"/>
      <c r="KW194"/>
      <c r="KX194"/>
      <c r="KY194"/>
      <c r="KZ194"/>
      <c r="LA194"/>
      <c r="LB194"/>
      <c r="LC194"/>
      <c r="LD194"/>
      <c r="LE194"/>
      <c r="LF194"/>
      <c r="LG194"/>
      <c r="LH194"/>
      <c r="LI194"/>
      <c r="LJ194"/>
      <c r="LK194"/>
      <c r="LL194"/>
      <c r="LM194"/>
      <c r="LN194"/>
      <c r="LO194"/>
      <c r="LP194"/>
      <c r="LQ194"/>
      <c r="LR194"/>
      <c r="LS194"/>
      <c r="LT194"/>
      <c r="LU194"/>
      <c r="LV194"/>
      <c r="LW194"/>
      <c r="LX194"/>
      <c r="LY194"/>
      <c r="LZ194"/>
      <c r="MA194"/>
      <c r="MB194"/>
      <c r="MC194"/>
      <c r="MD194"/>
      <c r="ME194"/>
      <c r="MF194"/>
      <c r="MG194"/>
      <c r="MH194"/>
      <c r="MI194"/>
      <c r="MJ194"/>
      <c r="MK194"/>
      <c r="ML194"/>
      <c r="MM194"/>
      <c r="MN194"/>
      <c r="MO194"/>
      <c r="MP194"/>
      <c r="MQ194"/>
      <c r="MR194"/>
      <c r="MS194"/>
      <c r="MT194"/>
      <c r="MU194"/>
      <c r="MV194"/>
      <c r="MW194"/>
      <c r="MX194"/>
      <c r="MY194"/>
      <c r="MZ194"/>
      <c r="NA194"/>
      <c r="NB194"/>
      <c r="NC194"/>
      <c r="ND194"/>
      <c r="NE194"/>
      <c r="NF194"/>
      <c r="NG194"/>
      <c r="NH194"/>
      <c r="NI194"/>
      <c r="NJ194"/>
      <c r="NK194"/>
      <c r="NL194"/>
      <c r="NM194"/>
      <c r="NN194"/>
      <c r="NO194"/>
      <c r="NP194"/>
      <c r="NQ194"/>
      <c r="NR194"/>
      <c r="NS194"/>
      <c r="NT194"/>
      <c r="NU194"/>
      <c r="NV194"/>
      <c r="NW194"/>
      <c r="NX194"/>
      <c r="NY194"/>
      <c r="NZ194"/>
      <c r="OA194"/>
      <c r="OB194"/>
      <c r="OC194"/>
      <c r="OD194"/>
      <c r="OE194"/>
      <c r="OF194"/>
      <c r="OG194"/>
      <c r="OH194"/>
      <c r="OI194"/>
      <c r="OJ194"/>
      <c r="OK194"/>
      <c r="OL194"/>
      <c r="OM194"/>
      <c r="ON194"/>
      <c r="OO194"/>
      <c r="OP194"/>
      <c r="OQ194"/>
      <c r="OR194"/>
      <c r="OS194"/>
      <c r="OT194"/>
      <c r="OU194"/>
      <c r="OV194"/>
      <c r="OW194"/>
      <c r="OX194"/>
      <c r="OY194"/>
      <c r="OZ194"/>
      <c r="PA194"/>
      <c r="PB194"/>
      <c r="PC194"/>
      <c r="PD194"/>
      <c r="PE194"/>
      <c r="PF194"/>
      <c r="PG194"/>
      <c r="PH194"/>
      <c r="PI194"/>
      <c r="PJ194"/>
      <c r="PK194"/>
      <c r="PL194"/>
      <c r="PM194"/>
      <c r="PN194"/>
      <c r="PO194"/>
      <c r="PP194"/>
      <c r="PQ194"/>
      <c r="PR194"/>
      <c r="PS194"/>
      <c r="PT194"/>
      <c r="PU194"/>
      <c r="PV194"/>
      <c r="PW194"/>
      <c r="PX194"/>
      <c r="PY194"/>
      <c r="PZ194"/>
      <c r="QA194"/>
      <c r="QB194"/>
      <c r="QC194"/>
      <c r="QD194"/>
      <c r="QE194"/>
      <c r="QF194"/>
      <c r="QG194"/>
      <c r="QH194"/>
      <c r="QI194"/>
      <c r="QJ194"/>
      <c r="QK194"/>
      <c r="QL194"/>
      <c r="QM194"/>
      <c r="QN194"/>
      <c r="QO194"/>
      <c r="QP194"/>
      <c r="QQ194"/>
      <c r="QR194"/>
      <c r="QS194"/>
      <c r="QT194"/>
      <c r="QU194"/>
      <c r="QV194"/>
      <c r="QW194"/>
      <c r="QX194"/>
    </row>
    <row r="195" spans="1:466" x14ac:dyDescent="0.35">
      <c r="A195" s="53"/>
      <c r="B195" s="53"/>
      <c r="C195" s="55"/>
      <c r="D195" s="53"/>
      <c r="E195" s="53"/>
      <c r="F195" s="126" t="s">
        <v>331</v>
      </c>
      <c r="G195" s="125"/>
      <c r="H195" s="125">
        <v>0</v>
      </c>
      <c r="I195" s="133">
        <v>0</v>
      </c>
      <c r="J195" s="53"/>
      <c r="K195" s="53"/>
      <c r="L195" s="53"/>
      <c r="M195" s="53"/>
      <c r="N195" s="53"/>
      <c r="O195" s="53"/>
      <c r="P195" s="53"/>
      <c r="Q195" s="53"/>
      <c r="R195" s="53"/>
      <c r="S195" s="53"/>
      <c r="T195" s="53"/>
      <c r="U195" s="53"/>
      <c r="V195" s="53"/>
      <c r="W195" s="53"/>
      <c r="X195" s="53"/>
      <c r="Y195" s="53"/>
      <c r="Z195" s="53"/>
      <c r="AA195" s="53"/>
      <c r="AB195" s="53"/>
      <c r="AC195" s="53"/>
      <c r="AD195" s="53"/>
      <c r="AE195" s="53"/>
      <c r="AF195" s="63"/>
      <c r="AG195" s="64"/>
      <c r="AH195" s="65"/>
      <c r="AI195" s="65"/>
      <c r="AJ195" s="53"/>
      <c r="AK195" s="62"/>
      <c r="AL195" s="62"/>
      <c r="AM195" s="62"/>
      <c r="AN195" s="62"/>
      <c r="AO195" s="62"/>
      <c r="AP195" s="62"/>
      <c r="AQ195" s="62"/>
      <c r="AR195" s="62"/>
      <c r="AS195" s="62"/>
      <c r="AT195" s="62"/>
      <c r="AU195" s="62"/>
      <c r="AV195" s="62"/>
      <c r="AW195" s="62"/>
      <c r="AX195" s="62"/>
      <c r="AY195" s="62"/>
      <c r="AZ195" s="62"/>
      <c r="BA195" s="62"/>
      <c r="BB195" s="62"/>
      <c r="BC195" s="62"/>
      <c r="BD195" s="62"/>
      <c r="BE195" s="62"/>
      <c r="BF195" s="62"/>
      <c r="BG195" s="62"/>
      <c r="BH195" s="62"/>
      <c r="BI195" s="62"/>
      <c r="BJ195" s="62"/>
      <c r="BK195" s="62"/>
      <c r="BL195" s="62"/>
      <c r="BM195" s="62"/>
      <c r="BN195" s="62"/>
      <c r="BO195" s="62"/>
      <c r="BP195" s="62"/>
      <c r="BQ195" s="62"/>
      <c r="BR195" s="62"/>
      <c r="BS195" s="62"/>
      <c r="BT195" s="62"/>
      <c r="BU195" s="62"/>
      <c r="BV195" s="62"/>
      <c r="BW195" s="62"/>
      <c r="BX195" s="62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  <c r="HB195"/>
      <c r="HC195"/>
      <c r="HD195"/>
      <c r="HE195"/>
      <c r="HF195"/>
      <c r="HG195"/>
      <c r="HH195"/>
      <c r="HI195"/>
      <c r="HJ195"/>
      <c r="HK195"/>
      <c r="HL195"/>
      <c r="HM195"/>
      <c r="HN195"/>
      <c r="HO195"/>
      <c r="HP195"/>
      <c r="HQ195"/>
      <c r="HR195"/>
      <c r="HS195"/>
      <c r="HT195"/>
      <c r="HU195"/>
      <c r="HV195"/>
      <c r="HW195"/>
      <c r="HX195"/>
      <c r="HY195"/>
      <c r="HZ195"/>
      <c r="IA195"/>
      <c r="IB195"/>
      <c r="IC195"/>
      <c r="ID195"/>
      <c r="IE195"/>
      <c r="IF195"/>
      <c r="IG195"/>
      <c r="IH195"/>
      <c r="II195"/>
      <c r="IJ195"/>
      <c r="IK195"/>
      <c r="IL195"/>
      <c r="IM195"/>
      <c r="IN195"/>
      <c r="IO195"/>
      <c r="IP195"/>
      <c r="IQ195"/>
      <c r="IR195"/>
      <c r="IS195"/>
      <c r="IT195"/>
      <c r="IU195"/>
      <c r="IV195"/>
      <c r="IW195"/>
      <c r="IX195"/>
      <c r="IY195"/>
      <c r="IZ195"/>
      <c r="JA195"/>
      <c r="JB195"/>
      <c r="JC195"/>
      <c r="JD195"/>
      <c r="JE195"/>
      <c r="JF195"/>
      <c r="JG195"/>
      <c r="JH195"/>
      <c r="JI195"/>
      <c r="JJ195"/>
      <c r="JK195"/>
      <c r="JL195"/>
      <c r="JM195"/>
      <c r="JN195"/>
      <c r="JO195"/>
      <c r="JP195"/>
      <c r="JQ195"/>
      <c r="JR195"/>
      <c r="JS195"/>
      <c r="JT195"/>
      <c r="JU195"/>
      <c r="JV195"/>
      <c r="JW195"/>
      <c r="JX195"/>
      <c r="JY195"/>
      <c r="JZ195"/>
      <c r="KA195"/>
      <c r="KB195"/>
      <c r="KC195"/>
      <c r="KD195"/>
      <c r="KE195"/>
      <c r="KF195"/>
      <c r="KG195"/>
      <c r="KH195"/>
      <c r="KI195"/>
      <c r="KJ195"/>
      <c r="KK195"/>
      <c r="KL195"/>
      <c r="KM195"/>
      <c r="KN195"/>
      <c r="KO195"/>
      <c r="KP195"/>
      <c r="KQ195"/>
      <c r="KR195"/>
      <c r="KS195"/>
      <c r="KT195"/>
      <c r="KU195"/>
      <c r="KV195"/>
      <c r="KW195"/>
      <c r="KX195"/>
      <c r="KY195"/>
      <c r="KZ195"/>
      <c r="LA195"/>
      <c r="LB195"/>
      <c r="LC195"/>
      <c r="LD195"/>
      <c r="LE195"/>
      <c r="LF195"/>
      <c r="LG195"/>
      <c r="LH195"/>
      <c r="LI195"/>
      <c r="LJ195"/>
      <c r="LK195"/>
      <c r="LL195"/>
      <c r="LM195"/>
      <c r="LN195"/>
      <c r="LO195"/>
      <c r="LP195"/>
      <c r="LQ195"/>
      <c r="LR195"/>
      <c r="LS195"/>
      <c r="LT195"/>
      <c r="LU195"/>
      <c r="LV195"/>
      <c r="LW195"/>
      <c r="LX195"/>
      <c r="LY195"/>
      <c r="LZ195"/>
      <c r="MA195"/>
      <c r="MB195"/>
      <c r="MC195"/>
      <c r="MD195"/>
      <c r="ME195"/>
      <c r="MF195"/>
      <c r="MG195"/>
      <c r="MH195"/>
      <c r="MI195"/>
      <c r="MJ195"/>
      <c r="MK195"/>
      <c r="ML195"/>
      <c r="MM195"/>
      <c r="MN195"/>
      <c r="MO195"/>
      <c r="MP195"/>
      <c r="MQ195"/>
      <c r="MR195"/>
      <c r="MS195"/>
      <c r="MT195"/>
      <c r="MU195"/>
      <c r="MV195"/>
      <c r="MW195"/>
      <c r="MX195"/>
      <c r="MY195"/>
      <c r="MZ195"/>
      <c r="NA195"/>
      <c r="NB195"/>
      <c r="NC195"/>
      <c r="ND195"/>
      <c r="NE195"/>
      <c r="NF195"/>
      <c r="NG195"/>
      <c r="NH195"/>
      <c r="NI195"/>
      <c r="NJ195"/>
      <c r="NK195"/>
      <c r="NL195"/>
      <c r="NM195"/>
      <c r="NN195"/>
      <c r="NO195"/>
      <c r="NP195"/>
      <c r="NQ195"/>
      <c r="NR195"/>
      <c r="NS195"/>
      <c r="NT195"/>
      <c r="NU195"/>
      <c r="NV195"/>
      <c r="NW195"/>
      <c r="NX195"/>
      <c r="NY195"/>
      <c r="NZ195"/>
      <c r="OA195"/>
      <c r="OB195"/>
      <c r="OC195"/>
      <c r="OD195"/>
      <c r="OE195"/>
      <c r="OF195"/>
      <c r="OG195"/>
      <c r="OH195"/>
      <c r="OI195"/>
      <c r="OJ195"/>
      <c r="OK195"/>
      <c r="OL195"/>
      <c r="OM195"/>
      <c r="ON195"/>
      <c r="OO195"/>
      <c r="OP195"/>
      <c r="OQ195"/>
      <c r="OR195"/>
      <c r="OS195"/>
      <c r="OT195"/>
      <c r="OU195"/>
      <c r="OV195"/>
      <c r="OW195"/>
      <c r="OX195"/>
      <c r="OY195"/>
      <c r="OZ195"/>
      <c r="PA195"/>
      <c r="PB195"/>
      <c r="PC195"/>
      <c r="PD195"/>
      <c r="PE195"/>
      <c r="PF195"/>
      <c r="PG195"/>
      <c r="PH195"/>
      <c r="PI195"/>
      <c r="PJ195"/>
      <c r="PK195"/>
      <c r="PL195"/>
      <c r="PM195"/>
      <c r="PN195"/>
      <c r="PO195"/>
      <c r="PP195"/>
      <c r="PQ195"/>
      <c r="PR195"/>
      <c r="PS195"/>
      <c r="PT195"/>
      <c r="PU195"/>
      <c r="PV195"/>
      <c r="PW195"/>
      <c r="PX195"/>
      <c r="PY195"/>
      <c r="PZ195"/>
      <c r="QA195"/>
      <c r="QB195"/>
      <c r="QC195"/>
      <c r="QD195"/>
      <c r="QE195"/>
      <c r="QF195"/>
      <c r="QG195"/>
      <c r="QH195"/>
      <c r="QI195"/>
      <c r="QJ195"/>
      <c r="QK195"/>
      <c r="QL195"/>
      <c r="QM195"/>
      <c r="QN195"/>
      <c r="QO195"/>
      <c r="QP195"/>
      <c r="QQ195"/>
      <c r="QR195"/>
      <c r="QS195"/>
      <c r="QT195"/>
      <c r="QU195"/>
      <c r="QV195"/>
      <c r="QW195"/>
      <c r="QX195"/>
    </row>
    <row r="196" spans="1:466" x14ac:dyDescent="0.35">
      <c r="A196" s="53"/>
      <c r="B196" s="53"/>
      <c r="C196" s="55"/>
      <c r="D196" s="53"/>
      <c r="E196" s="53"/>
      <c r="F196" s="126" t="s">
        <v>317</v>
      </c>
      <c r="G196" s="125">
        <v>0.54</v>
      </c>
      <c r="H196" s="125">
        <v>1680.48</v>
      </c>
      <c r="I196" s="133">
        <v>3112</v>
      </c>
      <c r="J196" s="53"/>
      <c r="K196" s="53"/>
      <c r="L196" s="53"/>
      <c r="M196" s="53"/>
      <c r="N196" s="53"/>
      <c r="O196" s="53"/>
      <c r="P196" s="53"/>
      <c r="Q196" s="53"/>
      <c r="R196" s="53"/>
      <c r="S196" s="53"/>
      <c r="T196" s="53"/>
      <c r="U196" s="53"/>
      <c r="V196" s="53"/>
      <c r="W196" s="53"/>
      <c r="X196" s="53"/>
      <c r="Y196" s="53"/>
      <c r="Z196" s="53"/>
      <c r="AA196" s="53"/>
      <c r="AB196" s="53"/>
      <c r="AC196" s="53"/>
      <c r="AD196" s="53"/>
      <c r="AE196" s="53"/>
      <c r="AF196" s="63"/>
      <c r="AG196" s="64"/>
      <c r="AH196" s="65"/>
      <c r="AI196" s="65"/>
      <c r="AJ196" s="53"/>
      <c r="AK196" s="62"/>
      <c r="AL196" s="62"/>
      <c r="AM196" s="62"/>
      <c r="AN196" s="62"/>
      <c r="AO196" s="62"/>
      <c r="AP196" s="62"/>
      <c r="AQ196" s="62"/>
      <c r="AR196" s="62"/>
      <c r="AS196" s="62"/>
      <c r="AT196" s="62"/>
      <c r="AU196" s="62"/>
      <c r="AV196" s="62"/>
      <c r="AW196" s="62"/>
      <c r="AX196" s="62"/>
      <c r="AY196" s="62"/>
      <c r="AZ196" s="62"/>
      <c r="BA196" s="62"/>
      <c r="BB196" s="62"/>
      <c r="BC196" s="62"/>
      <c r="BD196" s="62"/>
      <c r="BE196" s="62"/>
      <c r="BF196" s="62"/>
      <c r="BG196" s="62"/>
      <c r="BH196" s="62"/>
      <c r="BI196" s="62"/>
      <c r="BJ196" s="62"/>
      <c r="BK196" s="62"/>
      <c r="BL196" s="62"/>
      <c r="BM196" s="62"/>
      <c r="BN196" s="62"/>
      <c r="BO196" s="62"/>
      <c r="BP196" s="62"/>
      <c r="BQ196" s="62"/>
      <c r="BR196" s="62"/>
      <c r="BS196" s="62"/>
      <c r="BT196" s="62"/>
      <c r="BU196" s="62"/>
      <c r="BV196" s="62"/>
      <c r="BW196" s="62"/>
      <c r="BX196" s="62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  <c r="HB196"/>
      <c r="HC196"/>
      <c r="HD196"/>
      <c r="HE196"/>
      <c r="HF196"/>
      <c r="HG196"/>
      <c r="HH196"/>
      <c r="HI196"/>
      <c r="HJ196"/>
      <c r="HK196"/>
      <c r="HL196"/>
      <c r="HM196"/>
      <c r="HN196"/>
      <c r="HO196"/>
      <c r="HP196"/>
      <c r="HQ196"/>
      <c r="HR196"/>
      <c r="HS196"/>
      <c r="HT196"/>
      <c r="HU196"/>
      <c r="HV196"/>
      <c r="HW196"/>
      <c r="HX196"/>
      <c r="HY196"/>
      <c r="HZ196"/>
      <c r="IA196"/>
      <c r="IB196"/>
      <c r="IC196"/>
      <c r="ID196"/>
      <c r="IE196"/>
      <c r="IF196"/>
      <c r="IG196"/>
      <c r="IH196"/>
      <c r="II196"/>
      <c r="IJ196"/>
      <c r="IK196"/>
      <c r="IL196"/>
      <c r="IM196"/>
      <c r="IN196"/>
      <c r="IO196"/>
      <c r="IP196"/>
      <c r="IQ196"/>
      <c r="IR196"/>
      <c r="IS196"/>
      <c r="IT196"/>
      <c r="IU196"/>
      <c r="IV196"/>
      <c r="IW196"/>
      <c r="IX196"/>
      <c r="IY196"/>
      <c r="IZ196"/>
      <c r="JA196"/>
      <c r="JB196"/>
      <c r="JC196"/>
      <c r="JD196"/>
      <c r="JE196"/>
      <c r="JF196"/>
      <c r="JG196"/>
      <c r="JH196"/>
      <c r="JI196"/>
      <c r="JJ196"/>
      <c r="JK196"/>
      <c r="JL196"/>
      <c r="JM196"/>
      <c r="JN196"/>
      <c r="JO196"/>
      <c r="JP196"/>
      <c r="JQ196"/>
      <c r="JR196"/>
      <c r="JS196"/>
      <c r="JT196"/>
      <c r="JU196"/>
      <c r="JV196"/>
      <c r="JW196"/>
      <c r="JX196"/>
      <c r="JY196"/>
      <c r="JZ196"/>
      <c r="KA196"/>
      <c r="KB196"/>
      <c r="KC196"/>
      <c r="KD196"/>
      <c r="KE196"/>
      <c r="KF196"/>
      <c r="KG196"/>
      <c r="KH196"/>
      <c r="KI196"/>
      <c r="KJ196"/>
      <c r="KK196"/>
      <c r="KL196"/>
      <c r="KM196"/>
      <c r="KN196"/>
      <c r="KO196"/>
      <c r="KP196"/>
      <c r="KQ196"/>
      <c r="KR196"/>
      <c r="KS196"/>
      <c r="KT196"/>
      <c r="KU196"/>
      <c r="KV196"/>
      <c r="KW196"/>
      <c r="KX196"/>
      <c r="KY196"/>
      <c r="KZ196"/>
      <c r="LA196"/>
      <c r="LB196"/>
      <c r="LC196"/>
      <c r="LD196"/>
      <c r="LE196"/>
      <c r="LF196"/>
      <c r="LG196"/>
      <c r="LH196"/>
      <c r="LI196"/>
      <c r="LJ196"/>
      <c r="LK196"/>
      <c r="LL196"/>
      <c r="LM196"/>
      <c r="LN196"/>
      <c r="LO196"/>
      <c r="LP196"/>
      <c r="LQ196"/>
      <c r="LR196"/>
      <c r="LS196"/>
      <c r="LT196"/>
      <c r="LU196"/>
      <c r="LV196"/>
      <c r="LW196"/>
      <c r="LX196"/>
      <c r="LY196"/>
      <c r="LZ196"/>
      <c r="MA196"/>
      <c r="MB196"/>
      <c r="MC196"/>
      <c r="MD196"/>
      <c r="ME196"/>
      <c r="MF196"/>
      <c r="MG196"/>
      <c r="MH196"/>
      <c r="MI196"/>
      <c r="MJ196"/>
      <c r="MK196"/>
      <c r="ML196"/>
      <c r="MM196"/>
      <c r="MN196"/>
      <c r="MO196"/>
      <c r="MP196"/>
      <c r="MQ196"/>
      <c r="MR196"/>
      <c r="MS196"/>
      <c r="MT196"/>
      <c r="MU196"/>
      <c r="MV196"/>
      <c r="MW196"/>
      <c r="MX196"/>
      <c r="MY196"/>
      <c r="MZ196"/>
      <c r="NA196"/>
      <c r="NB196"/>
      <c r="NC196"/>
      <c r="ND196"/>
      <c r="NE196"/>
      <c r="NF196"/>
      <c r="NG196"/>
      <c r="NH196"/>
      <c r="NI196"/>
      <c r="NJ196"/>
      <c r="NK196"/>
      <c r="NL196"/>
      <c r="NM196"/>
      <c r="NN196"/>
      <c r="NO196"/>
      <c r="NP196"/>
      <c r="NQ196"/>
      <c r="NR196"/>
      <c r="NS196"/>
      <c r="NT196"/>
      <c r="NU196"/>
      <c r="NV196"/>
      <c r="NW196"/>
      <c r="NX196"/>
      <c r="NY196"/>
      <c r="NZ196"/>
      <c r="OA196"/>
      <c r="OB196"/>
      <c r="OC196"/>
      <c r="OD196"/>
      <c r="OE196"/>
      <c r="OF196"/>
      <c r="OG196"/>
      <c r="OH196"/>
      <c r="OI196"/>
      <c r="OJ196"/>
      <c r="OK196"/>
      <c r="OL196"/>
      <c r="OM196"/>
      <c r="ON196"/>
      <c r="OO196"/>
      <c r="OP196"/>
      <c r="OQ196"/>
      <c r="OR196"/>
      <c r="OS196"/>
      <c r="OT196"/>
      <c r="OU196"/>
      <c r="OV196"/>
      <c r="OW196"/>
      <c r="OX196"/>
      <c r="OY196"/>
      <c r="OZ196"/>
      <c r="PA196"/>
      <c r="PB196"/>
      <c r="PC196"/>
      <c r="PD196"/>
      <c r="PE196"/>
      <c r="PF196"/>
      <c r="PG196"/>
      <c r="PH196"/>
      <c r="PI196"/>
      <c r="PJ196"/>
      <c r="PK196"/>
      <c r="PL196"/>
      <c r="PM196"/>
      <c r="PN196"/>
      <c r="PO196"/>
      <c r="PP196"/>
      <c r="PQ196"/>
      <c r="PR196"/>
      <c r="PS196"/>
      <c r="PT196"/>
      <c r="PU196"/>
      <c r="PV196"/>
      <c r="PW196"/>
      <c r="PX196"/>
      <c r="PY196"/>
      <c r="PZ196"/>
      <c r="QA196"/>
      <c r="QB196"/>
      <c r="QC196"/>
      <c r="QD196"/>
      <c r="QE196"/>
      <c r="QF196"/>
      <c r="QG196"/>
      <c r="QH196"/>
      <c r="QI196"/>
      <c r="QJ196"/>
      <c r="QK196"/>
      <c r="QL196"/>
      <c r="QM196"/>
      <c r="QN196"/>
      <c r="QO196"/>
      <c r="QP196"/>
      <c r="QQ196"/>
      <c r="QR196"/>
      <c r="QS196"/>
      <c r="QT196"/>
      <c r="QU196"/>
      <c r="QV196"/>
      <c r="QW196"/>
      <c r="QX196"/>
    </row>
    <row r="197" spans="1:466" x14ac:dyDescent="0.35">
      <c r="A197" s="53"/>
      <c r="B197" s="53"/>
      <c r="C197" s="55"/>
      <c r="D197" s="53"/>
      <c r="E197" s="53"/>
      <c r="F197" s="126" t="s">
        <v>320</v>
      </c>
      <c r="G197" s="125">
        <v>0.70799999999999996</v>
      </c>
      <c r="H197" s="125">
        <v>2504.904</v>
      </c>
      <c r="I197" s="133">
        <v>3538</v>
      </c>
      <c r="J197" s="53"/>
      <c r="K197" s="53"/>
      <c r="L197" s="53"/>
      <c r="M197" s="53"/>
      <c r="N197" s="53"/>
      <c r="O197" s="53"/>
      <c r="P197" s="53"/>
      <c r="Q197" s="53"/>
      <c r="R197" s="53"/>
      <c r="S197" s="53"/>
      <c r="T197" s="53"/>
      <c r="U197" s="53"/>
      <c r="V197" s="53"/>
      <c r="W197" s="53"/>
      <c r="X197" s="53"/>
      <c r="Y197" s="53"/>
      <c r="Z197" s="53"/>
      <c r="AA197" s="53"/>
      <c r="AB197" s="53"/>
      <c r="AC197" s="53"/>
      <c r="AD197" s="53"/>
      <c r="AE197" s="53"/>
      <c r="AF197" s="63"/>
      <c r="AG197" s="64"/>
      <c r="AH197" s="65"/>
      <c r="AI197" s="65"/>
      <c r="AJ197" s="53"/>
      <c r="AK197" s="62"/>
      <c r="AL197" s="62"/>
      <c r="AM197" s="62"/>
      <c r="AN197" s="62"/>
      <c r="AO197" s="62"/>
      <c r="AP197" s="62"/>
      <c r="AQ197" s="62"/>
      <c r="AR197" s="62"/>
      <c r="AS197" s="62"/>
      <c r="AT197" s="62"/>
      <c r="AU197" s="62"/>
      <c r="AV197" s="62"/>
      <c r="AW197" s="62"/>
      <c r="AX197" s="62"/>
      <c r="AY197" s="62"/>
      <c r="AZ197" s="62"/>
      <c r="BA197" s="62"/>
      <c r="BB197" s="62"/>
      <c r="BC197" s="62"/>
      <c r="BD197" s="62"/>
      <c r="BE197" s="62"/>
      <c r="BF197" s="62"/>
      <c r="BG197" s="62"/>
      <c r="BH197" s="62"/>
      <c r="BI197" s="62"/>
      <c r="BJ197" s="62"/>
      <c r="BK197" s="62"/>
      <c r="BL197" s="62"/>
      <c r="BM197" s="62"/>
      <c r="BN197" s="62"/>
      <c r="BO197" s="62"/>
      <c r="BP197" s="62"/>
      <c r="BQ197" s="62"/>
      <c r="BR197" s="62"/>
      <c r="BS197" s="62"/>
      <c r="BT197" s="62"/>
      <c r="BU197" s="62"/>
      <c r="BV197" s="62"/>
      <c r="BW197" s="62"/>
      <c r="BX197" s="62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  <c r="HB197"/>
      <c r="HC197"/>
      <c r="HD197"/>
      <c r="HE197"/>
      <c r="HF197"/>
      <c r="HG197"/>
      <c r="HH197"/>
      <c r="HI197"/>
      <c r="HJ197"/>
      <c r="HK197"/>
      <c r="HL197"/>
      <c r="HM197"/>
      <c r="HN197"/>
      <c r="HO197"/>
      <c r="HP197"/>
      <c r="HQ197"/>
      <c r="HR197"/>
      <c r="HS197"/>
      <c r="HT197"/>
      <c r="HU197"/>
      <c r="HV197"/>
      <c r="HW197"/>
      <c r="HX197"/>
      <c r="HY197"/>
      <c r="HZ197"/>
      <c r="IA197"/>
      <c r="IB197"/>
      <c r="IC197"/>
      <c r="ID197"/>
      <c r="IE197"/>
      <c r="IF197"/>
      <c r="IG197"/>
      <c r="IH197"/>
      <c r="II197"/>
      <c r="IJ197"/>
      <c r="IK197"/>
      <c r="IL197"/>
      <c r="IM197"/>
      <c r="IN197"/>
      <c r="IO197"/>
      <c r="IP197"/>
      <c r="IQ197"/>
      <c r="IR197"/>
      <c r="IS197"/>
      <c r="IT197"/>
      <c r="IU197"/>
      <c r="IV197"/>
      <c r="IW197"/>
      <c r="IX197"/>
      <c r="IY197"/>
      <c r="IZ197"/>
      <c r="JA197"/>
      <c r="JB197"/>
      <c r="JC197"/>
      <c r="JD197"/>
      <c r="JE197"/>
      <c r="JF197"/>
      <c r="JG197"/>
      <c r="JH197"/>
      <c r="JI197"/>
      <c r="JJ197"/>
      <c r="JK197"/>
      <c r="JL197"/>
      <c r="JM197"/>
      <c r="JN197"/>
      <c r="JO197"/>
      <c r="JP197"/>
      <c r="JQ197"/>
      <c r="JR197"/>
      <c r="JS197"/>
      <c r="JT197"/>
      <c r="JU197"/>
      <c r="JV197"/>
      <c r="JW197"/>
      <c r="JX197"/>
      <c r="JY197"/>
      <c r="JZ197"/>
      <c r="KA197"/>
      <c r="KB197"/>
      <c r="KC197"/>
      <c r="KD197"/>
      <c r="KE197"/>
      <c r="KF197"/>
      <c r="KG197"/>
      <c r="KH197"/>
      <c r="KI197"/>
      <c r="KJ197"/>
      <c r="KK197"/>
      <c r="KL197"/>
      <c r="KM197"/>
      <c r="KN197"/>
      <c r="KO197"/>
      <c r="KP197"/>
      <c r="KQ197"/>
      <c r="KR197"/>
      <c r="KS197"/>
      <c r="KT197"/>
      <c r="KU197"/>
      <c r="KV197"/>
      <c r="KW197"/>
      <c r="KX197"/>
      <c r="KY197"/>
      <c r="KZ197"/>
      <c r="LA197"/>
      <c r="LB197"/>
      <c r="LC197"/>
      <c r="LD197"/>
      <c r="LE197"/>
      <c r="LF197"/>
      <c r="LG197"/>
      <c r="LH197"/>
      <c r="LI197"/>
      <c r="LJ197"/>
      <c r="LK197"/>
      <c r="LL197"/>
      <c r="LM197"/>
      <c r="LN197"/>
      <c r="LO197"/>
      <c r="LP197"/>
      <c r="LQ197"/>
      <c r="LR197"/>
      <c r="LS197"/>
      <c r="LT197"/>
      <c r="LU197"/>
      <c r="LV197"/>
      <c r="LW197"/>
      <c r="LX197"/>
      <c r="LY197"/>
      <c r="LZ197"/>
      <c r="MA197"/>
      <c r="MB197"/>
      <c r="MC197"/>
      <c r="MD197"/>
      <c r="ME197"/>
      <c r="MF197"/>
      <c r="MG197"/>
      <c r="MH197"/>
      <c r="MI197"/>
      <c r="MJ197"/>
      <c r="MK197"/>
      <c r="ML197"/>
      <c r="MM197"/>
      <c r="MN197"/>
      <c r="MO197"/>
      <c r="MP197"/>
      <c r="MQ197"/>
      <c r="MR197"/>
      <c r="MS197"/>
      <c r="MT197"/>
      <c r="MU197"/>
      <c r="MV197"/>
      <c r="MW197"/>
      <c r="MX197"/>
      <c r="MY197"/>
      <c r="MZ197"/>
      <c r="NA197"/>
      <c r="NB197"/>
      <c r="NC197"/>
      <c r="ND197"/>
      <c r="NE197"/>
      <c r="NF197"/>
      <c r="NG197"/>
      <c r="NH197"/>
      <c r="NI197"/>
      <c r="NJ197"/>
      <c r="NK197"/>
      <c r="NL197"/>
      <c r="NM197"/>
      <c r="NN197"/>
      <c r="NO197"/>
      <c r="NP197"/>
      <c r="NQ197"/>
      <c r="NR197"/>
      <c r="NS197"/>
      <c r="NT197"/>
      <c r="NU197"/>
      <c r="NV197"/>
      <c r="NW197"/>
      <c r="NX197"/>
      <c r="NY197"/>
      <c r="NZ197"/>
      <c r="OA197"/>
      <c r="OB197"/>
      <c r="OC197"/>
      <c r="OD197"/>
      <c r="OE197"/>
      <c r="OF197"/>
      <c r="OG197"/>
      <c r="OH197"/>
      <c r="OI197"/>
      <c r="OJ197"/>
      <c r="OK197"/>
      <c r="OL197"/>
      <c r="OM197"/>
      <c r="ON197"/>
      <c r="OO197"/>
      <c r="OP197"/>
      <c r="OQ197"/>
      <c r="OR197"/>
      <c r="OS197"/>
      <c r="OT197"/>
      <c r="OU197"/>
      <c r="OV197"/>
      <c r="OW197"/>
      <c r="OX197"/>
      <c r="OY197"/>
      <c r="OZ197"/>
      <c r="PA197"/>
      <c r="PB197"/>
      <c r="PC197"/>
      <c r="PD197"/>
      <c r="PE197"/>
      <c r="PF197"/>
      <c r="PG197"/>
      <c r="PH197"/>
      <c r="PI197"/>
      <c r="PJ197"/>
      <c r="PK197"/>
      <c r="PL197"/>
      <c r="PM197"/>
      <c r="PN197"/>
      <c r="PO197"/>
      <c r="PP197"/>
      <c r="PQ197"/>
      <c r="PR197"/>
      <c r="PS197"/>
      <c r="PT197"/>
      <c r="PU197"/>
      <c r="PV197"/>
      <c r="PW197"/>
      <c r="PX197"/>
      <c r="PY197"/>
      <c r="PZ197"/>
      <c r="QA197"/>
      <c r="QB197"/>
      <c r="QC197"/>
      <c r="QD197"/>
      <c r="QE197"/>
      <c r="QF197"/>
      <c r="QG197"/>
      <c r="QH197"/>
      <c r="QI197"/>
      <c r="QJ197"/>
      <c r="QK197"/>
      <c r="QL197"/>
      <c r="QM197"/>
      <c r="QN197"/>
      <c r="QO197"/>
      <c r="QP197"/>
      <c r="QQ197"/>
      <c r="QR197"/>
      <c r="QS197"/>
      <c r="QT197"/>
      <c r="QU197"/>
      <c r="QV197"/>
      <c r="QW197"/>
      <c r="QX197"/>
    </row>
    <row r="198" spans="1:466" x14ac:dyDescent="0.35">
      <c r="A198" s="53"/>
      <c r="B198" s="53"/>
      <c r="C198" s="55"/>
      <c r="D198" s="53"/>
      <c r="E198" s="53"/>
      <c r="F198" s="126" t="s">
        <v>341</v>
      </c>
      <c r="G198" s="125">
        <v>6.3600000000000004E-2</v>
      </c>
      <c r="H198" s="125">
        <v>0</v>
      </c>
      <c r="I198" s="133">
        <v>0</v>
      </c>
      <c r="J198" s="53"/>
      <c r="K198" s="53"/>
      <c r="L198" s="53"/>
      <c r="M198" s="53"/>
      <c r="N198" s="53"/>
      <c r="O198" s="53"/>
      <c r="P198" s="53"/>
      <c r="Q198" s="53"/>
      <c r="R198" s="53"/>
      <c r="S198" s="53"/>
      <c r="T198" s="53"/>
      <c r="U198" s="53"/>
      <c r="V198" s="53"/>
      <c r="W198" s="53"/>
      <c r="X198" s="53"/>
      <c r="Y198" s="53"/>
      <c r="Z198" s="53"/>
      <c r="AA198" s="53"/>
      <c r="AB198" s="53"/>
      <c r="AC198" s="53"/>
      <c r="AD198" s="53"/>
      <c r="AE198" s="53"/>
      <c r="AF198" s="63"/>
      <c r="AG198" s="64"/>
      <c r="AH198" s="65"/>
      <c r="AI198" s="65"/>
      <c r="AJ198" s="53"/>
      <c r="AK198" s="62"/>
      <c r="AL198" s="62"/>
      <c r="AM198" s="62"/>
      <c r="AN198" s="62"/>
      <c r="AO198" s="62"/>
      <c r="AP198" s="62"/>
      <c r="AQ198" s="62"/>
      <c r="AR198" s="62"/>
      <c r="AS198" s="62"/>
      <c r="AT198" s="62"/>
      <c r="AU198" s="62"/>
      <c r="AV198" s="62"/>
      <c r="AW198" s="62"/>
      <c r="AX198" s="62"/>
      <c r="AY198" s="62"/>
      <c r="AZ198" s="62"/>
      <c r="BA198" s="62"/>
      <c r="BB198" s="62"/>
      <c r="BC198" s="62"/>
      <c r="BD198" s="62"/>
      <c r="BE198" s="62"/>
      <c r="BF198" s="62"/>
      <c r="BG198" s="62"/>
      <c r="BH198" s="62"/>
      <c r="BI198" s="62"/>
      <c r="BJ198" s="62"/>
      <c r="BK198" s="62"/>
      <c r="BL198" s="62"/>
      <c r="BM198" s="62"/>
      <c r="BN198" s="62"/>
      <c r="BO198" s="62"/>
      <c r="BP198" s="62"/>
      <c r="BQ198" s="62"/>
      <c r="BR198" s="62"/>
      <c r="BS198" s="62"/>
      <c r="BT198" s="62"/>
      <c r="BU198" s="62"/>
      <c r="BV198" s="62"/>
      <c r="BW198" s="62"/>
      <c r="BX198" s="62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  <c r="HB198"/>
      <c r="HC198"/>
      <c r="HD198"/>
      <c r="HE198"/>
      <c r="HF198"/>
      <c r="HG198"/>
      <c r="HH198"/>
      <c r="HI198"/>
      <c r="HJ198"/>
      <c r="HK198"/>
      <c r="HL198"/>
      <c r="HM198"/>
      <c r="HN198"/>
      <c r="HO198"/>
      <c r="HP198"/>
      <c r="HQ198"/>
      <c r="HR198"/>
      <c r="HS198"/>
      <c r="HT198"/>
      <c r="HU198"/>
      <c r="HV198"/>
      <c r="HW198"/>
      <c r="HX198"/>
      <c r="HY198"/>
      <c r="HZ198"/>
      <c r="IA198"/>
      <c r="IB198"/>
      <c r="IC198"/>
      <c r="ID198"/>
      <c r="IE198"/>
      <c r="IF198"/>
      <c r="IG198"/>
      <c r="IH198"/>
      <c r="II198"/>
      <c r="IJ198"/>
      <c r="IK198"/>
      <c r="IL198"/>
      <c r="IM198"/>
      <c r="IN198"/>
      <c r="IO198"/>
      <c r="IP198"/>
      <c r="IQ198"/>
      <c r="IR198"/>
      <c r="IS198"/>
      <c r="IT198"/>
      <c r="IU198"/>
      <c r="IV198"/>
      <c r="IW198"/>
      <c r="IX198"/>
      <c r="IY198"/>
      <c r="IZ198"/>
      <c r="JA198"/>
      <c r="JB198"/>
      <c r="JC198"/>
      <c r="JD198"/>
      <c r="JE198"/>
      <c r="JF198"/>
      <c r="JG198"/>
      <c r="JH198"/>
      <c r="JI198"/>
      <c r="JJ198"/>
      <c r="JK198"/>
      <c r="JL198"/>
      <c r="JM198"/>
      <c r="JN198"/>
      <c r="JO198"/>
      <c r="JP198"/>
      <c r="JQ198"/>
      <c r="JR198"/>
      <c r="JS198"/>
      <c r="JT198"/>
      <c r="JU198"/>
      <c r="JV198"/>
      <c r="JW198"/>
      <c r="JX198"/>
      <c r="JY198"/>
      <c r="JZ198"/>
      <c r="KA198"/>
      <c r="KB198"/>
      <c r="KC198"/>
      <c r="KD198"/>
      <c r="KE198"/>
      <c r="KF198"/>
      <c r="KG198"/>
      <c r="KH198"/>
      <c r="KI198"/>
      <c r="KJ198"/>
      <c r="KK198"/>
      <c r="KL198"/>
      <c r="KM198"/>
      <c r="KN198"/>
      <c r="KO198"/>
      <c r="KP198"/>
      <c r="KQ198"/>
      <c r="KR198"/>
      <c r="KS198"/>
      <c r="KT198"/>
      <c r="KU198"/>
      <c r="KV198"/>
      <c r="KW198"/>
      <c r="KX198"/>
      <c r="KY198"/>
      <c r="KZ198"/>
      <c r="LA198"/>
      <c r="LB198"/>
      <c r="LC198"/>
      <c r="LD198"/>
      <c r="LE198"/>
      <c r="LF198"/>
      <c r="LG198"/>
      <c r="LH198"/>
      <c r="LI198"/>
      <c r="LJ198"/>
      <c r="LK198"/>
      <c r="LL198"/>
      <c r="LM198"/>
      <c r="LN198"/>
      <c r="LO198"/>
      <c r="LP198"/>
      <c r="LQ198"/>
      <c r="LR198"/>
      <c r="LS198"/>
      <c r="LT198"/>
      <c r="LU198"/>
      <c r="LV198"/>
      <c r="LW198"/>
      <c r="LX198"/>
      <c r="LY198"/>
      <c r="LZ198"/>
      <c r="MA198"/>
      <c r="MB198"/>
      <c r="MC198"/>
      <c r="MD198"/>
      <c r="ME198"/>
      <c r="MF198"/>
      <c r="MG198"/>
      <c r="MH198"/>
      <c r="MI198"/>
      <c r="MJ198"/>
      <c r="MK198"/>
      <c r="ML198"/>
      <c r="MM198"/>
      <c r="MN198"/>
      <c r="MO198"/>
      <c r="MP198"/>
      <c r="MQ198"/>
      <c r="MR198"/>
      <c r="MS198"/>
      <c r="MT198"/>
      <c r="MU198"/>
      <c r="MV198"/>
      <c r="MW198"/>
      <c r="MX198"/>
      <c r="MY198"/>
      <c r="MZ198"/>
      <c r="NA198"/>
      <c r="NB198"/>
      <c r="NC198"/>
      <c r="ND198"/>
      <c r="NE198"/>
      <c r="NF198"/>
      <c r="NG198"/>
      <c r="NH198"/>
      <c r="NI198"/>
      <c r="NJ198"/>
      <c r="NK198"/>
      <c r="NL198"/>
      <c r="NM198"/>
      <c r="NN198"/>
      <c r="NO198"/>
      <c r="NP198"/>
      <c r="NQ198"/>
      <c r="NR198"/>
      <c r="NS198"/>
      <c r="NT198"/>
      <c r="NU198"/>
      <c r="NV198"/>
      <c r="NW198"/>
      <c r="NX198"/>
      <c r="NY198"/>
      <c r="NZ198"/>
      <c r="OA198"/>
      <c r="OB198"/>
      <c r="OC198"/>
      <c r="OD198"/>
      <c r="OE198"/>
      <c r="OF198"/>
      <c r="OG198"/>
      <c r="OH198"/>
      <c r="OI198"/>
      <c r="OJ198"/>
      <c r="OK198"/>
      <c r="OL198"/>
      <c r="OM198"/>
      <c r="ON198"/>
      <c r="OO198"/>
      <c r="OP198"/>
      <c r="OQ198"/>
      <c r="OR198"/>
      <c r="OS198"/>
      <c r="OT198"/>
      <c r="OU198"/>
      <c r="OV198"/>
      <c r="OW198"/>
      <c r="OX198"/>
      <c r="OY198"/>
      <c r="OZ198"/>
      <c r="PA198"/>
      <c r="PB198"/>
      <c r="PC198"/>
      <c r="PD198"/>
      <c r="PE198"/>
      <c r="PF198"/>
      <c r="PG198"/>
      <c r="PH198"/>
      <c r="PI198"/>
      <c r="PJ198"/>
      <c r="PK198"/>
      <c r="PL198"/>
      <c r="PM198"/>
      <c r="PN198"/>
      <c r="PO198"/>
      <c r="PP198"/>
      <c r="PQ198"/>
      <c r="PR198"/>
      <c r="PS198"/>
      <c r="PT198"/>
      <c r="PU198"/>
      <c r="PV198"/>
      <c r="PW198"/>
      <c r="PX198"/>
      <c r="PY198"/>
      <c r="PZ198"/>
      <c r="QA198"/>
      <c r="QB198"/>
      <c r="QC198"/>
      <c r="QD198"/>
      <c r="QE198"/>
      <c r="QF198"/>
      <c r="QG198"/>
      <c r="QH198"/>
      <c r="QI198"/>
      <c r="QJ198"/>
      <c r="QK198"/>
      <c r="QL198"/>
      <c r="QM198"/>
      <c r="QN198"/>
      <c r="QO198"/>
      <c r="QP198"/>
      <c r="QQ198"/>
      <c r="QR198"/>
      <c r="QS198"/>
      <c r="QT198"/>
      <c r="QU198"/>
      <c r="QV198"/>
      <c r="QW198"/>
      <c r="QX198"/>
    </row>
    <row r="199" spans="1:466" x14ac:dyDescent="0.35">
      <c r="A199" s="53"/>
      <c r="B199" s="53"/>
      <c r="C199" s="55"/>
      <c r="D199" s="53"/>
      <c r="E199" s="53"/>
      <c r="F199" s="126" t="s">
        <v>427</v>
      </c>
      <c r="G199" s="125">
        <v>16.25</v>
      </c>
      <c r="H199" s="125">
        <v>0</v>
      </c>
      <c r="I199" s="133">
        <v>0</v>
      </c>
      <c r="J199" s="53"/>
      <c r="K199" s="53"/>
      <c r="L199" s="53"/>
      <c r="M199" s="53"/>
      <c r="N199" s="53"/>
      <c r="O199" s="53"/>
      <c r="P199" s="53"/>
      <c r="Q199" s="53"/>
      <c r="R199" s="53"/>
      <c r="S199" s="53"/>
      <c r="T199" s="53"/>
      <c r="U199" s="53"/>
      <c r="V199" s="53"/>
      <c r="W199" s="53"/>
      <c r="X199" s="53"/>
      <c r="Y199" s="53"/>
      <c r="Z199" s="53"/>
      <c r="AA199" s="53"/>
      <c r="AB199" s="53"/>
      <c r="AC199" s="53"/>
      <c r="AD199" s="53"/>
      <c r="AE199" s="53"/>
      <c r="AF199" s="63"/>
      <c r="AG199" s="64"/>
      <c r="AH199" s="65"/>
      <c r="AI199" s="65"/>
      <c r="AJ199" s="53"/>
      <c r="AK199" s="62"/>
      <c r="AL199" s="62"/>
      <c r="AM199" s="62"/>
      <c r="AN199" s="62"/>
      <c r="AO199" s="62"/>
      <c r="AP199" s="62"/>
      <c r="AQ199" s="62"/>
      <c r="AR199" s="62"/>
      <c r="AS199" s="62"/>
      <c r="AT199" s="62"/>
      <c r="AU199" s="62"/>
      <c r="AV199" s="62"/>
      <c r="AW199" s="62"/>
      <c r="AX199" s="62"/>
      <c r="AY199" s="62"/>
      <c r="AZ199" s="62"/>
      <c r="BA199" s="62"/>
      <c r="BB199" s="62"/>
      <c r="BC199" s="62"/>
      <c r="BD199" s="62"/>
      <c r="BE199" s="62"/>
      <c r="BF199" s="62"/>
      <c r="BG199" s="62"/>
      <c r="BH199" s="62"/>
      <c r="BI199" s="62"/>
      <c r="BJ199" s="62"/>
      <c r="BK199" s="62"/>
      <c r="BL199" s="62"/>
      <c r="BM199" s="62"/>
      <c r="BN199" s="62"/>
      <c r="BO199" s="62"/>
      <c r="BP199" s="62"/>
      <c r="BQ199" s="62"/>
      <c r="BR199" s="62"/>
      <c r="BS199" s="62"/>
      <c r="BT199" s="62"/>
      <c r="BU199" s="62"/>
      <c r="BV199" s="62"/>
      <c r="BW199" s="62"/>
      <c r="BX199" s="62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  <c r="HB199"/>
      <c r="HC199"/>
      <c r="HD199"/>
      <c r="HE199"/>
      <c r="HF199"/>
      <c r="HG199"/>
      <c r="HH199"/>
      <c r="HI199"/>
      <c r="HJ199"/>
      <c r="HK199"/>
      <c r="HL199"/>
      <c r="HM199"/>
      <c r="HN199"/>
      <c r="HO199"/>
      <c r="HP199"/>
      <c r="HQ199"/>
      <c r="HR199"/>
      <c r="HS199"/>
      <c r="HT199"/>
      <c r="HU199"/>
      <c r="HV199"/>
      <c r="HW199"/>
      <c r="HX199"/>
      <c r="HY199"/>
      <c r="HZ199"/>
      <c r="IA199"/>
      <c r="IB199"/>
      <c r="IC199"/>
      <c r="ID199"/>
      <c r="IE199"/>
      <c r="IF199"/>
      <c r="IG199"/>
      <c r="IH199"/>
      <c r="II199"/>
      <c r="IJ199"/>
      <c r="IK199"/>
      <c r="IL199"/>
      <c r="IM199"/>
      <c r="IN199"/>
      <c r="IO199"/>
      <c r="IP199"/>
      <c r="IQ199"/>
      <c r="IR199"/>
      <c r="IS199"/>
      <c r="IT199"/>
      <c r="IU199"/>
      <c r="IV199"/>
      <c r="IW199"/>
      <c r="IX199"/>
      <c r="IY199"/>
      <c r="IZ199"/>
      <c r="JA199"/>
      <c r="JB199"/>
      <c r="JC199"/>
      <c r="JD199"/>
      <c r="JE199"/>
      <c r="JF199"/>
      <c r="JG199"/>
      <c r="JH199"/>
      <c r="JI199"/>
      <c r="JJ199"/>
      <c r="JK199"/>
      <c r="JL199"/>
      <c r="JM199"/>
      <c r="JN199"/>
      <c r="JO199"/>
      <c r="JP199"/>
      <c r="JQ199"/>
      <c r="JR199"/>
      <c r="JS199"/>
      <c r="JT199"/>
      <c r="JU199"/>
      <c r="JV199"/>
      <c r="JW199"/>
      <c r="JX199"/>
      <c r="JY199"/>
      <c r="JZ199"/>
      <c r="KA199"/>
      <c r="KB199"/>
      <c r="KC199"/>
      <c r="KD199"/>
      <c r="KE199"/>
      <c r="KF199"/>
      <c r="KG199"/>
      <c r="KH199"/>
      <c r="KI199"/>
      <c r="KJ199"/>
      <c r="KK199"/>
      <c r="KL199"/>
      <c r="KM199"/>
      <c r="KN199"/>
      <c r="KO199"/>
      <c r="KP199"/>
      <c r="KQ199"/>
      <c r="KR199"/>
      <c r="KS199"/>
      <c r="KT199"/>
      <c r="KU199"/>
      <c r="KV199"/>
      <c r="KW199"/>
      <c r="KX199"/>
      <c r="KY199"/>
      <c r="KZ199"/>
      <c r="LA199"/>
      <c r="LB199"/>
      <c r="LC199"/>
      <c r="LD199"/>
      <c r="LE199"/>
      <c r="LF199"/>
      <c r="LG199"/>
      <c r="LH199"/>
      <c r="LI199"/>
      <c r="LJ199"/>
      <c r="LK199"/>
      <c r="LL199"/>
      <c r="LM199"/>
      <c r="LN199"/>
      <c r="LO199"/>
      <c r="LP199"/>
      <c r="LQ199"/>
      <c r="LR199"/>
      <c r="LS199"/>
      <c r="LT199"/>
      <c r="LU199"/>
      <c r="LV199"/>
      <c r="LW199"/>
      <c r="LX199"/>
      <c r="LY199"/>
      <c r="LZ199"/>
      <c r="MA199"/>
      <c r="MB199"/>
      <c r="MC199"/>
      <c r="MD199"/>
      <c r="ME199"/>
      <c r="MF199"/>
      <c r="MG199"/>
      <c r="MH199"/>
      <c r="MI199"/>
      <c r="MJ199"/>
      <c r="MK199"/>
      <c r="ML199"/>
      <c r="MM199"/>
      <c r="MN199"/>
      <c r="MO199"/>
      <c r="MP199"/>
      <c r="MQ199"/>
      <c r="MR199"/>
      <c r="MS199"/>
      <c r="MT199"/>
      <c r="MU199"/>
      <c r="MV199"/>
      <c r="MW199"/>
      <c r="MX199"/>
      <c r="MY199"/>
      <c r="MZ199"/>
      <c r="NA199"/>
      <c r="NB199"/>
      <c r="NC199"/>
      <c r="ND199"/>
      <c r="NE199"/>
      <c r="NF199"/>
      <c r="NG199"/>
      <c r="NH199"/>
      <c r="NI199"/>
      <c r="NJ199"/>
      <c r="NK199"/>
      <c r="NL199"/>
      <c r="NM199"/>
      <c r="NN199"/>
      <c r="NO199"/>
      <c r="NP199"/>
      <c r="NQ199"/>
      <c r="NR199"/>
      <c r="NS199"/>
      <c r="NT199"/>
      <c r="NU199"/>
      <c r="NV199"/>
      <c r="NW199"/>
      <c r="NX199"/>
      <c r="NY199"/>
      <c r="NZ199"/>
      <c r="OA199"/>
      <c r="OB199"/>
      <c r="OC199"/>
      <c r="OD199"/>
      <c r="OE199"/>
      <c r="OF199"/>
      <c r="OG199"/>
      <c r="OH199"/>
      <c r="OI199"/>
      <c r="OJ199"/>
      <c r="OK199"/>
      <c r="OL199"/>
      <c r="OM199"/>
      <c r="ON199"/>
      <c r="OO199"/>
      <c r="OP199"/>
      <c r="OQ199"/>
      <c r="OR199"/>
      <c r="OS199"/>
      <c r="OT199"/>
      <c r="OU199"/>
      <c r="OV199"/>
      <c r="OW199"/>
      <c r="OX199"/>
      <c r="OY199"/>
      <c r="OZ199"/>
      <c r="PA199"/>
      <c r="PB199"/>
      <c r="PC199"/>
      <c r="PD199"/>
      <c r="PE199"/>
      <c r="PF199"/>
      <c r="PG199"/>
      <c r="PH199"/>
      <c r="PI199"/>
      <c r="PJ199"/>
      <c r="PK199"/>
      <c r="PL199"/>
      <c r="PM199"/>
      <c r="PN199"/>
      <c r="PO199"/>
      <c r="PP199"/>
      <c r="PQ199"/>
      <c r="PR199"/>
      <c r="PS199"/>
      <c r="PT199"/>
      <c r="PU199"/>
      <c r="PV199"/>
      <c r="PW199"/>
      <c r="PX199"/>
      <c r="PY199"/>
      <c r="PZ199"/>
      <c r="QA199"/>
      <c r="QB199"/>
      <c r="QC199"/>
      <c r="QD199"/>
      <c r="QE199"/>
      <c r="QF199"/>
      <c r="QG199"/>
      <c r="QH199"/>
      <c r="QI199"/>
      <c r="QJ199"/>
      <c r="QK199"/>
      <c r="QL199"/>
      <c r="QM199"/>
      <c r="QN199"/>
      <c r="QO199"/>
      <c r="QP199"/>
      <c r="QQ199"/>
      <c r="QR199"/>
      <c r="QS199"/>
      <c r="QT199"/>
      <c r="QU199"/>
      <c r="QV199"/>
      <c r="QW199"/>
      <c r="QX199"/>
    </row>
    <row r="200" spans="1:466" x14ac:dyDescent="0.35">
      <c r="A200" s="53"/>
      <c r="B200" s="53"/>
      <c r="C200" s="55"/>
      <c r="D200" s="53"/>
      <c r="E200" s="53"/>
      <c r="F200" s="126" t="s">
        <v>430</v>
      </c>
      <c r="G200" s="125">
        <v>60</v>
      </c>
      <c r="H200" s="125">
        <v>600</v>
      </c>
      <c r="I200" s="133">
        <v>10</v>
      </c>
      <c r="J200" s="53"/>
      <c r="K200" s="53"/>
      <c r="L200" s="53"/>
      <c r="M200" s="53"/>
      <c r="N200" s="53"/>
      <c r="O200" s="53"/>
      <c r="P200" s="53"/>
      <c r="Q200" s="53"/>
      <c r="R200" s="53"/>
      <c r="S200" s="53"/>
      <c r="T200" s="53"/>
      <c r="U200" s="53"/>
      <c r="V200" s="53"/>
      <c r="W200" s="53"/>
      <c r="X200" s="53"/>
      <c r="Y200" s="53"/>
      <c r="Z200" s="53"/>
      <c r="AA200" s="53"/>
      <c r="AB200" s="53"/>
      <c r="AC200" s="53"/>
      <c r="AD200" s="53"/>
      <c r="AE200" s="53"/>
      <c r="AF200" s="63"/>
      <c r="AG200" s="64"/>
      <c r="AH200" s="65"/>
      <c r="AI200" s="65"/>
      <c r="AJ200" s="53"/>
      <c r="AK200" s="62"/>
      <c r="AL200" s="62"/>
      <c r="AM200" s="62"/>
      <c r="AN200" s="62"/>
      <c r="AO200" s="62"/>
      <c r="AP200" s="62"/>
      <c r="AQ200" s="62"/>
      <c r="AR200" s="62"/>
      <c r="AS200" s="62"/>
      <c r="AT200" s="62"/>
      <c r="AU200" s="62"/>
      <c r="AV200" s="62"/>
      <c r="AW200" s="62"/>
      <c r="AX200" s="62"/>
      <c r="AY200" s="62"/>
      <c r="AZ200" s="62"/>
      <c r="BA200" s="62"/>
      <c r="BB200" s="62"/>
      <c r="BC200" s="62"/>
      <c r="BD200" s="62"/>
      <c r="BE200" s="62"/>
      <c r="BF200" s="62"/>
      <c r="BG200" s="62"/>
      <c r="BH200" s="62"/>
      <c r="BI200" s="62"/>
      <c r="BJ200" s="62"/>
      <c r="BK200" s="62"/>
      <c r="BL200" s="62"/>
      <c r="BM200" s="62"/>
      <c r="BN200" s="62"/>
      <c r="BO200" s="62"/>
      <c r="BP200" s="62"/>
      <c r="BQ200" s="62"/>
      <c r="BR200" s="62"/>
      <c r="BS200" s="62"/>
      <c r="BT200" s="62"/>
      <c r="BU200" s="62"/>
      <c r="BV200" s="62"/>
      <c r="BW200" s="62"/>
      <c r="BX200" s="62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  <c r="HB200"/>
      <c r="HC200"/>
      <c r="HD200"/>
      <c r="HE200"/>
      <c r="HF200"/>
      <c r="HG200"/>
      <c r="HH200"/>
      <c r="HI200"/>
      <c r="HJ200"/>
      <c r="HK200"/>
      <c r="HL200"/>
      <c r="HM200"/>
      <c r="HN200"/>
      <c r="HO200"/>
      <c r="HP200"/>
      <c r="HQ200"/>
      <c r="HR200"/>
      <c r="HS200"/>
      <c r="HT200"/>
      <c r="HU200"/>
      <c r="HV200"/>
      <c r="HW200"/>
      <c r="HX200"/>
      <c r="HY200"/>
      <c r="HZ200"/>
      <c r="IA200"/>
      <c r="IB200"/>
      <c r="IC200"/>
      <c r="ID200"/>
      <c r="IE200"/>
      <c r="IF200"/>
      <c r="IG200"/>
      <c r="IH200"/>
      <c r="II200"/>
      <c r="IJ200"/>
      <c r="IK200"/>
      <c r="IL200"/>
      <c r="IM200"/>
      <c r="IN200"/>
      <c r="IO200"/>
      <c r="IP200"/>
      <c r="IQ200"/>
      <c r="IR200"/>
      <c r="IS200"/>
      <c r="IT200"/>
      <c r="IU200"/>
      <c r="IV200"/>
      <c r="IW200"/>
      <c r="IX200"/>
      <c r="IY200"/>
      <c r="IZ200"/>
      <c r="JA200"/>
      <c r="JB200"/>
      <c r="JC200"/>
      <c r="JD200"/>
      <c r="JE200"/>
      <c r="JF200"/>
      <c r="JG200"/>
      <c r="JH200"/>
      <c r="JI200"/>
      <c r="JJ200"/>
      <c r="JK200"/>
      <c r="JL200"/>
      <c r="JM200"/>
      <c r="JN200"/>
      <c r="JO200"/>
      <c r="JP200"/>
      <c r="JQ200"/>
      <c r="JR200"/>
      <c r="JS200"/>
      <c r="JT200"/>
      <c r="JU200"/>
      <c r="JV200"/>
      <c r="JW200"/>
      <c r="JX200"/>
      <c r="JY200"/>
      <c r="JZ200"/>
      <c r="KA200"/>
      <c r="KB200"/>
      <c r="KC200"/>
      <c r="KD200"/>
      <c r="KE200"/>
      <c r="KF200"/>
      <c r="KG200"/>
      <c r="KH200"/>
      <c r="KI200"/>
      <c r="KJ200"/>
      <c r="KK200"/>
      <c r="KL200"/>
      <c r="KM200"/>
      <c r="KN200"/>
      <c r="KO200"/>
      <c r="KP200"/>
      <c r="KQ200"/>
      <c r="KR200"/>
      <c r="KS200"/>
      <c r="KT200"/>
      <c r="KU200"/>
      <c r="KV200"/>
      <c r="KW200"/>
      <c r="KX200"/>
      <c r="KY200"/>
      <c r="KZ200"/>
      <c r="LA200"/>
      <c r="LB200"/>
      <c r="LC200"/>
      <c r="LD200"/>
      <c r="LE200"/>
      <c r="LF200"/>
      <c r="LG200"/>
      <c r="LH200"/>
      <c r="LI200"/>
      <c r="LJ200"/>
      <c r="LK200"/>
      <c r="LL200"/>
      <c r="LM200"/>
      <c r="LN200"/>
      <c r="LO200"/>
      <c r="LP200"/>
      <c r="LQ200"/>
      <c r="LR200"/>
      <c r="LS200"/>
      <c r="LT200"/>
      <c r="LU200"/>
      <c r="LV200"/>
      <c r="LW200"/>
      <c r="LX200"/>
      <c r="LY200"/>
      <c r="LZ200"/>
      <c r="MA200"/>
      <c r="MB200"/>
      <c r="MC200"/>
      <c r="MD200"/>
      <c r="ME200"/>
      <c r="MF200"/>
      <c r="MG200"/>
      <c r="MH200"/>
      <c r="MI200"/>
      <c r="MJ200"/>
      <c r="MK200"/>
      <c r="ML200"/>
      <c r="MM200"/>
      <c r="MN200"/>
      <c r="MO200"/>
      <c r="MP200"/>
      <c r="MQ200"/>
      <c r="MR200"/>
      <c r="MS200"/>
      <c r="MT200"/>
      <c r="MU200"/>
      <c r="MV200"/>
      <c r="MW200"/>
      <c r="MX200"/>
      <c r="MY200"/>
      <c r="MZ200"/>
      <c r="NA200"/>
      <c r="NB200"/>
      <c r="NC200"/>
      <c r="ND200"/>
      <c r="NE200"/>
      <c r="NF200"/>
      <c r="NG200"/>
      <c r="NH200"/>
      <c r="NI200"/>
      <c r="NJ200"/>
      <c r="NK200"/>
      <c r="NL200"/>
      <c r="NM200"/>
      <c r="NN200"/>
      <c r="NO200"/>
      <c r="NP200"/>
      <c r="NQ200"/>
      <c r="NR200"/>
      <c r="NS200"/>
      <c r="NT200"/>
      <c r="NU200"/>
      <c r="NV200"/>
      <c r="NW200"/>
      <c r="NX200"/>
      <c r="NY200"/>
      <c r="NZ200"/>
      <c r="OA200"/>
      <c r="OB200"/>
      <c r="OC200"/>
      <c r="OD200"/>
      <c r="OE200"/>
      <c r="OF200"/>
      <c r="OG200"/>
      <c r="OH200"/>
      <c r="OI200"/>
      <c r="OJ200"/>
      <c r="OK200"/>
      <c r="OL200"/>
      <c r="OM200"/>
      <c r="ON200"/>
      <c r="OO200"/>
      <c r="OP200"/>
      <c r="OQ200"/>
      <c r="OR200"/>
      <c r="OS200"/>
      <c r="OT200"/>
      <c r="OU200"/>
      <c r="OV200"/>
      <c r="OW200"/>
      <c r="OX200"/>
      <c r="OY200"/>
      <c r="OZ200"/>
      <c r="PA200"/>
      <c r="PB200"/>
      <c r="PC200"/>
      <c r="PD200"/>
      <c r="PE200"/>
      <c r="PF200"/>
      <c r="PG200"/>
      <c r="PH200"/>
      <c r="PI200"/>
      <c r="PJ200"/>
      <c r="PK200"/>
      <c r="PL200"/>
      <c r="PM200"/>
      <c r="PN200"/>
      <c r="PO200"/>
      <c r="PP200"/>
      <c r="PQ200"/>
      <c r="PR200"/>
      <c r="PS200"/>
      <c r="PT200"/>
      <c r="PU200"/>
      <c r="PV200"/>
      <c r="PW200"/>
      <c r="PX200"/>
      <c r="PY200"/>
      <c r="PZ200"/>
      <c r="QA200"/>
      <c r="QB200"/>
      <c r="QC200"/>
      <c r="QD200"/>
      <c r="QE200"/>
      <c r="QF200"/>
      <c r="QG200"/>
      <c r="QH200"/>
      <c r="QI200"/>
      <c r="QJ200"/>
      <c r="QK200"/>
      <c r="QL200"/>
      <c r="QM200"/>
      <c r="QN200"/>
      <c r="QO200"/>
      <c r="QP200"/>
      <c r="QQ200"/>
      <c r="QR200"/>
      <c r="QS200"/>
      <c r="QT200"/>
      <c r="QU200"/>
      <c r="QV200"/>
      <c r="QW200"/>
      <c r="QX200"/>
    </row>
    <row r="201" spans="1:466" x14ac:dyDescent="0.35">
      <c r="A201" s="53"/>
      <c r="B201" s="53"/>
      <c r="C201" s="55"/>
      <c r="D201" s="53"/>
      <c r="E201" s="53"/>
      <c r="F201" s="126" t="s">
        <v>452</v>
      </c>
      <c r="G201" s="125">
        <v>16.25</v>
      </c>
      <c r="H201" s="125">
        <v>113.75</v>
      </c>
      <c r="I201" s="133">
        <v>7</v>
      </c>
      <c r="J201" s="53"/>
      <c r="K201" s="53"/>
      <c r="L201" s="53"/>
      <c r="M201" s="53"/>
      <c r="N201" s="53"/>
      <c r="O201" s="53"/>
      <c r="P201" s="53"/>
      <c r="Q201" s="53"/>
      <c r="R201" s="53"/>
      <c r="S201" s="53"/>
      <c r="T201" s="53"/>
      <c r="U201" s="53"/>
      <c r="V201" s="53"/>
      <c r="W201" s="53"/>
      <c r="X201" s="53"/>
      <c r="Y201" s="53"/>
      <c r="Z201" s="53"/>
      <c r="AA201" s="53"/>
      <c r="AB201" s="53"/>
      <c r="AC201" s="53"/>
      <c r="AD201" s="53"/>
      <c r="AE201" s="53"/>
      <c r="AF201" s="63"/>
      <c r="AG201" s="64"/>
      <c r="AH201" s="65"/>
      <c r="AI201" s="65"/>
      <c r="AJ201" s="53"/>
      <c r="AK201" s="62"/>
      <c r="AL201" s="62"/>
      <c r="AM201" s="62"/>
      <c r="AN201" s="62"/>
      <c r="AO201" s="62"/>
      <c r="AP201" s="62"/>
      <c r="AQ201" s="62"/>
      <c r="AR201" s="62"/>
      <c r="AS201" s="62"/>
      <c r="AT201" s="62"/>
      <c r="AU201" s="62"/>
      <c r="AV201" s="62"/>
      <c r="AW201" s="62"/>
      <c r="AX201" s="62"/>
      <c r="AY201" s="62"/>
      <c r="AZ201" s="62"/>
      <c r="BA201" s="62"/>
      <c r="BB201" s="62"/>
      <c r="BC201" s="62"/>
      <c r="BD201" s="62"/>
      <c r="BE201" s="62"/>
      <c r="BF201" s="62"/>
      <c r="BG201" s="62"/>
      <c r="BH201" s="62"/>
      <c r="BI201" s="62"/>
      <c r="BJ201" s="62"/>
      <c r="BK201" s="62"/>
      <c r="BL201" s="62"/>
      <c r="BM201" s="62"/>
      <c r="BN201" s="62"/>
      <c r="BO201" s="62"/>
      <c r="BP201" s="62"/>
      <c r="BQ201" s="62"/>
      <c r="BR201" s="62"/>
      <c r="BS201" s="62"/>
      <c r="BT201" s="62"/>
      <c r="BU201" s="62"/>
      <c r="BV201" s="62"/>
      <c r="BW201" s="62"/>
      <c r="BX201" s="62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  <c r="HB201"/>
      <c r="HC201"/>
      <c r="HD201"/>
      <c r="HE201"/>
      <c r="HF201"/>
      <c r="HG201"/>
      <c r="HH201"/>
      <c r="HI201"/>
      <c r="HJ201"/>
      <c r="HK201"/>
      <c r="HL201"/>
      <c r="HM201"/>
      <c r="HN201"/>
      <c r="HO201"/>
      <c r="HP201"/>
      <c r="HQ201"/>
      <c r="HR201"/>
      <c r="HS201"/>
      <c r="HT201"/>
      <c r="HU201"/>
      <c r="HV201"/>
      <c r="HW201"/>
      <c r="HX201"/>
      <c r="HY201"/>
      <c r="HZ201"/>
      <c r="IA201"/>
      <c r="IB201"/>
      <c r="IC201"/>
      <c r="ID201"/>
      <c r="IE201"/>
      <c r="IF201"/>
      <c r="IG201"/>
      <c r="IH201"/>
      <c r="II201"/>
      <c r="IJ201"/>
      <c r="IK201"/>
      <c r="IL201"/>
      <c r="IM201"/>
      <c r="IN201"/>
      <c r="IO201"/>
      <c r="IP201"/>
      <c r="IQ201"/>
      <c r="IR201"/>
      <c r="IS201"/>
      <c r="IT201"/>
      <c r="IU201"/>
      <c r="IV201"/>
      <c r="IW201"/>
      <c r="IX201"/>
      <c r="IY201"/>
      <c r="IZ201"/>
      <c r="JA201"/>
      <c r="JB201"/>
      <c r="JC201"/>
      <c r="JD201"/>
      <c r="JE201"/>
      <c r="JF201"/>
      <c r="JG201"/>
      <c r="JH201"/>
      <c r="JI201"/>
      <c r="JJ201"/>
      <c r="JK201"/>
      <c r="JL201"/>
      <c r="JM201"/>
      <c r="JN201"/>
      <c r="JO201"/>
      <c r="JP201"/>
      <c r="JQ201"/>
      <c r="JR201"/>
      <c r="JS201"/>
      <c r="JT201"/>
      <c r="JU201"/>
      <c r="JV201"/>
      <c r="JW201"/>
      <c r="JX201"/>
      <c r="JY201"/>
      <c r="JZ201"/>
      <c r="KA201"/>
      <c r="KB201"/>
      <c r="KC201"/>
      <c r="KD201"/>
      <c r="KE201"/>
      <c r="KF201"/>
      <c r="KG201"/>
      <c r="KH201"/>
      <c r="KI201"/>
      <c r="KJ201"/>
      <c r="KK201"/>
      <c r="KL201"/>
      <c r="KM201"/>
      <c r="KN201"/>
      <c r="KO201"/>
      <c r="KP201"/>
      <c r="KQ201"/>
      <c r="KR201"/>
      <c r="KS201"/>
      <c r="KT201"/>
      <c r="KU201"/>
      <c r="KV201"/>
      <c r="KW201"/>
      <c r="KX201"/>
      <c r="KY201"/>
      <c r="KZ201"/>
      <c r="LA201"/>
      <c r="LB201"/>
      <c r="LC201"/>
      <c r="LD201"/>
      <c r="LE201"/>
      <c r="LF201"/>
      <c r="LG201"/>
      <c r="LH201"/>
      <c r="LI201"/>
      <c r="LJ201"/>
      <c r="LK201"/>
      <c r="LL201"/>
      <c r="LM201"/>
      <c r="LN201"/>
      <c r="LO201"/>
      <c r="LP201"/>
      <c r="LQ201"/>
      <c r="LR201"/>
      <c r="LS201"/>
      <c r="LT201"/>
      <c r="LU201"/>
      <c r="LV201"/>
      <c r="LW201"/>
      <c r="LX201"/>
      <c r="LY201"/>
      <c r="LZ201"/>
      <c r="MA201"/>
      <c r="MB201"/>
      <c r="MC201"/>
      <c r="MD201"/>
      <c r="ME201"/>
      <c r="MF201"/>
      <c r="MG201"/>
      <c r="MH201"/>
      <c r="MI201"/>
      <c r="MJ201"/>
      <c r="MK201"/>
      <c r="ML201"/>
      <c r="MM201"/>
      <c r="MN201"/>
      <c r="MO201"/>
      <c r="MP201"/>
      <c r="MQ201"/>
      <c r="MR201"/>
      <c r="MS201"/>
      <c r="MT201"/>
      <c r="MU201"/>
      <c r="MV201"/>
      <c r="MW201"/>
      <c r="MX201"/>
      <c r="MY201"/>
      <c r="MZ201"/>
      <c r="NA201"/>
      <c r="NB201"/>
      <c r="NC201"/>
      <c r="ND201"/>
      <c r="NE201"/>
      <c r="NF201"/>
      <c r="NG201"/>
      <c r="NH201"/>
      <c r="NI201"/>
      <c r="NJ201"/>
      <c r="NK201"/>
      <c r="NL201"/>
      <c r="NM201"/>
      <c r="NN201"/>
      <c r="NO201"/>
      <c r="NP201"/>
      <c r="NQ201"/>
      <c r="NR201"/>
      <c r="NS201"/>
      <c r="NT201"/>
      <c r="NU201"/>
      <c r="NV201"/>
      <c r="NW201"/>
      <c r="NX201"/>
      <c r="NY201"/>
      <c r="NZ201"/>
      <c r="OA201"/>
      <c r="OB201"/>
      <c r="OC201"/>
      <c r="OD201"/>
      <c r="OE201"/>
      <c r="OF201"/>
      <c r="OG201"/>
      <c r="OH201"/>
      <c r="OI201"/>
      <c r="OJ201"/>
      <c r="OK201"/>
      <c r="OL201"/>
      <c r="OM201"/>
      <c r="ON201"/>
      <c r="OO201"/>
      <c r="OP201"/>
      <c r="OQ201"/>
      <c r="OR201"/>
      <c r="OS201"/>
      <c r="OT201"/>
      <c r="OU201"/>
      <c r="OV201"/>
      <c r="OW201"/>
      <c r="OX201"/>
      <c r="OY201"/>
      <c r="OZ201"/>
      <c r="PA201"/>
      <c r="PB201"/>
      <c r="PC201"/>
      <c r="PD201"/>
      <c r="PE201"/>
      <c r="PF201"/>
      <c r="PG201"/>
      <c r="PH201"/>
      <c r="PI201"/>
      <c r="PJ201"/>
      <c r="PK201"/>
      <c r="PL201"/>
      <c r="PM201"/>
      <c r="PN201"/>
      <c r="PO201"/>
      <c r="PP201"/>
      <c r="PQ201"/>
      <c r="PR201"/>
      <c r="PS201"/>
      <c r="PT201"/>
      <c r="PU201"/>
      <c r="PV201"/>
      <c r="PW201"/>
      <c r="PX201"/>
      <c r="PY201"/>
      <c r="PZ201"/>
      <c r="QA201"/>
      <c r="QB201"/>
      <c r="QC201"/>
      <c r="QD201"/>
      <c r="QE201"/>
      <c r="QF201"/>
      <c r="QG201"/>
      <c r="QH201"/>
      <c r="QI201"/>
      <c r="QJ201"/>
      <c r="QK201"/>
      <c r="QL201"/>
      <c r="QM201"/>
      <c r="QN201"/>
      <c r="QO201"/>
      <c r="QP201"/>
      <c r="QQ201"/>
      <c r="QR201"/>
      <c r="QS201"/>
      <c r="QT201"/>
      <c r="QU201"/>
      <c r="QV201"/>
      <c r="QW201"/>
      <c r="QX201"/>
    </row>
    <row r="202" spans="1:466" x14ac:dyDescent="0.35">
      <c r="A202" s="53"/>
      <c r="B202" s="53"/>
      <c r="C202" s="55"/>
      <c r="D202" s="53"/>
      <c r="E202" s="53"/>
      <c r="F202" s="126" t="s">
        <v>455</v>
      </c>
      <c r="G202" s="125">
        <v>23.75</v>
      </c>
      <c r="H202" s="125">
        <v>23.75</v>
      </c>
      <c r="I202" s="133">
        <v>1</v>
      </c>
      <c r="J202" s="53"/>
      <c r="K202" s="53"/>
      <c r="L202" s="53"/>
      <c r="M202" s="53"/>
      <c r="N202" s="53"/>
      <c r="O202" s="53"/>
      <c r="P202" s="53"/>
      <c r="Q202" s="53"/>
      <c r="R202" s="53"/>
      <c r="S202" s="53"/>
      <c r="T202" s="53"/>
      <c r="U202" s="53"/>
      <c r="V202" s="53"/>
      <c r="W202" s="53"/>
      <c r="X202" s="53"/>
      <c r="Y202" s="53"/>
      <c r="Z202" s="53"/>
      <c r="AA202" s="53"/>
      <c r="AB202" s="53"/>
      <c r="AC202" s="53"/>
      <c r="AD202" s="53"/>
      <c r="AE202" s="53"/>
      <c r="AF202" s="63"/>
      <c r="AG202" s="64"/>
      <c r="AH202" s="65"/>
      <c r="AI202" s="65"/>
      <c r="AJ202" s="53"/>
      <c r="AK202" s="62"/>
      <c r="AL202" s="62"/>
      <c r="AM202" s="62"/>
      <c r="AN202" s="62"/>
      <c r="AO202" s="62"/>
      <c r="AP202" s="62"/>
      <c r="AQ202" s="62"/>
      <c r="AR202" s="62"/>
      <c r="AS202" s="62"/>
      <c r="AT202" s="62"/>
      <c r="AU202" s="62"/>
      <c r="AV202" s="62"/>
      <c r="AW202" s="62"/>
      <c r="AX202" s="62"/>
      <c r="AY202" s="62"/>
      <c r="AZ202" s="62"/>
      <c r="BA202" s="62"/>
      <c r="BB202" s="62"/>
      <c r="BC202" s="62"/>
      <c r="BD202" s="62"/>
      <c r="BE202" s="62"/>
      <c r="BF202" s="62"/>
      <c r="BG202" s="62"/>
      <c r="BH202" s="62"/>
      <c r="BI202" s="62"/>
      <c r="BJ202" s="62"/>
      <c r="BK202" s="62"/>
      <c r="BL202" s="62"/>
      <c r="BM202" s="62"/>
      <c r="BN202" s="62"/>
      <c r="BO202" s="62"/>
      <c r="BP202" s="62"/>
      <c r="BQ202" s="62"/>
      <c r="BR202" s="62"/>
      <c r="BS202" s="62"/>
      <c r="BT202" s="62"/>
      <c r="BU202" s="62"/>
      <c r="BV202" s="62"/>
      <c r="BW202" s="62"/>
      <c r="BX202" s="6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  <c r="HB202"/>
      <c r="HC202"/>
      <c r="HD202"/>
      <c r="HE202"/>
      <c r="HF202"/>
      <c r="HG202"/>
      <c r="HH202"/>
      <c r="HI202"/>
      <c r="HJ202"/>
      <c r="HK202"/>
      <c r="HL202"/>
      <c r="HM202"/>
      <c r="HN202"/>
      <c r="HO202"/>
      <c r="HP202"/>
      <c r="HQ202"/>
      <c r="HR202"/>
      <c r="HS202"/>
      <c r="HT202"/>
      <c r="HU202"/>
      <c r="HV202"/>
      <c r="HW202"/>
      <c r="HX202"/>
      <c r="HY202"/>
      <c r="HZ202"/>
      <c r="IA202"/>
      <c r="IB202"/>
      <c r="IC202"/>
      <c r="ID202"/>
      <c r="IE202"/>
      <c r="IF202"/>
      <c r="IG202"/>
      <c r="IH202"/>
      <c r="II202"/>
      <c r="IJ202"/>
      <c r="IK202"/>
      <c r="IL202"/>
      <c r="IM202"/>
      <c r="IN202"/>
      <c r="IO202"/>
      <c r="IP202"/>
      <c r="IQ202"/>
      <c r="IR202"/>
      <c r="IS202"/>
      <c r="IT202"/>
      <c r="IU202"/>
      <c r="IV202"/>
      <c r="IW202"/>
      <c r="IX202"/>
      <c r="IY202"/>
      <c r="IZ202"/>
      <c r="JA202"/>
      <c r="JB202"/>
      <c r="JC202"/>
      <c r="JD202"/>
      <c r="JE202"/>
      <c r="JF202"/>
      <c r="JG202"/>
      <c r="JH202"/>
      <c r="JI202"/>
      <c r="JJ202"/>
      <c r="JK202"/>
      <c r="JL202"/>
      <c r="JM202"/>
      <c r="JN202"/>
      <c r="JO202"/>
      <c r="JP202"/>
      <c r="JQ202"/>
      <c r="JR202"/>
      <c r="JS202"/>
      <c r="JT202"/>
      <c r="JU202"/>
      <c r="JV202"/>
      <c r="JW202"/>
      <c r="JX202"/>
      <c r="JY202"/>
      <c r="JZ202"/>
      <c r="KA202"/>
      <c r="KB202"/>
      <c r="KC202"/>
      <c r="KD202"/>
      <c r="KE202"/>
      <c r="KF202"/>
      <c r="KG202"/>
      <c r="KH202"/>
      <c r="KI202"/>
      <c r="KJ202"/>
      <c r="KK202"/>
      <c r="KL202"/>
      <c r="KM202"/>
      <c r="KN202"/>
      <c r="KO202"/>
      <c r="KP202"/>
      <c r="KQ202"/>
      <c r="KR202"/>
      <c r="KS202"/>
      <c r="KT202"/>
      <c r="KU202"/>
      <c r="KV202"/>
      <c r="KW202"/>
      <c r="KX202"/>
      <c r="KY202"/>
      <c r="KZ202"/>
      <c r="LA202"/>
      <c r="LB202"/>
      <c r="LC202"/>
      <c r="LD202"/>
      <c r="LE202"/>
      <c r="LF202"/>
      <c r="LG202"/>
      <c r="LH202"/>
      <c r="LI202"/>
      <c r="LJ202"/>
      <c r="LK202"/>
      <c r="LL202"/>
      <c r="LM202"/>
      <c r="LN202"/>
      <c r="LO202"/>
      <c r="LP202"/>
      <c r="LQ202"/>
      <c r="LR202"/>
      <c r="LS202"/>
      <c r="LT202"/>
      <c r="LU202"/>
      <c r="LV202"/>
      <c r="LW202"/>
      <c r="LX202"/>
      <c r="LY202"/>
      <c r="LZ202"/>
      <c r="MA202"/>
      <c r="MB202"/>
      <c r="MC202"/>
      <c r="MD202"/>
      <c r="ME202"/>
      <c r="MF202"/>
      <c r="MG202"/>
      <c r="MH202"/>
      <c r="MI202"/>
      <c r="MJ202"/>
      <c r="MK202"/>
      <c r="ML202"/>
      <c r="MM202"/>
      <c r="MN202"/>
      <c r="MO202"/>
      <c r="MP202"/>
      <c r="MQ202"/>
      <c r="MR202"/>
      <c r="MS202"/>
      <c r="MT202"/>
      <c r="MU202"/>
      <c r="MV202"/>
      <c r="MW202"/>
      <c r="MX202"/>
      <c r="MY202"/>
      <c r="MZ202"/>
      <c r="NA202"/>
      <c r="NB202"/>
      <c r="NC202"/>
      <c r="ND202"/>
      <c r="NE202"/>
      <c r="NF202"/>
      <c r="NG202"/>
      <c r="NH202"/>
      <c r="NI202"/>
      <c r="NJ202"/>
      <c r="NK202"/>
      <c r="NL202"/>
      <c r="NM202"/>
      <c r="NN202"/>
      <c r="NO202"/>
      <c r="NP202"/>
      <c r="NQ202"/>
      <c r="NR202"/>
      <c r="NS202"/>
      <c r="NT202"/>
      <c r="NU202"/>
      <c r="NV202"/>
      <c r="NW202"/>
      <c r="NX202"/>
      <c r="NY202"/>
      <c r="NZ202"/>
      <c r="OA202"/>
      <c r="OB202"/>
      <c r="OC202"/>
      <c r="OD202"/>
      <c r="OE202"/>
      <c r="OF202"/>
      <c r="OG202"/>
      <c r="OH202"/>
      <c r="OI202"/>
      <c r="OJ202"/>
      <c r="OK202"/>
      <c r="OL202"/>
      <c r="OM202"/>
      <c r="ON202"/>
      <c r="OO202"/>
      <c r="OP202"/>
      <c r="OQ202"/>
      <c r="OR202"/>
      <c r="OS202"/>
      <c r="OT202"/>
      <c r="OU202"/>
      <c r="OV202"/>
      <c r="OW202"/>
      <c r="OX202"/>
      <c r="OY202"/>
      <c r="OZ202"/>
      <c r="PA202"/>
      <c r="PB202"/>
      <c r="PC202"/>
      <c r="PD202"/>
      <c r="PE202"/>
      <c r="PF202"/>
      <c r="PG202"/>
      <c r="PH202"/>
      <c r="PI202"/>
      <c r="PJ202"/>
      <c r="PK202"/>
      <c r="PL202"/>
      <c r="PM202"/>
      <c r="PN202"/>
      <c r="PO202"/>
      <c r="PP202"/>
      <c r="PQ202"/>
      <c r="PR202"/>
      <c r="PS202"/>
      <c r="PT202"/>
      <c r="PU202"/>
      <c r="PV202"/>
      <c r="PW202"/>
      <c r="PX202"/>
      <c r="PY202"/>
      <c r="PZ202"/>
      <c r="QA202"/>
      <c r="QB202"/>
      <c r="QC202"/>
      <c r="QD202"/>
      <c r="QE202"/>
      <c r="QF202"/>
      <c r="QG202"/>
      <c r="QH202"/>
      <c r="QI202"/>
      <c r="QJ202"/>
      <c r="QK202"/>
      <c r="QL202"/>
      <c r="QM202"/>
      <c r="QN202"/>
      <c r="QO202"/>
      <c r="QP202"/>
      <c r="QQ202"/>
      <c r="QR202"/>
      <c r="QS202"/>
      <c r="QT202"/>
      <c r="QU202"/>
      <c r="QV202"/>
      <c r="QW202"/>
      <c r="QX202"/>
    </row>
    <row r="203" spans="1:466" x14ac:dyDescent="0.35">
      <c r="A203" s="53"/>
      <c r="B203" s="53"/>
      <c r="C203" s="55"/>
      <c r="D203" s="53"/>
      <c r="E203" s="53"/>
      <c r="F203" s="126" t="s">
        <v>448</v>
      </c>
      <c r="G203" s="125">
        <v>6.0625</v>
      </c>
      <c r="H203" s="125">
        <v>72.75</v>
      </c>
      <c r="I203" s="133">
        <v>12</v>
      </c>
      <c r="J203" s="53"/>
      <c r="K203" s="53"/>
      <c r="L203" s="53"/>
      <c r="M203" s="53"/>
      <c r="N203" s="53"/>
      <c r="O203" s="53"/>
      <c r="P203" s="53"/>
      <c r="Q203" s="53"/>
      <c r="R203" s="53"/>
      <c r="S203" s="53"/>
      <c r="T203" s="53"/>
      <c r="U203" s="53"/>
      <c r="V203" s="53"/>
      <c r="W203" s="53"/>
      <c r="X203" s="53"/>
      <c r="Y203" s="53"/>
      <c r="Z203" s="53"/>
      <c r="AA203" s="53"/>
      <c r="AB203" s="53"/>
      <c r="AC203" s="53"/>
      <c r="AD203" s="53"/>
      <c r="AE203" s="53"/>
      <c r="AF203" s="63"/>
      <c r="AG203" s="64"/>
      <c r="AH203" s="65"/>
      <c r="AI203" s="65"/>
      <c r="AJ203" s="53"/>
      <c r="AK203" s="62"/>
      <c r="AL203" s="62"/>
      <c r="AM203" s="62"/>
      <c r="AN203" s="62"/>
      <c r="AO203" s="62"/>
      <c r="AP203" s="62"/>
      <c r="AQ203" s="62"/>
      <c r="AR203" s="62"/>
      <c r="AS203" s="62"/>
      <c r="AT203" s="62"/>
      <c r="AU203" s="62"/>
      <c r="AV203" s="62"/>
      <c r="AW203" s="62"/>
      <c r="AX203" s="62"/>
      <c r="AY203" s="62"/>
      <c r="AZ203" s="62"/>
      <c r="BA203" s="62"/>
      <c r="BB203" s="62"/>
      <c r="BC203" s="62"/>
      <c r="BD203" s="62"/>
      <c r="BE203" s="62"/>
      <c r="BF203" s="62"/>
      <c r="BG203" s="62"/>
      <c r="BH203" s="62"/>
      <c r="BI203" s="62"/>
      <c r="BJ203" s="62"/>
      <c r="BK203" s="62"/>
      <c r="BL203" s="62"/>
      <c r="BM203" s="62"/>
      <c r="BN203" s="62"/>
      <c r="BO203" s="62"/>
      <c r="BP203" s="62"/>
      <c r="BQ203" s="62"/>
      <c r="BR203" s="62"/>
      <c r="BS203" s="62"/>
      <c r="BT203" s="62"/>
      <c r="BU203" s="62"/>
      <c r="BV203" s="62"/>
      <c r="BW203" s="62"/>
      <c r="BX203" s="62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  <c r="HB203"/>
      <c r="HC203"/>
      <c r="HD203"/>
      <c r="HE203"/>
      <c r="HF203"/>
      <c r="HG203"/>
      <c r="HH203"/>
      <c r="HI203"/>
      <c r="HJ203"/>
      <c r="HK203"/>
      <c r="HL203"/>
      <c r="HM203"/>
      <c r="HN203"/>
      <c r="HO203"/>
      <c r="HP203"/>
      <c r="HQ203"/>
      <c r="HR203"/>
      <c r="HS203"/>
      <c r="HT203"/>
      <c r="HU203"/>
      <c r="HV203"/>
      <c r="HW203"/>
      <c r="HX203"/>
      <c r="HY203"/>
      <c r="HZ203"/>
      <c r="IA203"/>
      <c r="IB203"/>
      <c r="IC203"/>
      <c r="ID203"/>
      <c r="IE203"/>
      <c r="IF203"/>
      <c r="IG203"/>
      <c r="IH203"/>
      <c r="II203"/>
      <c r="IJ203"/>
      <c r="IK203"/>
      <c r="IL203"/>
      <c r="IM203"/>
      <c r="IN203"/>
      <c r="IO203"/>
      <c r="IP203"/>
      <c r="IQ203"/>
      <c r="IR203"/>
      <c r="IS203"/>
      <c r="IT203"/>
      <c r="IU203"/>
      <c r="IV203"/>
      <c r="IW203"/>
      <c r="IX203"/>
      <c r="IY203"/>
      <c r="IZ203"/>
      <c r="JA203"/>
      <c r="JB203"/>
      <c r="JC203"/>
      <c r="JD203"/>
      <c r="JE203"/>
      <c r="JF203"/>
      <c r="JG203"/>
      <c r="JH203"/>
      <c r="JI203"/>
      <c r="JJ203"/>
      <c r="JK203"/>
      <c r="JL203"/>
      <c r="JM203"/>
      <c r="JN203"/>
      <c r="JO203"/>
      <c r="JP203"/>
      <c r="JQ203"/>
      <c r="JR203"/>
      <c r="JS203"/>
      <c r="JT203"/>
      <c r="JU203"/>
      <c r="JV203"/>
      <c r="JW203"/>
      <c r="JX203"/>
      <c r="JY203"/>
      <c r="JZ203"/>
      <c r="KA203"/>
      <c r="KB203"/>
      <c r="KC203"/>
      <c r="KD203"/>
      <c r="KE203"/>
      <c r="KF203"/>
      <c r="KG203"/>
      <c r="KH203"/>
      <c r="KI203"/>
      <c r="KJ203"/>
      <c r="KK203"/>
      <c r="KL203"/>
      <c r="KM203"/>
      <c r="KN203"/>
      <c r="KO203"/>
      <c r="KP203"/>
      <c r="KQ203"/>
      <c r="KR203"/>
      <c r="KS203"/>
      <c r="KT203"/>
      <c r="KU203"/>
      <c r="KV203"/>
      <c r="KW203"/>
      <c r="KX203"/>
      <c r="KY203"/>
      <c r="KZ203"/>
      <c r="LA203"/>
      <c r="LB203"/>
      <c r="LC203"/>
      <c r="LD203"/>
      <c r="LE203"/>
      <c r="LF203"/>
      <c r="LG203"/>
      <c r="LH203"/>
      <c r="LI203"/>
      <c r="LJ203"/>
      <c r="LK203"/>
      <c r="LL203"/>
      <c r="LM203"/>
      <c r="LN203"/>
      <c r="LO203"/>
      <c r="LP203"/>
      <c r="LQ203"/>
      <c r="LR203"/>
      <c r="LS203"/>
      <c r="LT203"/>
      <c r="LU203"/>
      <c r="LV203"/>
      <c r="LW203"/>
      <c r="LX203"/>
      <c r="LY203"/>
      <c r="LZ203"/>
      <c r="MA203"/>
      <c r="MB203"/>
      <c r="MC203"/>
      <c r="MD203"/>
      <c r="ME203"/>
      <c r="MF203"/>
      <c r="MG203"/>
      <c r="MH203"/>
      <c r="MI203"/>
      <c r="MJ203"/>
      <c r="MK203"/>
      <c r="ML203"/>
      <c r="MM203"/>
      <c r="MN203"/>
      <c r="MO203"/>
      <c r="MP203"/>
      <c r="MQ203"/>
      <c r="MR203"/>
      <c r="MS203"/>
      <c r="MT203"/>
      <c r="MU203"/>
      <c r="MV203"/>
      <c r="MW203"/>
      <c r="MX203"/>
      <c r="MY203"/>
      <c r="MZ203"/>
      <c r="NA203"/>
      <c r="NB203"/>
      <c r="NC203"/>
      <c r="ND203"/>
      <c r="NE203"/>
      <c r="NF203"/>
      <c r="NG203"/>
      <c r="NH203"/>
      <c r="NI203"/>
      <c r="NJ203"/>
      <c r="NK203"/>
      <c r="NL203"/>
      <c r="NM203"/>
      <c r="NN203"/>
      <c r="NO203"/>
      <c r="NP203"/>
      <c r="NQ203"/>
      <c r="NR203"/>
      <c r="NS203"/>
      <c r="NT203"/>
      <c r="NU203"/>
      <c r="NV203"/>
      <c r="NW203"/>
      <c r="NX203"/>
      <c r="NY203"/>
      <c r="NZ203"/>
      <c r="OA203"/>
      <c r="OB203"/>
      <c r="OC203"/>
      <c r="OD203"/>
      <c r="OE203"/>
      <c r="OF203"/>
      <c r="OG203"/>
      <c r="OH203"/>
      <c r="OI203"/>
      <c r="OJ203"/>
      <c r="OK203"/>
      <c r="OL203"/>
      <c r="OM203"/>
      <c r="ON203"/>
      <c r="OO203"/>
      <c r="OP203"/>
      <c r="OQ203"/>
      <c r="OR203"/>
      <c r="OS203"/>
      <c r="OT203"/>
      <c r="OU203"/>
      <c r="OV203"/>
      <c r="OW203"/>
      <c r="OX203"/>
      <c r="OY203"/>
      <c r="OZ203"/>
      <c r="PA203"/>
      <c r="PB203"/>
      <c r="PC203"/>
      <c r="PD203"/>
      <c r="PE203"/>
      <c r="PF203"/>
      <c r="PG203"/>
      <c r="PH203"/>
      <c r="PI203"/>
      <c r="PJ203"/>
      <c r="PK203"/>
      <c r="PL203"/>
      <c r="PM203"/>
      <c r="PN203"/>
      <c r="PO203"/>
      <c r="PP203"/>
      <c r="PQ203"/>
      <c r="PR203"/>
      <c r="PS203"/>
      <c r="PT203"/>
      <c r="PU203"/>
      <c r="PV203"/>
      <c r="PW203"/>
      <c r="PX203"/>
      <c r="PY203"/>
      <c r="PZ203"/>
      <c r="QA203"/>
      <c r="QB203"/>
      <c r="QC203"/>
      <c r="QD203"/>
      <c r="QE203"/>
      <c r="QF203"/>
      <c r="QG203"/>
      <c r="QH203"/>
      <c r="QI203"/>
      <c r="QJ203"/>
      <c r="QK203"/>
      <c r="QL203"/>
      <c r="QM203"/>
      <c r="QN203"/>
      <c r="QO203"/>
      <c r="QP203"/>
      <c r="QQ203"/>
      <c r="QR203"/>
      <c r="QS203"/>
      <c r="QT203"/>
      <c r="QU203"/>
      <c r="QV203"/>
      <c r="QW203"/>
      <c r="QX203"/>
    </row>
    <row r="204" spans="1:466" x14ac:dyDescent="0.35">
      <c r="A204" s="53"/>
      <c r="B204" s="53"/>
      <c r="C204" s="55"/>
      <c r="D204" s="53"/>
      <c r="E204" s="53"/>
      <c r="F204" s="126" t="s">
        <v>450</v>
      </c>
      <c r="G204" s="125">
        <v>9.375</v>
      </c>
      <c r="H204" s="125">
        <v>0</v>
      </c>
      <c r="I204" s="133">
        <v>0</v>
      </c>
      <c r="J204" s="53"/>
      <c r="K204" s="53"/>
      <c r="L204" s="53"/>
      <c r="M204" s="53"/>
      <c r="N204" s="53"/>
      <c r="O204" s="53"/>
      <c r="P204" s="53"/>
      <c r="Q204" s="53"/>
      <c r="R204" s="53"/>
      <c r="S204" s="53"/>
      <c r="T204" s="53"/>
      <c r="U204" s="53"/>
      <c r="V204" s="53"/>
      <c r="W204" s="53"/>
      <c r="X204" s="53"/>
      <c r="Y204" s="53"/>
      <c r="Z204" s="53"/>
      <c r="AA204" s="53"/>
      <c r="AB204" s="53"/>
      <c r="AC204" s="53"/>
      <c r="AD204" s="53"/>
      <c r="AE204" s="53"/>
      <c r="AF204" s="63"/>
      <c r="AG204" s="64"/>
      <c r="AH204" s="65"/>
      <c r="AI204" s="65"/>
      <c r="AJ204" s="53"/>
      <c r="AK204" s="62"/>
      <c r="AL204" s="62"/>
      <c r="AM204" s="62"/>
      <c r="AN204" s="62"/>
      <c r="AO204" s="62"/>
      <c r="AP204" s="62"/>
      <c r="AQ204" s="62"/>
      <c r="AR204" s="62"/>
      <c r="AS204" s="62"/>
      <c r="AT204" s="62"/>
      <c r="AU204" s="62"/>
      <c r="AV204" s="62"/>
      <c r="AW204" s="62"/>
      <c r="AX204" s="62"/>
      <c r="AY204" s="62"/>
      <c r="AZ204" s="62"/>
      <c r="BA204" s="62"/>
      <c r="BB204" s="62"/>
      <c r="BC204" s="62"/>
      <c r="BD204" s="62"/>
      <c r="BE204" s="62"/>
      <c r="BF204" s="62"/>
      <c r="BG204" s="62"/>
      <c r="BH204" s="62"/>
      <c r="BI204" s="62"/>
      <c r="BJ204" s="62"/>
      <c r="BK204" s="62"/>
      <c r="BL204" s="62"/>
      <c r="BM204" s="62"/>
      <c r="BN204" s="62"/>
      <c r="BO204" s="62"/>
      <c r="BP204" s="62"/>
      <c r="BQ204" s="62"/>
      <c r="BR204" s="62"/>
      <c r="BS204" s="62"/>
      <c r="BT204" s="62"/>
      <c r="BU204" s="62"/>
      <c r="BV204" s="62"/>
      <c r="BW204" s="62"/>
      <c r="BX204" s="62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  <c r="HB204"/>
      <c r="HC204"/>
      <c r="HD204"/>
      <c r="HE204"/>
      <c r="HF204"/>
      <c r="HG204"/>
      <c r="HH204"/>
      <c r="HI204"/>
      <c r="HJ204"/>
      <c r="HK204"/>
      <c r="HL204"/>
      <c r="HM204"/>
      <c r="HN204"/>
      <c r="HO204"/>
      <c r="HP204"/>
      <c r="HQ204"/>
      <c r="HR204"/>
      <c r="HS204"/>
      <c r="HT204"/>
      <c r="HU204"/>
      <c r="HV204"/>
      <c r="HW204"/>
      <c r="HX204"/>
      <c r="HY204"/>
      <c r="HZ204"/>
      <c r="IA204"/>
      <c r="IB204"/>
      <c r="IC204"/>
      <c r="ID204"/>
      <c r="IE204"/>
      <c r="IF204"/>
      <c r="IG204"/>
      <c r="IH204"/>
      <c r="II204"/>
      <c r="IJ204"/>
      <c r="IK204"/>
      <c r="IL204"/>
      <c r="IM204"/>
      <c r="IN204"/>
      <c r="IO204"/>
      <c r="IP204"/>
      <c r="IQ204"/>
      <c r="IR204"/>
      <c r="IS204"/>
      <c r="IT204"/>
      <c r="IU204"/>
      <c r="IV204"/>
      <c r="IW204"/>
      <c r="IX204"/>
      <c r="IY204"/>
      <c r="IZ204"/>
      <c r="JA204"/>
      <c r="JB204"/>
      <c r="JC204"/>
      <c r="JD204"/>
      <c r="JE204"/>
      <c r="JF204"/>
      <c r="JG204"/>
      <c r="JH204"/>
      <c r="JI204"/>
      <c r="JJ204"/>
      <c r="JK204"/>
      <c r="JL204"/>
      <c r="JM204"/>
      <c r="JN204"/>
      <c r="JO204"/>
      <c r="JP204"/>
      <c r="JQ204"/>
      <c r="JR204"/>
      <c r="JS204"/>
      <c r="JT204"/>
      <c r="JU204"/>
      <c r="JV204"/>
      <c r="JW204"/>
      <c r="JX204"/>
      <c r="JY204"/>
      <c r="JZ204"/>
      <c r="KA204"/>
      <c r="KB204"/>
      <c r="KC204"/>
      <c r="KD204"/>
      <c r="KE204"/>
      <c r="KF204"/>
      <c r="KG204"/>
      <c r="KH204"/>
      <c r="KI204"/>
      <c r="KJ204"/>
      <c r="KK204"/>
      <c r="KL204"/>
      <c r="KM204"/>
      <c r="KN204"/>
      <c r="KO204"/>
      <c r="KP204"/>
      <c r="KQ204"/>
      <c r="KR204"/>
      <c r="KS204"/>
      <c r="KT204"/>
      <c r="KU204"/>
      <c r="KV204"/>
      <c r="KW204"/>
      <c r="KX204"/>
      <c r="KY204"/>
      <c r="KZ204"/>
      <c r="LA204"/>
      <c r="LB204"/>
      <c r="LC204"/>
      <c r="LD204"/>
      <c r="LE204"/>
      <c r="LF204"/>
      <c r="LG204"/>
      <c r="LH204"/>
      <c r="LI204"/>
      <c r="LJ204"/>
      <c r="LK204"/>
      <c r="LL204"/>
      <c r="LM204"/>
      <c r="LN204"/>
      <c r="LO204"/>
      <c r="LP204"/>
      <c r="LQ204"/>
      <c r="LR204"/>
      <c r="LS204"/>
      <c r="LT204"/>
      <c r="LU204"/>
      <c r="LV204"/>
      <c r="LW204"/>
      <c r="LX204"/>
      <c r="LY204"/>
      <c r="LZ204"/>
      <c r="MA204"/>
      <c r="MB204"/>
      <c r="MC204"/>
      <c r="MD204"/>
      <c r="ME204"/>
      <c r="MF204"/>
      <c r="MG204"/>
      <c r="MH204"/>
      <c r="MI204"/>
      <c r="MJ204"/>
      <c r="MK204"/>
      <c r="ML204"/>
      <c r="MM204"/>
      <c r="MN204"/>
      <c r="MO204"/>
      <c r="MP204"/>
      <c r="MQ204"/>
      <c r="MR204"/>
      <c r="MS204"/>
      <c r="MT204"/>
      <c r="MU204"/>
      <c r="MV204"/>
      <c r="MW204"/>
      <c r="MX204"/>
      <c r="MY204"/>
      <c r="MZ204"/>
      <c r="NA204"/>
      <c r="NB204"/>
      <c r="NC204"/>
      <c r="ND204"/>
      <c r="NE204"/>
      <c r="NF204"/>
      <c r="NG204"/>
      <c r="NH204"/>
      <c r="NI204"/>
      <c r="NJ204"/>
      <c r="NK204"/>
      <c r="NL204"/>
      <c r="NM204"/>
      <c r="NN204"/>
      <c r="NO204"/>
      <c r="NP204"/>
      <c r="NQ204"/>
      <c r="NR204"/>
      <c r="NS204"/>
      <c r="NT204"/>
      <c r="NU204"/>
      <c r="NV204"/>
      <c r="NW204"/>
      <c r="NX204"/>
      <c r="NY204"/>
      <c r="NZ204"/>
      <c r="OA204"/>
      <c r="OB204"/>
      <c r="OC204"/>
      <c r="OD204"/>
      <c r="OE204"/>
      <c r="OF204"/>
      <c r="OG204"/>
      <c r="OH204"/>
      <c r="OI204"/>
      <c r="OJ204"/>
      <c r="OK204"/>
      <c r="OL204"/>
      <c r="OM204"/>
      <c r="ON204"/>
      <c r="OO204"/>
      <c r="OP204"/>
      <c r="OQ204"/>
      <c r="OR204"/>
      <c r="OS204"/>
      <c r="OT204"/>
      <c r="OU204"/>
      <c r="OV204"/>
      <c r="OW204"/>
      <c r="OX204"/>
      <c r="OY204"/>
      <c r="OZ204"/>
      <c r="PA204"/>
      <c r="PB204"/>
      <c r="PC204"/>
      <c r="PD204"/>
      <c r="PE204"/>
      <c r="PF204"/>
      <c r="PG204"/>
      <c r="PH204"/>
      <c r="PI204"/>
      <c r="PJ204"/>
      <c r="PK204"/>
      <c r="PL204"/>
      <c r="PM204"/>
      <c r="PN204"/>
      <c r="PO204"/>
      <c r="PP204"/>
      <c r="PQ204"/>
      <c r="PR204"/>
      <c r="PS204"/>
      <c r="PT204"/>
      <c r="PU204"/>
      <c r="PV204"/>
      <c r="PW204"/>
      <c r="PX204"/>
      <c r="PY204"/>
      <c r="PZ204"/>
      <c r="QA204"/>
      <c r="QB204"/>
      <c r="QC204"/>
      <c r="QD204"/>
      <c r="QE204"/>
      <c r="QF204"/>
      <c r="QG204"/>
      <c r="QH204"/>
      <c r="QI204"/>
      <c r="QJ204"/>
      <c r="QK204"/>
      <c r="QL204"/>
      <c r="QM204"/>
      <c r="QN204"/>
      <c r="QO204"/>
      <c r="QP204"/>
      <c r="QQ204"/>
      <c r="QR204"/>
      <c r="QS204"/>
      <c r="QT204"/>
      <c r="QU204"/>
      <c r="QV204"/>
      <c r="QW204"/>
      <c r="QX204"/>
    </row>
    <row r="205" spans="1:466" x14ac:dyDescent="0.35">
      <c r="A205" s="53"/>
      <c r="B205" s="53"/>
      <c r="C205" s="55"/>
      <c r="D205" s="53"/>
      <c r="E205" s="53"/>
      <c r="F205" s="126" t="s">
        <v>1283</v>
      </c>
      <c r="G205" s="125">
        <v>12.69</v>
      </c>
      <c r="H205" s="125">
        <v>101.52</v>
      </c>
      <c r="I205" s="133">
        <v>8</v>
      </c>
      <c r="J205" s="53"/>
      <c r="K205" s="53"/>
      <c r="L205" s="53"/>
      <c r="M205" s="53"/>
      <c r="N205" s="53"/>
      <c r="O205" s="53"/>
      <c r="P205" s="53"/>
      <c r="Q205" s="53"/>
      <c r="R205" s="53"/>
      <c r="S205" s="53"/>
      <c r="T205" s="53"/>
      <c r="U205" s="53"/>
      <c r="V205" s="53"/>
      <c r="W205" s="53"/>
      <c r="X205" s="53"/>
      <c r="Y205" s="53"/>
      <c r="Z205" s="53"/>
      <c r="AA205" s="53"/>
      <c r="AB205" s="53"/>
      <c r="AC205" s="53"/>
      <c r="AD205" s="53"/>
      <c r="AE205" s="53"/>
      <c r="AF205" s="63"/>
      <c r="AG205" s="64"/>
      <c r="AH205" s="65"/>
      <c r="AI205" s="65"/>
      <c r="AJ205" s="53"/>
      <c r="AK205" s="62"/>
      <c r="AL205" s="62"/>
      <c r="AM205" s="62"/>
      <c r="AN205" s="62"/>
      <c r="AO205" s="62"/>
      <c r="AP205" s="62"/>
      <c r="AQ205" s="62"/>
      <c r="AR205" s="62"/>
      <c r="AS205" s="62"/>
      <c r="AT205" s="62"/>
      <c r="AU205" s="62"/>
      <c r="AV205" s="62"/>
      <c r="AW205" s="62"/>
      <c r="AX205" s="62"/>
      <c r="AY205" s="62"/>
      <c r="AZ205" s="62"/>
      <c r="BA205" s="62"/>
      <c r="BB205" s="62"/>
      <c r="BC205" s="62"/>
      <c r="BD205" s="62"/>
      <c r="BE205" s="62"/>
      <c r="BF205" s="62"/>
      <c r="BG205" s="62"/>
      <c r="BH205" s="62"/>
      <c r="BI205" s="62"/>
      <c r="BJ205" s="62"/>
      <c r="BK205" s="62"/>
      <c r="BL205" s="62"/>
      <c r="BM205" s="62"/>
      <c r="BN205" s="62"/>
      <c r="BO205" s="62"/>
      <c r="BP205" s="62"/>
      <c r="BQ205" s="62"/>
      <c r="BR205" s="62"/>
      <c r="BS205" s="62"/>
      <c r="BT205" s="62"/>
      <c r="BU205" s="62"/>
      <c r="BV205" s="62"/>
      <c r="BW205" s="62"/>
      <c r="BX205" s="62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  <c r="HB205"/>
      <c r="HC205"/>
      <c r="HD205"/>
      <c r="HE205"/>
      <c r="HF205"/>
      <c r="HG205"/>
      <c r="HH205"/>
      <c r="HI205"/>
      <c r="HJ205"/>
      <c r="HK205"/>
      <c r="HL205"/>
      <c r="HM205"/>
      <c r="HN205"/>
      <c r="HO205"/>
      <c r="HP205"/>
      <c r="HQ205"/>
      <c r="HR205"/>
      <c r="HS205"/>
      <c r="HT205"/>
      <c r="HU205"/>
      <c r="HV205"/>
      <c r="HW205"/>
      <c r="HX205"/>
      <c r="HY205"/>
      <c r="HZ205"/>
      <c r="IA205"/>
      <c r="IB205"/>
      <c r="IC205"/>
      <c r="ID205"/>
      <c r="IE205"/>
      <c r="IF205"/>
      <c r="IG205"/>
      <c r="IH205"/>
      <c r="II205"/>
      <c r="IJ205"/>
      <c r="IK205"/>
      <c r="IL205"/>
      <c r="IM205"/>
      <c r="IN205"/>
      <c r="IO205"/>
      <c r="IP205"/>
      <c r="IQ205"/>
      <c r="IR205"/>
      <c r="IS205"/>
      <c r="IT205"/>
      <c r="IU205"/>
      <c r="IV205"/>
      <c r="IW205"/>
      <c r="IX205"/>
      <c r="IY205"/>
      <c r="IZ205"/>
      <c r="JA205"/>
      <c r="JB205"/>
      <c r="JC205"/>
      <c r="JD205"/>
      <c r="JE205"/>
      <c r="JF205"/>
      <c r="JG205"/>
      <c r="JH205"/>
      <c r="JI205"/>
      <c r="JJ205"/>
      <c r="JK205"/>
      <c r="JL205"/>
      <c r="JM205"/>
      <c r="JN205"/>
      <c r="JO205"/>
      <c r="JP205"/>
      <c r="JQ205"/>
      <c r="JR205"/>
      <c r="JS205"/>
      <c r="JT205"/>
      <c r="JU205"/>
      <c r="JV205"/>
      <c r="JW205"/>
      <c r="JX205"/>
      <c r="JY205"/>
      <c r="JZ205"/>
      <c r="KA205"/>
      <c r="KB205"/>
      <c r="KC205"/>
      <c r="KD205"/>
      <c r="KE205"/>
      <c r="KF205"/>
      <c r="KG205"/>
      <c r="KH205"/>
      <c r="KI205"/>
      <c r="KJ205"/>
      <c r="KK205"/>
      <c r="KL205"/>
      <c r="KM205"/>
      <c r="KN205"/>
      <c r="KO205"/>
      <c r="KP205"/>
      <c r="KQ205"/>
      <c r="KR205"/>
      <c r="KS205"/>
      <c r="KT205"/>
      <c r="KU205"/>
      <c r="KV205"/>
      <c r="KW205"/>
      <c r="KX205"/>
      <c r="KY205"/>
      <c r="KZ205"/>
      <c r="LA205"/>
      <c r="LB205"/>
      <c r="LC205"/>
      <c r="LD205"/>
      <c r="LE205"/>
      <c r="LF205"/>
      <c r="LG205"/>
      <c r="LH205"/>
      <c r="LI205"/>
      <c r="LJ205"/>
      <c r="LK205"/>
      <c r="LL205"/>
      <c r="LM205"/>
      <c r="LN205"/>
      <c r="LO205"/>
      <c r="LP205"/>
      <c r="LQ205"/>
      <c r="LR205"/>
      <c r="LS205"/>
      <c r="LT205"/>
      <c r="LU205"/>
      <c r="LV205"/>
      <c r="LW205"/>
      <c r="LX205"/>
      <c r="LY205"/>
      <c r="LZ205"/>
      <c r="MA205"/>
      <c r="MB205"/>
      <c r="MC205"/>
      <c r="MD205"/>
      <c r="ME205"/>
      <c r="MF205"/>
      <c r="MG205"/>
      <c r="MH205"/>
      <c r="MI205"/>
      <c r="MJ205"/>
      <c r="MK205"/>
      <c r="ML205"/>
      <c r="MM205"/>
      <c r="MN205"/>
      <c r="MO205"/>
      <c r="MP205"/>
      <c r="MQ205"/>
      <c r="MR205"/>
      <c r="MS205"/>
      <c r="MT205"/>
      <c r="MU205"/>
      <c r="MV205"/>
      <c r="MW205"/>
      <c r="MX205"/>
      <c r="MY205"/>
      <c r="MZ205"/>
      <c r="NA205"/>
      <c r="NB205"/>
      <c r="NC205"/>
      <c r="ND205"/>
      <c r="NE205"/>
      <c r="NF205"/>
      <c r="NG205"/>
      <c r="NH205"/>
      <c r="NI205"/>
      <c r="NJ205"/>
      <c r="NK205"/>
      <c r="NL205"/>
      <c r="NM205"/>
      <c r="NN205"/>
      <c r="NO205"/>
      <c r="NP205"/>
      <c r="NQ205"/>
      <c r="NR205"/>
      <c r="NS205"/>
      <c r="NT205"/>
      <c r="NU205"/>
      <c r="NV205"/>
      <c r="NW205"/>
      <c r="NX205"/>
      <c r="NY205"/>
      <c r="NZ205"/>
      <c r="OA205"/>
      <c r="OB205"/>
      <c r="OC205"/>
      <c r="OD205"/>
      <c r="OE205"/>
      <c r="OF205"/>
      <c r="OG205"/>
      <c r="OH205"/>
      <c r="OI205"/>
      <c r="OJ205"/>
      <c r="OK205"/>
      <c r="OL205"/>
      <c r="OM205"/>
      <c r="ON205"/>
      <c r="OO205"/>
      <c r="OP205"/>
      <c r="OQ205"/>
      <c r="OR205"/>
      <c r="OS205"/>
      <c r="OT205"/>
      <c r="OU205"/>
      <c r="OV205"/>
      <c r="OW205"/>
      <c r="OX205"/>
      <c r="OY205"/>
      <c r="OZ205"/>
      <c r="PA205"/>
      <c r="PB205"/>
      <c r="PC205"/>
      <c r="PD205"/>
      <c r="PE205"/>
      <c r="PF205"/>
      <c r="PG205"/>
      <c r="PH205"/>
      <c r="PI205"/>
      <c r="PJ205"/>
      <c r="PK205"/>
      <c r="PL205"/>
      <c r="PM205"/>
      <c r="PN205"/>
      <c r="PO205"/>
      <c r="PP205"/>
      <c r="PQ205"/>
      <c r="PR205"/>
      <c r="PS205"/>
      <c r="PT205"/>
      <c r="PU205"/>
      <c r="PV205"/>
      <c r="PW205"/>
      <c r="PX205"/>
      <c r="PY205"/>
      <c r="PZ205"/>
      <c r="QA205"/>
      <c r="QB205"/>
      <c r="QC205"/>
      <c r="QD205"/>
      <c r="QE205"/>
      <c r="QF205"/>
      <c r="QG205"/>
      <c r="QH205"/>
      <c r="QI205"/>
      <c r="QJ205"/>
      <c r="QK205"/>
      <c r="QL205"/>
      <c r="QM205"/>
      <c r="QN205"/>
      <c r="QO205"/>
      <c r="QP205"/>
      <c r="QQ205"/>
      <c r="QR205"/>
      <c r="QS205"/>
      <c r="QT205"/>
      <c r="QU205"/>
      <c r="QV205"/>
      <c r="QW205"/>
      <c r="QX205"/>
    </row>
    <row r="206" spans="1:466" x14ac:dyDescent="0.35">
      <c r="A206" s="53"/>
      <c r="B206" s="53"/>
      <c r="C206" s="55"/>
      <c r="D206" s="53"/>
      <c r="E206" s="53"/>
      <c r="F206" s="126" t="s">
        <v>470</v>
      </c>
      <c r="G206" s="125"/>
      <c r="H206" s="125">
        <v>0</v>
      </c>
      <c r="I206" s="133">
        <v>0</v>
      </c>
      <c r="J206" s="53"/>
      <c r="K206" s="53"/>
      <c r="L206" s="53"/>
      <c r="M206" s="53"/>
      <c r="N206" s="53"/>
      <c r="O206" s="53"/>
      <c r="P206" s="53"/>
      <c r="Q206" s="53"/>
      <c r="R206" s="53"/>
      <c r="S206" s="53"/>
      <c r="T206" s="53"/>
      <c r="U206" s="53"/>
      <c r="V206" s="53"/>
      <c r="W206" s="53"/>
      <c r="X206" s="53"/>
      <c r="Y206" s="53"/>
      <c r="Z206" s="53"/>
      <c r="AA206" s="53"/>
      <c r="AB206" s="53"/>
      <c r="AC206" s="53"/>
      <c r="AD206" s="53"/>
      <c r="AE206" s="53"/>
      <c r="AF206" s="63"/>
      <c r="AG206" s="64"/>
      <c r="AH206" s="65"/>
      <c r="AI206" s="65"/>
      <c r="AJ206" s="53"/>
      <c r="AK206" s="62"/>
      <c r="AL206" s="62"/>
      <c r="AM206" s="62"/>
      <c r="AN206" s="62"/>
      <c r="AO206" s="62"/>
      <c r="AP206" s="62"/>
      <c r="AQ206" s="62"/>
      <c r="AR206" s="62"/>
      <c r="AS206" s="62"/>
      <c r="AT206" s="62"/>
      <c r="AU206" s="62"/>
      <c r="AV206" s="62"/>
      <c r="AW206" s="62"/>
      <c r="AX206" s="62"/>
      <c r="AY206" s="62"/>
      <c r="AZ206" s="62"/>
      <c r="BA206" s="62"/>
      <c r="BB206" s="62"/>
      <c r="BC206" s="62"/>
      <c r="BD206" s="62"/>
      <c r="BE206" s="62"/>
      <c r="BF206" s="62"/>
      <c r="BG206" s="62"/>
      <c r="BH206" s="62"/>
      <c r="BI206" s="62"/>
      <c r="BJ206" s="62"/>
      <c r="BK206" s="62"/>
      <c r="BL206" s="62"/>
      <c r="BM206" s="62"/>
      <c r="BN206" s="62"/>
      <c r="BO206" s="62"/>
      <c r="BP206" s="62"/>
      <c r="BQ206" s="62"/>
      <c r="BR206" s="62"/>
      <c r="BS206" s="62"/>
      <c r="BT206" s="62"/>
      <c r="BU206" s="62"/>
      <c r="BV206" s="62"/>
      <c r="BW206" s="62"/>
      <c r="BX206" s="62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  <c r="HB206"/>
      <c r="HC206"/>
      <c r="HD206"/>
      <c r="HE206"/>
      <c r="HF206"/>
      <c r="HG206"/>
      <c r="HH206"/>
      <c r="HI206"/>
      <c r="HJ206"/>
      <c r="HK206"/>
      <c r="HL206"/>
      <c r="HM206"/>
      <c r="HN206"/>
      <c r="HO206"/>
      <c r="HP206"/>
      <c r="HQ206"/>
      <c r="HR206"/>
      <c r="HS206"/>
      <c r="HT206"/>
      <c r="HU206"/>
      <c r="HV206"/>
      <c r="HW206"/>
      <c r="HX206"/>
      <c r="HY206"/>
      <c r="HZ206"/>
      <c r="IA206"/>
      <c r="IB206"/>
      <c r="IC206"/>
      <c r="ID206"/>
      <c r="IE206"/>
      <c r="IF206"/>
      <c r="IG206"/>
      <c r="IH206"/>
      <c r="II206"/>
      <c r="IJ206"/>
      <c r="IK206"/>
      <c r="IL206"/>
      <c r="IM206"/>
      <c r="IN206"/>
      <c r="IO206"/>
      <c r="IP206"/>
      <c r="IQ206"/>
      <c r="IR206"/>
      <c r="IS206"/>
      <c r="IT206"/>
      <c r="IU206"/>
      <c r="IV206"/>
      <c r="IW206"/>
      <c r="IX206"/>
      <c r="IY206"/>
      <c r="IZ206"/>
      <c r="JA206"/>
      <c r="JB206"/>
      <c r="JC206"/>
      <c r="JD206"/>
      <c r="JE206"/>
      <c r="JF206"/>
      <c r="JG206"/>
      <c r="JH206"/>
      <c r="JI206"/>
      <c r="JJ206"/>
      <c r="JK206"/>
      <c r="JL206"/>
      <c r="JM206"/>
      <c r="JN206"/>
      <c r="JO206"/>
      <c r="JP206"/>
      <c r="JQ206"/>
      <c r="JR206"/>
      <c r="JS206"/>
      <c r="JT206"/>
      <c r="JU206"/>
      <c r="JV206"/>
      <c r="JW206"/>
      <c r="JX206"/>
      <c r="JY206"/>
      <c r="JZ206"/>
      <c r="KA206"/>
      <c r="KB206"/>
      <c r="KC206"/>
      <c r="KD206"/>
      <c r="KE206"/>
      <c r="KF206"/>
      <c r="KG206"/>
      <c r="KH206"/>
      <c r="KI206"/>
      <c r="KJ206"/>
      <c r="KK206"/>
      <c r="KL206"/>
      <c r="KM206"/>
      <c r="KN206"/>
      <c r="KO206"/>
      <c r="KP206"/>
      <c r="KQ206"/>
      <c r="KR206"/>
      <c r="KS206"/>
      <c r="KT206"/>
      <c r="KU206"/>
      <c r="KV206"/>
      <c r="KW206"/>
      <c r="KX206"/>
      <c r="KY206"/>
      <c r="KZ206"/>
      <c r="LA206"/>
      <c r="LB206"/>
      <c r="LC206"/>
      <c r="LD206"/>
      <c r="LE206"/>
      <c r="LF206"/>
      <c r="LG206"/>
      <c r="LH206"/>
      <c r="LI206"/>
      <c r="LJ206"/>
      <c r="LK206"/>
      <c r="LL206"/>
      <c r="LM206"/>
      <c r="LN206"/>
      <c r="LO206"/>
      <c r="LP206"/>
      <c r="LQ206"/>
      <c r="LR206"/>
      <c r="LS206"/>
      <c r="LT206"/>
      <c r="LU206"/>
      <c r="LV206"/>
      <c r="LW206"/>
      <c r="LX206"/>
      <c r="LY206"/>
      <c r="LZ206"/>
      <c r="MA206"/>
      <c r="MB206"/>
      <c r="MC206"/>
      <c r="MD206"/>
      <c r="ME206"/>
      <c r="MF206"/>
      <c r="MG206"/>
      <c r="MH206"/>
      <c r="MI206"/>
      <c r="MJ206"/>
      <c r="MK206"/>
      <c r="ML206"/>
      <c r="MM206"/>
      <c r="MN206"/>
      <c r="MO206"/>
      <c r="MP206"/>
      <c r="MQ206"/>
      <c r="MR206"/>
      <c r="MS206"/>
      <c r="MT206"/>
      <c r="MU206"/>
      <c r="MV206"/>
      <c r="MW206"/>
      <c r="MX206"/>
      <c r="MY206"/>
      <c r="MZ206"/>
      <c r="NA206"/>
      <c r="NB206"/>
      <c r="NC206"/>
      <c r="ND206"/>
      <c r="NE206"/>
      <c r="NF206"/>
      <c r="NG206"/>
      <c r="NH206"/>
      <c r="NI206"/>
      <c r="NJ206"/>
      <c r="NK206"/>
      <c r="NL206"/>
      <c r="NM206"/>
      <c r="NN206"/>
      <c r="NO206"/>
      <c r="NP206"/>
      <c r="NQ206"/>
      <c r="NR206"/>
      <c r="NS206"/>
      <c r="NT206"/>
      <c r="NU206"/>
      <c r="NV206"/>
      <c r="NW206"/>
      <c r="NX206"/>
      <c r="NY206"/>
      <c r="NZ206"/>
      <c r="OA206"/>
      <c r="OB206"/>
      <c r="OC206"/>
      <c r="OD206"/>
      <c r="OE206"/>
      <c r="OF206"/>
      <c r="OG206"/>
      <c r="OH206"/>
      <c r="OI206"/>
      <c r="OJ206"/>
      <c r="OK206"/>
      <c r="OL206"/>
      <c r="OM206"/>
      <c r="ON206"/>
      <c r="OO206"/>
      <c r="OP206"/>
      <c r="OQ206"/>
      <c r="OR206"/>
      <c r="OS206"/>
      <c r="OT206"/>
      <c r="OU206"/>
      <c r="OV206"/>
      <c r="OW206"/>
      <c r="OX206"/>
      <c r="OY206"/>
      <c r="OZ206"/>
      <c r="PA206"/>
      <c r="PB206"/>
      <c r="PC206"/>
      <c r="PD206"/>
      <c r="PE206"/>
      <c r="PF206"/>
      <c r="PG206"/>
      <c r="PH206"/>
      <c r="PI206"/>
      <c r="PJ206"/>
      <c r="PK206"/>
      <c r="PL206"/>
      <c r="PM206"/>
      <c r="PN206"/>
      <c r="PO206"/>
      <c r="PP206"/>
      <c r="PQ206"/>
      <c r="PR206"/>
      <c r="PS206"/>
      <c r="PT206"/>
      <c r="PU206"/>
      <c r="PV206"/>
      <c r="PW206"/>
      <c r="PX206"/>
      <c r="PY206"/>
      <c r="PZ206"/>
      <c r="QA206"/>
      <c r="QB206"/>
      <c r="QC206"/>
      <c r="QD206"/>
      <c r="QE206"/>
      <c r="QF206"/>
      <c r="QG206"/>
      <c r="QH206"/>
      <c r="QI206"/>
      <c r="QJ206"/>
      <c r="QK206"/>
      <c r="QL206"/>
      <c r="QM206"/>
      <c r="QN206"/>
      <c r="QO206"/>
      <c r="QP206"/>
      <c r="QQ206"/>
      <c r="QR206"/>
      <c r="QS206"/>
      <c r="QT206"/>
      <c r="QU206"/>
      <c r="QV206"/>
      <c r="QW206"/>
      <c r="QX206"/>
    </row>
    <row r="207" spans="1:466" x14ac:dyDescent="0.35">
      <c r="A207" s="53"/>
      <c r="B207" s="53"/>
      <c r="C207" s="55"/>
      <c r="D207" s="53"/>
      <c r="E207" s="53"/>
      <c r="F207" s="126" t="s">
        <v>472</v>
      </c>
      <c r="G207" s="125"/>
      <c r="H207" s="125">
        <v>0</v>
      </c>
      <c r="I207" s="133">
        <v>0</v>
      </c>
      <c r="J207" s="53"/>
      <c r="K207" s="53"/>
      <c r="L207" s="53"/>
      <c r="M207" s="53"/>
      <c r="N207" s="53"/>
      <c r="O207" s="53"/>
      <c r="P207" s="53"/>
      <c r="Q207" s="53"/>
      <c r="R207" s="53"/>
      <c r="S207" s="53"/>
      <c r="T207" s="53"/>
      <c r="U207" s="53"/>
      <c r="V207" s="53"/>
      <c r="W207" s="53"/>
      <c r="X207" s="53"/>
      <c r="Y207" s="53"/>
      <c r="Z207" s="53"/>
      <c r="AA207" s="53"/>
      <c r="AB207" s="53"/>
      <c r="AC207" s="53"/>
      <c r="AD207" s="53"/>
      <c r="AE207" s="53"/>
      <c r="AF207" s="63"/>
      <c r="AG207" s="64"/>
      <c r="AH207" s="65"/>
      <c r="AI207" s="65"/>
      <c r="AJ207" s="53"/>
      <c r="AK207" s="62"/>
      <c r="AL207" s="62"/>
      <c r="AM207" s="62"/>
      <c r="AN207" s="62"/>
      <c r="AO207" s="62"/>
      <c r="AP207" s="62"/>
      <c r="AQ207" s="62"/>
      <c r="AR207" s="62"/>
      <c r="AS207" s="62"/>
      <c r="AT207" s="62"/>
      <c r="AU207" s="62"/>
      <c r="AV207" s="62"/>
      <c r="AW207" s="62"/>
      <c r="AX207" s="62"/>
      <c r="AY207" s="62"/>
      <c r="AZ207" s="62"/>
      <c r="BA207" s="62"/>
      <c r="BB207" s="62"/>
      <c r="BC207" s="62"/>
      <c r="BD207" s="62"/>
      <c r="BE207" s="62"/>
      <c r="BF207" s="62"/>
      <c r="BG207" s="62"/>
      <c r="BH207" s="62"/>
      <c r="BI207" s="62"/>
      <c r="BJ207" s="62"/>
      <c r="BK207" s="62"/>
      <c r="BL207" s="62"/>
      <c r="BM207" s="62"/>
      <c r="BN207" s="62"/>
      <c r="BO207" s="62"/>
      <c r="BP207" s="62"/>
      <c r="BQ207" s="62"/>
      <c r="BR207" s="62"/>
      <c r="BS207" s="62"/>
      <c r="BT207" s="62"/>
      <c r="BU207" s="62"/>
      <c r="BV207" s="62"/>
      <c r="BW207" s="62"/>
      <c r="BX207" s="62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  <c r="HB207"/>
      <c r="HC207"/>
      <c r="HD207"/>
      <c r="HE207"/>
      <c r="HF207"/>
      <c r="HG207"/>
      <c r="HH207"/>
      <c r="HI207"/>
      <c r="HJ207"/>
      <c r="HK207"/>
      <c r="HL207"/>
      <c r="HM207"/>
      <c r="HN207"/>
      <c r="HO207"/>
      <c r="HP207"/>
      <c r="HQ207"/>
      <c r="HR207"/>
      <c r="HS207"/>
      <c r="HT207"/>
      <c r="HU207"/>
      <c r="HV207"/>
      <c r="HW207"/>
      <c r="HX207"/>
      <c r="HY207"/>
      <c r="HZ207"/>
      <c r="IA207"/>
      <c r="IB207"/>
      <c r="IC207"/>
      <c r="ID207"/>
      <c r="IE207"/>
      <c r="IF207"/>
      <c r="IG207"/>
      <c r="IH207"/>
      <c r="II207"/>
      <c r="IJ207"/>
      <c r="IK207"/>
      <c r="IL207"/>
      <c r="IM207"/>
      <c r="IN207"/>
      <c r="IO207"/>
      <c r="IP207"/>
      <c r="IQ207"/>
      <c r="IR207"/>
      <c r="IS207"/>
      <c r="IT207"/>
      <c r="IU207"/>
      <c r="IV207"/>
      <c r="IW207"/>
      <c r="IX207"/>
      <c r="IY207"/>
      <c r="IZ207"/>
      <c r="JA207"/>
      <c r="JB207"/>
      <c r="JC207"/>
      <c r="JD207"/>
      <c r="JE207"/>
      <c r="JF207"/>
      <c r="JG207"/>
      <c r="JH207"/>
      <c r="JI207"/>
      <c r="JJ207"/>
      <c r="JK207"/>
      <c r="JL207"/>
      <c r="JM207"/>
      <c r="JN207"/>
      <c r="JO207"/>
      <c r="JP207"/>
      <c r="JQ207"/>
      <c r="JR207"/>
      <c r="JS207"/>
      <c r="JT207"/>
      <c r="JU207"/>
      <c r="JV207"/>
      <c r="JW207"/>
      <c r="JX207"/>
      <c r="JY207"/>
      <c r="JZ207"/>
      <c r="KA207"/>
      <c r="KB207"/>
      <c r="KC207"/>
      <c r="KD207"/>
      <c r="KE207"/>
      <c r="KF207"/>
      <c r="KG207"/>
      <c r="KH207"/>
      <c r="KI207"/>
      <c r="KJ207"/>
      <c r="KK207"/>
      <c r="KL207"/>
      <c r="KM207"/>
      <c r="KN207"/>
      <c r="KO207"/>
      <c r="KP207"/>
      <c r="KQ207"/>
      <c r="KR207"/>
      <c r="KS207"/>
      <c r="KT207"/>
      <c r="KU207"/>
      <c r="KV207"/>
      <c r="KW207"/>
      <c r="KX207"/>
      <c r="KY207"/>
      <c r="KZ207"/>
      <c r="LA207"/>
      <c r="LB207"/>
      <c r="LC207"/>
      <c r="LD207"/>
      <c r="LE207"/>
      <c r="LF207"/>
      <c r="LG207"/>
      <c r="LH207"/>
      <c r="LI207"/>
      <c r="LJ207"/>
      <c r="LK207"/>
      <c r="LL207"/>
      <c r="LM207"/>
      <c r="LN207"/>
      <c r="LO207"/>
      <c r="LP207"/>
      <c r="LQ207"/>
      <c r="LR207"/>
      <c r="LS207"/>
      <c r="LT207"/>
      <c r="LU207"/>
      <c r="LV207"/>
      <c r="LW207"/>
      <c r="LX207"/>
      <c r="LY207"/>
      <c r="LZ207"/>
      <c r="MA207"/>
      <c r="MB207"/>
      <c r="MC207"/>
      <c r="MD207"/>
      <c r="ME207"/>
      <c r="MF207"/>
      <c r="MG207"/>
      <c r="MH207"/>
      <c r="MI207"/>
      <c r="MJ207"/>
      <c r="MK207"/>
      <c r="ML207"/>
      <c r="MM207"/>
      <c r="MN207"/>
      <c r="MO207"/>
      <c r="MP207"/>
      <c r="MQ207"/>
      <c r="MR207"/>
      <c r="MS207"/>
      <c r="MT207"/>
      <c r="MU207"/>
      <c r="MV207"/>
      <c r="MW207"/>
      <c r="MX207"/>
      <c r="MY207"/>
      <c r="MZ207"/>
      <c r="NA207"/>
      <c r="NB207"/>
      <c r="NC207"/>
      <c r="ND207"/>
      <c r="NE207"/>
      <c r="NF207"/>
      <c r="NG207"/>
      <c r="NH207"/>
      <c r="NI207"/>
      <c r="NJ207"/>
      <c r="NK207"/>
      <c r="NL207"/>
      <c r="NM207"/>
      <c r="NN207"/>
      <c r="NO207"/>
      <c r="NP207"/>
      <c r="NQ207"/>
      <c r="NR207"/>
      <c r="NS207"/>
      <c r="NT207"/>
      <c r="NU207"/>
      <c r="NV207"/>
      <c r="NW207"/>
      <c r="NX207"/>
      <c r="NY207"/>
      <c r="NZ207"/>
      <c r="OA207"/>
      <c r="OB207"/>
      <c r="OC207"/>
      <c r="OD207"/>
      <c r="OE207"/>
      <c r="OF207"/>
      <c r="OG207"/>
      <c r="OH207"/>
      <c r="OI207"/>
      <c r="OJ207"/>
      <c r="OK207"/>
      <c r="OL207"/>
      <c r="OM207"/>
      <c r="ON207"/>
      <c r="OO207"/>
      <c r="OP207"/>
      <c r="OQ207"/>
      <c r="OR207"/>
      <c r="OS207"/>
      <c r="OT207"/>
      <c r="OU207"/>
      <c r="OV207"/>
      <c r="OW207"/>
      <c r="OX207"/>
      <c r="OY207"/>
      <c r="OZ207"/>
      <c r="PA207"/>
      <c r="PB207"/>
      <c r="PC207"/>
      <c r="PD207"/>
      <c r="PE207"/>
      <c r="PF207"/>
      <c r="PG207"/>
      <c r="PH207"/>
      <c r="PI207"/>
      <c r="PJ207"/>
      <c r="PK207"/>
      <c r="PL207"/>
      <c r="PM207"/>
      <c r="PN207"/>
      <c r="PO207"/>
      <c r="PP207"/>
      <c r="PQ207"/>
      <c r="PR207"/>
      <c r="PS207"/>
      <c r="PT207"/>
      <c r="PU207"/>
      <c r="PV207"/>
      <c r="PW207"/>
      <c r="PX207"/>
      <c r="PY207"/>
      <c r="PZ207"/>
      <c r="QA207"/>
      <c r="QB207"/>
      <c r="QC207"/>
      <c r="QD207"/>
      <c r="QE207"/>
      <c r="QF207"/>
      <c r="QG207"/>
      <c r="QH207"/>
      <c r="QI207"/>
      <c r="QJ207"/>
      <c r="QK207"/>
      <c r="QL207"/>
      <c r="QM207"/>
      <c r="QN207"/>
      <c r="QO207"/>
      <c r="QP207"/>
      <c r="QQ207"/>
      <c r="QR207"/>
      <c r="QS207"/>
      <c r="QT207"/>
      <c r="QU207"/>
      <c r="QV207"/>
      <c r="QW207"/>
      <c r="QX207"/>
    </row>
    <row r="208" spans="1:466" x14ac:dyDescent="0.35">
      <c r="A208" s="53"/>
      <c r="B208" s="53"/>
      <c r="C208" s="55"/>
      <c r="D208" s="53"/>
      <c r="E208" s="53"/>
      <c r="F208" s="126" t="s">
        <v>477</v>
      </c>
      <c r="G208" s="125">
        <v>4.95</v>
      </c>
      <c r="H208" s="125">
        <v>0</v>
      </c>
      <c r="I208" s="133">
        <v>0</v>
      </c>
      <c r="J208" s="53"/>
      <c r="K208" s="53"/>
      <c r="L208" s="53"/>
      <c r="M208" s="53"/>
      <c r="N208" s="53"/>
      <c r="O208" s="53"/>
      <c r="P208" s="53"/>
      <c r="Q208" s="53"/>
      <c r="R208" s="53"/>
      <c r="S208" s="53"/>
      <c r="T208" s="53"/>
      <c r="U208" s="53"/>
      <c r="V208" s="53"/>
      <c r="W208" s="53"/>
      <c r="X208" s="53"/>
      <c r="Y208" s="53"/>
      <c r="Z208" s="53"/>
      <c r="AA208" s="53"/>
      <c r="AB208" s="53"/>
      <c r="AC208" s="53"/>
      <c r="AD208" s="53"/>
      <c r="AE208" s="53"/>
      <c r="AF208" s="63"/>
      <c r="AG208" s="64"/>
      <c r="AH208" s="65"/>
      <c r="AI208" s="65"/>
      <c r="AJ208" s="53"/>
      <c r="AK208" s="62"/>
      <c r="AL208" s="62"/>
      <c r="AM208" s="62"/>
      <c r="AN208" s="62"/>
      <c r="AO208" s="62"/>
      <c r="AP208" s="62"/>
      <c r="AQ208" s="62"/>
      <c r="AR208" s="62"/>
      <c r="AS208" s="62"/>
      <c r="AT208" s="62"/>
      <c r="AU208" s="62"/>
      <c r="AV208" s="62"/>
      <c r="AW208" s="62"/>
      <c r="AX208" s="62"/>
      <c r="AY208" s="62"/>
      <c r="AZ208" s="62"/>
      <c r="BA208" s="62"/>
      <c r="BB208" s="62"/>
      <c r="BC208" s="62"/>
      <c r="BD208" s="62"/>
      <c r="BE208" s="62"/>
      <c r="BF208" s="62"/>
      <c r="BG208" s="62"/>
      <c r="BH208" s="62"/>
      <c r="BI208" s="62"/>
      <c r="BJ208" s="62"/>
      <c r="BK208" s="62"/>
      <c r="BL208" s="62"/>
      <c r="BM208" s="62"/>
      <c r="BN208" s="62"/>
      <c r="BO208" s="62"/>
      <c r="BP208" s="62"/>
      <c r="BQ208" s="62"/>
      <c r="BR208" s="62"/>
      <c r="BS208" s="62"/>
      <c r="BT208" s="62"/>
      <c r="BU208" s="62"/>
      <c r="BV208" s="62"/>
      <c r="BW208" s="62"/>
      <c r="BX208" s="62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  <c r="HB208"/>
      <c r="HC208"/>
      <c r="HD208"/>
      <c r="HE208"/>
      <c r="HF208"/>
      <c r="HG208"/>
      <c r="HH208"/>
      <c r="HI208"/>
      <c r="HJ208"/>
      <c r="HK208"/>
      <c r="HL208"/>
      <c r="HM208"/>
      <c r="HN208"/>
      <c r="HO208"/>
      <c r="HP208"/>
      <c r="HQ208"/>
      <c r="HR208"/>
      <c r="HS208"/>
      <c r="HT208"/>
      <c r="HU208"/>
      <c r="HV208"/>
      <c r="HW208"/>
      <c r="HX208"/>
      <c r="HY208"/>
      <c r="HZ208"/>
      <c r="IA208"/>
      <c r="IB208"/>
      <c r="IC208"/>
      <c r="ID208"/>
      <c r="IE208"/>
      <c r="IF208"/>
      <c r="IG208"/>
      <c r="IH208"/>
      <c r="II208"/>
      <c r="IJ208"/>
      <c r="IK208"/>
      <c r="IL208"/>
      <c r="IM208"/>
      <c r="IN208"/>
      <c r="IO208"/>
      <c r="IP208"/>
      <c r="IQ208"/>
      <c r="IR208"/>
      <c r="IS208"/>
      <c r="IT208"/>
      <c r="IU208"/>
      <c r="IV208"/>
      <c r="IW208"/>
      <c r="IX208"/>
      <c r="IY208"/>
      <c r="IZ208"/>
      <c r="JA208"/>
      <c r="JB208"/>
      <c r="JC208"/>
      <c r="JD208"/>
      <c r="JE208"/>
      <c r="JF208"/>
      <c r="JG208"/>
      <c r="JH208"/>
      <c r="JI208"/>
      <c r="JJ208"/>
      <c r="JK208"/>
      <c r="JL208"/>
      <c r="JM208"/>
      <c r="JN208"/>
      <c r="JO208"/>
      <c r="JP208"/>
      <c r="JQ208"/>
      <c r="JR208"/>
      <c r="JS208"/>
      <c r="JT208"/>
      <c r="JU208"/>
      <c r="JV208"/>
      <c r="JW208"/>
      <c r="JX208"/>
      <c r="JY208"/>
      <c r="JZ208"/>
      <c r="KA208"/>
      <c r="KB208"/>
      <c r="KC208"/>
      <c r="KD208"/>
      <c r="KE208"/>
      <c r="KF208"/>
      <c r="KG208"/>
      <c r="KH208"/>
      <c r="KI208"/>
      <c r="KJ208"/>
      <c r="KK208"/>
      <c r="KL208"/>
      <c r="KM208"/>
      <c r="KN208"/>
      <c r="KO208"/>
      <c r="KP208"/>
      <c r="KQ208"/>
      <c r="KR208"/>
      <c r="KS208"/>
      <c r="KT208"/>
      <c r="KU208"/>
      <c r="KV208"/>
      <c r="KW208"/>
      <c r="KX208"/>
      <c r="KY208"/>
      <c r="KZ208"/>
      <c r="LA208"/>
      <c r="LB208"/>
      <c r="LC208"/>
      <c r="LD208"/>
      <c r="LE208"/>
      <c r="LF208"/>
      <c r="LG208"/>
      <c r="LH208"/>
      <c r="LI208"/>
      <c r="LJ208"/>
      <c r="LK208"/>
      <c r="LL208"/>
      <c r="LM208"/>
      <c r="LN208"/>
      <c r="LO208"/>
      <c r="LP208"/>
      <c r="LQ208"/>
      <c r="LR208"/>
      <c r="LS208"/>
      <c r="LT208"/>
      <c r="LU208"/>
      <c r="LV208"/>
      <c r="LW208"/>
      <c r="LX208"/>
      <c r="LY208"/>
      <c r="LZ208"/>
      <c r="MA208"/>
      <c r="MB208"/>
      <c r="MC208"/>
      <c r="MD208"/>
      <c r="ME208"/>
      <c r="MF208"/>
      <c r="MG208"/>
      <c r="MH208"/>
      <c r="MI208"/>
      <c r="MJ208"/>
      <c r="MK208"/>
      <c r="ML208"/>
      <c r="MM208"/>
      <c r="MN208"/>
      <c r="MO208"/>
      <c r="MP208"/>
      <c r="MQ208"/>
      <c r="MR208"/>
      <c r="MS208"/>
      <c r="MT208"/>
      <c r="MU208"/>
      <c r="MV208"/>
      <c r="MW208"/>
      <c r="MX208"/>
      <c r="MY208"/>
      <c r="MZ208"/>
      <c r="NA208"/>
      <c r="NB208"/>
      <c r="NC208"/>
      <c r="ND208"/>
      <c r="NE208"/>
      <c r="NF208"/>
      <c r="NG208"/>
      <c r="NH208"/>
      <c r="NI208"/>
      <c r="NJ208"/>
      <c r="NK208"/>
      <c r="NL208"/>
      <c r="NM208"/>
      <c r="NN208"/>
      <c r="NO208"/>
      <c r="NP208"/>
      <c r="NQ208"/>
      <c r="NR208"/>
      <c r="NS208"/>
      <c r="NT208"/>
      <c r="NU208"/>
      <c r="NV208"/>
      <c r="NW208"/>
      <c r="NX208"/>
      <c r="NY208"/>
      <c r="NZ208"/>
      <c r="OA208"/>
      <c r="OB208"/>
      <c r="OC208"/>
      <c r="OD208"/>
      <c r="OE208"/>
      <c r="OF208"/>
      <c r="OG208"/>
      <c r="OH208"/>
      <c r="OI208"/>
      <c r="OJ208"/>
      <c r="OK208"/>
      <c r="OL208"/>
      <c r="OM208"/>
      <c r="ON208"/>
      <c r="OO208"/>
      <c r="OP208"/>
      <c r="OQ208"/>
      <c r="OR208"/>
      <c r="OS208"/>
      <c r="OT208"/>
      <c r="OU208"/>
      <c r="OV208"/>
      <c r="OW208"/>
      <c r="OX208"/>
      <c r="OY208"/>
      <c r="OZ208"/>
      <c r="PA208"/>
      <c r="PB208"/>
      <c r="PC208"/>
      <c r="PD208"/>
      <c r="PE208"/>
      <c r="PF208"/>
      <c r="PG208"/>
      <c r="PH208"/>
      <c r="PI208"/>
      <c r="PJ208"/>
      <c r="PK208"/>
      <c r="PL208"/>
      <c r="PM208"/>
      <c r="PN208"/>
      <c r="PO208"/>
      <c r="PP208"/>
      <c r="PQ208"/>
      <c r="PR208"/>
      <c r="PS208"/>
      <c r="PT208"/>
      <c r="PU208"/>
      <c r="PV208"/>
      <c r="PW208"/>
      <c r="PX208"/>
      <c r="PY208"/>
      <c r="PZ208"/>
      <c r="QA208"/>
      <c r="QB208"/>
      <c r="QC208"/>
      <c r="QD208"/>
      <c r="QE208"/>
      <c r="QF208"/>
      <c r="QG208"/>
      <c r="QH208"/>
      <c r="QI208"/>
      <c r="QJ208"/>
      <c r="QK208"/>
      <c r="QL208"/>
      <c r="QM208"/>
      <c r="QN208"/>
      <c r="QO208"/>
      <c r="QP208"/>
      <c r="QQ208"/>
      <c r="QR208"/>
      <c r="QS208"/>
      <c r="QT208"/>
      <c r="QU208"/>
      <c r="QV208"/>
      <c r="QW208"/>
      <c r="QX208"/>
    </row>
    <row r="209" spans="1:466" x14ac:dyDescent="0.35">
      <c r="A209" s="53"/>
      <c r="B209" s="53"/>
      <c r="C209" s="55"/>
      <c r="D209" s="53"/>
      <c r="E209" s="53"/>
      <c r="F209" s="126" t="s">
        <v>418</v>
      </c>
      <c r="G209" s="125">
        <v>4.8000000000000001E-2</v>
      </c>
      <c r="H209" s="125">
        <v>549.072</v>
      </c>
      <c r="I209" s="133">
        <v>11439</v>
      </c>
      <c r="J209" s="53"/>
      <c r="K209" s="53"/>
      <c r="L209" s="53"/>
      <c r="M209" s="53"/>
      <c r="N209" s="53"/>
      <c r="O209" s="53"/>
      <c r="P209" s="53"/>
      <c r="Q209" s="53"/>
      <c r="R209" s="53"/>
      <c r="S209" s="53"/>
      <c r="T209" s="53"/>
      <c r="U209" s="53"/>
      <c r="V209" s="53"/>
      <c r="W209" s="53"/>
      <c r="X209" s="53"/>
      <c r="Y209" s="53"/>
      <c r="Z209" s="53"/>
      <c r="AA209" s="53"/>
      <c r="AB209" s="53"/>
      <c r="AC209" s="53"/>
      <c r="AD209" s="53"/>
      <c r="AE209" s="53"/>
      <c r="AF209" s="63"/>
      <c r="AG209" s="64"/>
      <c r="AH209" s="65"/>
      <c r="AI209" s="65"/>
      <c r="AJ209" s="53"/>
      <c r="AK209" s="62"/>
      <c r="AL209" s="62"/>
      <c r="AM209" s="62"/>
      <c r="AN209" s="62"/>
      <c r="AO209" s="62"/>
      <c r="AP209" s="62"/>
      <c r="AQ209" s="62"/>
      <c r="AR209" s="62"/>
      <c r="AS209" s="62"/>
      <c r="AT209" s="62"/>
      <c r="AU209" s="62"/>
      <c r="AV209" s="62"/>
      <c r="AW209" s="62"/>
      <c r="AX209" s="62"/>
      <c r="AY209" s="62"/>
      <c r="AZ209" s="62"/>
      <c r="BA209" s="62"/>
      <c r="BB209" s="62"/>
      <c r="BC209" s="62"/>
      <c r="BD209" s="62"/>
      <c r="BE209" s="62"/>
      <c r="BF209" s="62"/>
      <c r="BG209" s="62"/>
      <c r="BH209" s="62"/>
      <c r="BI209" s="62"/>
      <c r="BJ209" s="62"/>
      <c r="BK209" s="62"/>
      <c r="BL209" s="62"/>
      <c r="BM209" s="62"/>
      <c r="BN209" s="62"/>
      <c r="BO209" s="62"/>
      <c r="BP209" s="62"/>
      <c r="BQ209" s="62"/>
      <c r="BR209" s="62"/>
      <c r="BS209" s="62"/>
      <c r="BT209" s="62"/>
      <c r="BU209" s="62"/>
      <c r="BV209" s="62"/>
      <c r="BW209" s="62"/>
      <c r="BX209" s="62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  <c r="HB209"/>
      <c r="HC209"/>
      <c r="HD209"/>
      <c r="HE209"/>
      <c r="HF209"/>
      <c r="HG209"/>
      <c r="HH209"/>
      <c r="HI209"/>
      <c r="HJ209"/>
      <c r="HK209"/>
      <c r="HL209"/>
      <c r="HM209"/>
      <c r="HN209"/>
      <c r="HO209"/>
      <c r="HP209"/>
      <c r="HQ209"/>
      <c r="HR209"/>
      <c r="HS209"/>
      <c r="HT209"/>
      <c r="HU209"/>
      <c r="HV209"/>
      <c r="HW209"/>
      <c r="HX209"/>
      <c r="HY209"/>
      <c r="HZ209"/>
      <c r="IA209"/>
      <c r="IB209"/>
      <c r="IC209"/>
      <c r="ID209"/>
      <c r="IE209"/>
      <c r="IF209"/>
      <c r="IG209"/>
      <c r="IH209"/>
      <c r="II209"/>
      <c r="IJ209"/>
      <c r="IK209"/>
      <c r="IL209"/>
      <c r="IM209"/>
      <c r="IN209"/>
      <c r="IO209"/>
      <c r="IP209"/>
      <c r="IQ209"/>
      <c r="IR209"/>
      <c r="IS209"/>
      <c r="IT209"/>
      <c r="IU209"/>
      <c r="IV209"/>
      <c r="IW209"/>
      <c r="IX209"/>
      <c r="IY209"/>
      <c r="IZ209"/>
      <c r="JA209"/>
      <c r="JB209"/>
      <c r="JC209"/>
      <c r="JD209"/>
      <c r="JE209"/>
      <c r="JF209"/>
      <c r="JG209"/>
      <c r="JH209"/>
      <c r="JI209"/>
      <c r="JJ209"/>
      <c r="JK209"/>
      <c r="JL209"/>
      <c r="JM209"/>
      <c r="JN209"/>
      <c r="JO209"/>
      <c r="JP209"/>
      <c r="JQ209"/>
      <c r="JR209"/>
      <c r="JS209"/>
      <c r="JT209"/>
      <c r="JU209"/>
      <c r="JV209"/>
      <c r="JW209"/>
      <c r="JX209"/>
      <c r="JY209"/>
      <c r="JZ209"/>
      <c r="KA209"/>
      <c r="KB209"/>
      <c r="KC209"/>
      <c r="KD209"/>
      <c r="KE209"/>
      <c r="KF209"/>
      <c r="KG209"/>
      <c r="KH209"/>
      <c r="KI209"/>
      <c r="KJ209"/>
      <c r="KK209"/>
      <c r="KL209"/>
      <c r="KM209"/>
      <c r="KN209"/>
      <c r="KO209"/>
      <c r="KP209"/>
      <c r="KQ209"/>
      <c r="KR209"/>
      <c r="KS209"/>
      <c r="KT209"/>
      <c r="KU209"/>
      <c r="KV209"/>
      <c r="KW209"/>
      <c r="KX209"/>
      <c r="KY209"/>
      <c r="KZ209"/>
      <c r="LA209"/>
      <c r="LB209"/>
      <c r="LC209"/>
      <c r="LD209"/>
      <c r="LE209"/>
      <c r="LF209"/>
      <c r="LG209"/>
      <c r="LH209"/>
      <c r="LI209"/>
      <c r="LJ209"/>
      <c r="LK209"/>
      <c r="LL209"/>
      <c r="LM209"/>
      <c r="LN209"/>
      <c r="LO209"/>
      <c r="LP209"/>
      <c r="LQ209"/>
      <c r="LR209"/>
      <c r="LS209"/>
      <c r="LT209"/>
      <c r="LU209"/>
      <c r="LV209"/>
      <c r="LW209"/>
      <c r="LX209"/>
      <c r="LY209"/>
      <c r="LZ209"/>
      <c r="MA209"/>
      <c r="MB209"/>
      <c r="MC209"/>
      <c r="MD209"/>
      <c r="ME209"/>
      <c r="MF209"/>
      <c r="MG209"/>
      <c r="MH209"/>
      <c r="MI209"/>
      <c r="MJ209"/>
      <c r="MK209"/>
      <c r="ML209"/>
      <c r="MM209"/>
      <c r="MN209"/>
      <c r="MO209"/>
      <c r="MP209"/>
      <c r="MQ209"/>
      <c r="MR209"/>
      <c r="MS209"/>
      <c r="MT209"/>
      <c r="MU209"/>
      <c r="MV209"/>
      <c r="MW209"/>
      <c r="MX209"/>
      <c r="MY209"/>
      <c r="MZ209"/>
      <c r="NA209"/>
      <c r="NB209"/>
      <c r="NC209"/>
      <c r="ND209"/>
      <c r="NE209"/>
      <c r="NF209"/>
      <c r="NG209"/>
      <c r="NH209"/>
      <c r="NI209"/>
      <c r="NJ209"/>
      <c r="NK209"/>
      <c r="NL209"/>
      <c r="NM209"/>
      <c r="NN209"/>
      <c r="NO209"/>
      <c r="NP209"/>
      <c r="NQ209"/>
      <c r="NR209"/>
      <c r="NS209"/>
      <c r="NT209"/>
      <c r="NU209"/>
      <c r="NV209"/>
      <c r="NW209"/>
      <c r="NX209"/>
      <c r="NY209"/>
      <c r="NZ209"/>
      <c r="OA209"/>
      <c r="OB209"/>
      <c r="OC209"/>
      <c r="OD209"/>
      <c r="OE209"/>
      <c r="OF209"/>
      <c r="OG209"/>
      <c r="OH209"/>
      <c r="OI209"/>
      <c r="OJ209"/>
      <c r="OK209"/>
      <c r="OL209"/>
      <c r="OM209"/>
      <c r="ON209"/>
      <c r="OO209"/>
      <c r="OP209"/>
      <c r="OQ209"/>
      <c r="OR209"/>
      <c r="OS209"/>
      <c r="OT209"/>
      <c r="OU209"/>
      <c r="OV209"/>
      <c r="OW209"/>
      <c r="OX209"/>
      <c r="OY209"/>
      <c r="OZ209"/>
      <c r="PA209"/>
      <c r="PB209"/>
      <c r="PC209"/>
      <c r="PD209"/>
      <c r="PE209"/>
      <c r="PF209"/>
      <c r="PG209"/>
      <c r="PH209"/>
      <c r="PI209"/>
      <c r="PJ209"/>
      <c r="PK209"/>
      <c r="PL209"/>
      <c r="PM209"/>
      <c r="PN209"/>
      <c r="PO209"/>
      <c r="PP209"/>
      <c r="PQ209"/>
      <c r="PR209"/>
      <c r="PS209"/>
      <c r="PT209"/>
      <c r="PU209"/>
      <c r="PV209"/>
      <c r="PW209"/>
      <c r="PX209"/>
      <c r="PY209"/>
      <c r="PZ209"/>
      <c r="QA209"/>
      <c r="QB209"/>
      <c r="QC209"/>
      <c r="QD209"/>
      <c r="QE209"/>
      <c r="QF209"/>
      <c r="QG209"/>
      <c r="QH209"/>
      <c r="QI209"/>
      <c r="QJ209"/>
      <c r="QK209"/>
      <c r="QL209"/>
      <c r="QM209"/>
      <c r="QN209"/>
      <c r="QO209"/>
      <c r="QP209"/>
      <c r="QQ209"/>
      <c r="QR209"/>
      <c r="QS209"/>
      <c r="QT209"/>
      <c r="QU209"/>
      <c r="QV209"/>
      <c r="QW209"/>
      <c r="QX209"/>
    </row>
    <row r="210" spans="1:466" x14ac:dyDescent="0.35">
      <c r="A210" s="53"/>
      <c r="B210" s="53"/>
      <c r="C210" s="55"/>
      <c r="D210" s="53"/>
      <c r="E210" s="53"/>
      <c r="F210" s="126" t="s">
        <v>345</v>
      </c>
      <c r="G210" s="125">
        <v>0.3</v>
      </c>
      <c r="H210" s="125">
        <v>2170.7999999999997</v>
      </c>
      <c r="I210" s="133">
        <v>7236</v>
      </c>
      <c r="J210" s="53"/>
      <c r="K210" s="53"/>
      <c r="L210" s="53"/>
      <c r="M210" s="53"/>
      <c r="N210" s="53"/>
      <c r="O210" s="53"/>
      <c r="P210" s="53"/>
      <c r="Q210" s="53"/>
      <c r="R210" s="53"/>
      <c r="S210" s="53"/>
      <c r="T210" s="53"/>
      <c r="U210" s="53"/>
      <c r="V210" s="53"/>
      <c r="W210" s="53"/>
      <c r="X210" s="53"/>
      <c r="Y210" s="53"/>
      <c r="Z210" s="53"/>
      <c r="AA210" s="53"/>
      <c r="AB210" s="53"/>
      <c r="AC210" s="53"/>
      <c r="AD210" s="53"/>
      <c r="AE210" s="53"/>
      <c r="AF210" s="63"/>
      <c r="AG210" s="64"/>
      <c r="AH210" s="65"/>
      <c r="AI210" s="65"/>
      <c r="AJ210" s="53"/>
      <c r="AK210" s="62"/>
      <c r="AL210" s="62"/>
      <c r="AM210" s="62"/>
      <c r="AN210" s="62"/>
      <c r="AO210" s="62"/>
      <c r="AP210" s="62"/>
      <c r="AQ210" s="62"/>
      <c r="AR210" s="62"/>
      <c r="AS210" s="62"/>
      <c r="AT210" s="62"/>
      <c r="AU210" s="62"/>
      <c r="AV210" s="62"/>
      <c r="AW210" s="62"/>
      <c r="AX210" s="62"/>
      <c r="AY210" s="62"/>
      <c r="AZ210" s="62"/>
      <c r="BA210" s="62"/>
      <c r="BB210" s="62"/>
      <c r="BC210" s="62"/>
      <c r="BD210" s="62"/>
      <c r="BE210" s="62"/>
      <c r="BF210" s="62"/>
      <c r="BG210" s="62"/>
      <c r="BH210" s="62"/>
      <c r="BI210" s="62"/>
      <c r="BJ210" s="62"/>
      <c r="BK210" s="62"/>
      <c r="BL210" s="62"/>
      <c r="BM210" s="62"/>
      <c r="BN210" s="62"/>
      <c r="BO210" s="62"/>
      <c r="BP210" s="62"/>
      <c r="BQ210" s="62"/>
      <c r="BR210" s="62"/>
      <c r="BS210" s="62"/>
      <c r="BT210" s="62"/>
      <c r="BU210" s="62"/>
      <c r="BV210" s="62"/>
      <c r="BW210" s="62"/>
      <c r="BX210" s="62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  <c r="HB210"/>
      <c r="HC210"/>
      <c r="HD210"/>
      <c r="HE210"/>
      <c r="HF210"/>
      <c r="HG210"/>
      <c r="HH210"/>
      <c r="HI210"/>
      <c r="HJ210"/>
      <c r="HK210"/>
      <c r="HL210"/>
      <c r="HM210"/>
      <c r="HN210"/>
      <c r="HO210"/>
      <c r="HP210"/>
      <c r="HQ210"/>
      <c r="HR210"/>
      <c r="HS210"/>
      <c r="HT210"/>
      <c r="HU210"/>
      <c r="HV210"/>
      <c r="HW210"/>
      <c r="HX210"/>
      <c r="HY210"/>
      <c r="HZ210"/>
      <c r="IA210"/>
      <c r="IB210"/>
      <c r="IC210"/>
      <c r="ID210"/>
      <c r="IE210"/>
      <c r="IF210"/>
      <c r="IG210"/>
      <c r="IH210"/>
      <c r="II210"/>
      <c r="IJ210"/>
      <c r="IK210"/>
      <c r="IL210"/>
      <c r="IM210"/>
      <c r="IN210"/>
      <c r="IO210"/>
      <c r="IP210"/>
      <c r="IQ210"/>
      <c r="IR210"/>
      <c r="IS210"/>
      <c r="IT210"/>
      <c r="IU210"/>
      <c r="IV210"/>
      <c r="IW210"/>
      <c r="IX210"/>
      <c r="IY210"/>
      <c r="IZ210"/>
      <c r="JA210"/>
      <c r="JB210"/>
      <c r="JC210"/>
      <c r="JD210"/>
      <c r="JE210"/>
      <c r="JF210"/>
      <c r="JG210"/>
      <c r="JH210"/>
      <c r="JI210"/>
      <c r="JJ210"/>
      <c r="JK210"/>
      <c r="JL210"/>
      <c r="JM210"/>
      <c r="JN210"/>
      <c r="JO210"/>
      <c r="JP210"/>
      <c r="JQ210"/>
      <c r="JR210"/>
      <c r="JS210"/>
      <c r="JT210"/>
      <c r="JU210"/>
      <c r="JV210"/>
      <c r="JW210"/>
      <c r="JX210"/>
      <c r="JY210"/>
      <c r="JZ210"/>
      <c r="KA210"/>
      <c r="KB210"/>
      <c r="KC210"/>
      <c r="KD210"/>
      <c r="KE210"/>
      <c r="KF210"/>
      <c r="KG210"/>
      <c r="KH210"/>
      <c r="KI210"/>
      <c r="KJ210"/>
      <c r="KK210"/>
      <c r="KL210"/>
      <c r="KM210"/>
      <c r="KN210"/>
      <c r="KO210"/>
      <c r="KP210"/>
      <c r="KQ210"/>
      <c r="KR210"/>
      <c r="KS210"/>
      <c r="KT210"/>
      <c r="KU210"/>
      <c r="KV210"/>
      <c r="KW210"/>
      <c r="KX210"/>
      <c r="KY210"/>
      <c r="KZ210"/>
      <c r="LA210"/>
      <c r="LB210"/>
      <c r="LC210"/>
      <c r="LD210"/>
      <c r="LE210"/>
      <c r="LF210"/>
      <c r="LG210"/>
      <c r="LH210"/>
      <c r="LI210"/>
      <c r="LJ210"/>
      <c r="LK210"/>
      <c r="LL210"/>
      <c r="LM210"/>
      <c r="LN210"/>
      <c r="LO210"/>
      <c r="LP210"/>
      <c r="LQ210"/>
      <c r="LR210"/>
      <c r="LS210"/>
      <c r="LT210"/>
      <c r="LU210"/>
      <c r="LV210"/>
      <c r="LW210"/>
      <c r="LX210"/>
      <c r="LY210"/>
      <c r="LZ210"/>
      <c r="MA210"/>
      <c r="MB210"/>
      <c r="MC210"/>
      <c r="MD210"/>
      <c r="ME210"/>
      <c r="MF210"/>
      <c r="MG210"/>
      <c r="MH210"/>
      <c r="MI210"/>
      <c r="MJ210"/>
      <c r="MK210"/>
      <c r="ML210"/>
      <c r="MM210"/>
      <c r="MN210"/>
      <c r="MO210"/>
      <c r="MP210"/>
      <c r="MQ210"/>
      <c r="MR210"/>
      <c r="MS210"/>
      <c r="MT210"/>
      <c r="MU210"/>
      <c r="MV210"/>
      <c r="MW210"/>
      <c r="MX210"/>
      <c r="MY210"/>
      <c r="MZ210"/>
      <c r="NA210"/>
      <c r="NB210"/>
      <c r="NC210"/>
      <c r="ND210"/>
      <c r="NE210"/>
      <c r="NF210"/>
      <c r="NG210"/>
      <c r="NH210"/>
      <c r="NI210"/>
      <c r="NJ210"/>
      <c r="NK210"/>
      <c r="NL210"/>
      <c r="NM210"/>
      <c r="NN210"/>
      <c r="NO210"/>
      <c r="NP210"/>
      <c r="NQ210"/>
      <c r="NR210"/>
      <c r="NS210"/>
      <c r="NT210"/>
      <c r="NU210"/>
      <c r="NV210"/>
      <c r="NW210"/>
      <c r="NX210"/>
      <c r="NY210"/>
      <c r="NZ210"/>
      <c r="OA210"/>
      <c r="OB210"/>
      <c r="OC210"/>
      <c r="OD210"/>
      <c r="OE210"/>
      <c r="OF210"/>
      <c r="OG210"/>
      <c r="OH210"/>
      <c r="OI210"/>
      <c r="OJ210"/>
      <c r="OK210"/>
      <c r="OL210"/>
      <c r="OM210"/>
      <c r="ON210"/>
      <c r="OO210"/>
      <c r="OP210"/>
      <c r="OQ210"/>
      <c r="OR210"/>
      <c r="OS210"/>
      <c r="OT210"/>
      <c r="OU210"/>
      <c r="OV210"/>
      <c r="OW210"/>
      <c r="OX210"/>
      <c r="OY210"/>
      <c r="OZ210"/>
      <c r="PA210"/>
      <c r="PB210"/>
      <c r="PC210"/>
      <c r="PD210"/>
      <c r="PE210"/>
      <c r="PF210"/>
      <c r="PG210"/>
      <c r="PH210"/>
      <c r="PI210"/>
      <c r="PJ210"/>
      <c r="PK210"/>
      <c r="PL210"/>
      <c r="PM210"/>
      <c r="PN210"/>
      <c r="PO210"/>
      <c r="PP210"/>
      <c r="PQ210"/>
      <c r="PR210"/>
      <c r="PS210"/>
      <c r="PT210"/>
      <c r="PU210"/>
      <c r="PV210"/>
      <c r="PW210"/>
      <c r="PX210"/>
      <c r="PY210"/>
      <c r="PZ210"/>
      <c r="QA210"/>
      <c r="QB210"/>
      <c r="QC210"/>
      <c r="QD210"/>
      <c r="QE210"/>
      <c r="QF210"/>
      <c r="QG210"/>
      <c r="QH210"/>
      <c r="QI210"/>
      <c r="QJ210"/>
      <c r="QK210"/>
      <c r="QL210"/>
      <c r="QM210"/>
      <c r="QN210"/>
      <c r="QO210"/>
      <c r="QP210"/>
      <c r="QQ210"/>
      <c r="QR210"/>
      <c r="QS210"/>
      <c r="QT210"/>
      <c r="QU210"/>
      <c r="QV210"/>
      <c r="QW210"/>
      <c r="QX210"/>
    </row>
    <row r="211" spans="1:466" x14ac:dyDescent="0.35">
      <c r="A211" s="53"/>
      <c r="B211" s="53"/>
      <c r="C211" s="55"/>
      <c r="D211" s="53"/>
      <c r="E211" s="53"/>
      <c r="F211" s="126" t="s">
        <v>475</v>
      </c>
      <c r="G211" s="125">
        <v>17.64</v>
      </c>
      <c r="H211" s="125">
        <v>52.92</v>
      </c>
      <c r="I211" s="133">
        <v>3</v>
      </c>
      <c r="J211" s="53"/>
      <c r="K211" s="53"/>
      <c r="L211" s="53"/>
      <c r="M211" s="53"/>
      <c r="N211" s="53"/>
      <c r="O211" s="53"/>
      <c r="P211" s="53"/>
      <c r="Q211" s="53"/>
      <c r="R211" s="53"/>
      <c r="S211" s="53"/>
      <c r="T211" s="53"/>
      <c r="U211" s="53"/>
      <c r="V211" s="53"/>
      <c r="W211" s="53"/>
      <c r="X211" s="53"/>
      <c r="Y211" s="53"/>
      <c r="Z211" s="53"/>
      <c r="AA211" s="53"/>
      <c r="AB211" s="53"/>
      <c r="AC211" s="53"/>
      <c r="AD211" s="53"/>
      <c r="AE211" s="53"/>
      <c r="AF211" s="63"/>
      <c r="AG211" s="64"/>
      <c r="AH211" s="65"/>
      <c r="AI211" s="65"/>
      <c r="AJ211" s="53"/>
      <c r="AK211" s="62"/>
      <c r="AL211" s="62"/>
      <c r="AM211" s="62"/>
      <c r="AN211" s="62"/>
      <c r="AO211" s="62"/>
      <c r="AP211" s="62"/>
      <c r="AQ211" s="62"/>
      <c r="AR211" s="62"/>
      <c r="AS211" s="62"/>
      <c r="AT211" s="62"/>
      <c r="AU211" s="62"/>
      <c r="AV211" s="62"/>
      <c r="AW211" s="62"/>
      <c r="AX211" s="62"/>
      <c r="AY211" s="62"/>
      <c r="AZ211" s="62"/>
      <c r="BA211" s="62"/>
      <c r="BB211" s="62"/>
      <c r="BC211" s="62"/>
      <c r="BD211" s="62"/>
      <c r="BE211" s="62"/>
      <c r="BF211" s="62"/>
      <c r="BG211" s="62"/>
      <c r="BH211" s="62"/>
      <c r="BI211" s="62"/>
      <c r="BJ211" s="62"/>
      <c r="BK211" s="62"/>
      <c r="BL211" s="62"/>
      <c r="BM211" s="62"/>
      <c r="BN211" s="62"/>
      <c r="BO211" s="62"/>
      <c r="BP211" s="62"/>
      <c r="BQ211" s="62"/>
      <c r="BR211" s="62"/>
      <c r="BS211" s="62"/>
      <c r="BT211" s="62"/>
      <c r="BU211" s="62"/>
      <c r="BV211" s="62"/>
      <c r="BW211" s="62"/>
      <c r="BX211" s="62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  <c r="HB211"/>
      <c r="HC211"/>
      <c r="HD211"/>
      <c r="HE211"/>
      <c r="HF211"/>
      <c r="HG211"/>
      <c r="HH211"/>
      <c r="HI211"/>
      <c r="HJ211"/>
      <c r="HK211"/>
      <c r="HL211"/>
      <c r="HM211"/>
      <c r="HN211"/>
      <c r="HO211"/>
      <c r="HP211"/>
      <c r="HQ211"/>
      <c r="HR211"/>
      <c r="HS211"/>
      <c r="HT211"/>
      <c r="HU211"/>
      <c r="HV211"/>
      <c r="HW211"/>
      <c r="HX211"/>
      <c r="HY211"/>
      <c r="HZ211"/>
      <c r="IA211"/>
      <c r="IB211"/>
      <c r="IC211"/>
      <c r="ID211"/>
      <c r="IE211"/>
      <c r="IF211"/>
      <c r="IG211"/>
      <c r="IH211"/>
      <c r="II211"/>
      <c r="IJ211"/>
      <c r="IK211"/>
      <c r="IL211"/>
      <c r="IM211"/>
      <c r="IN211"/>
      <c r="IO211"/>
      <c r="IP211"/>
      <c r="IQ211"/>
      <c r="IR211"/>
      <c r="IS211"/>
      <c r="IT211"/>
      <c r="IU211"/>
      <c r="IV211"/>
      <c r="IW211"/>
      <c r="IX211"/>
      <c r="IY211"/>
      <c r="IZ211"/>
      <c r="JA211"/>
      <c r="JB211"/>
      <c r="JC211"/>
      <c r="JD211"/>
      <c r="JE211"/>
      <c r="JF211"/>
      <c r="JG211"/>
      <c r="JH211"/>
      <c r="JI211"/>
      <c r="JJ211"/>
      <c r="JK211"/>
      <c r="JL211"/>
      <c r="JM211"/>
      <c r="JN211"/>
      <c r="JO211"/>
      <c r="JP211"/>
      <c r="JQ211"/>
      <c r="JR211"/>
      <c r="JS211"/>
      <c r="JT211"/>
      <c r="JU211"/>
      <c r="JV211"/>
      <c r="JW211"/>
      <c r="JX211"/>
      <c r="JY211"/>
      <c r="JZ211"/>
      <c r="KA211"/>
      <c r="KB211"/>
      <c r="KC211"/>
      <c r="KD211"/>
      <c r="KE211"/>
      <c r="KF211"/>
      <c r="KG211"/>
      <c r="KH211"/>
      <c r="KI211"/>
      <c r="KJ211"/>
      <c r="KK211"/>
      <c r="KL211"/>
      <c r="KM211"/>
      <c r="KN211"/>
      <c r="KO211"/>
      <c r="KP211"/>
      <c r="KQ211"/>
      <c r="KR211"/>
      <c r="KS211"/>
      <c r="KT211"/>
      <c r="KU211"/>
      <c r="KV211"/>
      <c r="KW211"/>
      <c r="KX211"/>
      <c r="KY211"/>
      <c r="KZ211"/>
      <c r="LA211"/>
      <c r="LB211"/>
      <c r="LC211"/>
      <c r="LD211"/>
      <c r="LE211"/>
      <c r="LF211"/>
      <c r="LG211"/>
      <c r="LH211"/>
      <c r="LI211"/>
      <c r="LJ211"/>
      <c r="LK211"/>
      <c r="LL211"/>
      <c r="LM211"/>
      <c r="LN211"/>
      <c r="LO211"/>
      <c r="LP211"/>
      <c r="LQ211"/>
      <c r="LR211"/>
      <c r="LS211"/>
      <c r="LT211"/>
      <c r="LU211"/>
      <c r="LV211"/>
      <c r="LW211"/>
      <c r="LX211"/>
      <c r="LY211"/>
      <c r="LZ211"/>
      <c r="MA211"/>
      <c r="MB211"/>
      <c r="MC211"/>
      <c r="MD211"/>
      <c r="ME211"/>
      <c r="MF211"/>
      <c r="MG211"/>
      <c r="MH211"/>
      <c r="MI211"/>
      <c r="MJ211"/>
      <c r="MK211"/>
      <c r="ML211"/>
      <c r="MM211"/>
      <c r="MN211"/>
      <c r="MO211"/>
      <c r="MP211"/>
      <c r="MQ211"/>
      <c r="MR211"/>
      <c r="MS211"/>
      <c r="MT211"/>
      <c r="MU211"/>
      <c r="MV211"/>
      <c r="MW211"/>
      <c r="MX211"/>
      <c r="MY211"/>
      <c r="MZ211"/>
      <c r="NA211"/>
      <c r="NB211"/>
      <c r="NC211"/>
      <c r="ND211"/>
      <c r="NE211"/>
      <c r="NF211"/>
      <c r="NG211"/>
      <c r="NH211"/>
      <c r="NI211"/>
      <c r="NJ211"/>
      <c r="NK211"/>
      <c r="NL211"/>
      <c r="NM211"/>
      <c r="NN211"/>
      <c r="NO211"/>
      <c r="NP211"/>
      <c r="NQ211"/>
      <c r="NR211"/>
      <c r="NS211"/>
      <c r="NT211"/>
      <c r="NU211"/>
      <c r="NV211"/>
      <c r="NW211"/>
      <c r="NX211"/>
      <c r="NY211"/>
      <c r="NZ211"/>
      <c r="OA211"/>
      <c r="OB211"/>
      <c r="OC211"/>
      <c r="OD211"/>
      <c r="OE211"/>
      <c r="OF211"/>
      <c r="OG211"/>
      <c r="OH211"/>
      <c r="OI211"/>
      <c r="OJ211"/>
      <c r="OK211"/>
      <c r="OL211"/>
      <c r="OM211"/>
      <c r="ON211"/>
      <c r="OO211"/>
      <c r="OP211"/>
      <c r="OQ211"/>
      <c r="OR211"/>
      <c r="OS211"/>
      <c r="OT211"/>
      <c r="OU211"/>
      <c r="OV211"/>
      <c r="OW211"/>
      <c r="OX211"/>
      <c r="OY211"/>
      <c r="OZ211"/>
      <c r="PA211"/>
      <c r="PB211"/>
      <c r="PC211"/>
      <c r="PD211"/>
      <c r="PE211"/>
      <c r="PF211"/>
      <c r="PG211"/>
      <c r="PH211"/>
      <c r="PI211"/>
      <c r="PJ211"/>
      <c r="PK211"/>
      <c r="PL211"/>
      <c r="PM211"/>
      <c r="PN211"/>
      <c r="PO211"/>
      <c r="PP211"/>
      <c r="PQ211"/>
      <c r="PR211"/>
      <c r="PS211"/>
      <c r="PT211"/>
      <c r="PU211"/>
      <c r="PV211"/>
      <c r="PW211"/>
      <c r="PX211"/>
      <c r="PY211"/>
      <c r="PZ211"/>
      <c r="QA211"/>
      <c r="QB211"/>
      <c r="QC211"/>
      <c r="QD211"/>
      <c r="QE211"/>
      <c r="QF211"/>
      <c r="QG211"/>
      <c r="QH211"/>
      <c r="QI211"/>
      <c r="QJ211"/>
      <c r="QK211"/>
      <c r="QL211"/>
      <c r="QM211"/>
      <c r="QN211"/>
      <c r="QO211"/>
      <c r="QP211"/>
      <c r="QQ211"/>
      <c r="QR211"/>
      <c r="QS211"/>
      <c r="QT211"/>
      <c r="QU211"/>
      <c r="QV211"/>
      <c r="QW211"/>
      <c r="QX211"/>
    </row>
    <row r="212" spans="1:466" x14ac:dyDescent="0.35">
      <c r="A212" s="53"/>
      <c r="B212" s="53"/>
      <c r="C212" s="55"/>
      <c r="D212" s="53"/>
      <c r="E212" s="53"/>
      <c r="F212" s="126" t="s">
        <v>480</v>
      </c>
      <c r="G212" s="125">
        <v>2.48</v>
      </c>
      <c r="H212" s="125">
        <v>57.04</v>
      </c>
      <c r="I212" s="133">
        <v>23</v>
      </c>
      <c r="J212" s="53"/>
      <c r="K212" s="53"/>
      <c r="L212" s="53"/>
      <c r="M212" s="53"/>
      <c r="N212" s="53"/>
      <c r="O212" s="53"/>
      <c r="P212" s="53"/>
      <c r="Q212" s="53"/>
      <c r="R212" s="53"/>
      <c r="S212" s="53"/>
      <c r="T212" s="53"/>
      <c r="U212" s="53"/>
      <c r="V212" s="53"/>
      <c r="W212" s="53"/>
      <c r="X212" s="53"/>
      <c r="Y212" s="53"/>
      <c r="Z212" s="53"/>
      <c r="AA212" s="53"/>
      <c r="AB212" s="53"/>
      <c r="AC212" s="53"/>
      <c r="AD212" s="53"/>
      <c r="AE212" s="53"/>
      <c r="AF212" s="63"/>
      <c r="AG212" s="64"/>
      <c r="AH212" s="65"/>
      <c r="AI212" s="65"/>
      <c r="AJ212" s="53"/>
      <c r="AK212" s="62"/>
      <c r="AL212" s="62"/>
      <c r="AM212" s="62"/>
      <c r="AN212" s="62"/>
      <c r="AO212" s="62"/>
      <c r="AP212" s="62"/>
      <c r="AQ212" s="62"/>
      <c r="AR212" s="62"/>
      <c r="AS212" s="62"/>
      <c r="AT212" s="62"/>
      <c r="AU212" s="62"/>
      <c r="AV212" s="62"/>
      <c r="AW212" s="62"/>
      <c r="AX212" s="62"/>
      <c r="AY212" s="62"/>
      <c r="AZ212" s="62"/>
      <c r="BA212" s="62"/>
      <c r="BB212" s="62"/>
      <c r="BC212" s="62"/>
      <c r="BD212" s="62"/>
      <c r="BE212" s="62"/>
      <c r="BF212" s="62"/>
      <c r="BG212" s="62"/>
      <c r="BH212" s="62"/>
      <c r="BI212" s="62"/>
      <c r="BJ212" s="62"/>
      <c r="BK212" s="62"/>
      <c r="BL212" s="62"/>
      <c r="BM212" s="62"/>
      <c r="BN212" s="62"/>
      <c r="BO212" s="62"/>
      <c r="BP212" s="62"/>
      <c r="BQ212" s="62"/>
      <c r="BR212" s="62"/>
      <c r="BS212" s="62"/>
      <c r="BT212" s="62"/>
      <c r="BU212" s="62"/>
      <c r="BV212" s="62"/>
      <c r="BW212" s="62"/>
      <c r="BX212" s="6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  <c r="HB212"/>
      <c r="HC212"/>
      <c r="HD212"/>
      <c r="HE212"/>
      <c r="HF212"/>
      <c r="HG212"/>
      <c r="HH212"/>
      <c r="HI212"/>
      <c r="HJ212"/>
      <c r="HK212"/>
      <c r="HL212"/>
      <c r="HM212"/>
      <c r="HN212"/>
      <c r="HO212"/>
      <c r="HP212"/>
      <c r="HQ212"/>
      <c r="HR212"/>
      <c r="HS212"/>
      <c r="HT212"/>
      <c r="HU212"/>
      <c r="HV212"/>
      <c r="HW212"/>
      <c r="HX212"/>
      <c r="HY212"/>
      <c r="HZ212"/>
      <c r="IA212"/>
      <c r="IB212"/>
      <c r="IC212"/>
      <c r="ID212"/>
      <c r="IE212"/>
      <c r="IF212"/>
      <c r="IG212"/>
      <c r="IH212"/>
      <c r="II212"/>
      <c r="IJ212"/>
      <c r="IK212"/>
      <c r="IL212"/>
      <c r="IM212"/>
      <c r="IN212"/>
      <c r="IO212"/>
      <c r="IP212"/>
      <c r="IQ212"/>
      <c r="IR212"/>
      <c r="IS212"/>
      <c r="IT212"/>
      <c r="IU212"/>
      <c r="IV212"/>
      <c r="IW212"/>
      <c r="IX212"/>
      <c r="IY212"/>
      <c r="IZ212"/>
      <c r="JA212"/>
      <c r="JB212"/>
      <c r="JC212"/>
      <c r="JD212"/>
      <c r="JE212"/>
      <c r="JF212"/>
      <c r="JG212"/>
      <c r="JH212"/>
      <c r="JI212"/>
      <c r="JJ212"/>
      <c r="JK212"/>
      <c r="JL212"/>
      <c r="JM212"/>
      <c r="JN212"/>
      <c r="JO212"/>
      <c r="JP212"/>
      <c r="JQ212"/>
      <c r="JR212"/>
      <c r="JS212"/>
      <c r="JT212"/>
      <c r="JU212"/>
      <c r="JV212"/>
      <c r="JW212"/>
      <c r="JX212"/>
      <c r="JY212"/>
      <c r="JZ212"/>
      <c r="KA212"/>
      <c r="KB212"/>
      <c r="KC212"/>
      <c r="KD212"/>
      <c r="KE212"/>
      <c r="KF212"/>
      <c r="KG212"/>
      <c r="KH212"/>
      <c r="KI212"/>
      <c r="KJ212"/>
      <c r="KK212"/>
      <c r="KL212"/>
      <c r="KM212"/>
      <c r="KN212"/>
      <c r="KO212"/>
      <c r="KP212"/>
      <c r="KQ212"/>
      <c r="KR212"/>
      <c r="KS212"/>
      <c r="KT212"/>
      <c r="KU212"/>
      <c r="KV212"/>
      <c r="KW212"/>
      <c r="KX212"/>
      <c r="KY212"/>
      <c r="KZ212"/>
      <c r="LA212"/>
      <c r="LB212"/>
      <c r="LC212"/>
      <c r="LD212"/>
      <c r="LE212"/>
      <c r="LF212"/>
      <c r="LG212"/>
      <c r="LH212"/>
      <c r="LI212"/>
      <c r="LJ212"/>
      <c r="LK212"/>
      <c r="LL212"/>
      <c r="LM212"/>
      <c r="LN212"/>
      <c r="LO212"/>
      <c r="LP212"/>
      <c r="LQ212"/>
      <c r="LR212"/>
      <c r="LS212"/>
      <c r="LT212"/>
      <c r="LU212"/>
      <c r="LV212"/>
      <c r="LW212"/>
      <c r="LX212"/>
      <c r="LY212"/>
      <c r="LZ212"/>
      <c r="MA212"/>
      <c r="MB212"/>
      <c r="MC212"/>
      <c r="MD212"/>
      <c r="ME212"/>
      <c r="MF212"/>
      <c r="MG212"/>
      <c r="MH212"/>
      <c r="MI212"/>
      <c r="MJ212"/>
      <c r="MK212"/>
      <c r="ML212"/>
      <c r="MM212"/>
      <c r="MN212"/>
      <c r="MO212"/>
      <c r="MP212"/>
      <c r="MQ212"/>
      <c r="MR212"/>
      <c r="MS212"/>
      <c r="MT212"/>
      <c r="MU212"/>
      <c r="MV212"/>
      <c r="MW212"/>
      <c r="MX212"/>
      <c r="MY212"/>
      <c r="MZ212"/>
      <c r="NA212"/>
      <c r="NB212"/>
      <c r="NC212"/>
      <c r="ND212"/>
      <c r="NE212"/>
      <c r="NF212"/>
      <c r="NG212"/>
      <c r="NH212"/>
      <c r="NI212"/>
      <c r="NJ212"/>
      <c r="NK212"/>
      <c r="NL212"/>
      <c r="NM212"/>
      <c r="NN212"/>
      <c r="NO212"/>
      <c r="NP212"/>
      <c r="NQ212"/>
      <c r="NR212"/>
      <c r="NS212"/>
      <c r="NT212"/>
      <c r="NU212"/>
      <c r="NV212"/>
      <c r="NW212"/>
      <c r="NX212"/>
      <c r="NY212"/>
      <c r="NZ212"/>
      <c r="OA212"/>
      <c r="OB212"/>
      <c r="OC212"/>
      <c r="OD212"/>
      <c r="OE212"/>
      <c r="OF212"/>
      <c r="OG212"/>
      <c r="OH212"/>
      <c r="OI212"/>
      <c r="OJ212"/>
      <c r="OK212"/>
      <c r="OL212"/>
      <c r="OM212"/>
      <c r="ON212"/>
      <c r="OO212"/>
      <c r="OP212"/>
      <c r="OQ212"/>
      <c r="OR212"/>
      <c r="OS212"/>
      <c r="OT212"/>
      <c r="OU212"/>
      <c r="OV212"/>
      <c r="OW212"/>
      <c r="OX212"/>
      <c r="OY212"/>
      <c r="OZ212"/>
      <c r="PA212"/>
      <c r="PB212"/>
      <c r="PC212"/>
      <c r="PD212"/>
      <c r="PE212"/>
      <c r="PF212"/>
      <c r="PG212"/>
      <c r="PH212"/>
      <c r="PI212"/>
      <c r="PJ212"/>
      <c r="PK212"/>
      <c r="PL212"/>
      <c r="PM212"/>
      <c r="PN212"/>
      <c r="PO212"/>
      <c r="PP212"/>
      <c r="PQ212"/>
      <c r="PR212"/>
      <c r="PS212"/>
      <c r="PT212"/>
      <c r="PU212"/>
      <c r="PV212"/>
      <c r="PW212"/>
      <c r="PX212"/>
      <c r="PY212"/>
      <c r="PZ212"/>
      <c r="QA212"/>
      <c r="QB212"/>
      <c r="QC212"/>
      <c r="QD212"/>
      <c r="QE212"/>
      <c r="QF212"/>
      <c r="QG212"/>
      <c r="QH212"/>
      <c r="QI212"/>
      <c r="QJ212"/>
      <c r="QK212"/>
      <c r="QL212"/>
      <c r="QM212"/>
      <c r="QN212"/>
      <c r="QO212"/>
      <c r="QP212"/>
      <c r="QQ212"/>
      <c r="QR212"/>
      <c r="QS212"/>
      <c r="QT212"/>
      <c r="QU212"/>
      <c r="QV212"/>
      <c r="QW212"/>
      <c r="QX212"/>
    </row>
    <row r="213" spans="1:466" x14ac:dyDescent="0.35">
      <c r="A213" s="53"/>
      <c r="B213" s="53"/>
      <c r="C213" s="55"/>
      <c r="D213" s="53"/>
      <c r="E213" s="53"/>
      <c r="F213" s="126" t="s">
        <v>482</v>
      </c>
      <c r="G213" s="125">
        <v>2.97</v>
      </c>
      <c r="H213" s="125">
        <v>118.80000000000001</v>
      </c>
      <c r="I213" s="133">
        <v>40</v>
      </c>
      <c r="J213" s="53"/>
      <c r="K213" s="53"/>
      <c r="L213" s="53"/>
      <c r="M213" s="53"/>
      <c r="N213" s="53"/>
      <c r="O213" s="53"/>
      <c r="P213" s="53"/>
      <c r="Q213" s="53"/>
      <c r="R213" s="53"/>
      <c r="S213" s="53"/>
      <c r="T213" s="53"/>
      <c r="U213" s="53"/>
      <c r="V213" s="53"/>
      <c r="W213" s="53"/>
      <c r="X213" s="53"/>
      <c r="Y213" s="53"/>
      <c r="Z213" s="53"/>
      <c r="AA213" s="53"/>
      <c r="AB213" s="53"/>
      <c r="AC213" s="53"/>
      <c r="AD213" s="53"/>
      <c r="AE213" s="53"/>
      <c r="AF213" s="63"/>
      <c r="AG213" s="64"/>
      <c r="AH213" s="65"/>
      <c r="AI213" s="65"/>
      <c r="AJ213" s="53"/>
      <c r="AK213" s="62"/>
      <c r="AL213" s="62"/>
      <c r="AM213" s="62"/>
      <c r="AN213" s="62"/>
      <c r="AO213" s="62"/>
      <c r="AP213" s="62"/>
      <c r="AQ213" s="62"/>
      <c r="AR213" s="62"/>
      <c r="AS213" s="62"/>
      <c r="AT213" s="62"/>
      <c r="AU213" s="62"/>
      <c r="AV213" s="62"/>
      <c r="AW213" s="62"/>
      <c r="AX213" s="62"/>
      <c r="AY213" s="62"/>
      <c r="AZ213" s="62"/>
      <c r="BA213" s="62"/>
      <c r="BB213" s="62"/>
      <c r="BC213" s="62"/>
      <c r="BD213" s="62"/>
      <c r="BE213" s="62"/>
      <c r="BF213" s="62"/>
      <c r="BG213" s="62"/>
      <c r="BH213" s="62"/>
      <c r="BI213" s="62"/>
      <c r="BJ213" s="62"/>
      <c r="BK213" s="62"/>
      <c r="BL213" s="62"/>
      <c r="BM213" s="62"/>
      <c r="BN213" s="62"/>
      <c r="BO213" s="62"/>
      <c r="BP213" s="62"/>
      <c r="BQ213" s="62"/>
      <c r="BR213" s="62"/>
      <c r="BS213" s="62"/>
      <c r="BT213" s="62"/>
      <c r="BU213" s="62"/>
      <c r="BV213" s="62"/>
      <c r="BW213" s="62"/>
      <c r="BX213" s="62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  <c r="HB213"/>
      <c r="HC213"/>
      <c r="HD213"/>
      <c r="HE213"/>
      <c r="HF213"/>
      <c r="HG213"/>
      <c r="HH213"/>
      <c r="HI213"/>
      <c r="HJ213"/>
      <c r="HK213"/>
      <c r="HL213"/>
      <c r="HM213"/>
      <c r="HN213"/>
      <c r="HO213"/>
      <c r="HP213"/>
      <c r="HQ213"/>
      <c r="HR213"/>
      <c r="HS213"/>
      <c r="HT213"/>
      <c r="HU213"/>
      <c r="HV213"/>
      <c r="HW213"/>
      <c r="HX213"/>
      <c r="HY213"/>
      <c r="HZ213"/>
      <c r="IA213"/>
      <c r="IB213"/>
      <c r="IC213"/>
      <c r="ID213"/>
      <c r="IE213"/>
      <c r="IF213"/>
      <c r="IG213"/>
      <c r="IH213"/>
      <c r="II213"/>
      <c r="IJ213"/>
      <c r="IK213"/>
      <c r="IL213"/>
      <c r="IM213"/>
      <c r="IN213"/>
      <c r="IO213"/>
      <c r="IP213"/>
      <c r="IQ213"/>
      <c r="IR213"/>
      <c r="IS213"/>
      <c r="IT213"/>
      <c r="IU213"/>
      <c r="IV213"/>
      <c r="IW213"/>
      <c r="IX213"/>
      <c r="IY213"/>
      <c r="IZ213"/>
      <c r="JA213"/>
      <c r="JB213"/>
      <c r="JC213"/>
      <c r="JD213"/>
      <c r="JE213"/>
      <c r="JF213"/>
      <c r="JG213"/>
      <c r="JH213"/>
      <c r="JI213"/>
      <c r="JJ213"/>
      <c r="JK213"/>
      <c r="JL213"/>
      <c r="JM213"/>
      <c r="JN213"/>
      <c r="JO213"/>
      <c r="JP213"/>
      <c r="JQ213"/>
      <c r="JR213"/>
      <c r="JS213"/>
      <c r="JT213"/>
      <c r="JU213"/>
      <c r="JV213"/>
      <c r="JW213"/>
      <c r="JX213"/>
      <c r="JY213"/>
      <c r="JZ213"/>
      <c r="KA213"/>
      <c r="KB213"/>
      <c r="KC213"/>
      <c r="KD213"/>
      <c r="KE213"/>
      <c r="KF213"/>
      <c r="KG213"/>
      <c r="KH213"/>
      <c r="KI213"/>
      <c r="KJ213"/>
      <c r="KK213"/>
      <c r="KL213"/>
      <c r="KM213"/>
      <c r="KN213"/>
      <c r="KO213"/>
      <c r="KP213"/>
      <c r="KQ213"/>
      <c r="KR213"/>
      <c r="KS213"/>
      <c r="KT213"/>
      <c r="KU213"/>
      <c r="KV213"/>
      <c r="KW213"/>
      <c r="KX213"/>
      <c r="KY213"/>
      <c r="KZ213"/>
      <c r="LA213"/>
      <c r="LB213"/>
      <c r="LC213"/>
      <c r="LD213"/>
      <c r="LE213"/>
      <c r="LF213"/>
      <c r="LG213"/>
      <c r="LH213"/>
      <c r="LI213"/>
      <c r="LJ213"/>
      <c r="LK213"/>
      <c r="LL213"/>
      <c r="LM213"/>
      <c r="LN213"/>
      <c r="LO213"/>
      <c r="LP213"/>
      <c r="LQ213"/>
      <c r="LR213"/>
      <c r="LS213"/>
      <c r="LT213"/>
      <c r="LU213"/>
      <c r="LV213"/>
      <c r="LW213"/>
      <c r="LX213"/>
      <c r="LY213"/>
      <c r="LZ213"/>
      <c r="MA213"/>
      <c r="MB213"/>
      <c r="MC213"/>
      <c r="MD213"/>
      <c r="ME213"/>
      <c r="MF213"/>
      <c r="MG213"/>
      <c r="MH213"/>
      <c r="MI213"/>
      <c r="MJ213"/>
      <c r="MK213"/>
      <c r="ML213"/>
      <c r="MM213"/>
      <c r="MN213"/>
      <c r="MO213"/>
      <c r="MP213"/>
      <c r="MQ213"/>
      <c r="MR213"/>
      <c r="MS213"/>
      <c r="MT213"/>
      <c r="MU213"/>
      <c r="MV213"/>
      <c r="MW213"/>
      <c r="MX213"/>
      <c r="MY213"/>
      <c r="MZ213"/>
      <c r="NA213"/>
      <c r="NB213"/>
      <c r="NC213"/>
      <c r="ND213"/>
      <c r="NE213"/>
      <c r="NF213"/>
      <c r="NG213"/>
      <c r="NH213"/>
      <c r="NI213"/>
      <c r="NJ213"/>
      <c r="NK213"/>
      <c r="NL213"/>
      <c r="NM213"/>
      <c r="NN213"/>
      <c r="NO213"/>
      <c r="NP213"/>
      <c r="NQ213"/>
      <c r="NR213"/>
      <c r="NS213"/>
      <c r="NT213"/>
      <c r="NU213"/>
      <c r="NV213"/>
      <c r="NW213"/>
      <c r="NX213"/>
      <c r="NY213"/>
      <c r="NZ213"/>
      <c r="OA213"/>
      <c r="OB213"/>
      <c r="OC213"/>
      <c r="OD213"/>
      <c r="OE213"/>
      <c r="OF213"/>
      <c r="OG213"/>
      <c r="OH213"/>
      <c r="OI213"/>
      <c r="OJ213"/>
      <c r="OK213"/>
      <c r="OL213"/>
      <c r="OM213"/>
      <c r="ON213"/>
      <c r="OO213"/>
      <c r="OP213"/>
      <c r="OQ213"/>
      <c r="OR213"/>
      <c r="OS213"/>
      <c r="OT213"/>
      <c r="OU213"/>
      <c r="OV213"/>
      <c r="OW213"/>
      <c r="OX213"/>
      <c r="OY213"/>
      <c r="OZ213"/>
      <c r="PA213"/>
      <c r="PB213"/>
      <c r="PC213"/>
      <c r="PD213"/>
      <c r="PE213"/>
      <c r="PF213"/>
      <c r="PG213"/>
      <c r="PH213"/>
      <c r="PI213"/>
      <c r="PJ213"/>
      <c r="PK213"/>
      <c r="PL213"/>
      <c r="PM213"/>
      <c r="PN213"/>
      <c r="PO213"/>
      <c r="PP213"/>
      <c r="PQ213"/>
      <c r="PR213"/>
      <c r="PS213"/>
      <c r="PT213"/>
      <c r="PU213"/>
      <c r="PV213"/>
      <c r="PW213"/>
      <c r="PX213"/>
      <c r="PY213"/>
      <c r="PZ213"/>
      <c r="QA213"/>
      <c r="QB213"/>
      <c r="QC213"/>
      <c r="QD213"/>
      <c r="QE213"/>
      <c r="QF213"/>
      <c r="QG213"/>
      <c r="QH213"/>
      <c r="QI213"/>
      <c r="QJ213"/>
      <c r="QK213"/>
      <c r="QL213"/>
      <c r="QM213"/>
      <c r="QN213"/>
      <c r="QO213"/>
      <c r="QP213"/>
      <c r="QQ213"/>
      <c r="QR213"/>
      <c r="QS213"/>
      <c r="QT213"/>
      <c r="QU213"/>
      <c r="QV213"/>
      <c r="QW213"/>
      <c r="QX213"/>
    </row>
    <row r="214" spans="1:466" x14ac:dyDescent="0.35">
      <c r="A214" s="53"/>
      <c r="B214" s="53"/>
      <c r="C214" s="55"/>
      <c r="D214" s="53"/>
      <c r="E214" s="53"/>
      <c r="F214" s="126" t="s">
        <v>484</v>
      </c>
      <c r="G214" s="125">
        <v>3.47</v>
      </c>
      <c r="H214" s="125">
        <v>145.74</v>
      </c>
      <c r="I214" s="133">
        <v>42</v>
      </c>
      <c r="J214" s="53"/>
      <c r="K214" s="53"/>
      <c r="L214" s="53"/>
      <c r="M214" s="53"/>
      <c r="N214" s="53"/>
      <c r="O214" s="53"/>
      <c r="P214" s="53"/>
      <c r="Q214" s="53"/>
      <c r="R214" s="53"/>
      <c r="S214" s="53"/>
      <c r="T214" s="53"/>
      <c r="U214" s="53"/>
      <c r="V214" s="53"/>
      <c r="W214" s="53"/>
      <c r="X214" s="53"/>
      <c r="Y214" s="53"/>
      <c r="Z214" s="53"/>
      <c r="AA214" s="53"/>
      <c r="AB214" s="53"/>
      <c r="AC214" s="53"/>
      <c r="AD214" s="53"/>
      <c r="AE214" s="53"/>
      <c r="AF214" s="63"/>
      <c r="AG214" s="64"/>
      <c r="AH214" s="65"/>
      <c r="AI214" s="65"/>
      <c r="AJ214" s="53"/>
      <c r="AK214" s="62"/>
      <c r="AL214" s="62"/>
      <c r="AM214" s="62"/>
      <c r="AN214" s="62"/>
      <c r="AO214" s="62"/>
      <c r="AP214" s="62"/>
      <c r="AQ214" s="62"/>
      <c r="AR214" s="62"/>
      <c r="AS214" s="62"/>
      <c r="AT214" s="62"/>
      <c r="AU214" s="62"/>
      <c r="AV214" s="62"/>
      <c r="AW214" s="62"/>
      <c r="AX214" s="62"/>
      <c r="AY214" s="62"/>
      <c r="AZ214" s="62"/>
      <c r="BA214" s="62"/>
      <c r="BB214" s="62"/>
      <c r="BC214" s="62"/>
      <c r="BD214" s="62"/>
      <c r="BE214" s="62"/>
      <c r="BF214" s="62"/>
      <c r="BG214" s="62"/>
      <c r="BH214" s="62"/>
      <c r="BI214" s="62"/>
      <c r="BJ214" s="62"/>
      <c r="BK214" s="62"/>
      <c r="BL214" s="62"/>
      <c r="BM214" s="62"/>
      <c r="BN214" s="62"/>
      <c r="BO214" s="62"/>
      <c r="BP214" s="62"/>
      <c r="BQ214" s="62"/>
      <c r="BR214" s="62"/>
      <c r="BS214" s="62"/>
      <c r="BT214" s="62"/>
      <c r="BU214" s="62"/>
      <c r="BV214" s="62"/>
      <c r="BW214" s="62"/>
      <c r="BX214" s="62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  <c r="HB214"/>
      <c r="HC214"/>
      <c r="HD214"/>
      <c r="HE214"/>
      <c r="HF214"/>
      <c r="HG214"/>
      <c r="HH214"/>
      <c r="HI214"/>
      <c r="HJ214"/>
      <c r="HK214"/>
      <c r="HL214"/>
      <c r="HM214"/>
      <c r="HN214"/>
      <c r="HO214"/>
      <c r="HP214"/>
      <c r="HQ214"/>
      <c r="HR214"/>
      <c r="HS214"/>
      <c r="HT214"/>
      <c r="HU214"/>
      <c r="HV214"/>
      <c r="HW214"/>
      <c r="HX214"/>
      <c r="HY214"/>
      <c r="HZ214"/>
      <c r="IA214"/>
      <c r="IB214"/>
      <c r="IC214"/>
      <c r="ID214"/>
      <c r="IE214"/>
      <c r="IF214"/>
      <c r="IG214"/>
      <c r="IH214"/>
      <c r="II214"/>
      <c r="IJ214"/>
      <c r="IK214"/>
      <c r="IL214"/>
      <c r="IM214"/>
      <c r="IN214"/>
      <c r="IO214"/>
      <c r="IP214"/>
      <c r="IQ214"/>
      <c r="IR214"/>
      <c r="IS214"/>
      <c r="IT214"/>
      <c r="IU214"/>
      <c r="IV214"/>
      <c r="IW214"/>
      <c r="IX214"/>
      <c r="IY214"/>
      <c r="IZ214"/>
      <c r="JA214"/>
      <c r="JB214"/>
      <c r="JC214"/>
      <c r="JD214"/>
      <c r="JE214"/>
      <c r="JF214"/>
      <c r="JG214"/>
      <c r="JH214"/>
      <c r="JI214"/>
      <c r="JJ214"/>
      <c r="JK214"/>
      <c r="JL214"/>
      <c r="JM214"/>
      <c r="JN214"/>
      <c r="JO214"/>
      <c r="JP214"/>
      <c r="JQ214"/>
      <c r="JR214"/>
      <c r="JS214"/>
      <c r="JT214"/>
      <c r="JU214"/>
      <c r="JV214"/>
      <c r="JW214"/>
      <c r="JX214"/>
      <c r="JY214"/>
      <c r="JZ214"/>
      <c r="KA214"/>
      <c r="KB214"/>
      <c r="KC214"/>
      <c r="KD214"/>
      <c r="KE214"/>
      <c r="KF214"/>
      <c r="KG214"/>
      <c r="KH214"/>
      <c r="KI214"/>
      <c r="KJ214"/>
      <c r="KK214"/>
      <c r="KL214"/>
      <c r="KM214"/>
      <c r="KN214"/>
      <c r="KO214"/>
      <c r="KP214"/>
      <c r="KQ214"/>
      <c r="KR214"/>
      <c r="KS214"/>
      <c r="KT214"/>
      <c r="KU214"/>
      <c r="KV214"/>
      <c r="KW214"/>
      <c r="KX214"/>
      <c r="KY214"/>
      <c r="KZ214"/>
      <c r="LA214"/>
      <c r="LB214"/>
      <c r="LC214"/>
      <c r="LD214"/>
      <c r="LE214"/>
      <c r="LF214"/>
      <c r="LG214"/>
      <c r="LH214"/>
      <c r="LI214"/>
      <c r="LJ214"/>
      <c r="LK214"/>
      <c r="LL214"/>
      <c r="LM214"/>
      <c r="LN214"/>
      <c r="LO214"/>
      <c r="LP214"/>
      <c r="LQ214"/>
      <c r="LR214"/>
      <c r="LS214"/>
      <c r="LT214"/>
      <c r="LU214"/>
      <c r="LV214"/>
      <c r="LW214"/>
      <c r="LX214"/>
      <c r="LY214"/>
      <c r="LZ214"/>
      <c r="MA214"/>
      <c r="MB214"/>
      <c r="MC214"/>
      <c r="MD214"/>
      <c r="ME214"/>
      <c r="MF214"/>
      <c r="MG214"/>
      <c r="MH214"/>
      <c r="MI214"/>
      <c r="MJ214"/>
      <c r="MK214"/>
      <c r="ML214"/>
      <c r="MM214"/>
      <c r="MN214"/>
      <c r="MO214"/>
      <c r="MP214"/>
      <c r="MQ214"/>
      <c r="MR214"/>
      <c r="MS214"/>
      <c r="MT214"/>
      <c r="MU214"/>
      <c r="MV214"/>
      <c r="MW214"/>
      <c r="MX214"/>
      <c r="MY214"/>
      <c r="MZ214"/>
      <c r="NA214"/>
      <c r="NB214"/>
      <c r="NC214"/>
      <c r="ND214"/>
      <c r="NE214"/>
      <c r="NF214"/>
      <c r="NG214"/>
      <c r="NH214"/>
      <c r="NI214"/>
      <c r="NJ214"/>
      <c r="NK214"/>
      <c r="NL214"/>
      <c r="NM214"/>
      <c r="NN214"/>
      <c r="NO214"/>
      <c r="NP214"/>
      <c r="NQ214"/>
      <c r="NR214"/>
      <c r="NS214"/>
      <c r="NT214"/>
      <c r="NU214"/>
      <c r="NV214"/>
      <c r="NW214"/>
      <c r="NX214"/>
      <c r="NY214"/>
      <c r="NZ214"/>
      <c r="OA214"/>
      <c r="OB214"/>
      <c r="OC214"/>
      <c r="OD214"/>
      <c r="OE214"/>
      <c r="OF214"/>
      <c r="OG214"/>
      <c r="OH214"/>
      <c r="OI214"/>
      <c r="OJ214"/>
      <c r="OK214"/>
      <c r="OL214"/>
      <c r="OM214"/>
      <c r="ON214"/>
      <c r="OO214"/>
      <c r="OP214"/>
      <c r="OQ214"/>
      <c r="OR214"/>
      <c r="OS214"/>
      <c r="OT214"/>
      <c r="OU214"/>
      <c r="OV214"/>
      <c r="OW214"/>
      <c r="OX214"/>
      <c r="OY214"/>
      <c r="OZ214"/>
      <c r="PA214"/>
      <c r="PB214"/>
      <c r="PC214"/>
      <c r="PD214"/>
      <c r="PE214"/>
      <c r="PF214"/>
      <c r="PG214"/>
      <c r="PH214"/>
      <c r="PI214"/>
      <c r="PJ214"/>
      <c r="PK214"/>
      <c r="PL214"/>
      <c r="PM214"/>
      <c r="PN214"/>
      <c r="PO214"/>
      <c r="PP214"/>
      <c r="PQ214"/>
      <c r="PR214"/>
      <c r="PS214"/>
      <c r="PT214"/>
      <c r="PU214"/>
      <c r="PV214"/>
      <c r="PW214"/>
      <c r="PX214"/>
      <c r="PY214"/>
      <c r="PZ214"/>
      <c r="QA214"/>
      <c r="QB214"/>
      <c r="QC214"/>
      <c r="QD214"/>
      <c r="QE214"/>
      <c r="QF214"/>
      <c r="QG214"/>
      <c r="QH214"/>
      <c r="QI214"/>
      <c r="QJ214"/>
      <c r="QK214"/>
      <c r="QL214"/>
      <c r="QM214"/>
      <c r="QN214"/>
      <c r="QO214"/>
      <c r="QP214"/>
      <c r="QQ214"/>
      <c r="QR214"/>
      <c r="QS214"/>
      <c r="QT214"/>
      <c r="QU214"/>
      <c r="QV214"/>
      <c r="QW214"/>
      <c r="QX214"/>
    </row>
    <row r="215" spans="1:466" x14ac:dyDescent="0.35">
      <c r="A215" s="53"/>
      <c r="B215" s="53"/>
      <c r="C215" s="55"/>
      <c r="D215" s="53"/>
      <c r="E215" s="53"/>
      <c r="F215" s="126" t="s">
        <v>363</v>
      </c>
      <c r="G215" s="125">
        <v>2.0809199999999999</v>
      </c>
      <c r="H215" s="125">
        <v>1587.7419599999998</v>
      </c>
      <c r="I215" s="133">
        <v>763</v>
      </c>
      <c r="J215" s="53"/>
      <c r="K215" s="53"/>
      <c r="L215" s="53"/>
      <c r="M215" s="53"/>
      <c r="N215" s="53"/>
      <c r="O215" s="53"/>
      <c r="P215" s="53"/>
      <c r="Q215" s="53"/>
      <c r="R215" s="53"/>
      <c r="S215" s="53"/>
      <c r="T215" s="53"/>
      <c r="U215" s="53"/>
      <c r="V215" s="53"/>
      <c r="W215" s="53"/>
      <c r="X215" s="53"/>
      <c r="Y215" s="53"/>
      <c r="Z215" s="53"/>
      <c r="AA215" s="53"/>
      <c r="AB215" s="53"/>
      <c r="AC215" s="53"/>
      <c r="AD215" s="53"/>
      <c r="AE215" s="53"/>
      <c r="AF215" s="63"/>
      <c r="AG215" s="64"/>
      <c r="AH215" s="65"/>
      <c r="AI215" s="65"/>
      <c r="AJ215" s="53"/>
      <c r="AK215" s="62"/>
      <c r="AL215" s="62"/>
      <c r="AM215" s="62"/>
      <c r="AN215" s="62"/>
      <c r="AO215" s="62"/>
      <c r="AP215" s="62"/>
      <c r="AQ215" s="62"/>
      <c r="AR215" s="62"/>
      <c r="AS215" s="62"/>
      <c r="AT215" s="62"/>
      <c r="AU215" s="62"/>
      <c r="AV215" s="62"/>
      <c r="AW215" s="62"/>
      <c r="AX215" s="62"/>
      <c r="AY215" s="62"/>
      <c r="AZ215" s="62"/>
      <c r="BA215" s="62"/>
      <c r="BB215" s="62"/>
      <c r="BC215" s="62"/>
      <c r="BD215" s="62"/>
      <c r="BE215" s="62"/>
      <c r="BF215" s="62"/>
      <c r="BG215" s="62"/>
      <c r="BH215" s="62"/>
      <c r="BI215" s="62"/>
      <c r="BJ215" s="62"/>
      <c r="BK215" s="62"/>
      <c r="BL215" s="62"/>
      <c r="BM215" s="62"/>
      <c r="BN215" s="62"/>
      <c r="BO215" s="62"/>
      <c r="BP215" s="62"/>
      <c r="BQ215" s="62"/>
      <c r="BR215" s="62"/>
      <c r="BS215" s="62"/>
      <c r="BT215" s="62"/>
      <c r="BU215" s="62"/>
      <c r="BV215" s="62"/>
      <c r="BW215" s="62"/>
      <c r="BX215" s="62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  <c r="HB215"/>
      <c r="HC215"/>
      <c r="HD215"/>
      <c r="HE215"/>
      <c r="HF215"/>
      <c r="HG215"/>
      <c r="HH215"/>
      <c r="HI215"/>
      <c r="HJ215"/>
      <c r="HK215"/>
      <c r="HL215"/>
      <c r="HM215"/>
      <c r="HN215"/>
      <c r="HO215"/>
      <c r="HP215"/>
      <c r="HQ215"/>
      <c r="HR215"/>
      <c r="HS215"/>
      <c r="HT215"/>
      <c r="HU215"/>
      <c r="HV215"/>
      <c r="HW215"/>
      <c r="HX215"/>
      <c r="HY215"/>
      <c r="HZ215"/>
      <c r="IA215"/>
      <c r="IB215"/>
      <c r="IC215"/>
      <c r="ID215"/>
      <c r="IE215"/>
      <c r="IF215"/>
      <c r="IG215"/>
      <c r="IH215"/>
      <c r="II215"/>
      <c r="IJ215"/>
      <c r="IK215"/>
      <c r="IL215"/>
      <c r="IM215"/>
      <c r="IN215"/>
      <c r="IO215"/>
      <c r="IP215"/>
      <c r="IQ215"/>
      <c r="IR215"/>
      <c r="IS215"/>
      <c r="IT215"/>
      <c r="IU215"/>
      <c r="IV215"/>
      <c r="IW215"/>
      <c r="IX215"/>
      <c r="IY215"/>
      <c r="IZ215"/>
      <c r="JA215"/>
      <c r="JB215"/>
      <c r="JC215"/>
      <c r="JD215"/>
      <c r="JE215"/>
      <c r="JF215"/>
      <c r="JG215"/>
      <c r="JH215"/>
      <c r="JI215"/>
      <c r="JJ215"/>
      <c r="JK215"/>
      <c r="JL215"/>
      <c r="JM215"/>
      <c r="JN215"/>
      <c r="JO215"/>
      <c r="JP215"/>
      <c r="JQ215"/>
      <c r="JR215"/>
      <c r="JS215"/>
      <c r="JT215"/>
      <c r="JU215"/>
      <c r="JV215"/>
      <c r="JW215"/>
      <c r="JX215"/>
      <c r="JY215"/>
      <c r="JZ215"/>
      <c r="KA215"/>
      <c r="KB215"/>
      <c r="KC215"/>
      <c r="KD215"/>
      <c r="KE215"/>
      <c r="KF215"/>
      <c r="KG215"/>
      <c r="KH215"/>
      <c r="KI215"/>
      <c r="KJ215"/>
      <c r="KK215"/>
      <c r="KL215"/>
      <c r="KM215"/>
      <c r="KN215"/>
      <c r="KO215"/>
      <c r="KP215"/>
      <c r="KQ215"/>
      <c r="KR215"/>
      <c r="KS215"/>
      <c r="KT215"/>
      <c r="KU215"/>
      <c r="KV215"/>
      <c r="KW215"/>
      <c r="KX215"/>
      <c r="KY215"/>
      <c r="KZ215"/>
      <c r="LA215"/>
      <c r="LB215"/>
      <c r="LC215"/>
      <c r="LD215"/>
      <c r="LE215"/>
      <c r="LF215"/>
      <c r="LG215"/>
      <c r="LH215"/>
      <c r="LI215"/>
      <c r="LJ215"/>
      <c r="LK215"/>
      <c r="LL215"/>
      <c r="LM215"/>
      <c r="LN215"/>
      <c r="LO215"/>
      <c r="LP215"/>
      <c r="LQ215"/>
      <c r="LR215"/>
      <c r="LS215"/>
      <c r="LT215"/>
      <c r="LU215"/>
      <c r="LV215"/>
      <c r="LW215"/>
      <c r="LX215"/>
      <c r="LY215"/>
      <c r="LZ215"/>
      <c r="MA215"/>
      <c r="MB215"/>
      <c r="MC215"/>
      <c r="MD215"/>
      <c r="ME215"/>
      <c r="MF215"/>
      <c r="MG215"/>
      <c r="MH215"/>
      <c r="MI215"/>
      <c r="MJ215"/>
      <c r="MK215"/>
      <c r="ML215"/>
      <c r="MM215"/>
      <c r="MN215"/>
      <c r="MO215"/>
      <c r="MP215"/>
      <c r="MQ215"/>
      <c r="MR215"/>
      <c r="MS215"/>
      <c r="MT215"/>
      <c r="MU215"/>
      <c r="MV215"/>
      <c r="MW215"/>
      <c r="MX215"/>
      <c r="MY215"/>
      <c r="MZ215"/>
      <c r="NA215"/>
      <c r="NB215"/>
      <c r="NC215"/>
      <c r="ND215"/>
      <c r="NE215"/>
      <c r="NF215"/>
      <c r="NG215"/>
      <c r="NH215"/>
      <c r="NI215"/>
      <c r="NJ215"/>
      <c r="NK215"/>
      <c r="NL215"/>
      <c r="NM215"/>
      <c r="NN215"/>
      <c r="NO215"/>
      <c r="NP215"/>
      <c r="NQ215"/>
      <c r="NR215"/>
      <c r="NS215"/>
      <c r="NT215"/>
      <c r="NU215"/>
      <c r="NV215"/>
      <c r="NW215"/>
      <c r="NX215"/>
      <c r="NY215"/>
      <c r="NZ215"/>
      <c r="OA215"/>
      <c r="OB215"/>
      <c r="OC215"/>
      <c r="OD215"/>
      <c r="OE215"/>
      <c r="OF215"/>
      <c r="OG215"/>
      <c r="OH215"/>
      <c r="OI215"/>
      <c r="OJ215"/>
      <c r="OK215"/>
      <c r="OL215"/>
      <c r="OM215"/>
      <c r="ON215"/>
      <c r="OO215"/>
      <c r="OP215"/>
      <c r="OQ215"/>
      <c r="OR215"/>
      <c r="OS215"/>
      <c r="OT215"/>
      <c r="OU215"/>
      <c r="OV215"/>
      <c r="OW215"/>
      <c r="OX215"/>
      <c r="OY215"/>
      <c r="OZ215"/>
      <c r="PA215"/>
      <c r="PB215"/>
      <c r="PC215"/>
      <c r="PD215"/>
      <c r="PE215"/>
      <c r="PF215"/>
      <c r="PG215"/>
      <c r="PH215"/>
      <c r="PI215"/>
      <c r="PJ215"/>
      <c r="PK215"/>
      <c r="PL215"/>
      <c r="PM215"/>
      <c r="PN215"/>
      <c r="PO215"/>
      <c r="PP215"/>
      <c r="PQ215"/>
      <c r="PR215"/>
      <c r="PS215"/>
      <c r="PT215"/>
      <c r="PU215"/>
      <c r="PV215"/>
      <c r="PW215"/>
      <c r="PX215"/>
      <c r="PY215"/>
      <c r="PZ215"/>
      <c r="QA215"/>
      <c r="QB215"/>
      <c r="QC215"/>
      <c r="QD215"/>
      <c r="QE215"/>
      <c r="QF215"/>
      <c r="QG215"/>
      <c r="QH215"/>
      <c r="QI215"/>
      <c r="QJ215"/>
      <c r="QK215"/>
      <c r="QL215"/>
      <c r="QM215"/>
      <c r="QN215"/>
      <c r="QO215"/>
      <c r="QP215"/>
      <c r="QQ215"/>
      <c r="QR215"/>
      <c r="QS215"/>
      <c r="QT215"/>
      <c r="QU215"/>
      <c r="QV215"/>
      <c r="QW215"/>
      <c r="QX215"/>
    </row>
    <row r="216" spans="1:466" x14ac:dyDescent="0.35">
      <c r="A216" s="53"/>
      <c r="B216" s="53"/>
      <c r="C216" s="55"/>
      <c r="D216" s="53"/>
      <c r="E216" s="53"/>
      <c r="F216" s="126" t="s">
        <v>365</v>
      </c>
      <c r="G216" s="125">
        <v>2.2555199999999997</v>
      </c>
      <c r="H216" s="125">
        <v>1073.6275199999998</v>
      </c>
      <c r="I216" s="133">
        <v>476</v>
      </c>
      <c r="J216" s="53"/>
      <c r="K216" s="53"/>
      <c r="L216" s="53"/>
      <c r="M216" s="53"/>
      <c r="N216" s="53"/>
      <c r="O216" s="53"/>
      <c r="P216" s="53"/>
      <c r="Q216" s="53"/>
      <c r="R216" s="53"/>
      <c r="S216" s="53"/>
      <c r="T216" s="53"/>
      <c r="U216" s="53"/>
      <c r="V216" s="53"/>
      <c r="W216" s="53"/>
      <c r="X216" s="53"/>
      <c r="Y216" s="53"/>
      <c r="Z216" s="53"/>
      <c r="AA216" s="53"/>
      <c r="AB216" s="53"/>
      <c r="AC216" s="53"/>
      <c r="AD216" s="53"/>
      <c r="AE216" s="53"/>
      <c r="AF216" s="63"/>
      <c r="AG216" s="64"/>
      <c r="AH216" s="65"/>
      <c r="AI216" s="65"/>
      <c r="AJ216" s="53"/>
      <c r="AK216" s="62"/>
      <c r="AL216" s="62"/>
      <c r="AM216" s="62"/>
      <c r="AN216" s="62"/>
      <c r="AO216" s="62"/>
      <c r="AP216" s="62"/>
      <c r="AQ216" s="62"/>
      <c r="AR216" s="62"/>
      <c r="AS216" s="62"/>
      <c r="AT216" s="62"/>
      <c r="AU216" s="62"/>
      <c r="AV216" s="62"/>
      <c r="AW216" s="62"/>
      <c r="AX216" s="62"/>
      <c r="AY216" s="62"/>
      <c r="AZ216" s="62"/>
      <c r="BA216" s="62"/>
      <c r="BB216" s="62"/>
      <c r="BC216" s="62"/>
      <c r="BD216" s="62"/>
      <c r="BE216" s="62"/>
      <c r="BF216" s="62"/>
      <c r="BG216" s="62"/>
      <c r="BH216" s="62"/>
      <c r="BI216" s="62"/>
      <c r="BJ216" s="62"/>
      <c r="BK216" s="62"/>
      <c r="BL216" s="62"/>
      <c r="BM216" s="62"/>
      <c r="BN216" s="62"/>
      <c r="BO216" s="62"/>
      <c r="BP216" s="62"/>
      <c r="BQ216" s="62"/>
      <c r="BR216" s="62"/>
      <c r="BS216" s="62"/>
      <c r="BT216" s="62"/>
      <c r="BU216" s="62"/>
      <c r="BV216" s="62"/>
      <c r="BW216" s="62"/>
      <c r="BX216" s="62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  <c r="HB216"/>
      <c r="HC216"/>
      <c r="HD216"/>
      <c r="HE216"/>
      <c r="HF216"/>
      <c r="HG216"/>
      <c r="HH216"/>
      <c r="HI216"/>
      <c r="HJ216"/>
      <c r="HK216"/>
      <c r="HL216"/>
      <c r="HM216"/>
      <c r="HN216"/>
      <c r="HO216"/>
      <c r="HP216"/>
      <c r="HQ216"/>
      <c r="HR216"/>
      <c r="HS216"/>
      <c r="HT216"/>
      <c r="HU216"/>
      <c r="HV216"/>
      <c r="HW216"/>
      <c r="HX216"/>
      <c r="HY216"/>
      <c r="HZ216"/>
      <c r="IA216"/>
      <c r="IB216"/>
      <c r="IC216"/>
      <c r="ID216"/>
      <c r="IE216"/>
      <c r="IF216"/>
      <c r="IG216"/>
      <c r="IH216"/>
      <c r="II216"/>
      <c r="IJ216"/>
      <c r="IK216"/>
      <c r="IL216"/>
      <c r="IM216"/>
      <c r="IN216"/>
      <c r="IO216"/>
      <c r="IP216"/>
      <c r="IQ216"/>
      <c r="IR216"/>
      <c r="IS216"/>
      <c r="IT216"/>
      <c r="IU216"/>
      <c r="IV216"/>
      <c r="IW216"/>
      <c r="IX216"/>
      <c r="IY216"/>
      <c r="IZ216"/>
      <c r="JA216"/>
      <c r="JB216"/>
      <c r="JC216"/>
      <c r="JD216"/>
      <c r="JE216"/>
      <c r="JF216"/>
      <c r="JG216"/>
      <c r="JH216"/>
      <c r="JI216"/>
      <c r="JJ216"/>
      <c r="JK216"/>
      <c r="JL216"/>
      <c r="JM216"/>
      <c r="JN216"/>
      <c r="JO216"/>
      <c r="JP216"/>
      <c r="JQ216"/>
      <c r="JR216"/>
      <c r="JS216"/>
      <c r="JT216"/>
      <c r="JU216"/>
      <c r="JV216"/>
      <c r="JW216"/>
      <c r="JX216"/>
      <c r="JY216"/>
      <c r="JZ216"/>
      <c r="KA216"/>
      <c r="KB216"/>
      <c r="KC216"/>
      <c r="KD216"/>
      <c r="KE216"/>
      <c r="KF216"/>
      <c r="KG216"/>
      <c r="KH216"/>
      <c r="KI216"/>
      <c r="KJ216"/>
      <c r="KK216"/>
      <c r="KL216"/>
      <c r="KM216"/>
      <c r="KN216"/>
      <c r="KO216"/>
      <c r="KP216"/>
      <c r="KQ216"/>
      <c r="KR216"/>
      <c r="KS216"/>
      <c r="KT216"/>
      <c r="KU216"/>
      <c r="KV216"/>
      <c r="KW216"/>
      <c r="KX216"/>
      <c r="KY216"/>
      <c r="KZ216"/>
      <c r="LA216"/>
      <c r="LB216"/>
      <c r="LC216"/>
      <c r="LD216"/>
      <c r="LE216"/>
      <c r="LF216"/>
      <c r="LG216"/>
      <c r="LH216"/>
      <c r="LI216"/>
      <c r="LJ216"/>
      <c r="LK216"/>
      <c r="LL216"/>
      <c r="LM216"/>
      <c r="LN216"/>
      <c r="LO216"/>
      <c r="LP216"/>
      <c r="LQ216"/>
      <c r="LR216"/>
      <c r="LS216"/>
      <c r="LT216"/>
      <c r="LU216"/>
      <c r="LV216"/>
      <c r="LW216"/>
      <c r="LX216"/>
      <c r="LY216"/>
      <c r="LZ216"/>
      <c r="MA216"/>
      <c r="MB216"/>
      <c r="MC216"/>
      <c r="MD216"/>
      <c r="ME216"/>
      <c r="MF216"/>
      <c r="MG216"/>
      <c r="MH216"/>
      <c r="MI216"/>
      <c r="MJ216"/>
      <c r="MK216"/>
      <c r="ML216"/>
      <c r="MM216"/>
      <c r="MN216"/>
      <c r="MO216"/>
      <c r="MP216"/>
      <c r="MQ216"/>
      <c r="MR216"/>
      <c r="MS216"/>
      <c r="MT216"/>
      <c r="MU216"/>
      <c r="MV216"/>
      <c r="MW216"/>
      <c r="MX216"/>
      <c r="MY216"/>
      <c r="MZ216"/>
      <c r="NA216"/>
      <c r="NB216"/>
      <c r="NC216"/>
      <c r="ND216"/>
      <c r="NE216"/>
      <c r="NF216"/>
      <c r="NG216"/>
      <c r="NH216"/>
      <c r="NI216"/>
      <c r="NJ216"/>
      <c r="NK216"/>
      <c r="NL216"/>
      <c r="NM216"/>
      <c r="NN216"/>
      <c r="NO216"/>
      <c r="NP216"/>
      <c r="NQ216"/>
      <c r="NR216"/>
      <c r="NS216"/>
      <c r="NT216"/>
      <c r="NU216"/>
      <c r="NV216"/>
      <c r="NW216"/>
      <c r="NX216"/>
      <c r="NY216"/>
      <c r="NZ216"/>
      <c r="OA216"/>
      <c r="OB216"/>
      <c r="OC216"/>
      <c r="OD216"/>
      <c r="OE216"/>
      <c r="OF216"/>
      <c r="OG216"/>
      <c r="OH216"/>
      <c r="OI216"/>
      <c r="OJ216"/>
      <c r="OK216"/>
      <c r="OL216"/>
      <c r="OM216"/>
      <c r="ON216"/>
      <c r="OO216"/>
      <c r="OP216"/>
      <c r="OQ216"/>
      <c r="OR216"/>
      <c r="OS216"/>
      <c r="OT216"/>
      <c r="OU216"/>
      <c r="OV216"/>
      <c r="OW216"/>
      <c r="OX216"/>
      <c r="OY216"/>
      <c r="OZ216"/>
      <c r="PA216"/>
      <c r="PB216"/>
      <c r="PC216"/>
      <c r="PD216"/>
      <c r="PE216"/>
      <c r="PF216"/>
      <c r="PG216"/>
      <c r="PH216"/>
      <c r="PI216"/>
      <c r="PJ216"/>
      <c r="PK216"/>
      <c r="PL216"/>
      <c r="PM216"/>
      <c r="PN216"/>
      <c r="PO216"/>
      <c r="PP216"/>
      <c r="PQ216"/>
      <c r="PR216"/>
      <c r="PS216"/>
      <c r="PT216"/>
      <c r="PU216"/>
      <c r="PV216"/>
      <c r="PW216"/>
      <c r="PX216"/>
      <c r="PY216"/>
      <c r="PZ216"/>
      <c r="QA216"/>
      <c r="QB216"/>
      <c r="QC216"/>
      <c r="QD216"/>
      <c r="QE216"/>
      <c r="QF216"/>
      <c r="QG216"/>
      <c r="QH216"/>
      <c r="QI216"/>
      <c r="QJ216"/>
      <c r="QK216"/>
      <c r="QL216"/>
      <c r="QM216"/>
      <c r="QN216"/>
      <c r="QO216"/>
      <c r="QP216"/>
      <c r="QQ216"/>
      <c r="QR216"/>
      <c r="QS216"/>
      <c r="QT216"/>
      <c r="QU216"/>
      <c r="QV216"/>
      <c r="QW216"/>
      <c r="QX216"/>
    </row>
    <row r="217" spans="1:466" x14ac:dyDescent="0.35">
      <c r="A217" s="53"/>
      <c r="B217" s="53"/>
      <c r="C217" s="55"/>
      <c r="D217" s="53"/>
      <c r="E217" s="53"/>
      <c r="F217" s="126" t="s">
        <v>367</v>
      </c>
      <c r="G217" s="125">
        <v>2.5930799999999996</v>
      </c>
      <c r="H217" s="125">
        <v>1275.7953599999998</v>
      </c>
      <c r="I217" s="133">
        <v>492</v>
      </c>
      <c r="J217" s="53"/>
      <c r="K217" s="53"/>
      <c r="L217" s="53"/>
      <c r="M217" s="53"/>
      <c r="N217" s="53"/>
      <c r="O217" s="53"/>
      <c r="P217" s="53"/>
      <c r="Q217" s="53"/>
      <c r="R217" s="53"/>
      <c r="S217" s="53"/>
      <c r="T217" s="53"/>
      <c r="U217" s="53"/>
      <c r="V217" s="53"/>
      <c r="W217" s="53"/>
      <c r="X217" s="53"/>
      <c r="Y217" s="53"/>
      <c r="Z217" s="53"/>
      <c r="AA217" s="53"/>
      <c r="AB217" s="53"/>
      <c r="AC217" s="53"/>
      <c r="AD217" s="53"/>
      <c r="AE217" s="53"/>
      <c r="AF217" s="63"/>
      <c r="AG217" s="64"/>
      <c r="AH217" s="65"/>
      <c r="AI217" s="65"/>
      <c r="AJ217" s="53"/>
      <c r="AK217" s="62"/>
      <c r="AL217" s="62"/>
      <c r="AM217" s="62"/>
      <c r="AN217" s="62"/>
      <c r="AO217" s="62"/>
      <c r="AP217" s="62"/>
      <c r="AQ217" s="62"/>
      <c r="AR217" s="62"/>
      <c r="AS217" s="62"/>
      <c r="AT217" s="62"/>
      <c r="AU217" s="62"/>
      <c r="AV217" s="62"/>
      <c r="AW217" s="62"/>
      <c r="AX217" s="62"/>
      <c r="AY217" s="62"/>
      <c r="AZ217" s="62"/>
      <c r="BA217" s="62"/>
      <c r="BB217" s="62"/>
      <c r="BC217" s="62"/>
      <c r="BD217" s="62"/>
      <c r="BE217" s="62"/>
      <c r="BF217" s="62"/>
      <c r="BG217" s="62"/>
      <c r="BH217" s="62"/>
      <c r="BI217" s="62"/>
      <c r="BJ217" s="62"/>
      <c r="BK217" s="62"/>
      <c r="BL217" s="62"/>
      <c r="BM217" s="62"/>
      <c r="BN217" s="62"/>
      <c r="BO217" s="62"/>
      <c r="BP217" s="62"/>
      <c r="BQ217" s="62"/>
      <c r="BR217" s="62"/>
      <c r="BS217" s="62"/>
      <c r="BT217" s="62"/>
      <c r="BU217" s="62"/>
      <c r="BV217" s="62"/>
      <c r="BW217" s="62"/>
      <c r="BX217" s="62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  <c r="HB217"/>
      <c r="HC217"/>
      <c r="HD217"/>
      <c r="HE217"/>
      <c r="HF217"/>
      <c r="HG217"/>
      <c r="HH217"/>
      <c r="HI217"/>
      <c r="HJ217"/>
      <c r="HK217"/>
      <c r="HL217"/>
      <c r="HM217"/>
      <c r="HN217"/>
      <c r="HO217"/>
      <c r="HP217"/>
      <c r="HQ217"/>
      <c r="HR217"/>
      <c r="HS217"/>
      <c r="HT217"/>
      <c r="HU217"/>
      <c r="HV217"/>
      <c r="HW217"/>
      <c r="HX217"/>
      <c r="HY217"/>
      <c r="HZ217"/>
      <c r="IA217"/>
      <c r="IB217"/>
      <c r="IC217"/>
      <c r="ID217"/>
      <c r="IE217"/>
      <c r="IF217"/>
      <c r="IG217"/>
      <c r="IH217"/>
      <c r="II217"/>
      <c r="IJ217"/>
      <c r="IK217"/>
      <c r="IL217"/>
      <c r="IM217"/>
      <c r="IN217"/>
      <c r="IO217"/>
      <c r="IP217"/>
      <c r="IQ217"/>
      <c r="IR217"/>
      <c r="IS217"/>
      <c r="IT217"/>
      <c r="IU217"/>
      <c r="IV217"/>
      <c r="IW217"/>
      <c r="IX217"/>
      <c r="IY217"/>
      <c r="IZ217"/>
      <c r="JA217"/>
      <c r="JB217"/>
      <c r="JC217"/>
      <c r="JD217"/>
      <c r="JE217"/>
      <c r="JF217"/>
      <c r="JG217"/>
      <c r="JH217"/>
      <c r="JI217"/>
      <c r="JJ217"/>
      <c r="JK217"/>
      <c r="JL217"/>
      <c r="JM217"/>
      <c r="JN217"/>
      <c r="JO217"/>
      <c r="JP217"/>
      <c r="JQ217"/>
      <c r="JR217"/>
      <c r="JS217"/>
      <c r="JT217"/>
      <c r="JU217"/>
      <c r="JV217"/>
      <c r="JW217"/>
      <c r="JX217"/>
      <c r="JY217"/>
      <c r="JZ217"/>
      <c r="KA217"/>
      <c r="KB217"/>
      <c r="KC217"/>
      <c r="KD217"/>
      <c r="KE217"/>
      <c r="KF217"/>
      <c r="KG217"/>
      <c r="KH217"/>
      <c r="KI217"/>
      <c r="KJ217"/>
      <c r="KK217"/>
      <c r="KL217"/>
      <c r="KM217"/>
      <c r="KN217"/>
      <c r="KO217"/>
      <c r="KP217"/>
      <c r="KQ217"/>
      <c r="KR217"/>
      <c r="KS217"/>
      <c r="KT217"/>
      <c r="KU217"/>
      <c r="KV217"/>
      <c r="KW217"/>
      <c r="KX217"/>
      <c r="KY217"/>
      <c r="KZ217"/>
      <c r="LA217"/>
      <c r="LB217"/>
      <c r="LC217"/>
      <c r="LD217"/>
      <c r="LE217"/>
      <c r="LF217"/>
      <c r="LG217"/>
      <c r="LH217"/>
      <c r="LI217"/>
      <c r="LJ217"/>
      <c r="LK217"/>
      <c r="LL217"/>
      <c r="LM217"/>
      <c r="LN217"/>
      <c r="LO217"/>
      <c r="LP217"/>
      <c r="LQ217"/>
      <c r="LR217"/>
      <c r="LS217"/>
      <c r="LT217"/>
      <c r="LU217"/>
      <c r="LV217"/>
      <c r="LW217"/>
      <c r="LX217"/>
      <c r="LY217"/>
      <c r="LZ217"/>
      <c r="MA217"/>
      <c r="MB217"/>
      <c r="MC217"/>
      <c r="MD217"/>
      <c r="ME217"/>
      <c r="MF217"/>
      <c r="MG217"/>
      <c r="MH217"/>
      <c r="MI217"/>
      <c r="MJ217"/>
      <c r="MK217"/>
      <c r="ML217"/>
      <c r="MM217"/>
      <c r="MN217"/>
      <c r="MO217"/>
      <c r="MP217"/>
      <c r="MQ217"/>
      <c r="MR217"/>
      <c r="MS217"/>
      <c r="MT217"/>
      <c r="MU217"/>
      <c r="MV217"/>
      <c r="MW217"/>
      <c r="MX217"/>
      <c r="MY217"/>
      <c r="MZ217"/>
      <c r="NA217"/>
      <c r="NB217"/>
      <c r="NC217"/>
      <c r="ND217"/>
      <c r="NE217"/>
      <c r="NF217"/>
      <c r="NG217"/>
      <c r="NH217"/>
      <c r="NI217"/>
      <c r="NJ217"/>
      <c r="NK217"/>
      <c r="NL217"/>
      <c r="NM217"/>
      <c r="NN217"/>
      <c r="NO217"/>
      <c r="NP217"/>
      <c r="NQ217"/>
      <c r="NR217"/>
      <c r="NS217"/>
      <c r="NT217"/>
      <c r="NU217"/>
      <c r="NV217"/>
      <c r="NW217"/>
      <c r="NX217"/>
      <c r="NY217"/>
      <c r="NZ217"/>
      <c r="OA217"/>
      <c r="OB217"/>
      <c r="OC217"/>
      <c r="OD217"/>
      <c r="OE217"/>
      <c r="OF217"/>
      <c r="OG217"/>
      <c r="OH217"/>
      <c r="OI217"/>
      <c r="OJ217"/>
      <c r="OK217"/>
      <c r="OL217"/>
      <c r="OM217"/>
      <c r="ON217"/>
      <c r="OO217"/>
      <c r="OP217"/>
      <c r="OQ217"/>
      <c r="OR217"/>
      <c r="OS217"/>
      <c r="OT217"/>
      <c r="OU217"/>
      <c r="OV217"/>
      <c r="OW217"/>
      <c r="OX217"/>
      <c r="OY217"/>
      <c r="OZ217"/>
      <c r="PA217"/>
      <c r="PB217"/>
      <c r="PC217"/>
      <c r="PD217"/>
      <c r="PE217"/>
      <c r="PF217"/>
      <c r="PG217"/>
      <c r="PH217"/>
      <c r="PI217"/>
      <c r="PJ217"/>
      <c r="PK217"/>
      <c r="PL217"/>
      <c r="PM217"/>
      <c r="PN217"/>
      <c r="PO217"/>
      <c r="PP217"/>
      <c r="PQ217"/>
      <c r="PR217"/>
      <c r="PS217"/>
      <c r="PT217"/>
      <c r="PU217"/>
      <c r="PV217"/>
      <c r="PW217"/>
      <c r="PX217"/>
      <c r="PY217"/>
      <c r="PZ217"/>
      <c r="QA217"/>
      <c r="QB217"/>
      <c r="QC217"/>
      <c r="QD217"/>
      <c r="QE217"/>
      <c r="QF217"/>
      <c r="QG217"/>
      <c r="QH217"/>
      <c r="QI217"/>
      <c r="QJ217"/>
      <c r="QK217"/>
      <c r="QL217"/>
      <c r="QM217"/>
      <c r="QN217"/>
      <c r="QO217"/>
      <c r="QP217"/>
      <c r="QQ217"/>
      <c r="QR217"/>
      <c r="QS217"/>
      <c r="QT217"/>
      <c r="QU217"/>
      <c r="QV217"/>
      <c r="QW217"/>
      <c r="QX217"/>
    </row>
    <row r="218" spans="1:466" x14ac:dyDescent="0.35">
      <c r="A218" s="53"/>
      <c r="B218" s="53"/>
      <c r="C218" s="55"/>
      <c r="D218" s="53"/>
      <c r="E218" s="53"/>
      <c r="F218" s="126" t="s">
        <v>369</v>
      </c>
      <c r="G218" s="125">
        <v>2.9306400000000004</v>
      </c>
      <c r="H218" s="125">
        <v>293.06400000000002</v>
      </c>
      <c r="I218" s="133">
        <v>100</v>
      </c>
      <c r="J218" s="53"/>
      <c r="K218" s="53"/>
      <c r="L218" s="53"/>
      <c r="M218" s="53"/>
      <c r="N218" s="53"/>
      <c r="O218" s="53"/>
      <c r="P218" s="53"/>
      <c r="Q218" s="53"/>
      <c r="R218" s="53"/>
      <c r="S218" s="53"/>
      <c r="T218" s="53"/>
      <c r="U218" s="53"/>
      <c r="V218" s="53"/>
      <c r="W218" s="53"/>
      <c r="X218" s="53"/>
      <c r="Y218" s="53"/>
      <c r="Z218" s="53"/>
      <c r="AA218" s="53"/>
      <c r="AB218" s="53"/>
      <c r="AC218" s="53"/>
      <c r="AD218" s="53"/>
      <c r="AE218" s="53"/>
      <c r="AF218" s="63"/>
      <c r="AG218" s="64"/>
      <c r="AH218" s="65"/>
      <c r="AI218" s="65"/>
      <c r="AJ218" s="53"/>
      <c r="AK218" s="62"/>
      <c r="AL218" s="62"/>
      <c r="AM218" s="62"/>
      <c r="AN218" s="62"/>
      <c r="AO218" s="62"/>
      <c r="AP218" s="62"/>
      <c r="AQ218" s="62"/>
      <c r="AR218" s="62"/>
      <c r="AS218" s="62"/>
      <c r="AT218" s="62"/>
      <c r="AU218" s="62"/>
      <c r="AV218" s="62"/>
      <c r="AW218" s="62"/>
      <c r="AX218" s="62"/>
      <c r="AY218" s="62"/>
      <c r="AZ218" s="62"/>
      <c r="BA218" s="62"/>
      <c r="BB218" s="62"/>
      <c r="BC218" s="62"/>
      <c r="BD218" s="62"/>
      <c r="BE218" s="62"/>
      <c r="BF218" s="62"/>
      <c r="BG218" s="62"/>
      <c r="BH218" s="62"/>
      <c r="BI218" s="62"/>
      <c r="BJ218" s="62"/>
      <c r="BK218" s="62"/>
      <c r="BL218" s="62"/>
      <c r="BM218" s="62"/>
      <c r="BN218" s="62"/>
      <c r="BO218" s="62"/>
      <c r="BP218" s="62"/>
      <c r="BQ218" s="62"/>
      <c r="BR218" s="62"/>
      <c r="BS218" s="62"/>
      <c r="BT218" s="62"/>
      <c r="BU218" s="62"/>
      <c r="BV218" s="62"/>
      <c r="BW218" s="62"/>
      <c r="BX218" s="62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  <c r="HB218"/>
      <c r="HC218"/>
      <c r="HD218"/>
      <c r="HE218"/>
      <c r="HF218"/>
      <c r="HG218"/>
      <c r="HH218"/>
      <c r="HI218"/>
      <c r="HJ218"/>
      <c r="HK218"/>
      <c r="HL218"/>
      <c r="HM218"/>
      <c r="HN218"/>
      <c r="HO218"/>
      <c r="HP218"/>
      <c r="HQ218"/>
      <c r="HR218"/>
      <c r="HS218"/>
      <c r="HT218"/>
      <c r="HU218"/>
      <c r="HV218"/>
      <c r="HW218"/>
      <c r="HX218"/>
      <c r="HY218"/>
      <c r="HZ218"/>
      <c r="IA218"/>
      <c r="IB218"/>
      <c r="IC218"/>
      <c r="ID218"/>
      <c r="IE218"/>
      <c r="IF218"/>
      <c r="IG218"/>
      <c r="IH218"/>
      <c r="II218"/>
      <c r="IJ218"/>
      <c r="IK218"/>
      <c r="IL218"/>
      <c r="IM218"/>
      <c r="IN218"/>
      <c r="IO218"/>
      <c r="IP218"/>
      <c r="IQ218"/>
      <c r="IR218"/>
      <c r="IS218"/>
      <c r="IT218"/>
      <c r="IU218"/>
      <c r="IV218"/>
      <c r="IW218"/>
      <c r="IX218"/>
      <c r="IY218"/>
      <c r="IZ218"/>
      <c r="JA218"/>
      <c r="JB218"/>
      <c r="JC218"/>
      <c r="JD218"/>
      <c r="JE218"/>
      <c r="JF218"/>
      <c r="JG218"/>
      <c r="JH218"/>
      <c r="JI218"/>
      <c r="JJ218"/>
      <c r="JK218"/>
      <c r="JL218"/>
      <c r="JM218"/>
      <c r="JN218"/>
      <c r="JO218"/>
      <c r="JP218"/>
      <c r="JQ218"/>
      <c r="JR218"/>
      <c r="JS218"/>
      <c r="JT218"/>
      <c r="JU218"/>
      <c r="JV218"/>
      <c r="JW218"/>
      <c r="JX218"/>
      <c r="JY218"/>
      <c r="JZ218"/>
      <c r="KA218"/>
      <c r="KB218"/>
      <c r="KC218"/>
      <c r="KD218"/>
      <c r="KE218"/>
      <c r="KF218"/>
      <c r="KG218"/>
      <c r="KH218"/>
      <c r="KI218"/>
      <c r="KJ218"/>
      <c r="KK218"/>
      <c r="KL218"/>
      <c r="KM218"/>
      <c r="KN218"/>
      <c r="KO218"/>
      <c r="KP218"/>
      <c r="KQ218"/>
      <c r="KR218"/>
      <c r="KS218"/>
      <c r="KT218"/>
      <c r="KU218"/>
      <c r="KV218"/>
      <c r="KW218"/>
      <c r="KX218"/>
      <c r="KY218"/>
      <c r="KZ218"/>
      <c r="LA218"/>
      <c r="LB218"/>
      <c r="LC218"/>
      <c r="LD218"/>
      <c r="LE218"/>
      <c r="LF218"/>
      <c r="LG218"/>
      <c r="LH218"/>
      <c r="LI218"/>
      <c r="LJ218"/>
      <c r="LK218"/>
      <c r="LL218"/>
      <c r="LM218"/>
      <c r="LN218"/>
      <c r="LO218"/>
      <c r="LP218"/>
      <c r="LQ218"/>
      <c r="LR218"/>
      <c r="LS218"/>
      <c r="LT218"/>
      <c r="LU218"/>
      <c r="LV218"/>
      <c r="LW218"/>
      <c r="LX218"/>
      <c r="LY218"/>
      <c r="LZ218"/>
      <c r="MA218"/>
      <c r="MB218"/>
      <c r="MC218"/>
      <c r="MD218"/>
      <c r="ME218"/>
      <c r="MF218"/>
      <c r="MG218"/>
      <c r="MH218"/>
      <c r="MI218"/>
      <c r="MJ218"/>
      <c r="MK218"/>
      <c r="ML218"/>
      <c r="MM218"/>
      <c r="MN218"/>
      <c r="MO218"/>
      <c r="MP218"/>
      <c r="MQ218"/>
      <c r="MR218"/>
      <c r="MS218"/>
      <c r="MT218"/>
      <c r="MU218"/>
      <c r="MV218"/>
      <c r="MW218"/>
      <c r="MX218"/>
      <c r="MY218"/>
      <c r="MZ218"/>
      <c r="NA218"/>
      <c r="NB218"/>
      <c r="NC218"/>
      <c r="ND218"/>
      <c r="NE218"/>
      <c r="NF218"/>
      <c r="NG218"/>
      <c r="NH218"/>
      <c r="NI218"/>
      <c r="NJ218"/>
      <c r="NK218"/>
      <c r="NL218"/>
      <c r="NM218"/>
      <c r="NN218"/>
      <c r="NO218"/>
      <c r="NP218"/>
      <c r="NQ218"/>
      <c r="NR218"/>
      <c r="NS218"/>
      <c r="NT218"/>
      <c r="NU218"/>
      <c r="NV218"/>
      <c r="NW218"/>
      <c r="NX218"/>
      <c r="NY218"/>
      <c r="NZ218"/>
      <c r="OA218"/>
      <c r="OB218"/>
      <c r="OC218"/>
      <c r="OD218"/>
      <c r="OE218"/>
      <c r="OF218"/>
      <c r="OG218"/>
      <c r="OH218"/>
      <c r="OI218"/>
      <c r="OJ218"/>
      <c r="OK218"/>
      <c r="OL218"/>
      <c r="OM218"/>
      <c r="ON218"/>
      <c r="OO218"/>
      <c r="OP218"/>
      <c r="OQ218"/>
      <c r="OR218"/>
      <c r="OS218"/>
      <c r="OT218"/>
      <c r="OU218"/>
      <c r="OV218"/>
      <c r="OW218"/>
      <c r="OX218"/>
      <c r="OY218"/>
      <c r="OZ218"/>
      <c r="PA218"/>
      <c r="PB218"/>
      <c r="PC218"/>
      <c r="PD218"/>
      <c r="PE218"/>
      <c r="PF218"/>
      <c r="PG218"/>
      <c r="PH218"/>
      <c r="PI218"/>
      <c r="PJ218"/>
      <c r="PK218"/>
      <c r="PL218"/>
      <c r="PM218"/>
      <c r="PN218"/>
      <c r="PO218"/>
      <c r="PP218"/>
      <c r="PQ218"/>
      <c r="PR218"/>
      <c r="PS218"/>
      <c r="PT218"/>
      <c r="PU218"/>
      <c r="PV218"/>
      <c r="PW218"/>
      <c r="PX218"/>
      <c r="PY218"/>
      <c r="PZ218"/>
      <c r="QA218"/>
      <c r="QB218"/>
      <c r="QC218"/>
      <c r="QD218"/>
      <c r="QE218"/>
      <c r="QF218"/>
      <c r="QG218"/>
      <c r="QH218"/>
      <c r="QI218"/>
      <c r="QJ218"/>
      <c r="QK218"/>
      <c r="QL218"/>
      <c r="QM218"/>
      <c r="QN218"/>
      <c r="QO218"/>
      <c r="QP218"/>
      <c r="QQ218"/>
      <c r="QR218"/>
      <c r="QS218"/>
      <c r="QT218"/>
      <c r="QU218"/>
      <c r="QV218"/>
      <c r="QW218"/>
      <c r="QX218"/>
    </row>
    <row r="219" spans="1:466" x14ac:dyDescent="0.35">
      <c r="A219" s="53"/>
      <c r="B219" s="53"/>
      <c r="C219" s="55"/>
      <c r="D219" s="53"/>
      <c r="E219" s="53"/>
      <c r="F219" s="126" t="s">
        <v>394</v>
      </c>
      <c r="G219" s="125">
        <v>0.28799999999999998</v>
      </c>
      <c r="H219" s="125">
        <v>367.2</v>
      </c>
      <c r="I219" s="133">
        <v>1275</v>
      </c>
      <c r="J219" s="53"/>
      <c r="K219" s="53"/>
      <c r="L219" s="53"/>
      <c r="M219" s="53"/>
      <c r="N219" s="53"/>
      <c r="O219" s="53"/>
      <c r="P219" s="53"/>
      <c r="Q219" s="53"/>
      <c r="R219" s="53"/>
      <c r="S219" s="53"/>
      <c r="T219" s="53"/>
      <c r="U219" s="53"/>
      <c r="V219" s="53"/>
      <c r="W219" s="53"/>
      <c r="X219" s="53"/>
      <c r="Y219" s="53"/>
      <c r="Z219" s="53"/>
      <c r="AA219" s="53"/>
      <c r="AB219" s="53"/>
      <c r="AC219" s="53"/>
      <c r="AD219" s="53"/>
      <c r="AE219" s="53"/>
      <c r="AF219" s="63"/>
      <c r="AG219" s="64"/>
      <c r="AH219" s="65"/>
      <c r="AI219" s="65"/>
      <c r="AJ219" s="53"/>
      <c r="AK219" s="62"/>
      <c r="AL219" s="62"/>
      <c r="AM219" s="62"/>
      <c r="AN219" s="62"/>
      <c r="AO219" s="62"/>
      <c r="AP219" s="62"/>
      <c r="AQ219" s="62"/>
      <c r="AR219" s="62"/>
      <c r="AS219" s="62"/>
      <c r="AT219" s="62"/>
      <c r="AU219" s="62"/>
      <c r="AV219" s="62"/>
      <c r="AW219" s="62"/>
      <c r="AX219" s="62"/>
      <c r="AY219" s="62"/>
      <c r="AZ219" s="62"/>
      <c r="BA219" s="62"/>
      <c r="BB219" s="62"/>
      <c r="BC219" s="62"/>
      <c r="BD219" s="62"/>
      <c r="BE219" s="62"/>
      <c r="BF219" s="62"/>
      <c r="BG219" s="62"/>
      <c r="BH219" s="62"/>
      <c r="BI219" s="62"/>
      <c r="BJ219" s="62"/>
      <c r="BK219" s="62"/>
      <c r="BL219" s="62"/>
      <c r="BM219" s="62"/>
      <c r="BN219" s="62"/>
      <c r="BO219" s="62"/>
      <c r="BP219" s="62"/>
      <c r="BQ219" s="62"/>
      <c r="BR219" s="62"/>
      <c r="BS219" s="62"/>
      <c r="BT219" s="62"/>
      <c r="BU219" s="62"/>
      <c r="BV219" s="62"/>
      <c r="BW219" s="62"/>
      <c r="BX219" s="62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  <c r="HB219"/>
      <c r="HC219"/>
      <c r="HD219"/>
      <c r="HE219"/>
      <c r="HF219"/>
      <c r="HG219"/>
      <c r="HH219"/>
      <c r="HI219"/>
      <c r="HJ219"/>
      <c r="HK219"/>
      <c r="HL219"/>
      <c r="HM219"/>
      <c r="HN219"/>
      <c r="HO219"/>
      <c r="HP219"/>
      <c r="HQ219"/>
      <c r="HR219"/>
      <c r="HS219"/>
      <c r="HT219"/>
      <c r="HU219"/>
      <c r="HV219"/>
      <c r="HW219"/>
      <c r="HX219"/>
      <c r="HY219"/>
      <c r="HZ219"/>
      <c r="IA219"/>
      <c r="IB219"/>
      <c r="IC219"/>
      <c r="ID219"/>
      <c r="IE219"/>
      <c r="IF219"/>
      <c r="IG219"/>
      <c r="IH219"/>
      <c r="II219"/>
      <c r="IJ219"/>
      <c r="IK219"/>
      <c r="IL219"/>
      <c r="IM219"/>
      <c r="IN219"/>
      <c r="IO219"/>
      <c r="IP219"/>
      <c r="IQ219"/>
      <c r="IR219"/>
      <c r="IS219"/>
      <c r="IT219"/>
      <c r="IU219"/>
      <c r="IV219"/>
      <c r="IW219"/>
      <c r="IX219"/>
      <c r="IY219"/>
      <c r="IZ219"/>
      <c r="JA219"/>
      <c r="JB219"/>
      <c r="JC219"/>
      <c r="JD219"/>
      <c r="JE219"/>
      <c r="JF219"/>
      <c r="JG219"/>
      <c r="JH219"/>
      <c r="JI219"/>
      <c r="JJ219"/>
      <c r="JK219"/>
      <c r="JL219"/>
      <c r="JM219"/>
      <c r="JN219"/>
      <c r="JO219"/>
      <c r="JP219"/>
      <c r="JQ219"/>
      <c r="JR219"/>
      <c r="JS219"/>
      <c r="JT219"/>
      <c r="JU219"/>
      <c r="JV219"/>
      <c r="JW219"/>
      <c r="JX219"/>
      <c r="JY219"/>
      <c r="JZ219"/>
      <c r="KA219"/>
      <c r="KB219"/>
      <c r="KC219"/>
      <c r="KD219"/>
      <c r="KE219"/>
      <c r="KF219"/>
      <c r="KG219"/>
      <c r="KH219"/>
      <c r="KI219"/>
      <c r="KJ219"/>
      <c r="KK219"/>
      <c r="KL219"/>
      <c r="KM219"/>
      <c r="KN219"/>
      <c r="KO219"/>
      <c r="KP219"/>
      <c r="KQ219"/>
      <c r="KR219"/>
      <c r="KS219"/>
      <c r="KT219"/>
      <c r="KU219"/>
      <c r="KV219"/>
      <c r="KW219"/>
      <c r="KX219"/>
      <c r="KY219"/>
      <c r="KZ219"/>
      <c r="LA219"/>
      <c r="LB219"/>
      <c r="LC219"/>
      <c r="LD219"/>
      <c r="LE219"/>
      <c r="LF219"/>
      <c r="LG219"/>
      <c r="LH219"/>
      <c r="LI219"/>
      <c r="LJ219"/>
      <c r="LK219"/>
      <c r="LL219"/>
      <c r="LM219"/>
      <c r="LN219"/>
      <c r="LO219"/>
      <c r="LP219"/>
      <c r="LQ219"/>
      <c r="LR219"/>
      <c r="LS219"/>
      <c r="LT219"/>
      <c r="LU219"/>
      <c r="LV219"/>
      <c r="LW219"/>
      <c r="LX219"/>
      <c r="LY219"/>
      <c r="LZ219"/>
      <c r="MA219"/>
      <c r="MB219"/>
      <c r="MC219"/>
      <c r="MD219"/>
      <c r="ME219"/>
      <c r="MF219"/>
      <c r="MG219"/>
      <c r="MH219"/>
      <c r="MI219"/>
      <c r="MJ219"/>
      <c r="MK219"/>
      <c r="ML219"/>
      <c r="MM219"/>
      <c r="MN219"/>
      <c r="MO219"/>
      <c r="MP219"/>
      <c r="MQ219"/>
      <c r="MR219"/>
      <c r="MS219"/>
      <c r="MT219"/>
      <c r="MU219"/>
      <c r="MV219"/>
      <c r="MW219"/>
      <c r="MX219"/>
      <c r="MY219"/>
      <c r="MZ219"/>
      <c r="NA219"/>
      <c r="NB219"/>
      <c r="NC219"/>
      <c r="ND219"/>
      <c r="NE219"/>
      <c r="NF219"/>
      <c r="NG219"/>
      <c r="NH219"/>
      <c r="NI219"/>
      <c r="NJ219"/>
      <c r="NK219"/>
      <c r="NL219"/>
      <c r="NM219"/>
      <c r="NN219"/>
      <c r="NO219"/>
      <c r="NP219"/>
      <c r="NQ219"/>
      <c r="NR219"/>
      <c r="NS219"/>
      <c r="NT219"/>
      <c r="NU219"/>
      <c r="NV219"/>
      <c r="NW219"/>
      <c r="NX219"/>
      <c r="NY219"/>
      <c r="NZ219"/>
      <c r="OA219"/>
      <c r="OB219"/>
      <c r="OC219"/>
      <c r="OD219"/>
      <c r="OE219"/>
      <c r="OF219"/>
      <c r="OG219"/>
      <c r="OH219"/>
      <c r="OI219"/>
      <c r="OJ219"/>
      <c r="OK219"/>
      <c r="OL219"/>
      <c r="OM219"/>
      <c r="ON219"/>
      <c r="OO219"/>
      <c r="OP219"/>
      <c r="OQ219"/>
      <c r="OR219"/>
      <c r="OS219"/>
      <c r="OT219"/>
      <c r="OU219"/>
      <c r="OV219"/>
      <c r="OW219"/>
      <c r="OX219"/>
      <c r="OY219"/>
      <c r="OZ219"/>
      <c r="PA219"/>
      <c r="PB219"/>
      <c r="PC219"/>
      <c r="PD219"/>
      <c r="PE219"/>
      <c r="PF219"/>
      <c r="PG219"/>
      <c r="PH219"/>
      <c r="PI219"/>
      <c r="PJ219"/>
      <c r="PK219"/>
      <c r="PL219"/>
      <c r="PM219"/>
      <c r="PN219"/>
      <c r="PO219"/>
      <c r="PP219"/>
      <c r="PQ219"/>
      <c r="PR219"/>
      <c r="PS219"/>
      <c r="PT219"/>
      <c r="PU219"/>
      <c r="PV219"/>
      <c r="PW219"/>
      <c r="PX219"/>
      <c r="PY219"/>
      <c r="PZ219"/>
      <c r="QA219"/>
      <c r="QB219"/>
      <c r="QC219"/>
      <c r="QD219"/>
      <c r="QE219"/>
      <c r="QF219"/>
      <c r="QG219"/>
      <c r="QH219"/>
      <c r="QI219"/>
      <c r="QJ219"/>
      <c r="QK219"/>
      <c r="QL219"/>
      <c r="QM219"/>
      <c r="QN219"/>
      <c r="QO219"/>
      <c r="QP219"/>
      <c r="QQ219"/>
      <c r="QR219"/>
      <c r="QS219"/>
      <c r="QT219"/>
      <c r="QU219"/>
      <c r="QV219"/>
      <c r="QW219"/>
      <c r="QX219"/>
    </row>
    <row r="220" spans="1:466" x14ac:dyDescent="0.35">
      <c r="A220" s="53"/>
      <c r="B220" s="53"/>
      <c r="C220" s="55"/>
      <c r="D220" s="53"/>
      <c r="E220" s="53"/>
      <c r="F220" s="126" t="s">
        <v>371</v>
      </c>
      <c r="G220" s="125">
        <v>2.4417599999999995</v>
      </c>
      <c r="H220" s="125">
        <v>1191.5788799999998</v>
      </c>
      <c r="I220" s="133">
        <v>488</v>
      </c>
      <c r="J220" s="53"/>
      <c r="K220" s="53"/>
      <c r="L220" s="53"/>
      <c r="M220" s="53"/>
      <c r="N220" s="53"/>
      <c r="O220" s="53"/>
      <c r="P220" s="53"/>
      <c r="Q220" s="53"/>
      <c r="R220" s="53"/>
      <c r="S220" s="53"/>
      <c r="T220" s="53"/>
      <c r="U220" s="53"/>
      <c r="V220" s="53"/>
      <c r="W220" s="53"/>
      <c r="X220" s="53"/>
      <c r="Y220" s="53"/>
      <c r="Z220" s="53"/>
      <c r="AA220" s="53"/>
      <c r="AB220" s="53"/>
      <c r="AC220" s="53"/>
      <c r="AD220" s="53"/>
      <c r="AE220" s="53"/>
      <c r="AF220" s="63"/>
      <c r="AG220" s="64"/>
      <c r="AH220" s="65"/>
      <c r="AI220" s="65"/>
      <c r="AJ220" s="53"/>
      <c r="AK220" s="62"/>
      <c r="AL220" s="62"/>
      <c r="AM220" s="62"/>
      <c r="AN220" s="62"/>
      <c r="AO220" s="62"/>
      <c r="AP220" s="62"/>
      <c r="AQ220" s="62"/>
      <c r="AR220" s="62"/>
      <c r="AS220" s="62"/>
      <c r="AT220" s="62"/>
      <c r="AU220" s="62"/>
      <c r="AV220" s="62"/>
      <c r="AW220" s="62"/>
      <c r="AX220" s="62"/>
      <c r="AY220" s="62"/>
      <c r="AZ220" s="62"/>
      <c r="BA220" s="62"/>
      <c r="BB220" s="62"/>
      <c r="BC220" s="62"/>
      <c r="BD220" s="62"/>
      <c r="BE220" s="62"/>
      <c r="BF220" s="62"/>
      <c r="BG220" s="62"/>
      <c r="BH220" s="62"/>
      <c r="BI220" s="62"/>
      <c r="BJ220" s="62"/>
      <c r="BK220" s="62"/>
      <c r="BL220" s="62"/>
      <c r="BM220" s="62"/>
      <c r="BN220" s="62"/>
      <c r="BO220" s="62"/>
      <c r="BP220" s="62"/>
      <c r="BQ220" s="62"/>
      <c r="BR220" s="62"/>
      <c r="BS220" s="62"/>
      <c r="BT220" s="62"/>
      <c r="BU220" s="62"/>
      <c r="BV220" s="62"/>
      <c r="BW220" s="62"/>
      <c r="BX220" s="62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  <c r="HB220"/>
      <c r="HC220"/>
      <c r="HD220"/>
      <c r="HE220"/>
      <c r="HF220"/>
      <c r="HG220"/>
      <c r="HH220"/>
      <c r="HI220"/>
      <c r="HJ220"/>
      <c r="HK220"/>
      <c r="HL220"/>
      <c r="HM220"/>
      <c r="HN220"/>
      <c r="HO220"/>
      <c r="HP220"/>
      <c r="HQ220"/>
      <c r="HR220"/>
      <c r="HS220"/>
      <c r="HT220"/>
      <c r="HU220"/>
      <c r="HV220"/>
      <c r="HW220"/>
      <c r="HX220"/>
      <c r="HY220"/>
      <c r="HZ220"/>
      <c r="IA220"/>
      <c r="IB220"/>
      <c r="IC220"/>
      <c r="ID220"/>
      <c r="IE220"/>
      <c r="IF220"/>
      <c r="IG220"/>
      <c r="IH220"/>
      <c r="II220"/>
      <c r="IJ220"/>
      <c r="IK220"/>
      <c r="IL220"/>
      <c r="IM220"/>
      <c r="IN220"/>
      <c r="IO220"/>
      <c r="IP220"/>
      <c r="IQ220"/>
      <c r="IR220"/>
      <c r="IS220"/>
      <c r="IT220"/>
      <c r="IU220"/>
      <c r="IV220"/>
      <c r="IW220"/>
      <c r="IX220"/>
      <c r="IY220"/>
      <c r="IZ220"/>
      <c r="JA220"/>
      <c r="JB220"/>
      <c r="JC220"/>
      <c r="JD220"/>
      <c r="JE220"/>
      <c r="JF220"/>
      <c r="JG220"/>
      <c r="JH220"/>
      <c r="JI220"/>
      <c r="JJ220"/>
      <c r="JK220"/>
      <c r="JL220"/>
      <c r="JM220"/>
      <c r="JN220"/>
      <c r="JO220"/>
      <c r="JP220"/>
      <c r="JQ220"/>
      <c r="JR220"/>
      <c r="JS220"/>
      <c r="JT220"/>
      <c r="JU220"/>
      <c r="JV220"/>
      <c r="JW220"/>
      <c r="JX220"/>
      <c r="JY220"/>
      <c r="JZ220"/>
      <c r="KA220"/>
      <c r="KB220"/>
      <c r="KC220"/>
      <c r="KD220"/>
      <c r="KE220"/>
      <c r="KF220"/>
      <c r="KG220"/>
      <c r="KH220"/>
      <c r="KI220"/>
      <c r="KJ220"/>
      <c r="KK220"/>
      <c r="KL220"/>
      <c r="KM220"/>
      <c r="KN220"/>
      <c r="KO220"/>
      <c r="KP220"/>
      <c r="KQ220"/>
      <c r="KR220"/>
      <c r="KS220"/>
      <c r="KT220"/>
      <c r="KU220"/>
      <c r="KV220"/>
      <c r="KW220"/>
      <c r="KX220"/>
      <c r="KY220"/>
      <c r="KZ220"/>
      <c r="LA220"/>
      <c r="LB220"/>
      <c r="LC220"/>
      <c r="LD220"/>
      <c r="LE220"/>
      <c r="LF220"/>
      <c r="LG220"/>
      <c r="LH220"/>
      <c r="LI220"/>
      <c r="LJ220"/>
      <c r="LK220"/>
      <c r="LL220"/>
      <c r="LM220"/>
      <c r="LN220"/>
      <c r="LO220"/>
      <c r="LP220"/>
      <c r="LQ220"/>
      <c r="LR220"/>
      <c r="LS220"/>
      <c r="LT220"/>
      <c r="LU220"/>
      <c r="LV220"/>
      <c r="LW220"/>
      <c r="LX220"/>
      <c r="LY220"/>
      <c r="LZ220"/>
      <c r="MA220"/>
      <c r="MB220"/>
      <c r="MC220"/>
      <c r="MD220"/>
      <c r="ME220"/>
      <c r="MF220"/>
      <c r="MG220"/>
      <c r="MH220"/>
      <c r="MI220"/>
      <c r="MJ220"/>
      <c r="MK220"/>
      <c r="ML220"/>
      <c r="MM220"/>
      <c r="MN220"/>
      <c r="MO220"/>
      <c r="MP220"/>
      <c r="MQ220"/>
      <c r="MR220"/>
      <c r="MS220"/>
      <c r="MT220"/>
      <c r="MU220"/>
      <c r="MV220"/>
      <c r="MW220"/>
      <c r="MX220"/>
      <c r="MY220"/>
      <c r="MZ220"/>
      <c r="NA220"/>
      <c r="NB220"/>
      <c r="NC220"/>
      <c r="ND220"/>
      <c r="NE220"/>
      <c r="NF220"/>
      <c r="NG220"/>
      <c r="NH220"/>
      <c r="NI220"/>
      <c r="NJ220"/>
      <c r="NK220"/>
      <c r="NL220"/>
      <c r="NM220"/>
      <c r="NN220"/>
      <c r="NO220"/>
      <c r="NP220"/>
      <c r="NQ220"/>
      <c r="NR220"/>
      <c r="NS220"/>
      <c r="NT220"/>
      <c r="NU220"/>
      <c r="NV220"/>
      <c r="NW220"/>
      <c r="NX220"/>
      <c r="NY220"/>
      <c r="NZ220"/>
      <c r="OA220"/>
      <c r="OB220"/>
      <c r="OC220"/>
      <c r="OD220"/>
      <c r="OE220"/>
      <c r="OF220"/>
      <c r="OG220"/>
      <c r="OH220"/>
      <c r="OI220"/>
      <c r="OJ220"/>
      <c r="OK220"/>
      <c r="OL220"/>
      <c r="OM220"/>
      <c r="ON220"/>
      <c r="OO220"/>
      <c r="OP220"/>
      <c r="OQ220"/>
      <c r="OR220"/>
      <c r="OS220"/>
      <c r="OT220"/>
      <c r="OU220"/>
      <c r="OV220"/>
      <c r="OW220"/>
      <c r="OX220"/>
      <c r="OY220"/>
      <c r="OZ220"/>
      <c r="PA220"/>
      <c r="PB220"/>
      <c r="PC220"/>
      <c r="PD220"/>
      <c r="PE220"/>
      <c r="PF220"/>
      <c r="PG220"/>
      <c r="PH220"/>
      <c r="PI220"/>
      <c r="PJ220"/>
      <c r="PK220"/>
      <c r="PL220"/>
      <c r="PM220"/>
      <c r="PN220"/>
      <c r="PO220"/>
      <c r="PP220"/>
      <c r="PQ220"/>
      <c r="PR220"/>
      <c r="PS220"/>
      <c r="PT220"/>
      <c r="PU220"/>
      <c r="PV220"/>
      <c r="PW220"/>
      <c r="PX220"/>
      <c r="PY220"/>
      <c r="PZ220"/>
      <c r="QA220"/>
      <c r="QB220"/>
      <c r="QC220"/>
      <c r="QD220"/>
      <c r="QE220"/>
      <c r="QF220"/>
      <c r="QG220"/>
      <c r="QH220"/>
      <c r="QI220"/>
      <c r="QJ220"/>
      <c r="QK220"/>
      <c r="QL220"/>
      <c r="QM220"/>
      <c r="QN220"/>
      <c r="QO220"/>
      <c r="QP220"/>
      <c r="QQ220"/>
      <c r="QR220"/>
      <c r="QS220"/>
      <c r="QT220"/>
      <c r="QU220"/>
      <c r="QV220"/>
      <c r="QW220"/>
      <c r="QX220"/>
    </row>
    <row r="221" spans="1:466" x14ac:dyDescent="0.35">
      <c r="A221" s="53"/>
      <c r="B221" s="53"/>
      <c r="C221" s="55"/>
      <c r="D221" s="53"/>
      <c r="E221" s="53"/>
      <c r="F221" s="126" t="s">
        <v>373</v>
      </c>
      <c r="G221" s="125">
        <v>2.7909599999999997</v>
      </c>
      <c r="H221" s="125">
        <v>842.86991999999987</v>
      </c>
      <c r="I221" s="133">
        <v>302</v>
      </c>
      <c r="J221" s="53"/>
      <c r="K221" s="53"/>
      <c r="L221" s="53"/>
      <c r="M221" s="53"/>
      <c r="N221" s="53"/>
      <c r="O221" s="53"/>
      <c r="P221" s="53"/>
      <c r="Q221" s="53"/>
      <c r="R221" s="53"/>
      <c r="S221" s="53"/>
      <c r="T221" s="53"/>
      <c r="U221" s="53"/>
      <c r="V221" s="53"/>
      <c r="W221" s="53"/>
      <c r="X221" s="53"/>
      <c r="Y221" s="53"/>
      <c r="Z221" s="53"/>
      <c r="AA221" s="53"/>
      <c r="AB221" s="53"/>
      <c r="AC221" s="53"/>
      <c r="AD221" s="53"/>
      <c r="AE221" s="53"/>
      <c r="AF221" s="63"/>
      <c r="AG221" s="64"/>
      <c r="AH221" s="65"/>
      <c r="AI221" s="65"/>
      <c r="AJ221" s="53"/>
      <c r="AK221" s="62"/>
      <c r="AL221" s="62"/>
      <c r="AM221" s="62"/>
      <c r="AN221" s="62"/>
      <c r="AO221" s="62"/>
      <c r="AP221" s="62"/>
      <c r="AQ221" s="62"/>
      <c r="AR221" s="62"/>
      <c r="AS221" s="62"/>
      <c r="AT221" s="62"/>
      <c r="AU221" s="62"/>
      <c r="AV221" s="62"/>
      <c r="AW221" s="62"/>
      <c r="AX221" s="62"/>
      <c r="AY221" s="62"/>
      <c r="AZ221" s="62"/>
      <c r="BA221" s="62"/>
      <c r="BB221" s="62"/>
      <c r="BC221" s="62"/>
      <c r="BD221" s="62"/>
      <c r="BE221" s="62"/>
      <c r="BF221" s="62"/>
      <c r="BG221" s="62"/>
      <c r="BH221" s="62"/>
      <c r="BI221" s="62"/>
      <c r="BJ221" s="62"/>
      <c r="BK221" s="62"/>
      <c r="BL221" s="62"/>
      <c r="BM221" s="62"/>
      <c r="BN221" s="62"/>
      <c r="BO221" s="62"/>
      <c r="BP221" s="62"/>
      <c r="BQ221" s="62"/>
      <c r="BR221" s="62"/>
      <c r="BS221" s="62"/>
      <c r="BT221" s="62"/>
      <c r="BU221" s="62"/>
      <c r="BV221" s="62"/>
      <c r="BW221" s="62"/>
      <c r="BX221" s="62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  <c r="HB221"/>
      <c r="HC221"/>
      <c r="HD221"/>
      <c r="HE221"/>
      <c r="HF221"/>
      <c r="HG221"/>
      <c r="HH221"/>
      <c r="HI221"/>
      <c r="HJ221"/>
      <c r="HK221"/>
      <c r="HL221"/>
      <c r="HM221"/>
      <c r="HN221"/>
      <c r="HO221"/>
      <c r="HP221"/>
      <c r="HQ221"/>
      <c r="HR221"/>
      <c r="HS221"/>
      <c r="HT221"/>
      <c r="HU221"/>
      <c r="HV221"/>
      <c r="HW221"/>
      <c r="HX221"/>
      <c r="HY221"/>
      <c r="HZ221"/>
      <c r="IA221"/>
      <c r="IB221"/>
      <c r="IC221"/>
      <c r="ID221"/>
      <c r="IE221"/>
      <c r="IF221"/>
      <c r="IG221"/>
      <c r="IH221"/>
      <c r="II221"/>
      <c r="IJ221"/>
      <c r="IK221"/>
      <c r="IL221"/>
      <c r="IM221"/>
      <c r="IN221"/>
      <c r="IO221"/>
      <c r="IP221"/>
      <c r="IQ221"/>
      <c r="IR221"/>
      <c r="IS221"/>
      <c r="IT221"/>
      <c r="IU221"/>
      <c r="IV221"/>
      <c r="IW221"/>
      <c r="IX221"/>
      <c r="IY221"/>
      <c r="IZ221"/>
      <c r="JA221"/>
      <c r="JB221"/>
      <c r="JC221"/>
      <c r="JD221"/>
      <c r="JE221"/>
      <c r="JF221"/>
      <c r="JG221"/>
      <c r="JH221"/>
      <c r="JI221"/>
      <c r="JJ221"/>
      <c r="JK221"/>
      <c r="JL221"/>
      <c r="JM221"/>
      <c r="JN221"/>
      <c r="JO221"/>
      <c r="JP221"/>
      <c r="JQ221"/>
      <c r="JR221"/>
      <c r="JS221"/>
      <c r="JT221"/>
      <c r="JU221"/>
      <c r="JV221"/>
      <c r="JW221"/>
      <c r="JX221"/>
      <c r="JY221"/>
      <c r="JZ221"/>
      <c r="KA221"/>
      <c r="KB221"/>
      <c r="KC221"/>
      <c r="KD221"/>
      <c r="KE221"/>
      <c r="KF221"/>
      <c r="KG221"/>
      <c r="KH221"/>
      <c r="KI221"/>
      <c r="KJ221"/>
      <c r="KK221"/>
      <c r="KL221"/>
      <c r="KM221"/>
      <c r="KN221"/>
      <c r="KO221"/>
      <c r="KP221"/>
      <c r="KQ221"/>
      <c r="KR221"/>
      <c r="KS221"/>
      <c r="KT221"/>
      <c r="KU221"/>
      <c r="KV221"/>
      <c r="KW221"/>
      <c r="KX221"/>
      <c r="KY221"/>
      <c r="KZ221"/>
      <c r="LA221"/>
      <c r="LB221"/>
      <c r="LC221"/>
      <c r="LD221"/>
      <c r="LE221"/>
      <c r="LF221"/>
      <c r="LG221"/>
      <c r="LH221"/>
      <c r="LI221"/>
      <c r="LJ221"/>
      <c r="LK221"/>
      <c r="LL221"/>
      <c r="LM221"/>
      <c r="LN221"/>
      <c r="LO221"/>
      <c r="LP221"/>
      <c r="LQ221"/>
      <c r="LR221"/>
      <c r="LS221"/>
      <c r="LT221"/>
      <c r="LU221"/>
      <c r="LV221"/>
      <c r="LW221"/>
      <c r="LX221"/>
      <c r="LY221"/>
      <c r="LZ221"/>
      <c r="MA221"/>
      <c r="MB221"/>
      <c r="MC221"/>
      <c r="MD221"/>
      <c r="ME221"/>
      <c r="MF221"/>
      <c r="MG221"/>
      <c r="MH221"/>
      <c r="MI221"/>
      <c r="MJ221"/>
      <c r="MK221"/>
      <c r="ML221"/>
      <c r="MM221"/>
      <c r="MN221"/>
      <c r="MO221"/>
      <c r="MP221"/>
      <c r="MQ221"/>
      <c r="MR221"/>
      <c r="MS221"/>
      <c r="MT221"/>
      <c r="MU221"/>
      <c r="MV221"/>
      <c r="MW221"/>
      <c r="MX221"/>
      <c r="MY221"/>
      <c r="MZ221"/>
      <c r="NA221"/>
      <c r="NB221"/>
      <c r="NC221"/>
      <c r="ND221"/>
      <c r="NE221"/>
      <c r="NF221"/>
      <c r="NG221"/>
      <c r="NH221"/>
      <c r="NI221"/>
      <c r="NJ221"/>
      <c r="NK221"/>
      <c r="NL221"/>
      <c r="NM221"/>
      <c r="NN221"/>
      <c r="NO221"/>
      <c r="NP221"/>
      <c r="NQ221"/>
      <c r="NR221"/>
      <c r="NS221"/>
      <c r="NT221"/>
      <c r="NU221"/>
      <c r="NV221"/>
      <c r="NW221"/>
      <c r="NX221"/>
      <c r="NY221"/>
      <c r="NZ221"/>
      <c r="OA221"/>
      <c r="OB221"/>
      <c r="OC221"/>
      <c r="OD221"/>
      <c r="OE221"/>
      <c r="OF221"/>
      <c r="OG221"/>
      <c r="OH221"/>
      <c r="OI221"/>
      <c r="OJ221"/>
      <c r="OK221"/>
      <c r="OL221"/>
      <c r="OM221"/>
      <c r="ON221"/>
      <c r="OO221"/>
      <c r="OP221"/>
      <c r="OQ221"/>
      <c r="OR221"/>
      <c r="OS221"/>
      <c r="OT221"/>
      <c r="OU221"/>
      <c r="OV221"/>
      <c r="OW221"/>
      <c r="OX221"/>
      <c r="OY221"/>
      <c r="OZ221"/>
      <c r="PA221"/>
      <c r="PB221"/>
      <c r="PC221"/>
      <c r="PD221"/>
      <c r="PE221"/>
      <c r="PF221"/>
      <c r="PG221"/>
      <c r="PH221"/>
      <c r="PI221"/>
      <c r="PJ221"/>
      <c r="PK221"/>
      <c r="PL221"/>
      <c r="PM221"/>
      <c r="PN221"/>
      <c r="PO221"/>
      <c r="PP221"/>
      <c r="PQ221"/>
      <c r="PR221"/>
      <c r="PS221"/>
      <c r="PT221"/>
      <c r="PU221"/>
      <c r="PV221"/>
      <c r="PW221"/>
      <c r="PX221"/>
      <c r="PY221"/>
      <c r="PZ221"/>
      <c r="QA221"/>
      <c r="QB221"/>
      <c r="QC221"/>
      <c r="QD221"/>
      <c r="QE221"/>
      <c r="QF221"/>
      <c r="QG221"/>
      <c r="QH221"/>
      <c r="QI221"/>
      <c r="QJ221"/>
      <c r="QK221"/>
      <c r="QL221"/>
      <c r="QM221"/>
      <c r="QN221"/>
      <c r="QO221"/>
      <c r="QP221"/>
      <c r="QQ221"/>
      <c r="QR221"/>
      <c r="QS221"/>
      <c r="QT221"/>
      <c r="QU221"/>
      <c r="QV221"/>
      <c r="QW221"/>
      <c r="QX221"/>
    </row>
    <row r="222" spans="1:466" x14ac:dyDescent="0.35">
      <c r="A222" s="53"/>
      <c r="B222" s="53"/>
      <c r="C222" s="55"/>
      <c r="D222" s="53"/>
      <c r="E222" s="53"/>
      <c r="F222" s="126" t="s">
        <v>375</v>
      </c>
      <c r="G222" s="125">
        <v>3.1401599999999998</v>
      </c>
      <c r="H222" s="125">
        <v>320.29631999999998</v>
      </c>
      <c r="I222" s="133">
        <v>102</v>
      </c>
      <c r="J222" s="53"/>
      <c r="K222" s="53"/>
      <c r="L222" s="53"/>
      <c r="M222" s="53"/>
      <c r="N222" s="53"/>
      <c r="O222" s="53"/>
      <c r="P222" s="53"/>
      <c r="Q222" s="53"/>
      <c r="R222" s="53"/>
      <c r="S222" s="53"/>
      <c r="T222" s="53"/>
      <c r="U222" s="53"/>
      <c r="V222" s="53"/>
      <c r="W222" s="53"/>
      <c r="X222" s="53"/>
      <c r="Y222" s="53"/>
      <c r="Z222" s="53"/>
      <c r="AA222" s="53"/>
      <c r="AB222" s="53"/>
      <c r="AC222" s="53"/>
      <c r="AD222" s="53"/>
      <c r="AE222" s="53"/>
      <c r="AF222" s="63"/>
      <c r="AG222" s="64"/>
      <c r="AH222" s="65"/>
      <c r="AI222" s="65"/>
      <c r="AJ222" s="53"/>
      <c r="AK222" s="62"/>
      <c r="AL222" s="62"/>
      <c r="AM222" s="62"/>
      <c r="AN222" s="62"/>
      <c r="AO222" s="62"/>
      <c r="AP222" s="62"/>
      <c r="AQ222" s="62"/>
      <c r="AR222" s="62"/>
      <c r="AS222" s="62"/>
      <c r="AT222" s="62"/>
      <c r="AU222" s="62"/>
      <c r="AV222" s="62"/>
      <c r="AW222" s="62"/>
      <c r="AX222" s="62"/>
      <c r="AY222" s="62"/>
      <c r="AZ222" s="62"/>
      <c r="BA222" s="62"/>
      <c r="BB222" s="62"/>
      <c r="BC222" s="62"/>
      <c r="BD222" s="62"/>
      <c r="BE222" s="62"/>
      <c r="BF222" s="62"/>
      <c r="BG222" s="62"/>
      <c r="BH222" s="62"/>
      <c r="BI222" s="62"/>
      <c r="BJ222" s="62"/>
      <c r="BK222" s="62"/>
      <c r="BL222" s="62"/>
      <c r="BM222" s="62"/>
      <c r="BN222" s="62"/>
      <c r="BO222" s="62"/>
      <c r="BP222" s="62"/>
      <c r="BQ222" s="62"/>
      <c r="BR222" s="62"/>
      <c r="BS222" s="62"/>
      <c r="BT222" s="62"/>
      <c r="BU222" s="62"/>
      <c r="BV222" s="62"/>
      <c r="BW222" s="62"/>
      <c r="BX222" s="6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  <c r="HB222"/>
      <c r="HC222"/>
      <c r="HD222"/>
      <c r="HE222"/>
      <c r="HF222"/>
      <c r="HG222"/>
      <c r="HH222"/>
      <c r="HI222"/>
      <c r="HJ222"/>
      <c r="HK222"/>
      <c r="HL222"/>
      <c r="HM222"/>
      <c r="HN222"/>
      <c r="HO222"/>
      <c r="HP222"/>
      <c r="HQ222"/>
      <c r="HR222"/>
      <c r="HS222"/>
      <c r="HT222"/>
      <c r="HU222"/>
      <c r="HV222"/>
      <c r="HW222"/>
      <c r="HX222"/>
      <c r="HY222"/>
      <c r="HZ222"/>
      <c r="IA222"/>
      <c r="IB222"/>
      <c r="IC222"/>
      <c r="ID222"/>
      <c r="IE222"/>
      <c r="IF222"/>
      <c r="IG222"/>
      <c r="IH222"/>
      <c r="II222"/>
      <c r="IJ222"/>
      <c r="IK222"/>
      <c r="IL222"/>
      <c r="IM222"/>
      <c r="IN222"/>
      <c r="IO222"/>
      <c r="IP222"/>
      <c r="IQ222"/>
      <c r="IR222"/>
      <c r="IS222"/>
      <c r="IT222"/>
      <c r="IU222"/>
      <c r="IV222"/>
      <c r="IW222"/>
      <c r="IX222"/>
      <c r="IY222"/>
      <c r="IZ222"/>
      <c r="JA222"/>
      <c r="JB222"/>
      <c r="JC222"/>
      <c r="JD222"/>
      <c r="JE222"/>
      <c r="JF222"/>
      <c r="JG222"/>
      <c r="JH222"/>
      <c r="JI222"/>
      <c r="JJ222"/>
      <c r="JK222"/>
      <c r="JL222"/>
      <c r="JM222"/>
      <c r="JN222"/>
      <c r="JO222"/>
      <c r="JP222"/>
      <c r="JQ222"/>
      <c r="JR222"/>
      <c r="JS222"/>
      <c r="JT222"/>
      <c r="JU222"/>
      <c r="JV222"/>
      <c r="JW222"/>
      <c r="JX222"/>
      <c r="JY222"/>
      <c r="JZ222"/>
      <c r="KA222"/>
      <c r="KB222"/>
      <c r="KC222"/>
      <c r="KD222"/>
      <c r="KE222"/>
      <c r="KF222"/>
      <c r="KG222"/>
      <c r="KH222"/>
      <c r="KI222"/>
      <c r="KJ222"/>
      <c r="KK222"/>
      <c r="KL222"/>
      <c r="KM222"/>
      <c r="KN222"/>
      <c r="KO222"/>
      <c r="KP222"/>
      <c r="KQ222"/>
      <c r="KR222"/>
      <c r="KS222"/>
      <c r="KT222"/>
      <c r="KU222"/>
      <c r="KV222"/>
      <c r="KW222"/>
      <c r="KX222"/>
      <c r="KY222"/>
      <c r="KZ222"/>
      <c r="LA222"/>
      <c r="LB222"/>
      <c r="LC222"/>
      <c r="LD222"/>
      <c r="LE222"/>
      <c r="LF222"/>
      <c r="LG222"/>
      <c r="LH222"/>
      <c r="LI222"/>
      <c r="LJ222"/>
      <c r="LK222"/>
      <c r="LL222"/>
      <c r="LM222"/>
      <c r="LN222"/>
      <c r="LO222"/>
      <c r="LP222"/>
      <c r="LQ222"/>
      <c r="LR222"/>
      <c r="LS222"/>
      <c r="LT222"/>
      <c r="LU222"/>
      <c r="LV222"/>
      <c r="LW222"/>
      <c r="LX222"/>
      <c r="LY222"/>
      <c r="LZ222"/>
      <c r="MA222"/>
      <c r="MB222"/>
      <c r="MC222"/>
      <c r="MD222"/>
      <c r="ME222"/>
      <c r="MF222"/>
      <c r="MG222"/>
      <c r="MH222"/>
      <c r="MI222"/>
      <c r="MJ222"/>
      <c r="MK222"/>
      <c r="ML222"/>
      <c r="MM222"/>
      <c r="MN222"/>
      <c r="MO222"/>
      <c r="MP222"/>
      <c r="MQ222"/>
      <c r="MR222"/>
      <c r="MS222"/>
      <c r="MT222"/>
      <c r="MU222"/>
      <c r="MV222"/>
      <c r="MW222"/>
      <c r="MX222"/>
      <c r="MY222"/>
      <c r="MZ222"/>
      <c r="NA222"/>
      <c r="NB222"/>
      <c r="NC222"/>
      <c r="ND222"/>
      <c r="NE222"/>
      <c r="NF222"/>
      <c r="NG222"/>
      <c r="NH222"/>
      <c r="NI222"/>
      <c r="NJ222"/>
      <c r="NK222"/>
      <c r="NL222"/>
      <c r="NM222"/>
      <c r="NN222"/>
      <c r="NO222"/>
      <c r="NP222"/>
      <c r="NQ222"/>
      <c r="NR222"/>
      <c r="NS222"/>
      <c r="NT222"/>
      <c r="NU222"/>
      <c r="NV222"/>
      <c r="NW222"/>
      <c r="NX222"/>
      <c r="NY222"/>
      <c r="NZ222"/>
      <c r="OA222"/>
      <c r="OB222"/>
      <c r="OC222"/>
      <c r="OD222"/>
      <c r="OE222"/>
      <c r="OF222"/>
      <c r="OG222"/>
      <c r="OH222"/>
      <c r="OI222"/>
      <c r="OJ222"/>
      <c r="OK222"/>
      <c r="OL222"/>
      <c r="OM222"/>
      <c r="ON222"/>
      <c r="OO222"/>
      <c r="OP222"/>
      <c r="OQ222"/>
      <c r="OR222"/>
      <c r="OS222"/>
      <c r="OT222"/>
      <c r="OU222"/>
      <c r="OV222"/>
      <c r="OW222"/>
      <c r="OX222"/>
      <c r="OY222"/>
      <c r="OZ222"/>
      <c r="PA222"/>
      <c r="PB222"/>
      <c r="PC222"/>
      <c r="PD222"/>
      <c r="PE222"/>
      <c r="PF222"/>
      <c r="PG222"/>
      <c r="PH222"/>
      <c r="PI222"/>
      <c r="PJ222"/>
      <c r="PK222"/>
      <c r="PL222"/>
      <c r="PM222"/>
      <c r="PN222"/>
      <c r="PO222"/>
      <c r="PP222"/>
      <c r="PQ222"/>
      <c r="PR222"/>
      <c r="PS222"/>
      <c r="PT222"/>
      <c r="PU222"/>
      <c r="PV222"/>
      <c r="PW222"/>
      <c r="PX222"/>
      <c r="PY222"/>
      <c r="PZ222"/>
      <c r="QA222"/>
      <c r="QB222"/>
      <c r="QC222"/>
      <c r="QD222"/>
      <c r="QE222"/>
      <c r="QF222"/>
      <c r="QG222"/>
      <c r="QH222"/>
      <c r="QI222"/>
      <c r="QJ222"/>
      <c r="QK222"/>
      <c r="QL222"/>
      <c r="QM222"/>
      <c r="QN222"/>
      <c r="QO222"/>
      <c r="QP222"/>
      <c r="QQ222"/>
      <c r="QR222"/>
      <c r="QS222"/>
      <c r="QT222"/>
      <c r="QU222"/>
      <c r="QV222"/>
      <c r="QW222"/>
      <c r="QX222"/>
    </row>
    <row r="223" spans="1:466" x14ac:dyDescent="0.35">
      <c r="A223" s="53"/>
      <c r="B223" s="53"/>
      <c r="C223" s="55"/>
      <c r="D223" s="53"/>
      <c r="E223" s="53"/>
      <c r="F223" s="126" t="s">
        <v>377</v>
      </c>
      <c r="G223" s="125">
        <v>3.8385600000000002</v>
      </c>
      <c r="H223" s="125">
        <v>291.73056000000003</v>
      </c>
      <c r="I223" s="133">
        <v>76</v>
      </c>
      <c r="J223" s="53"/>
      <c r="K223" s="53"/>
      <c r="L223" s="53"/>
      <c r="M223" s="53"/>
      <c r="N223" s="53"/>
      <c r="O223" s="53"/>
      <c r="P223" s="53"/>
      <c r="Q223" s="53"/>
      <c r="R223" s="53"/>
      <c r="S223" s="53"/>
      <c r="T223" s="53"/>
      <c r="U223" s="53"/>
      <c r="V223" s="53"/>
      <c r="W223" s="53"/>
      <c r="X223" s="53"/>
      <c r="Y223" s="53"/>
      <c r="Z223" s="53"/>
      <c r="AA223" s="53"/>
      <c r="AB223" s="53"/>
      <c r="AC223" s="53"/>
      <c r="AD223" s="53"/>
      <c r="AE223" s="53"/>
      <c r="AF223" s="63"/>
      <c r="AG223" s="64"/>
      <c r="AH223" s="65"/>
      <c r="AI223" s="65"/>
      <c r="AJ223" s="53"/>
      <c r="AK223" s="62"/>
      <c r="AL223" s="62"/>
      <c r="AM223" s="62"/>
      <c r="AN223" s="62"/>
      <c r="AO223" s="62"/>
      <c r="AP223" s="62"/>
      <c r="AQ223" s="62"/>
      <c r="AR223" s="62"/>
      <c r="AS223" s="62"/>
      <c r="AT223" s="62"/>
      <c r="AU223" s="62"/>
      <c r="AV223" s="62"/>
      <c r="AW223" s="62"/>
      <c r="AX223" s="62"/>
      <c r="AY223" s="62"/>
      <c r="AZ223" s="62"/>
      <c r="BA223" s="62"/>
      <c r="BB223" s="62"/>
      <c r="BC223" s="62"/>
      <c r="BD223" s="62"/>
      <c r="BE223" s="62"/>
      <c r="BF223" s="62"/>
      <c r="BG223" s="62"/>
      <c r="BH223" s="62"/>
      <c r="BI223" s="62"/>
      <c r="BJ223" s="62"/>
      <c r="BK223" s="62"/>
      <c r="BL223" s="62"/>
      <c r="BM223" s="62"/>
      <c r="BN223" s="62"/>
      <c r="BO223" s="62"/>
      <c r="BP223" s="62"/>
      <c r="BQ223" s="62"/>
      <c r="BR223" s="62"/>
      <c r="BS223" s="62"/>
      <c r="BT223" s="62"/>
      <c r="BU223" s="62"/>
      <c r="BV223" s="62"/>
      <c r="BW223" s="62"/>
      <c r="BX223" s="62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  <c r="HB223"/>
      <c r="HC223"/>
      <c r="HD223"/>
      <c r="HE223"/>
      <c r="HF223"/>
      <c r="HG223"/>
      <c r="HH223"/>
      <c r="HI223"/>
      <c r="HJ223"/>
      <c r="HK223"/>
      <c r="HL223"/>
      <c r="HM223"/>
      <c r="HN223"/>
      <c r="HO223"/>
      <c r="HP223"/>
      <c r="HQ223"/>
      <c r="HR223"/>
      <c r="HS223"/>
      <c r="HT223"/>
      <c r="HU223"/>
      <c r="HV223"/>
      <c r="HW223"/>
      <c r="HX223"/>
      <c r="HY223"/>
      <c r="HZ223"/>
      <c r="IA223"/>
      <c r="IB223"/>
      <c r="IC223"/>
      <c r="ID223"/>
      <c r="IE223"/>
      <c r="IF223"/>
      <c r="IG223"/>
      <c r="IH223"/>
      <c r="II223"/>
      <c r="IJ223"/>
      <c r="IK223"/>
      <c r="IL223"/>
      <c r="IM223"/>
      <c r="IN223"/>
      <c r="IO223"/>
      <c r="IP223"/>
      <c r="IQ223"/>
      <c r="IR223"/>
      <c r="IS223"/>
      <c r="IT223"/>
      <c r="IU223"/>
      <c r="IV223"/>
      <c r="IW223"/>
      <c r="IX223"/>
      <c r="IY223"/>
      <c r="IZ223"/>
      <c r="JA223"/>
      <c r="JB223"/>
      <c r="JC223"/>
      <c r="JD223"/>
      <c r="JE223"/>
      <c r="JF223"/>
      <c r="JG223"/>
      <c r="JH223"/>
      <c r="JI223"/>
      <c r="JJ223"/>
      <c r="JK223"/>
      <c r="JL223"/>
      <c r="JM223"/>
      <c r="JN223"/>
      <c r="JO223"/>
      <c r="JP223"/>
      <c r="JQ223"/>
      <c r="JR223"/>
      <c r="JS223"/>
      <c r="JT223"/>
      <c r="JU223"/>
      <c r="JV223"/>
      <c r="JW223"/>
      <c r="JX223"/>
      <c r="JY223"/>
      <c r="JZ223"/>
      <c r="KA223"/>
      <c r="KB223"/>
      <c r="KC223"/>
      <c r="KD223"/>
      <c r="KE223"/>
      <c r="KF223"/>
      <c r="KG223"/>
      <c r="KH223"/>
      <c r="KI223"/>
      <c r="KJ223"/>
      <c r="KK223"/>
      <c r="KL223"/>
      <c r="KM223"/>
      <c r="KN223"/>
      <c r="KO223"/>
      <c r="KP223"/>
      <c r="KQ223"/>
      <c r="KR223"/>
      <c r="KS223"/>
      <c r="KT223"/>
      <c r="KU223"/>
      <c r="KV223"/>
      <c r="KW223"/>
      <c r="KX223"/>
      <c r="KY223"/>
      <c r="KZ223"/>
      <c r="LA223"/>
      <c r="LB223"/>
      <c r="LC223"/>
      <c r="LD223"/>
      <c r="LE223"/>
      <c r="LF223"/>
      <c r="LG223"/>
      <c r="LH223"/>
      <c r="LI223"/>
      <c r="LJ223"/>
      <c r="LK223"/>
      <c r="LL223"/>
      <c r="LM223"/>
      <c r="LN223"/>
      <c r="LO223"/>
      <c r="LP223"/>
      <c r="LQ223"/>
      <c r="LR223"/>
      <c r="LS223"/>
      <c r="LT223"/>
      <c r="LU223"/>
      <c r="LV223"/>
      <c r="LW223"/>
      <c r="LX223"/>
      <c r="LY223"/>
      <c r="LZ223"/>
      <c r="MA223"/>
      <c r="MB223"/>
      <c r="MC223"/>
      <c r="MD223"/>
      <c r="ME223"/>
      <c r="MF223"/>
      <c r="MG223"/>
      <c r="MH223"/>
      <c r="MI223"/>
      <c r="MJ223"/>
      <c r="MK223"/>
      <c r="ML223"/>
      <c r="MM223"/>
      <c r="MN223"/>
      <c r="MO223"/>
      <c r="MP223"/>
      <c r="MQ223"/>
      <c r="MR223"/>
      <c r="MS223"/>
      <c r="MT223"/>
      <c r="MU223"/>
      <c r="MV223"/>
      <c r="MW223"/>
      <c r="MX223"/>
      <c r="MY223"/>
      <c r="MZ223"/>
      <c r="NA223"/>
      <c r="NB223"/>
      <c r="NC223"/>
      <c r="ND223"/>
      <c r="NE223"/>
      <c r="NF223"/>
      <c r="NG223"/>
      <c r="NH223"/>
      <c r="NI223"/>
      <c r="NJ223"/>
      <c r="NK223"/>
      <c r="NL223"/>
      <c r="NM223"/>
      <c r="NN223"/>
      <c r="NO223"/>
      <c r="NP223"/>
      <c r="NQ223"/>
      <c r="NR223"/>
      <c r="NS223"/>
      <c r="NT223"/>
      <c r="NU223"/>
      <c r="NV223"/>
      <c r="NW223"/>
      <c r="NX223"/>
      <c r="NY223"/>
      <c r="NZ223"/>
      <c r="OA223"/>
      <c r="OB223"/>
      <c r="OC223"/>
      <c r="OD223"/>
      <c r="OE223"/>
      <c r="OF223"/>
      <c r="OG223"/>
      <c r="OH223"/>
      <c r="OI223"/>
      <c r="OJ223"/>
      <c r="OK223"/>
      <c r="OL223"/>
      <c r="OM223"/>
      <c r="ON223"/>
      <c r="OO223"/>
      <c r="OP223"/>
      <c r="OQ223"/>
      <c r="OR223"/>
      <c r="OS223"/>
      <c r="OT223"/>
      <c r="OU223"/>
      <c r="OV223"/>
      <c r="OW223"/>
      <c r="OX223"/>
      <c r="OY223"/>
      <c r="OZ223"/>
      <c r="PA223"/>
      <c r="PB223"/>
      <c r="PC223"/>
      <c r="PD223"/>
      <c r="PE223"/>
      <c r="PF223"/>
      <c r="PG223"/>
      <c r="PH223"/>
      <c r="PI223"/>
      <c r="PJ223"/>
      <c r="PK223"/>
      <c r="PL223"/>
      <c r="PM223"/>
      <c r="PN223"/>
      <c r="PO223"/>
      <c r="PP223"/>
      <c r="PQ223"/>
      <c r="PR223"/>
      <c r="PS223"/>
      <c r="PT223"/>
      <c r="PU223"/>
      <c r="PV223"/>
      <c r="PW223"/>
      <c r="PX223"/>
      <c r="PY223"/>
      <c r="PZ223"/>
      <c r="QA223"/>
      <c r="QB223"/>
      <c r="QC223"/>
      <c r="QD223"/>
      <c r="QE223"/>
      <c r="QF223"/>
      <c r="QG223"/>
      <c r="QH223"/>
      <c r="QI223"/>
      <c r="QJ223"/>
      <c r="QK223"/>
      <c r="QL223"/>
      <c r="QM223"/>
      <c r="QN223"/>
      <c r="QO223"/>
      <c r="QP223"/>
      <c r="QQ223"/>
      <c r="QR223"/>
      <c r="QS223"/>
      <c r="QT223"/>
      <c r="QU223"/>
      <c r="QV223"/>
      <c r="QW223"/>
      <c r="QX223"/>
    </row>
    <row r="224" spans="1:466" x14ac:dyDescent="0.35">
      <c r="A224" s="53"/>
      <c r="B224" s="53"/>
      <c r="C224" s="55"/>
      <c r="D224" s="53"/>
      <c r="E224" s="53"/>
      <c r="F224" s="126" t="s">
        <v>396</v>
      </c>
      <c r="G224" s="125">
        <v>0.312</v>
      </c>
      <c r="H224" s="125">
        <v>275.80799999999999</v>
      </c>
      <c r="I224" s="133">
        <v>884</v>
      </c>
      <c r="J224" s="53"/>
      <c r="K224" s="53"/>
      <c r="L224" s="53"/>
      <c r="M224" s="53"/>
      <c r="N224" s="53"/>
      <c r="O224" s="53"/>
      <c r="P224" s="53"/>
      <c r="Q224" s="53"/>
      <c r="R224" s="53"/>
      <c r="S224" s="53"/>
      <c r="T224" s="53"/>
      <c r="U224" s="53"/>
      <c r="V224" s="53"/>
      <c r="W224" s="53"/>
      <c r="X224" s="53"/>
      <c r="Y224" s="53"/>
      <c r="Z224" s="53"/>
      <c r="AA224" s="53"/>
      <c r="AB224" s="53"/>
      <c r="AC224" s="53"/>
      <c r="AD224" s="53"/>
      <c r="AE224" s="53"/>
      <c r="AF224" s="63"/>
      <c r="AG224" s="64"/>
      <c r="AH224" s="65"/>
      <c r="AI224" s="65"/>
      <c r="AJ224" s="53"/>
      <c r="AK224" s="62"/>
      <c r="AL224" s="62"/>
      <c r="AM224" s="62"/>
      <c r="AN224" s="62"/>
      <c r="AO224" s="62"/>
      <c r="AP224" s="62"/>
      <c r="AQ224" s="62"/>
      <c r="AR224" s="62"/>
      <c r="AS224" s="62"/>
      <c r="AT224" s="62"/>
      <c r="AU224" s="62"/>
      <c r="AV224" s="62"/>
      <c r="AW224" s="62"/>
      <c r="AX224" s="62"/>
      <c r="AY224" s="62"/>
      <c r="AZ224" s="62"/>
      <c r="BA224" s="62"/>
      <c r="BB224" s="62"/>
      <c r="BC224" s="62"/>
      <c r="BD224" s="62"/>
      <c r="BE224" s="62"/>
      <c r="BF224" s="62"/>
      <c r="BG224" s="62"/>
      <c r="BH224" s="62"/>
      <c r="BI224" s="62"/>
      <c r="BJ224" s="62"/>
      <c r="BK224" s="62"/>
      <c r="BL224" s="62"/>
      <c r="BM224" s="62"/>
      <c r="BN224" s="62"/>
      <c r="BO224" s="62"/>
      <c r="BP224" s="62"/>
      <c r="BQ224" s="62"/>
      <c r="BR224" s="62"/>
      <c r="BS224" s="62"/>
      <c r="BT224" s="62"/>
      <c r="BU224" s="62"/>
      <c r="BV224" s="62"/>
      <c r="BW224" s="62"/>
      <c r="BX224" s="62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  <c r="HB224"/>
      <c r="HC224"/>
      <c r="HD224"/>
      <c r="HE224"/>
      <c r="HF224"/>
      <c r="HG224"/>
      <c r="HH224"/>
      <c r="HI224"/>
      <c r="HJ224"/>
      <c r="HK224"/>
      <c r="HL224"/>
      <c r="HM224"/>
      <c r="HN224"/>
      <c r="HO224"/>
      <c r="HP224"/>
      <c r="HQ224"/>
      <c r="HR224"/>
      <c r="HS224"/>
      <c r="HT224"/>
      <c r="HU224"/>
      <c r="HV224"/>
      <c r="HW224"/>
      <c r="HX224"/>
      <c r="HY224"/>
      <c r="HZ224"/>
      <c r="IA224"/>
      <c r="IB224"/>
      <c r="IC224"/>
      <c r="ID224"/>
      <c r="IE224"/>
      <c r="IF224"/>
      <c r="IG224"/>
      <c r="IH224"/>
      <c r="II224"/>
      <c r="IJ224"/>
      <c r="IK224"/>
      <c r="IL224"/>
      <c r="IM224"/>
      <c r="IN224"/>
      <c r="IO224"/>
      <c r="IP224"/>
      <c r="IQ224"/>
      <c r="IR224"/>
      <c r="IS224"/>
      <c r="IT224"/>
      <c r="IU224"/>
      <c r="IV224"/>
      <c r="IW224"/>
      <c r="IX224"/>
      <c r="IY224"/>
      <c r="IZ224"/>
      <c r="JA224"/>
      <c r="JB224"/>
      <c r="JC224"/>
      <c r="JD224"/>
      <c r="JE224"/>
      <c r="JF224"/>
      <c r="JG224"/>
      <c r="JH224"/>
      <c r="JI224"/>
      <c r="JJ224"/>
      <c r="JK224"/>
      <c r="JL224"/>
      <c r="JM224"/>
      <c r="JN224"/>
      <c r="JO224"/>
      <c r="JP224"/>
      <c r="JQ224"/>
      <c r="JR224"/>
      <c r="JS224"/>
      <c r="JT224"/>
      <c r="JU224"/>
      <c r="JV224"/>
      <c r="JW224"/>
      <c r="JX224"/>
      <c r="JY224"/>
      <c r="JZ224"/>
      <c r="KA224"/>
      <c r="KB224"/>
      <c r="KC224"/>
      <c r="KD224"/>
      <c r="KE224"/>
      <c r="KF224"/>
      <c r="KG224"/>
      <c r="KH224"/>
      <c r="KI224"/>
      <c r="KJ224"/>
      <c r="KK224"/>
      <c r="KL224"/>
      <c r="KM224"/>
      <c r="KN224"/>
      <c r="KO224"/>
      <c r="KP224"/>
      <c r="KQ224"/>
      <c r="KR224"/>
      <c r="KS224"/>
      <c r="KT224"/>
      <c r="KU224"/>
      <c r="KV224"/>
      <c r="KW224"/>
      <c r="KX224"/>
      <c r="KY224"/>
      <c r="KZ224"/>
      <c r="LA224"/>
      <c r="LB224"/>
      <c r="LC224"/>
      <c r="LD224"/>
      <c r="LE224"/>
      <c r="LF224"/>
      <c r="LG224"/>
      <c r="LH224"/>
      <c r="LI224"/>
      <c r="LJ224"/>
      <c r="LK224"/>
      <c r="LL224"/>
      <c r="LM224"/>
      <c r="LN224"/>
      <c r="LO224"/>
      <c r="LP224"/>
      <c r="LQ224"/>
      <c r="LR224"/>
      <c r="LS224"/>
      <c r="LT224"/>
      <c r="LU224"/>
      <c r="LV224"/>
      <c r="LW224"/>
      <c r="LX224"/>
      <c r="LY224"/>
      <c r="LZ224"/>
      <c r="MA224"/>
      <c r="MB224"/>
      <c r="MC224"/>
      <c r="MD224"/>
      <c r="ME224"/>
      <c r="MF224"/>
      <c r="MG224"/>
      <c r="MH224"/>
      <c r="MI224"/>
      <c r="MJ224"/>
      <c r="MK224"/>
      <c r="ML224"/>
      <c r="MM224"/>
      <c r="MN224"/>
      <c r="MO224"/>
      <c r="MP224"/>
      <c r="MQ224"/>
      <c r="MR224"/>
      <c r="MS224"/>
      <c r="MT224"/>
      <c r="MU224"/>
      <c r="MV224"/>
      <c r="MW224"/>
      <c r="MX224"/>
      <c r="MY224"/>
      <c r="MZ224"/>
      <c r="NA224"/>
      <c r="NB224"/>
      <c r="NC224"/>
      <c r="ND224"/>
      <c r="NE224"/>
      <c r="NF224"/>
      <c r="NG224"/>
      <c r="NH224"/>
      <c r="NI224"/>
      <c r="NJ224"/>
      <c r="NK224"/>
      <c r="NL224"/>
      <c r="NM224"/>
      <c r="NN224"/>
      <c r="NO224"/>
      <c r="NP224"/>
      <c r="NQ224"/>
      <c r="NR224"/>
      <c r="NS224"/>
      <c r="NT224"/>
      <c r="NU224"/>
      <c r="NV224"/>
      <c r="NW224"/>
      <c r="NX224"/>
      <c r="NY224"/>
      <c r="NZ224"/>
      <c r="OA224"/>
      <c r="OB224"/>
      <c r="OC224"/>
      <c r="OD224"/>
      <c r="OE224"/>
      <c r="OF224"/>
      <c r="OG224"/>
      <c r="OH224"/>
      <c r="OI224"/>
      <c r="OJ224"/>
      <c r="OK224"/>
      <c r="OL224"/>
      <c r="OM224"/>
      <c r="ON224"/>
      <c r="OO224"/>
      <c r="OP224"/>
      <c r="OQ224"/>
      <c r="OR224"/>
      <c r="OS224"/>
      <c r="OT224"/>
      <c r="OU224"/>
      <c r="OV224"/>
      <c r="OW224"/>
      <c r="OX224"/>
      <c r="OY224"/>
      <c r="OZ224"/>
      <c r="PA224"/>
      <c r="PB224"/>
      <c r="PC224"/>
      <c r="PD224"/>
      <c r="PE224"/>
      <c r="PF224"/>
      <c r="PG224"/>
      <c r="PH224"/>
      <c r="PI224"/>
      <c r="PJ224"/>
      <c r="PK224"/>
      <c r="PL224"/>
      <c r="PM224"/>
      <c r="PN224"/>
      <c r="PO224"/>
      <c r="PP224"/>
      <c r="PQ224"/>
      <c r="PR224"/>
      <c r="PS224"/>
      <c r="PT224"/>
      <c r="PU224"/>
      <c r="PV224"/>
      <c r="PW224"/>
      <c r="PX224"/>
      <c r="PY224"/>
      <c r="PZ224"/>
      <c r="QA224"/>
      <c r="QB224"/>
      <c r="QC224"/>
      <c r="QD224"/>
      <c r="QE224"/>
      <c r="QF224"/>
      <c r="QG224"/>
      <c r="QH224"/>
      <c r="QI224"/>
      <c r="QJ224"/>
      <c r="QK224"/>
      <c r="QL224"/>
      <c r="QM224"/>
      <c r="QN224"/>
      <c r="QO224"/>
      <c r="QP224"/>
      <c r="QQ224"/>
      <c r="QR224"/>
      <c r="QS224"/>
      <c r="QT224"/>
      <c r="QU224"/>
      <c r="QV224"/>
      <c r="QW224"/>
      <c r="QX224"/>
    </row>
    <row r="225" spans="1:466" x14ac:dyDescent="0.35">
      <c r="A225" s="53"/>
      <c r="B225" s="53"/>
      <c r="C225" s="55"/>
      <c r="D225" s="53"/>
      <c r="E225" s="53"/>
      <c r="F225" s="126" t="s">
        <v>355</v>
      </c>
      <c r="G225" s="125">
        <v>1.9296000000000002</v>
      </c>
      <c r="H225" s="125">
        <v>1.9296000000000002</v>
      </c>
      <c r="I225" s="133">
        <v>1</v>
      </c>
      <c r="J225" s="53"/>
      <c r="K225" s="53"/>
      <c r="L225" s="53"/>
      <c r="M225" s="53"/>
      <c r="N225" s="53"/>
      <c r="O225" s="53"/>
      <c r="P225" s="53"/>
      <c r="Q225" s="53"/>
      <c r="R225" s="53"/>
      <c r="S225" s="53"/>
      <c r="T225" s="53"/>
      <c r="U225" s="53"/>
      <c r="V225" s="53"/>
      <c r="W225" s="53"/>
      <c r="X225" s="53"/>
      <c r="Y225" s="53"/>
      <c r="Z225" s="53"/>
      <c r="AA225" s="53"/>
      <c r="AB225" s="53"/>
      <c r="AC225" s="53"/>
      <c r="AD225" s="53"/>
      <c r="AE225" s="53"/>
      <c r="AF225" s="63"/>
      <c r="AG225" s="64"/>
      <c r="AH225" s="65"/>
      <c r="AI225" s="65"/>
      <c r="AJ225" s="53"/>
      <c r="AK225" s="62"/>
      <c r="AL225" s="62"/>
      <c r="AM225" s="62"/>
      <c r="AN225" s="62"/>
      <c r="AO225" s="62"/>
      <c r="AP225" s="62"/>
      <c r="AQ225" s="62"/>
      <c r="AR225" s="62"/>
      <c r="AS225" s="62"/>
      <c r="AT225" s="62"/>
      <c r="AU225" s="62"/>
      <c r="AV225" s="62"/>
      <c r="AW225" s="62"/>
      <c r="AX225" s="62"/>
      <c r="AY225" s="62"/>
      <c r="AZ225" s="62"/>
      <c r="BA225" s="62"/>
      <c r="BB225" s="62"/>
      <c r="BC225" s="62"/>
      <c r="BD225" s="62"/>
      <c r="BE225" s="62"/>
      <c r="BF225" s="62"/>
      <c r="BG225" s="62"/>
      <c r="BH225" s="62"/>
      <c r="BI225" s="62"/>
      <c r="BJ225" s="62"/>
      <c r="BK225" s="62"/>
      <c r="BL225" s="62"/>
      <c r="BM225" s="62"/>
      <c r="BN225" s="62"/>
      <c r="BO225" s="62"/>
      <c r="BP225" s="62"/>
      <c r="BQ225" s="62"/>
      <c r="BR225" s="62"/>
      <c r="BS225" s="62"/>
      <c r="BT225" s="62"/>
      <c r="BU225" s="62"/>
      <c r="BV225" s="62"/>
      <c r="BW225" s="62"/>
      <c r="BX225" s="62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  <c r="HB225"/>
      <c r="HC225"/>
      <c r="HD225"/>
      <c r="HE225"/>
      <c r="HF225"/>
      <c r="HG225"/>
      <c r="HH225"/>
      <c r="HI225"/>
      <c r="HJ225"/>
      <c r="HK225"/>
      <c r="HL225"/>
      <c r="HM225"/>
      <c r="HN225"/>
      <c r="HO225"/>
      <c r="HP225"/>
      <c r="HQ225"/>
      <c r="HR225"/>
      <c r="HS225"/>
      <c r="HT225"/>
      <c r="HU225"/>
      <c r="HV225"/>
      <c r="HW225"/>
      <c r="HX225"/>
      <c r="HY225"/>
      <c r="HZ225"/>
      <c r="IA225"/>
      <c r="IB225"/>
      <c r="IC225"/>
      <c r="ID225"/>
      <c r="IE225"/>
      <c r="IF225"/>
      <c r="IG225"/>
      <c r="IH225"/>
      <c r="II225"/>
      <c r="IJ225"/>
      <c r="IK225"/>
      <c r="IL225"/>
      <c r="IM225"/>
      <c r="IN225"/>
      <c r="IO225"/>
      <c r="IP225"/>
      <c r="IQ225"/>
      <c r="IR225"/>
      <c r="IS225"/>
      <c r="IT225"/>
      <c r="IU225"/>
      <c r="IV225"/>
      <c r="IW225"/>
      <c r="IX225"/>
      <c r="IY225"/>
      <c r="IZ225"/>
      <c r="JA225"/>
      <c r="JB225"/>
      <c r="JC225"/>
      <c r="JD225"/>
      <c r="JE225"/>
      <c r="JF225"/>
      <c r="JG225"/>
      <c r="JH225"/>
      <c r="JI225"/>
      <c r="JJ225"/>
      <c r="JK225"/>
      <c r="JL225"/>
      <c r="JM225"/>
      <c r="JN225"/>
      <c r="JO225"/>
      <c r="JP225"/>
      <c r="JQ225"/>
      <c r="JR225"/>
      <c r="JS225"/>
      <c r="JT225"/>
      <c r="JU225"/>
      <c r="JV225"/>
      <c r="JW225"/>
      <c r="JX225"/>
      <c r="JY225"/>
      <c r="JZ225"/>
      <c r="KA225"/>
      <c r="KB225"/>
      <c r="KC225"/>
      <c r="KD225"/>
      <c r="KE225"/>
      <c r="KF225"/>
      <c r="KG225"/>
      <c r="KH225"/>
      <c r="KI225"/>
      <c r="KJ225"/>
      <c r="KK225"/>
      <c r="KL225"/>
      <c r="KM225"/>
      <c r="KN225"/>
      <c r="KO225"/>
      <c r="KP225"/>
      <c r="KQ225"/>
      <c r="KR225"/>
      <c r="KS225"/>
      <c r="KT225"/>
      <c r="KU225"/>
      <c r="KV225"/>
      <c r="KW225"/>
      <c r="KX225"/>
      <c r="KY225"/>
      <c r="KZ225"/>
      <c r="LA225"/>
      <c r="LB225"/>
      <c r="LC225"/>
      <c r="LD225"/>
      <c r="LE225"/>
      <c r="LF225"/>
      <c r="LG225"/>
      <c r="LH225"/>
      <c r="LI225"/>
      <c r="LJ225"/>
      <c r="LK225"/>
      <c r="LL225"/>
      <c r="LM225"/>
      <c r="LN225"/>
      <c r="LO225"/>
      <c r="LP225"/>
      <c r="LQ225"/>
      <c r="LR225"/>
      <c r="LS225"/>
      <c r="LT225"/>
      <c r="LU225"/>
      <c r="LV225"/>
      <c r="LW225"/>
      <c r="LX225"/>
      <c r="LY225"/>
      <c r="LZ225"/>
      <c r="MA225"/>
      <c r="MB225"/>
      <c r="MC225"/>
      <c r="MD225"/>
      <c r="ME225"/>
      <c r="MF225"/>
      <c r="MG225"/>
      <c r="MH225"/>
      <c r="MI225"/>
      <c r="MJ225"/>
      <c r="MK225"/>
      <c r="ML225"/>
      <c r="MM225"/>
      <c r="MN225"/>
      <c r="MO225"/>
      <c r="MP225"/>
      <c r="MQ225"/>
      <c r="MR225"/>
      <c r="MS225"/>
      <c r="MT225"/>
      <c r="MU225"/>
      <c r="MV225"/>
      <c r="MW225"/>
      <c r="MX225"/>
      <c r="MY225"/>
      <c r="MZ225"/>
      <c r="NA225"/>
      <c r="NB225"/>
      <c r="NC225"/>
      <c r="ND225"/>
      <c r="NE225"/>
      <c r="NF225"/>
      <c r="NG225"/>
      <c r="NH225"/>
      <c r="NI225"/>
      <c r="NJ225"/>
      <c r="NK225"/>
      <c r="NL225"/>
      <c r="NM225"/>
      <c r="NN225"/>
      <c r="NO225"/>
      <c r="NP225"/>
      <c r="NQ225"/>
      <c r="NR225"/>
      <c r="NS225"/>
      <c r="NT225"/>
      <c r="NU225"/>
      <c r="NV225"/>
      <c r="NW225"/>
      <c r="NX225"/>
      <c r="NY225"/>
      <c r="NZ225"/>
      <c r="OA225"/>
      <c r="OB225"/>
      <c r="OC225"/>
      <c r="OD225"/>
      <c r="OE225"/>
      <c r="OF225"/>
      <c r="OG225"/>
      <c r="OH225"/>
      <c r="OI225"/>
      <c r="OJ225"/>
      <c r="OK225"/>
      <c r="OL225"/>
      <c r="OM225"/>
      <c r="ON225"/>
      <c r="OO225"/>
      <c r="OP225"/>
      <c r="OQ225"/>
      <c r="OR225"/>
      <c r="OS225"/>
      <c r="OT225"/>
      <c r="OU225"/>
      <c r="OV225"/>
      <c r="OW225"/>
      <c r="OX225"/>
      <c r="OY225"/>
      <c r="OZ225"/>
      <c r="PA225"/>
      <c r="PB225"/>
      <c r="PC225"/>
      <c r="PD225"/>
      <c r="PE225"/>
      <c r="PF225"/>
      <c r="PG225"/>
      <c r="PH225"/>
      <c r="PI225"/>
      <c r="PJ225"/>
      <c r="PK225"/>
      <c r="PL225"/>
      <c r="PM225"/>
      <c r="PN225"/>
      <c r="PO225"/>
      <c r="PP225"/>
      <c r="PQ225"/>
      <c r="PR225"/>
      <c r="PS225"/>
      <c r="PT225"/>
      <c r="PU225"/>
      <c r="PV225"/>
      <c r="PW225"/>
      <c r="PX225"/>
      <c r="PY225"/>
      <c r="PZ225"/>
      <c r="QA225"/>
      <c r="QB225"/>
      <c r="QC225"/>
      <c r="QD225"/>
      <c r="QE225"/>
      <c r="QF225"/>
      <c r="QG225"/>
      <c r="QH225"/>
      <c r="QI225"/>
      <c r="QJ225"/>
      <c r="QK225"/>
      <c r="QL225"/>
      <c r="QM225"/>
      <c r="QN225"/>
      <c r="QO225"/>
      <c r="QP225"/>
      <c r="QQ225"/>
      <c r="QR225"/>
      <c r="QS225"/>
      <c r="QT225"/>
      <c r="QU225"/>
      <c r="QV225"/>
      <c r="QW225"/>
      <c r="QX225"/>
    </row>
    <row r="226" spans="1:466" x14ac:dyDescent="0.35">
      <c r="A226" s="53"/>
      <c r="B226" s="53"/>
      <c r="C226" s="55"/>
      <c r="D226" s="53"/>
      <c r="E226" s="53"/>
      <c r="F226" s="126" t="s">
        <v>357</v>
      </c>
      <c r="G226" s="125">
        <v>2.0227200000000001</v>
      </c>
      <c r="H226" s="125">
        <v>6.0681600000000007</v>
      </c>
      <c r="I226" s="133">
        <v>3</v>
      </c>
      <c r="J226" s="53"/>
      <c r="K226" s="53"/>
      <c r="L226" s="53"/>
      <c r="M226" s="53"/>
      <c r="N226" s="53"/>
      <c r="O226" s="53"/>
      <c r="P226" s="53"/>
      <c r="Q226" s="53"/>
      <c r="R226" s="53"/>
      <c r="S226" s="53"/>
      <c r="T226" s="53"/>
      <c r="U226" s="53"/>
      <c r="V226" s="53"/>
      <c r="W226" s="53"/>
      <c r="X226" s="53"/>
      <c r="Y226" s="53"/>
      <c r="Z226" s="53"/>
      <c r="AA226" s="53"/>
      <c r="AB226" s="53"/>
      <c r="AC226" s="53"/>
      <c r="AD226" s="53"/>
      <c r="AE226" s="53"/>
      <c r="AF226" s="63"/>
      <c r="AG226" s="64"/>
      <c r="AH226" s="65"/>
      <c r="AI226" s="65"/>
      <c r="AJ226" s="53"/>
      <c r="AK226" s="62"/>
      <c r="AL226" s="62"/>
      <c r="AM226" s="62"/>
      <c r="AN226" s="62"/>
      <c r="AO226" s="62"/>
      <c r="AP226" s="62"/>
      <c r="AQ226" s="62"/>
      <c r="AR226" s="62"/>
      <c r="AS226" s="62"/>
      <c r="AT226" s="62"/>
      <c r="AU226" s="62"/>
      <c r="AV226" s="62"/>
      <c r="AW226" s="62"/>
      <c r="AX226" s="62"/>
      <c r="AY226" s="62"/>
      <c r="AZ226" s="62"/>
      <c r="BA226" s="62"/>
      <c r="BB226" s="62"/>
      <c r="BC226" s="62"/>
      <c r="BD226" s="62"/>
      <c r="BE226" s="62"/>
      <c r="BF226" s="62"/>
      <c r="BG226" s="62"/>
      <c r="BH226" s="62"/>
      <c r="BI226" s="62"/>
      <c r="BJ226" s="62"/>
      <c r="BK226" s="62"/>
      <c r="BL226" s="62"/>
      <c r="BM226" s="62"/>
      <c r="BN226" s="62"/>
      <c r="BO226" s="62"/>
      <c r="BP226" s="62"/>
      <c r="BQ226" s="62"/>
      <c r="BR226" s="62"/>
      <c r="BS226" s="62"/>
      <c r="BT226" s="62"/>
      <c r="BU226" s="62"/>
      <c r="BV226" s="62"/>
      <c r="BW226" s="62"/>
      <c r="BX226" s="62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  <c r="HB226"/>
      <c r="HC226"/>
      <c r="HD226"/>
      <c r="HE226"/>
      <c r="HF226"/>
      <c r="HG226"/>
      <c r="HH226"/>
      <c r="HI226"/>
      <c r="HJ226"/>
      <c r="HK226"/>
      <c r="HL226"/>
      <c r="HM226"/>
      <c r="HN226"/>
      <c r="HO226"/>
      <c r="HP226"/>
      <c r="HQ226"/>
      <c r="HR226"/>
      <c r="HS226"/>
      <c r="HT226"/>
      <c r="HU226"/>
      <c r="HV226"/>
      <c r="HW226"/>
      <c r="HX226"/>
      <c r="HY226"/>
      <c r="HZ226"/>
      <c r="IA226"/>
      <c r="IB226"/>
      <c r="IC226"/>
      <c r="ID226"/>
      <c r="IE226"/>
      <c r="IF226"/>
      <c r="IG226"/>
      <c r="IH226"/>
      <c r="II226"/>
      <c r="IJ226"/>
      <c r="IK226"/>
      <c r="IL226"/>
      <c r="IM226"/>
      <c r="IN226"/>
      <c r="IO226"/>
      <c r="IP226"/>
      <c r="IQ226"/>
      <c r="IR226"/>
      <c r="IS226"/>
      <c r="IT226"/>
      <c r="IU226"/>
      <c r="IV226"/>
      <c r="IW226"/>
      <c r="IX226"/>
      <c r="IY226"/>
      <c r="IZ226"/>
      <c r="JA226"/>
      <c r="JB226"/>
      <c r="JC226"/>
      <c r="JD226"/>
      <c r="JE226"/>
      <c r="JF226"/>
      <c r="JG226"/>
      <c r="JH226"/>
      <c r="JI226"/>
      <c r="JJ226"/>
      <c r="JK226"/>
      <c r="JL226"/>
      <c r="JM226"/>
      <c r="JN226"/>
      <c r="JO226"/>
      <c r="JP226"/>
      <c r="JQ226"/>
      <c r="JR226"/>
      <c r="JS226"/>
      <c r="JT226"/>
      <c r="JU226"/>
      <c r="JV226"/>
      <c r="JW226"/>
      <c r="JX226"/>
      <c r="JY226"/>
      <c r="JZ226"/>
      <c r="KA226"/>
      <c r="KB226"/>
      <c r="KC226"/>
      <c r="KD226"/>
      <c r="KE226"/>
      <c r="KF226"/>
      <c r="KG226"/>
      <c r="KH226"/>
      <c r="KI226"/>
      <c r="KJ226"/>
      <c r="KK226"/>
      <c r="KL226"/>
      <c r="KM226"/>
      <c r="KN226"/>
      <c r="KO226"/>
      <c r="KP226"/>
      <c r="KQ226"/>
      <c r="KR226"/>
      <c r="KS226"/>
      <c r="KT226"/>
      <c r="KU226"/>
      <c r="KV226"/>
      <c r="KW226"/>
      <c r="KX226"/>
      <c r="KY226"/>
      <c r="KZ226"/>
      <c r="LA226"/>
      <c r="LB226"/>
      <c r="LC226"/>
      <c r="LD226"/>
      <c r="LE226"/>
      <c r="LF226"/>
      <c r="LG226"/>
      <c r="LH226"/>
      <c r="LI226"/>
      <c r="LJ226"/>
      <c r="LK226"/>
      <c r="LL226"/>
      <c r="LM226"/>
      <c r="LN226"/>
      <c r="LO226"/>
      <c r="LP226"/>
      <c r="LQ226"/>
      <c r="LR226"/>
      <c r="LS226"/>
      <c r="LT226"/>
      <c r="LU226"/>
      <c r="LV226"/>
      <c r="LW226"/>
      <c r="LX226"/>
      <c r="LY226"/>
      <c r="LZ226"/>
      <c r="MA226"/>
      <c r="MB226"/>
      <c r="MC226"/>
      <c r="MD226"/>
      <c r="ME226"/>
      <c r="MF226"/>
      <c r="MG226"/>
      <c r="MH226"/>
      <c r="MI226"/>
      <c r="MJ226"/>
      <c r="MK226"/>
      <c r="ML226"/>
      <c r="MM226"/>
      <c r="MN226"/>
      <c r="MO226"/>
      <c r="MP226"/>
      <c r="MQ226"/>
      <c r="MR226"/>
      <c r="MS226"/>
      <c r="MT226"/>
      <c r="MU226"/>
      <c r="MV226"/>
      <c r="MW226"/>
      <c r="MX226"/>
      <c r="MY226"/>
      <c r="MZ226"/>
      <c r="NA226"/>
      <c r="NB226"/>
      <c r="NC226"/>
      <c r="ND226"/>
      <c r="NE226"/>
      <c r="NF226"/>
      <c r="NG226"/>
      <c r="NH226"/>
      <c r="NI226"/>
      <c r="NJ226"/>
      <c r="NK226"/>
      <c r="NL226"/>
      <c r="NM226"/>
      <c r="NN226"/>
      <c r="NO226"/>
      <c r="NP226"/>
      <c r="NQ226"/>
      <c r="NR226"/>
      <c r="NS226"/>
      <c r="NT226"/>
      <c r="NU226"/>
      <c r="NV226"/>
      <c r="NW226"/>
      <c r="NX226"/>
      <c r="NY226"/>
      <c r="NZ226"/>
      <c r="OA226"/>
      <c r="OB226"/>
      <c r="OC226"/>
      <c r="OD226"/>
      <c r="OE226"/>
      <c r="OF226"/>
      <c r="OG226"/>
      <c r="OH226"/>
      <c r="OI226"/>
      <c r="OJ226"/>
      <c r="OK226"/>
      <c r="OL226"/>
      <c r="OM226"/>
      <c r="ON226"/>
      <c r="OO226"/>
      <c r="OP226"/>
      <c r="OQ226"/>
      <c r="OR226"/>
      <c r="OS226"/>
      <c r="OT226"/>
      <c r="OU226"/>
      <c r="OV226"/>
      <c r="OW226"/>
      <c r="OX226"/>
      <c r="OY226"/>
      <c r="OZ226"/>
      <c r="PA226"/>
      <c r="PB226"/>
      <c r="PC226"/>
      <c r="PD226"/>
      <c r="PE226"/>
      <c r="PF226"/>
      <c r="PG226"/>
      <c r="PH226"/>
      <c r="PI226"/>
      <c r="PJ226"/>
      <c r="PK226"/>
      <c r="PL226"/>
      <c r="PM226"/>
      <c r="PN226"/>
      <c r="PO226"/>
      <c r="PP226"/>
      <c r="PQ226"/>
      <c r="PR226"/>
      <c r="PS226"/>
      <c r="PT226"/>
      <c r="PU226"/>
      <c r="PV226"/>
      <c r="PW226"/>
      <c r="PX226"/>
      <c r="PY226"/>
      <c r="PZ226"/>
      <c r="QA226"/>
      <c r="QB226"/>
      <c r="QC226"/>
      <c r="QD226"/>
      <c r="QE226"/>
      <c r="QF226"/>
      <c r="QG226"/>
      <c r="QH226"/>
      <c r="QI226"/>
      <c r="QJ226"/>
      <c r="QK226"/>
      <c r="QL226"/>
      <c r="QM226"/>
      <c r="QN226"/>
      <c r="QO226"/>
      <c r="QP226"/>
      <c r="QQ226"/>
      <c r="QR226"/>
      <c r="QS226"/>
      <c r="QT226"/>
      <c r="QU226"/>
      <c r="QV226"/>
      <c r="QW226"/>
      <c r="QX226"/>
    </row>
    <row r="227" spans="1:466" x14ac:dyDescent="0.35">
      <c r="A227" s="53"/>
      <c r="B227" s="53"/>
      <c r="C227" s="55"/>
      <c r="D227" s="53"/>
      <c r="E227" s="53"/>
      <c r="F227" s="126" t="s">
        <v>359</v>
      </c>
      <c r="G227" s="125">
        <v>2.2089600000000003</v>
      </c>
      <c r="H227" s="125">
        <v>583.1654400000001</v>
      </c>
      <c r="I227" s="133">
        <v>264</v>
      </c>
      <c r="J227" s="53"/>
      <c r="K227" s="53"/>
      <c r="L227" s="53"/>
      <c r="M227" s="53"/>
      <c r="N227" s="53"/>
      <c r="O227" s="53"/>
      <c r="P227" s="53"/>
      <c r="Q227" s="53"/>
      <c r="R227" s="53"/>
      <c r="S227" s="53"/>
      <c r="T227" s="53"/>
      <c r="U227" s="53"/>
      <c r="V227" s="53"/>
      <c r="W227" s="53"/>
      <c r="X227" s="53"/>
      <c r="Y227" s="53"/>
      <c r="Z227" s="53"/>
      <c r="AA227" s="53"/>
      <c r="AB227" s="53"/>
      <c r="AC227" s="53"/>
      <c r="AD227" s="53"/>
      <c r="AE227" s="53"/>
      <c r="AF227" s="63"/>
      <c r="AG227" s="64"/>
      <c r="AH227" s="65"/>
      <c r="AI227" s="65"/>
      <c r="AJ227" s="53"/>
      <c r="AK227" s="62"/>
      <c r="AL227" s="62"/>
      <c r="AM227" s="62"/>
      <c r="AN227" s="62"/>
      <c r="AO227" s="62"/>
      <c r="AP227" s="62"/>
      <c r="AQ227" s="62"/>
      <c r="AR227" s="62"/>
      <c r="AS227" s="62"/>
      <c r="AT227" s="62"/>
      <c r="AU227" s="62"/>
      <c r="AV227" s="62"/>
      <c r="AW227" s="62"/>
      <c r="AX227" s="62"/>
      <c r="AY227" s="62"/>
      <c r="AZ227" s="62"/>
      <c r="BA227" s="62"/>
      <c r="BB227" s="62"/>
      <c r="BC227" s="62"/>
      <c r="BD227" s="62"/>
      <c r="BE227" s="62"/>
      <c r="BF227" s="62"/>
      <c r="BG227" s="62"/>
      <c r="BH227" s="62"/>
      <c r="BI227" s="62"/>
      <c r="BJ227" s="62"/>
      <c r="BK227" s="62"/>
      <c r="BL227" s="62"/>
      <c r="BM227" s="62"/>
      <c r="BN227" s="62"/>
      <c r="BO227" s="62"/>
      <c r="BP227" s="62"/>
      <c r="BQ227" s="62"/>
      <c r="BR227" s="62"/>
      <c r="BS227" s="62"/>
      <c r="BT227" s="62"/>
      <c r="BU227" s="62"/>
      <c r="BV227" s="62"/>
      <c r="BW227" s="62"/>
      <c r="BX227" s="62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  <c r="HB227"/>
      <c r="HC227"/>
      <c r="HD227"/>
      <c r="HE227"/>
      <c r="HF227"/>
      <c r="HG227"/>
      <c r="HH227"/>
      <c r="HI227"/>
      <c r="HJ227"/>
      <c r="HK227"/>
      <c r="HL227"/>
      <c r="HM227"/>
      <c r="HN227"/>
      <c r="HO227"/>
      <c r="HP227"/>
      <c r="HQ227"/>
      <c r="HR227"/>
      <c r="HS227"/>
      <c r="HT227"/>
      <c r="HU227"/>
      <c r="HV227"/>
      <c r="HW227"/>
      <c r="HX227"/>
      <c r="HY227"/>
      <c r="HZ227"/>
      <c r="IA227"/>
      <c r="IB227"/>
      <c r="IC227"/>
      <c r="ID227"/>
      <c r="IE227"/>
      <c r="IF227"/>
      <c r="IG227"/>
      <c r="IH227"/>
      <c r="II227"/>
      <c r="IJ227"/>
      <c r="IK227"/>
      <c r="IL227"/>
      <c r="IM227"/>
      <c r="IN227"/>
      <c r="IO227"/>
      <c r="IP227"/>
      <c r="IQ227"/>
      <c r="IR227"/>
      <c r="IS227"/>
      <c r="IT227"/>
      <c r="IU227"/>
      <c r="IV227"/>
      <c r="IW227"/>
      <c r="IX227"/>
      <c r="IY227"/>
      <c r="IZ227"/>
      <c r="JA227"/>
      <c r="JB227"/>
      <c r="JC227"/>
      <c r="JD227"/>
      <c r="JE227"/>
      <c r="JF227"/>
      <c r="JG227"/>
      <c r="JH227"/>
      <c r="JI227"/>
      <c r="JJ227"/>
      <c r="JK227"/>
      <c r="JL227"/>
      <c r="JM227"/>
      <c r="JN227"/>
      <c r="JO227"/>
      <c r="JP227"/>
      <c r="JQ227"/>
      <c r="JR227"/>
      <c r="JS227"/>
      <c r="JT227"/>
      <c r="JU227"/>
      <c r="JV227"/>
      <c r="JW227"/>
      <c r="JX227"/>
      <c r="JY227"/>
      <c r="JZ227"/>
      <c r="KA227"/>
      <c r="KB227"/>
      <c r="KC227"/>
      <c r="KD227"/>
      <c r="KE227"/>
      <c r="KF227"/>
      <c r="KG227"/>
      <c r="KH227"/>
      <c r="KI227"/>
      <c r="KJ227"/>
      <c r="KK227"/>
      <c r="KL227"/>
      <c r="KM227"/>
      <c r="KN227"/>
      <c r="KO227"/>
      <c r="KP227"/>
      <c r="KQ227"/>
      <c r="KR227"/>
      <c r="KS227"/>
      <c r="KT227"/>
      <c r="KU227"/>
      <c r="KV227"/>
      <c r="KW227"/>
      <c r="KX227"/>
      <c r="KY227"/>
      <c r="KZ227"/>
      <c r="LA227"/>
      <c r="LB227"/>
      <c r="LC227"/>
      <c r="LD227"/>
      <c r="LE227"/>
      <c r="LF227"/>
      <c r="LG227"/>
      <c r="LH227"/>
      <c r="LI227"/>
      <c r="LJ227"/>
      <c r="LK227"/>
      <c r="LL227"/>
      <c r="LM227"/>
      <c r="LN227"/>
      <c r="LO227"/>
      <c r="LP227"/>
      <c r="LQ227"/>
      <c r="LR227"/>
      <c r="LS227"/>
      <c r="LT227"/>
      <c r="LU227"/>
      <c r="LV227"/>
      <c r="LW227"/>
      <c r="LX227"/>
      <c r="LY227"/>
      <c r="LZ227"/>
      <c r="MA227"/>
      <c r="MB227"/>
      <c r="MC227"/>
      <c r="MD227"/>
      <c r="ME227"/>
      <c r="MF227"/>
      <c r="MG227"/>
      <c r="MH227"/>
      <c r="MI227"/>
      <c r="MJ227"/>
      <c r="MK227"/>
      <c r="ML227"/>
      <c r="MM227"/>
      <c r="MN227"/>
      <c r="MO227"/>
      <c r="MP227"/>
      <c r="MQ227"/>
      <c r="MR227"/>
      <c r="MS227"/>
      <c r="MT227"/>
      <c r="MU227"/>
      <c r="MV227"/>
      <c r="MW227"/>
      <c r="MX227"/>
      <c r="MY227"/>
      <c r="MZ227"/>
      <c r="NA227"/>
      <c r="NB227"/>
      <c r="NC227"/>
      <c r="ND227"/>
      <c r="NE227"/>
      <c r="NF227"/>
      <c r="NG227"/>
      <c r="NH227"/>
      <c r="NI227"/>
      <c r="NJ227"/>
      <c r="NK227"/>
      <c r="NL227"/>
      <c r="NM227"/>
      <c r="NN227"/>
      <c r="NO227"/>
      <c r="NP227"/>
      <c r="NQ227"/>
      <c r="NR227"/>
      <c r="NS227"/>
      <c r="NT227"/>
      <c r="NU227"/>
      <c r="NV227"/>
      <c r="NW227"/>
      <c r="NX227"/>
      <c r="NY227"/>
      <c r="NZ227"/>
      <c r="OA227"/>
      <c r="OB227"/>
      <c r="OC227"/>
      <c r="OD227"/>
      <c r="OE227"/>
      <c r="OF227"/>
      <c r="OG227"/>
      <c r="OH227"/>
      <c r="OI227"/>
      <c r="OJ227"/>
      <c r="OK227"/>
      <c r="OL227"/>
      <c r="OM227"/>
      <c r="ON227"/>
      <c r="OO227"/>
      <c r="OP227"/>
      <c r="OQ227"/>
      <c r="OR227"/>
      <c r="OS227"/>
      <c r="OT227"/>
      <c r="OU227"/>
      <c r="OV227"/>
      <c r="OW227"/>
      <c r="OX227"/>
      <c r="OY227"/>
      <c r="OZ227"/>
      <c r="PA227"/>
      <c r="PB227"/>
      <c r="PC227"/>
      <c r="PD227"/>
      <c r="PE227"/>
      <c r="PF227"/>
      <c r="PG227"/>
      <c r="PH227"/>
      <c r="PI227"/>
      <c r="PJ227"/>
      <c r="PK227"/>
      <c r="PL227"/>
      <c r="PM227"/>
      <c r="PN227"/>
      <c r="PO227"/>
      <c r="PP227"/>
      <c r="PQ227"/>
      <c r="PR227"/>
      <c r="PS227"/>
      <c r="PT227"/>
      <c r="PU227"/>
      <c r="PV227"/>
      <c r="PW227"/>
      <c r="PX227"/>
      <c r="PY227"/>
      <c r="PZ227"/>
      <c r="QA227"/>
      <c r="QB227"/>
      <c r="QC227"/>
      <c r="QD227"/>
      <c r="QE227"/>
      <c r="QF227"/>
      <c r="QG227"/>
      <c r="QH227"/>
      <c r="QI227"/>
      <c r="QJ227"/>
      <c r="QK227"/>
      <c r="QL227"/>
      <c r="QM227"/>
      <c r="QN227"/>
      <c r="QO227"/>
      <c r="QP227"/>
      <c r="QQ227"/>
      <c r="QR227"/>
      <c r="QS227"/>
      <c r="QT227"/>
      <c r="QU227"/>
      <c r="QV227"/>
      <c r="QW227"/>
      <c r="QX227"/>
    </row>
    <row r="228" spans="1:466" x14ac:dyDescent="0.35">
      <c r="A228" s="53"/>
      <c r="B228" s="53"/>
      <c r="C228" s="55"/>
      <c r="D228" s="53"/>
      <c r="E228" s="53"/>
      <c r="F228" s="126" t="s">
        <v>361</v>
      </c>
      <c r="G228" s="125">
        <v>2.3835600000000001</v>
      </c>
      <c r="H228" s="125">
        <v>197.83548000000002</v>
      </c>
      <c r="I228" s="133">
        <v>83</v>
      </c>
      <c r="J228" s="53"/>
      <c r="K228" s="53"/>
      <c r="L228" s="53"/>
      <c r="M228" s="53"/>
      <c r="N228" s="53"/>
      <c r="O228" s="53"/>
      <c r="P228" s="53"/>
      <c r="Q228" s="53"/>
      <c r="R228" s="53"/>
      <c r="S228" s="53"/>
      <c r="T228" s="53"/>
      <c r="U228" s="53"/>
      <c r="V228" s="53"/>
      <c r="W228" s="53"/>
      <c r="X228" s="53"/>
      <c r="Y228" s="53"/>
      <c r="Z228" s="53"/>
      <c r="AA228" s="53"/>
      <c r="AB228" s="53"/>
      <c r="AC228" s="53"/>
      <c r="AD228" s="53"/>
      <c r="AE228" s="53"/>
      <c r="AF228" s="63"/>
      <c r="AG228" s="64"/>
      <c r="AH228" s="65"/>
      <c r="AI228" s="65"/>
      <c r="AJ228" s="53"/>
      <c r="AK228" s="62"/>
      <c r="AL228" s="62"/>
      <c r="AM228" s="62"/>
      <c r="AN228" s="62"/>
      <c r="AO228" s="62"/>
      <c r="AP228" s="62"/>
      <c r="AQ228" s="62"/>
      <c r="AR228" s="62"/>
      <c r="AS228" s="62"/>
      <c r="AT228" s="62"/>
      <c r="AU228" s="62"/>
      <c r="AV228" s="62"/>
      <c r="AW228" s="62"/>
      <c r="AX228" s="62"/>
      <c r="AY228" s="62"/>
      <c r="AZ228" s="62"/>
      <c r="BA228" s="62"/>
      <c r="BB228" s="62"/>
      <c r="BC228" s="62"/>
      <c r="BD228" s="62"/>
      <c r="BE228" s="62"/>
      <c r="BF228" s="62"/>
      <c r="BG228" s="62"/>
      <c r="BH228" s="62"/>
      <c r="BI228" s="62"/>
      <c r="BJ228" s="62"/>
      <c r="BK228" s="62"/>
      <c r="BL228" s="62"/>
      <c r="BM228" s="62"/>
      <c r="BN228" s="62"/>
      <c r="BO228" s="62"/>
      <c r="BP228" s="62"/>
      <c r="BQ228" s="62"/>
      <c r="BR228" s="62"/>
      <c r="BS228" s="62"/>
      <c r="BT228" s="62"/>
      <c r="BU228" s="62"/>
      <c r="BV228" s="62"/>
      <c r="BW228" s="62"/>
      <c r="BX228" s="62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  <c r="HB228"/>
      <c r="HC228"/>
      <c r="HD228"/>
      <c r="HE228"/>
      <c r="HF228"/>
      <c r="HG228"/>
      <c r="HH228"/>
      <c r="HI228"/>
      <c r="HJ228"/>
      <c r="HK228"/>
      <c r="HL228"/>
      <c r="HM228"/>
      <c r="HN228"/>
      <c r="HO228"/>
      <c r="HP228"/>
      <c r="HQ228"/>
      <c r="HR228"/>
      <c r="HS228"/>
      <c r="HT228"/>
      <c r="HU228"/>
      <c r="HV228"/>
      <c r="HW228"/>
      <c r="HX228"/>
      <c r="HY228"/>
      <c r="HZ228"/>
      <c r="IA228"/>
      <c r="IB228"/>
      <c r="IC228"/>
      <c r="ID228"/>
      <c r="IE228"/>
      <c r="IF228"/>
      <c r="IG228"/>
      <c r="IH228"/>
      <c r="II228"/>
      <c r="IJ228"/>
      <c r="IK228"/>
      <c r="IL228"/>
      <c r="IM228"/>
      <c r="IN228"/>
      <c r="IO228"/>
      <c r="IP228"/>
      <c r="IQ228"/>
      <c r="IR228"/>
      <c r="IS228"/>
      <c r="IT228"/>
      <c r="IU228"/>
      <c r="IV228"/>
      <c r="IW228"/>
      <c r="IX228"/>
      <c r="IY228"/>
      <c r="IZ228"/>
      <c r="JA228"/>
      <c r="JB228"/>
      <c r="JC228"/>
      <c r="JD228"/>
      <c r="JE228"/>
      <c r="JF228"/>
      <c r="JG228"/>
      <c r="JH228"/>
      <c r="JI228"/>
      <c r="JJ228"/>
      <c r="JK228"/>
      <c r="JL228"/>
      <c r="JM228"/>
      <c r="JN228"/>
      <c r="JO228"/>
      <c r="JP228"/>
      <c r="JQ228"/>
      <c r="JR228"/>
      <c r="JS228"/>
      <c r="JT228"/>
      <c r="JU228"/>
      <c r="JV228"/>
      <c r="JW228"/>
      <c r="JX228"/>
      <c r="JY228"/>
      <c r="JZ228"/>
      <c r="KA228"/>
      <c r="KB228"/>
      <c r="KC228"/>
      <c r="KD228"/>
      <c r="KE228"/>
      <c r="KF228"/>
      <c r="KG228"/>
      <c r="KH228"/>
      <c r="KI228"/>
      <c r="KJ228"/>
      <c r="KK228"/>
      <c r="KL228"/>
      <c r="KM228"/>
      <c r="KN228"/>
      <c r="KO228"/>
      <c r="KP228"/>
      <c r="KQ228"/>
      <c r="KR228"/>
      <c r="KS228"/>
      <c r="KT228"/>
      <c r="KU228"/>
      <c r="KV228"/>
      <c r="KW228"/>
      <c r="KX228"/>
      <c r="KY228"/>
      <c r="KZ228"/>
      <c r="LA228"/>
      <c r="LB228"/>
      <c r="LC228"/>
      <c r="LD228"/>
      <c r="LE228"/>
      <c r="LF228"/>
      <c r="LG228"/>
      <c r="LH228"/>
      <c r="LI228"/>
      <c r="LJ228"/>
      <c r="LK228"/>
      <c r="LL228"/>
      <c r="LM228"/>
      <c r="LN228"/>
      <c r="LO228"/>
      <c r="LP228"/>
      <c r="LQ228"/>
      <c r="LR228"/>
      <c r="LS228"/>
      <c r="LT228"/>
      <c r="LU228"/>
      <c r="LV228"/>
      <c r="LW228"/>
      <c r="LX228"/>
      <c r="LY228"/>
      <c r="LZ228"/>
      <c r="MA228"/>
      <c r="MB228"/>
      <c r="MC228"/>
      <c r="MD228"/>
      <c r="ME228"/>
      <c r="MF228"/>
      <c r="MG228"/>
      <c r="MH228"/>
      <c r="MI228"/>
      <c r="MJ228"/>
      <c r="MK228"/>
      <c r="ML228"/>
      <c r="MM228"/>
      <c r="MN228"/>
      <c r="MO228"/>
      <c r="MP228"/>
      <c r="MQ228"/>
      <c r="MR228"/>
      <c r="MS228"/>
      <c r="MT228"/>
      <c r="MU228"/>
      <c r="MV228"/>
      <c r="MW228"/>
      <c r="MX228"/>
      <c r="MY228"/>
      <c r="MZ228"/>
      <c r="NA228"/>
      <c r="NB228"/>
      <c r="NC228"/>
      <c r="ND228"/>
      <c r="NE228"/>
      <c r="NF228"/>
      <c r="NG228"/>
      <c r="NH228"/>
      <c r="NI228"/>
      <c r="NJ228"/>
      <c r="NK228"/>
      <c r="NL228"/>
      <c r="NM228"/>
      <c r="NN228"/>
      <c r="NO228"/>
      <c r="NP228"/>
      <c r="NQ228"/>
      <c r="NR228"/>
      <c r="NS228"/>
      <c r="NT228"/>
      <c r="NU228"/>
      <c r="NV228"/>
      <c r="NW228"/>
      <c r="NX228"/>
      <c r="NY228"/>
      <c r="NZ228"/>
      <c r="OA228"/>
      <c r="OB228"/>
      <c r="OC228"/>
      <c r="OD228"/>
      <c r="OE228"/>
      <c r="OF228"/>
      <c r="OG228"/>
      <c r="OH228"/>
      <c r="OI228"/>
      <c r="OJ228"/>
      <c r="OK228"/>
      <c r="OL228"/>
      <c r="OM228"/>
      <c r="ON228"/>
      <c r="OO228"/>
      <c r="OP228"/>
      <c r="OQ228"/>
      <c r="OR228"/>
      <c r="OS228"/>
      <c r="OT228"/>
      <c r="OU228"/>
      <c r="OV228"/>
      <c r="OW228"/>
      <c r="OX228"/>
      <c r="OY228"/>
      <c r="OZ228"/>
      <c r="PA228"/>
      <c r="PB228"/>
      <c r="PC228"/>
      <c r="PD228"/>
      <c r="PE228"/>
      <c r="PF228"/>
      <c r="PG228"/>
      <c r="PH228"/>
      <c r="PI228"/>
      <c r="PJ228"/>
      <c r="PK228"/>
      <c r="PL228"/>
      <c r="PM228"/>
      <c r="PN228"/>
      <c r="PO228"/>
      <c r="PP228"/>
      <c r="PQ228"/>
      <c r="PR228"/>
      <c r="PS228"/>
      <c r="PT228"/>
      <c r="PU228"/>
      <c r="PV228"/>
      <c r="PW228"/>
      <c r="PX228"/>
      <c r="PY228"/>
      <c r="PZ228"/>
      <c r="QA228"/>
      <c r="QB228"/>
      <c r="QC228"/>
      <c r="QD228"/>
      <c r="QE228"/>
      <c r="QF228"/>
      <c r="QG228"/>
      <c r="QH228"/>
      <c r="QI228"/>
      <c r="QJ228"/>
      <c r="QK228"/>
      <c r="QL228"/>
      <c r="QM228"/>
      <c r="QN228"/>
      <c r="QO228"/>
      <c r="QP228"/>
      <c r="QQ228"/>
      <c r="QR228"/>
      <c r="QS228"/>
      <c r="QT228"/>
      <c r="QU228"/>
      <c r="QV228"/>
      <c r="QW228"/>
      <c r="QX228"/>
    </row>
    <row r="229" spans="1:466" x14ac:dyDescent="0.35">
      <c r="A229" s="53"/>
      <c r="B229" s="53"/>
      <c r="C229" s="55"/>
      <c r="D229" s="53"/>
      <c r="E229" s="53"/>
      <c r="F229" s="126" t="s">
        <v>392</v>
      </c>
      <c r="G229" s="125">
        <v>0.27600000000000002</v>
      </c>
      <c r="H229" s="125">
        <v>91.632000000000005</v>
      </c>
      <c r="I229" s="133">
        <v>332</v>
      </c>
      <c r="J229" s="53"/>
      <c r="K229" s="53"/>
      <c r="L229" s="53"/>
      <c r="M229" s="53"/>
      <c r="N229" s="53"/>
      <c r="O229" s="53"/>
      <c r="P229" s="53"/>
      <c r="Q229" s="53"/>
      <c r="R229" s="53"/>
      <c r="S229" s="53"/>
      <c r="T229" s="53"/>
      <c r="U229" s="53"/>
      <c r="V229" s="53"/>
      <c r="W229" s="53"/>
      <c r="X229" s="53"/>
      <c r="Y229" s="53"/>
      <c r="Z229" s="53"/>
      <c r="AA229" s="53"/>
      <c r="AB229" s="53"/>
      <c r="AC229" s="53"/>
      <c r="AD229" s="53"/>
      <c r="AE229" s="53"/>
      <c r="AF229" s="63"/>
      <c r="AG229" s="64"/>
      <c r="AH229" s="65"/>
      <c r="AI229" s="65"/>
      <c r="AJ229" s="53"/>
      <c r="AK229" s="62"/>
      <c r="AL229" s="62"/>
      <c r="AM229" s="62"/>
      <c r="AN229" s="62"/>
      <c r="AO229" s="62"/>
      <c r="AP229" s="62"/>
      <c r="AQ229" s="62"/>
      <c r="AR229" s="62"/>
      <c r="AS229" s="62"/>
      <c r="AT229" s="62"/>
      <c r="AU229" s="62"/>
      <c r="AV229" s="62"/>
      <c r="AW229" s="62"/>
      <c r="AX229" s="62"/>
      <c r="AY229" s="62"/>
      <c r="AZ229" s="62"/>
      <c r="BA229" s="62"/>
      <c r="BB229" s="62"/>
      <c r="BC229" s="62"/>
      <c r="BD229" s="62"/>
      <c r="BE229" s="62"/>
      <c r="BF229" s="62"/>
      <c r="BG229" s="62"/>
      <c r="BH229" s="62"/>
      <c r="BI229" s="62"/>
      <c r="BJ229" s="62"/>
      <c r="BK229" s="62"/>
      <c r="BL229" s="62"/>
      <c r="BM229" s="62"/>
      <c r="BN229" s="62"/>
      <c r="BO229" s="62"/>
      <c r="BP229" s="62"/>
      <c r="BQ229" s="62"/>
      <c r="BR229" s="62"/>
      <c r="BS229" s="62"/>
      <c r="BT229" s="62"/>
      <c r="BU229" s="62"/>
      <c r="BV229" s="62"/>
      <c r="BW229" s="62"/>
      <c r="BX229" s="62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  <c r="HB229"/>
      <c r="HC229"/>
      <c r="HD229"/>
      <c r="HE229"/>
      <c r="HF229"/>
      <c r="HG229"/>
      <c r="HH229"/>
      <c r="HI229"/>
      <c r="HJ229"/>
      <c r="HK229"/>
      <c r="HL229"/>
      <c r="HM229"/>
      <c r="HN229"/>
      <c r="HO229"/>
      <c r="HP229"/>
      <c r="HQ229"/>
      <c r="HR229"/>
      <c r="HS229"/>
      <c r="HT229"/>
      <c r="HU229"/>
      <c r="HV229"/>
      <c r="HW229"/>
      <c r="HX229"/>
      <c r="HY229"/>
      <c r="HZ229"/>
      <c r="IA229"/>
      <c r="IB229"/>
      <c r="IC229"/>
      <c r="ID229"/>
      <c r="IE229"/>
      <c r="IF229"/>
      <c r="IG229"/>
      <c r="IH229"/>
      <c r="II229"/>
      <c r="IJ229"/>
      <c r="IK229"/>
      <c r="IL229"/>
      <c r="IM229"/>
      <c r="IN229"/>
      <c r="IO229"/>
      <c r="IP229"/>
      <c r="IQ229"/>
      <c r="IR229"/>
      <c r="IS229"/>
      <c r="IT229"/>
      <c r="IU229"/>
      <c r="IV229"/>
      <c r="IW229"/>
      <c r="IX229"/>
      <c r="IY229"/>
      <c r="IZ229"/>
      <c r="JA229"/>
      <c r="JB229"/>
      <c r="JC229"/>
      <c r="JD229"/>
      <c r="JE229"/>
      <c r="JF229"/>
      <c r="JG229"/>
      <c r="JH229"/>
      <c r="JI229"/>
      <c r="JJ229"/>
      <c r="JK229"/>
      <c r="JL229"/>
      <c r="JM229"/>
      <c r="JN229"/>
      <c r="JO229"/>
      <c r="JP229"/>
      <c r="JQ229"/>
      <c r="JR229"/>
      <c r="JS229"/>
      <c r="JT229"/>
      <c r="JU229"/>
      <c r="JV229"/>
      <c r="JW229"/>
      <c r="JX229"/>
      <c r="JY229"/>
      <c r="JZ229"/>
      <c r="KA229"/>
      <c r="KB229"/>
      <c r="KC229"/>
      <c r="KD229"/>
      <c r="KE229"/>
      <c r="KF229"/>
      <c r="KG229"/>
      <c r="KH229"/>
      <c r="KI229"/>
      <c r="KJ229"/>
      <c r="KK229"/>
      <c r="KL229"/>
      <c r="KM229"/>
      <c r="KN229"/>
      <c r="KO229"/>
      <c r="KP229"/>
      <c r="KQ229"/>
      <c r="KR229"/>
      <c r="KS229"/>
      <c r="KT229"/>
      <c r="KU229"/>
      <c r="KV229"/>
      <c r="KW229"/>
      <c r="KX229"/>
      <c r="KY229"/>
      <c r="KZ229"/>
      <c r="LA229"/>
      <c r="LB229"/>
      <c r="LC229"/>
      <c r="LD229"/>
      <c r="LE229"/>
      <c r="LF229"/>
      <c r="LG229"/>
      <c r="LH229"/>
      <c r="LI229"/>
      <c r="LJ229"/>
      <c r="LK229"/>
      <c r="LL229"/>
      <c r="LM229"/>
      <c r="LN229"/>
      <c r="LO229"/>
      <c r="LP229"/>
      <c r="LQ229"/>
      <c r="LR229"/>
      <c r="LS229"/>
      <c r="LT229"/>
      <c r="LU229"/>
      <c r="LV229"/>
      <c r="LW229"/>
      <c r="LX229"/>
      <c r="LY229"/>
      <c r="LZ229"/>
      <c r="MA229"/>
      <c r="MB229"/>
      <c r="MC229"/>
      <c r="MD229"/>
      <c r="ME229"/>
      <c r="MF229"/>
      <c r="MG229"/>
      <c r="MH229"/>
      <c r="MI229"/>
      <c r="MJ229"/>
      <c r="MK229"/>
      <c r="ML229"/>
      <c r="MM229"/>
      <c r="MN229"/>
      <c r="MO229"/>
      <c r="MP229"/>
      <c r="MQ229"/>
      <c r="MR229"/>
      <c r="MS229"/>
      <c r="MT229"/>
      <c r="MU229"/>
      <c r="MV229"/>
      <c r="MW229"/>
      <c r="MX229"/>
      <c r="MY229"/>
      <c r="MZ229"/>
      <c r="NA229"/>
      <c r="NB229"/>
      <c r="NC229"/>
      <c r="ND229"/>
      <c r="NE229"/>
      <c r="NF229"/>
      <c r="NG229"/>
      <c r="NH229"/>
      <c r="NI229"/>
      <c r="NJ229"/>
      <c r="NK229"/>
      <c r="NL229"/>
      <c r="NM229"/>
      <c r="NN229"/>
      <c r="NO229"/>
      <c r="NP229"/>
      <c r="NQ229"/>
      <c r="NR229"/>
      <c r="NS229"/>
      <c r="NT229"/>
      <c r="NU229"/>
      <c r="NV229"/>
      <c r="NW229"/>
      <c r="NX229"/>
      <c r="NY229"/>
      <c r="NZ229"/>
      <c r="OA229"/>
      <c r="OB229"/>
      <c r="OC229"/>
      <c r="OD229"/>
      <c r="OE229"/>
      <c r="OF229"/>
      <c r="OG229"/>
      <c r="OH229"/>
      <c r="OI229"/>
      <c r="OJ229"/>
      <c r="OK229"/>
      <c r="OL229"/>
      <c r="OM229"/>
      <c r="ON229"/>
      <c r="OO229"/>
      <c r="OP229"/>
      <c r="OQ229"/>
      <c r="OR229"/>
      <c r="OS229"/>
      <c r="OT229"/>
      <c r="OU229"/>
      <c r="OV229"/>
      <c r="OW229"/>
      <c r="OX229"/>
      <c r="OY229"/>
      <c r="OZ229"/>
      <c r="PA229"/>
      <c r="PB229"/>
      <c r="PC229"/>
      <c r="PD229"/>
      <c r="PE229"/>
      <c r="PF229"/>
      <c r="PG229"/>
      <c r="PH229"/>
      <c r="PI229"/>
      <c r="PJ229"/>
      <c r="PK229"/>
      <c r="PL229"/>
      <c r="PM229"/>
      <c r="PN229"/>
      <c r="PO229"/>
      <c r="PP229"/>
      <c r="PQ229"/>
      <c r="PR229"/>
      <c r="PS229"/>
      <c r="PT229"/>
      <c r="PU229"/>
      <c r="PV229"/>
      <c r="PW229"/>
      <c r="PX229"/>
      <c r="PY229"/>
      <c r="PZ229"/>
      <c r="QA229"/>
      <c r="QB229"/>
      <c r="QC229"/>
      <c r="QD229"/>
      <c r="QE229"/>
      <c r="QF229"/>
      <c r="QG229"/>
      <c r="QH229"/>
      <c r="QI229"/>
      <c r="QJ229"/>
      <c r="QK229"/>
      <c r="QL229"/>
      <c r="QM229"/>
      <c r="QN229"/>
      <c r="QO229"/>
      <c r="QP229"/>
      <c r="QQ229"/>
      <c r="QR229"/>
      <c r="QS229"/>
      <c r="QT229"/>
      <c r="QU229"/>
      <c r="QV229"/>
      <c r="QW229"/>
      <c r="QX229"/>
    </row>
    <row r="230" spans="1:466" x14ac:dyDescent="0.35">
      <c r="A230" s="53"/>
      <c r="B230" s="53"/>
      <c r="C230" s="55"/>
      <c r="D230" s="53"/>
      <c r="E230" s="53"/>
      <c r="F230" s="126" t="s">
        <v>406</v>
      </c>
      <c r="G230" s="125">
        <v>0.58799999999999997</v>
      </c>
      <c r="H230" s="125">
        <v>876.12</v>
      </c>
      <c r="I230" s="133">
        <v>1490</v>
      </c>
      <c r="J230" s="53"/>
      <c r="K230" s="53"/>
      <c r="L230" s="53"/>
      <c r="M230" s="53"/>
      <c r="N230" s="53"/>
      <c r="O230" s="53"/>
      <c r="P230" s="53"/>
      <c r="Q230" s="53"/>
      <c r="R230" s="53"/>
      <c r="S230" s="53"/>
      <c r="T230" s="53"/>
      <c r="U230" s="53"/>
      <c r="V230" s="53"/>
      <c r="W230" s="53"/>
      <c r="X230" s="53"/>
      <c r="Y230" s="53"/>
      <c r="Z230" s="53"/>
      <c r="AA230" s="53"/>
      <c r="AB230" s="53"/>
      <c r="AC230" s="53"/>
      <c r="AD230" s="53"/>
      <c r="AE230" s="53"/>
      <c r="AF230" s="63"/>
      <c r="AG230" s="64"/>
      <c r="AH230" s="65"/>
      <c r="AI230" s="65"/>
      <c r="AJ230" s="53"/>
      <c r="AK230" s="62"/>
      <c r="AL230" s="62"/>
      <c r="AM230" s="62"/>
      <c r="AN230" s="62"/>
      <c r="AO230" s="62"/>
      <c r="AP230" s="62"/>
      <c r="AQ230" s="62"/>
      <c r="AR230" s="62"/>
      <c r="AS230" s="62"/>
      <c r="AT230" s="62"/>
      <c r="AU230" s="62"/>
      <c r="AV230" s="62"/>
      <c r="AW230" s="62"/>
      <c r="AX230" s="62"/>
      <c r="AY230" s="62"/>
      <c r="AZ230" s="62"/>
      <c r="BA230" s="62"/>
      <c r="BB230" s="62"/>
      <c r="BC230" s="62"/>
      <c r="BD230" s="62"/>
      <c r="BE230" s="62"/>
      <c r="BF230" s="62"/>
      <c r="BG230" s="62"/>
      <c r="BH230" s="62"/>
      <c r="BI230" s="62"/>
      <c r="BJ230" s="62"/>
      <c r="BK230" s="62"/>
      <c r="BL230" s="62"/>
      <c r="BM230" s="62"/>
      <c r="BN230" s="62"/>
      <c r="BO230" s="62"/>
      <c r="BP230" s="62"/>
      <c r="BQ230" s="62"/>
      <c r="BR230" s="62"/>
      <c r="BS230" s="62"/>
      <c r="BT230" s="62"/>
      <c r="BU230" s="62"/>
      <c r="BV230" s="62"/>
      <c r="BW230" s="62"/>
      <c r="BX230" s="62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  <c r="HB230"/>
      <c r="HC230"/>
      <c r="HD230"/>
      <c r="HE230"/>
      <c r="HF230"/>
      <c r="HG230"/>
      <c r="HH230"/>
      <c r="HI230"/>
      <c r="HJ230"/>
      <c r="HK230"/>
      <c r="HL230"/>
      <c r="HM230"/>
      <c r="HN230"/>
      <c r="HO230"/>
      <c r="HP230"/>
      <c r="HQ230"/>
      <c r="HR230"/>
      <c r="HS230"/>
      <c r="HT230"/>
      <c r="HU230"/>
      <c r="HV230"/>
      <c r="HW230"/>
      <c r="HX230"/>
      <c r="HY230"/>
      <c r="HZ230"/>
      <c r="IA230"/>
      <c r="IB230"/>
      <c r="IC230"/>
      <c r="ID230"/>
      <c r="IE230"/>
      <c r="IF230"/>
      <c r="IG230"/>
      <c r="IH230"/>
      <c r="II230"/>
      <c r="IJ230"/>
      <c r="IK230"/>
      <c r="IL230"/>
      <c r="IM230"/>
      <c r="IN230"/>
      <c r="IO230"/>
      <c r="IP230"/>
      <c r="IQ230"/>
      <c r="IR230"/>
      <c r="IS230"/>
      <c r="IT230"/>
      <c r="IU230"/>
      <c r="IV230"/>
      <c r="IW230"/>
      <c r="IX230"/>
      <c r="IY230"/>
      <c r="IZ230"/>
      <c r="JA230"/>
      <c r="JB230"/>
      <c r="JC230"/>
      <c r="JD230"/>
      <c r="JE230"/>
      <c r="JF230"/>
      <c r="JG230"/>
      <c r="JH230"/>
      <c r="JI230"/>
      <c r="JJ230"/>
      <c r="JK230"/>
      <c r="JL230"/>
      <c r="JM230"/>
      <c r="JN230"/>
      <c r="JO230"/>
      <c r="JP230"/>
      <c r="JQ230"/>
      <c r="JR230"/>
      <c r="JS230"/>
      <c r="JT230"/>
      <c r="JU230"/>
      <c r="JV230"/>
      <c r="JW230"/>
      <c r="JX230"/>
      <c r="JY230"/>
      <c r="JZ230"/>
      <c r="KA230"/>
      <c r="KB230"/>
      <c r="KC230"/>
      <c r="KD230"/>
      <c r="KE230"/>
      <c r="KF230"/>
      <c r="KG230"/>
      <c r="KH230"/>
      <c r="KI230"/>
      <c r="KJ230"/>
      <c r="KK230"/>
      <c r="KL230"/>
      <c r="KM230"/>
      <c r="KN230"/>
      <c r="KO230"/>
      <c r="KP230"/>
      <c r="KQ230"/>
      <c r="KR230"/>
      <c r="KS230"/>
      <c r="KT230"/>
      <c r="KU230"/>
      <c r="KV230"/>
      <c r="KW230"/>
      <c r="KX230"/>
      <c r="KY230"/>
      <c r="KZ230"/>
      <c r="LA230"/>
      <c r="LB230"/>
      <c r="LC230"/>
      <c r="LD230"/>
      <c r="LE230"/>
      <c r="LF230"/>
      <c r="LG230"/>
      <c r="LH230"/>
      <c r="LI230"/>
      <c r="LJ230"/>
      <c r="LK230"/>
      <c r="LL230"/>
      <c r="LM230"/>
      <c r="LN230"/>
      <c r="LO230"/>
      <c r="LP230"/>
      <c r="LQ230"/>
      <c r="LR230"/>
      <c r="LS230"/>
      <c r="LT230"/>
      <c r="LU230"/>
      <c r="LV230"/>
      <c r="LW230"/>
      <c r="LX230"/>
      <c r="LY230"/>
      <c r="LZ230"/>
      <c r="MA230"/>
      <c r="MB230"/>
      <c r="MC230"/>
      <c r="MD230"/>
      <c r="ME230"/>
      <c r="MF230"/>
      <c r="MG230"/>
      <c r="MH230"/>
      <c r="MI230"/>
      <c r="MJ230"/>
      <c r="MK230"/>
      <c r="ML230"/>
      <c r="MM230"/>
      <c r="MN230"/>
      <c r="MO230"/>
      <c r="MP230"/>
      <c r="MQ230"/>
      <c r="MR230"/>
      <c r="MS230"/>
      <c r="MT230"/>
      <c r="MU230"/>
      <c r="MV230"/>
      <c r="MW230"/>
      <c r="MX230"/>
      <c r="MY230"/>
      <c r="MZ230"/>
      <c r="NA230"/>
      <c r="NB230"/>
      <c r="NC230"/>
      <c r="ND230"/>
      <c r="NE230"/>
      <c r="NF230"/>
      <c r="NG230"/>
      <c r="NH230"/>
      <c r="NI230"/>
      <c r="NJ230"/>
      <c r="NK230"/>
      <c r="NL230"/>
      <c r="NM230"/>
      <c r="NN230"/>
      <c r="NO230"/>
      <c r="NP230"/>
      <c r="NQ230"/>
      <c r="NR230"/>
      <c r="NS230"/>
      <c r="NT230"/>
      <c r="NU230"/>
      <c r="NV230"/>
      <c r="NW230"/>
      <c r="NX230"/>
      <c r="NY230"/>
      <c r="NZ230"/>
      <c r="OA230"/>
      <c r="OB230"/>
      <c r="OC230"/>
      <c r="OD230"/>
      <c r="OE230"/>
      <c r="OF230"/>
      <c r="OG230"/>
      <c r="OH230"/>
      <c r="OI230"/>
      <c r="OJ230"/>
      <c r="OK230"/>
      <c r="OL230"/>
      <c r="OM230"/>
      <c r="ON230"/>
      <c r="OO230"/>
      <c r="OP230"/>
      <c r="OQ230"/>
      <c r="OR230"/>
      <c r="OS230"/>
      <c r="OT230"/>
      <c r="OU230"/>
      <c r="OV230"/>
      <c r="OW230"/>
      <c r="OX230"/>
      <c r="OY230"/>
      <c r="OZ230"/>
      <c r="PA230"/>
      <c r="PB230"/>
      <c r="PC230"/>
      <c r="PD230"/>
      <c r="PE230"/>
      <c r="PF230"/>
      <c r="PG230"/>
      <c r="PH230"/>
      <c r="PI230"/>
      <c r="PJ230"/>
      <c r="PK230"/>
      <c r="PL230"/>
      <c r="PM230"/>
      <c r="PN230"/>
      <c r="PO230"/>
      <c r="PP230"/>
      <c r="PQ230"/>
      <c r="PR230"/>
      <c r="PS230"/>
      <c r="PT230"/>
      <c r="PU230"/>
      <c r="PV230"/>
      <c r="PW230"/>
      <c r="PX230"/>
      <c r="PY230"/>
      <c r="PZ230"/>
      <c r="QA230"/>
      <c r="QB230"/>
      <c r="QC230"/>
      <c r="QD230"/>
      <c r="QE230"/>
      <c r="QF230"/>
      <c r="QG230"/>
      <c r="QH230"/>
      <c r="QI230"/>
      <c r="QJ230"/>
      <c r="QK230"/>
      <c r="QL230"/>
      <c r="QM230"/>
      <c r="QN230"/>
      <c r="QO230"/>
      <c r="QP230"/>
      <c r="QQ230"/>
      <c r="QR230"/>
      <c r="QS230"/>
      <c r="QT230"/>
      <c r="QU230"/>
      <c r="QV230"/>
      <c r="QW230"/>
      <c r="QX230"/>
    </row>
    <row r="231" spans="1:466" x14ac:dyDescent="0.35">
      <c r="A231" s="53"/>
      <c r="B231" s="53"/>
      <c r="C231" s="55"/>
      <c r="D231" s="53"/>
      <c r="E231" s="53"/>
      <c r="F231" s="126" t="s">
        <v>408</v>
      </c>
      <c r="G231" s="125">
        <v>0.63600000000000001</v>
      </c>
      <c r="H231" s="125">
        <v>777.82799999999997</v>
      </c>
      <c r="I231" s="133">
        <v>1223</v>
      </c>
      <c r="J231" s="53"/>
      <c r="K231" s="53"/>
      <c r="L231" s="53"/>
      <c r="M231" s="53"/>
      <c r="N231" s="53"/>
      <c r="O231" s="53"/>
      <c r="P231" s="53"/>
      <c r="Q231" s="53"/>
      <c r="R231" s="53"/>
      <c r="S231" s="53"/>
      <c r="T231" s="53"/>
      <c r="U231" s="53"/>
      <c r="V231" s="53"/>
      <c r="W231" s="53"/>
      <c r="X231" s="53"/>
      <c r="Y231" s="53"/>
      <c r="Z231" s="53"/>
      <c r="AA231" s="53"/>
      <c r="AB231" s="53"/>
      <c r="AC231" s="53"/>
      <c r="AD231" s="53"/>
      <c r="AE231" s="53"/>
      <c r="AF231" s="63"/>
      <c r="AG231" s="64"/>
      <c r="AH231" s="65"/>
      <c r="AI231" s="65"/>
      <c r="AJ231" s="53"/>
      <c r="AK231" s="62"/>
      <c r="AL231" s="62"/>
      <c r="AM231" s="62"/>
      <c r="AN231" s="62"/>
      <c r="AO231" s="62"/>
      <c r="AP231" s="62"/>
      <c r="AQ231" s="62"/>
      <c r="AR231" s="62"/>
      <c r="AS231" s="62"/>
      <c r="AT231" s="62"/>
      <c r="AU231" s="62"/>
      <c r="AV231" s="62"/>
      <c r="AW231" s="62"/>
      <c r="AX231" s="62"/>
      <c r="AY231" s="62"/>
      <c r="AZ231" s="62"/>
      <c r="BA231" s="62"/>
      <c r="BB231" s="62"/>
      <c r="BC231" s="62"/>
      <c r="BD231" s="62"/>
      <c r="BE231" s="62"/>
      <c r="BF231" s="62"/>
      <c r="BG231" s="62"/>
      <c r="BH231" s="62"/>
      <c r="BI231" s="62"/>
      <c r="BJ231" s="62"/>
      <c r="BK231" s="62"/>
      <c r="BL231" s="62"/>
      <c r="BM231" s="62"/>
      <c r="BN231" s="62"/>
      <c r="BO231" s="62"/>
      <c r="BP231" s="62"/>
      <c r="BQ231" s="62"/>
      <c r="BR231" s="62"/>
      <c r="BS231" s="62"/>
      <c r="BT231" s="62"/>
      <c r="BU231" s="62"/>
      <c r="BV231" s="62"/>
      <c r="BW231" s="62"/>
      <c r="BX231" s="62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  <c r="HB231"/>
      <c r="HC231"/>
      <c r="HD231"/>
      <c r="HE231"/>
      <c r="HF231"/>
      <c r="HG231"/>
      <c r="HH231"/>
      <c r="HI231"/>
      <c r="HJ231"/>
      <c r="HK231"/>
      <c r="HL231"/>
      <c r="HM231"/>
      <c r="HN231"/>
      <c r="HO231"/>
      <c r="HP231"/>
      <c r="HQ231"/>
      <c r="HR231"/>
      <c r="HS231"/>
      <c r="HT231"/>
      <c r="HU231"/>
      <c r="HV231"/>
      <c r="HW231"/>
      <c r="HX231"/>
      <c r="HY231"/>
      <c r="HZ231"/>
      <c r="IA231"/>
      <c r="IB231"/>
      <c r="IC231"/>
      <c r="ID231"/>
      <c r="IE231"/>
      <c r="IF231"/>
      <c r="IG231"/>
      <c r="IH231"/>
      <c r="II231"/>
      <c r="IJ231"/>
      <c r="IK231"/>
      <c r="IL231"/>
      <c r="IM231"/>
      <c r="IN231"/>
      <c r="IO231"/>
      <c r="IP231"/>
      <c r="IQ231"/>
      <c r="IR231"/>
      <c r="IS231"/>
      <c r="IT231"/>
      <c r="IU231"/>
      <c r="IV231"/>
      <c r="IW231"/>
      <c r="IX231"/>
      <c r="IY231"/>
      <c r="IZ231"/>
      <c r="JA231"/>
      <c r="JB231"/>
      <c r="JC231"/>
      <c r="JD231"/>
      <c r="JE231"/>
      <c r="JF231"/>
      <c r="JG231"/>
      <c r="JH231"/>
      <c r="JI231"/>
      <c r="JJ231"/>
      <c r="JK231"/>
      <c r="JL231"/>
      <c r="JM231"/>
      <c r="JN231"/>
      <c r="JO231"/>
      <c r="JP231"/>
      <c r="JQ231"/>
      <c r="JR231"/>
      <c r="JS231"/>
      <c r="JT231"/>
      <c r="JU231"/>
      <c r="JV231"/>
      <c r="JW231"/>
      <c r="JX231"/>
      <c r="JY231"/>
      <c r="JZ231"/>
      <c r="KA231"/>
      <c r="KB231"/>
      <c r="KC231"/>
      <c r="KD231"/>
      <c r="KE231"/>
      <c r="KF231"/>
      <c r="KG231"/>
      <c r="KH231"/>
      <c r="KI231"/>
      <c r="KJ231"/>
      <c r="KK231"/>
      <c r="KL231"/>
      <c r="KM231"/>
      <c r="KN231"/>
      <c r="KO231"/>
      <c r="KP231"/>
      <c r="KQ231"/>
      <c r="KR231"/>
      <c r="KS231"/>
      <c r="KT231"/>
      <c r="KU231"/>
      <c r="KV231"/>
      <c r="KW231"/>
      <c r="KX231"/>
      <c r="KY231"/>
      <c r="KZ231"/>
      <c r="LA231"/>
      <c r="LB231"/>
      <c r="LC231"/>
      <c r="LD231"/>
      <c r="LE231"/>
      <c r="LF231"/>
      <c r="LG231"/>
      <c r="LH231"/>
      <c r="LI231"/>
      <c r="LJ231"/>
      <c r="LK231"/>
      <c r="LL231"/>
      <c r="LM231"/>
      <c r="LN231"/>
      <c r="LO231"/>
      <c r="LP231"/>
      <c r="LQ231"/>
      <c r="LR231"/>
      <c r="LS231"/>
      <c r="LT231"/>
      <c r="LU231"/>
      <c r="LV231"/>
      <c r="LW231"/>
      <c r="LX231"/>
      <c r="LY231"/>
      <c r="LZ231"/>
      <c r="MA231"/>
      <c r="MB231"/>
      <c r="MC231"/>
      <c r="MD231"/>
      <c r="ME231"/>
      <c r="MF231"/>
      <c r="MG231"/>
      <c r="MH231"/>
      <c r="MI231"/>
      <c r="MJ231"/>
      <c r="MK231"/>
      <c r="ML231"/>
      <c r="MM231"/>
      <c r="MN231"/>
      <c r="MO231"/>
      <c r="MP231"/>
      <c r="MQ231"/>
      <c r="MR231"/>
      <c r="MS231"/>
      <c r="MT231"/>
      <c r="MU231"/>
      <c r="MV231"/>
      <c r="MW231"/>
      <c r="MX231"/>
      <c r="MY231"/>
      <c r="MZ231"/>
      <c r="NA231"/>
      <c r="NB231"/>
      <c r="NC231"/>
      <c r="ND231"/>
      <c r="NE231"/>
      <c r="NF231"/>
      <c r="NG231"/>
      <c r="NH231"/>
      <c r="NI231"/>
      <c r="NJ231"/>
      <c r="NK231"/>
      <c r="NL231"/>
      <c r="NM231"/>
      <c r="NN231"/>
      <c r="NO231"/>
      <c r="NP231"/>
      <c r="NQ231"/>
      <c r="NR231"/>
      <c r="NS231"/>
      <c r="NT231"/>
      <c r="NU231"/>
      <c r="NV231"/>
      <c r="NW231"/>
      <c r="NX231"/>
      <c r="NY231"/>
      <c r="NZ231"/>
      <c r="OA231"/>
      <c r="OB231"/>
      <c r="OC231"/>
      <c r="OD231"/>
      <c r="OE231"/>
      <c r="OF231"/>
      <c r="OG231"/>
      <c r="OH231"/>
      <c r="OI231"/>
      <c r="OJ231"/>
      <c r="OK231"/>
      <c r="OL231"/>
      <c r="OM231"/>
      <c r="ON231"/>
      <c r="OO231"/>
      <c r="OP231"/>
      <c r="OQ231"/>
      <c r="OR231"/>
      <c r="OS231"/>
      <c r="OT231"/>
      <c r="OU231"/>
      <c r="OV231"/>
      <c r="OW231"/>
      <c r="OX231"/>
      <c r="OY231"/>
      <c r="OZ231"/>
      <c r="PA231"/>
      <c r="PB231"/>
      <c r="PC231"/>
      <c r="PD231"/>
      <c r="PE231"/>
      <c r="PF231"/>
      <c r="PG231"/>
      <c r="PH231"/>
      <c r="PI231"/>
      <c r="PJ231"/>
      <c r="PK231"/>
      <c r="PL231"/>
      <c r="PM231"/>
      <c r="PN231"/>
      <c r="PO231"/>
      <c r="PP231"/>
      <c r="PQ231"/>
      <c r="PR231"/>
      <c r="PS231"/>
      <c r="PT231"/>
      <c r="PU231"/>
      <c r="PV231"/>
      <c r="PW231"/>
      <c r="PX231"/>
      <c r="PY231"/>
      <c r="PZ231"/>
      <c r="QA231"/>
      <c r="QB231"/>
      <c r="QC231"/>
      <c r="QD231"/>
      <c r="QE231"/>
      <c r="QF231"/>
      <c r="QG231"/>
      <c r="QH231"/>
      <c r="QI231"/>
      <c r="QJ231"/>
      <c r="QK231"/>
      <c r="QL231"/>
      <c r="QM231"/>
      <c r="QN231"/>
      <c r="QO231"/>
      <c r="QP231"/>
      <c r="QQ231"/>
      <c r="QR231"/>
      <c r="QS231"/>
      <c r="QT231"/>
      <c r="QU231"/>
      <c r="QV231"/>
      <c r="QW231"/>
      <c r="QX231"/>
    </row>
    <row r="232" spans="1:466" x14ac:dyDescent="0.35">
      <c r="A232" s="53"/>
      <c r="B232" s="53"/>
      <c r="C232" s="55"/>
      <c r="D232" s="53"/>
      <c r="E232" s="53"/>
      <c r="F232" s="126" t="s">
        <v>404</v>
      </c>
      <c r="G232" s="125">
        <v>0.49199999999999999</v>
      </c>
      <c r="H232" s="125">
        <v>7.8719999999999999</v>
      </c>
      <c r="I232" s="133">
        <v>16</v>
      </c>
      <c r="J232" s="53"/>
      <c r="K232" s="53"/>
      <c r="L232" s="53"/>
      <c r="M232" s="53"/>
      <c r="N232" s="53"/>
      <c r="O232" s="53"/>
      <c r="P232" s="53"/>
      <c r="Q232" s="53"/>
      <c r="R232" s="53"/>
      <c r="S232" s="53"/>
      <c r="T232" s="53"/>
      <c r="U232" s="53"/>
      <c r="V232" s="53"/>
      <c r="W232" s="53"/>
      <c r="X232" s="53"/>
      <c r="Y232" s="53"/>
      <c r="Z232" s="53"/>
      <c r="AA232" s="53"/>
      <c r="AB232" s="53"/>
      <c r="AC232" s="53"/>
      <c r="AD232" s="53"/>
      <c r="AE232" s="53"/>
      <c r="AF232" s="63"/>
      <c r="AG232" s="64"/>
      <c r="AH232" s="65"/>
      <c r="AI232" s="65"/>
      <c r="AJ232" s="53"/>
      <c r="AK232" s="62"/>
      <c r="AL232" s="62"/>
      <c r="AM232" s="62"/>
      <c r="AN232" s="62"/>
      <c r="AO232" s="62"/>
      <c r="AP232" s="62"/>
      <c r="AQ232" s="62"/>
      <c r="AR232" s="62"/>
      <c r="AS232" s="62"/>
      <c r="AT232" s="62"/>
      <c r="AU232" s="62"/>
      <c r="AV232" s="62"/>
      <c r="AW232" s="62"/>
      <c r="AX232" s="62"/>
      <c r="AY232" s="62"/>
      <c r="AZ232" s="62"/>
      <c r="BA232" s="62"/>
      <c r="BB232" s="62"/>
      <c r="BC232" s="62"/>
      <c r="BD232" s="62"/>
      <c r="BE232" s="62"/>
      <c r="BF232" s="62"/>
      <c r="BG232" s="62"/>
      <c r="BH232" s="62"/>
      <c r="BI232" s="62"/>
      <c r="BJ232" s="62"/>
      <c r="BK232" s="62"/>
      <c r="BL232" s="62"/>
      <c r="BM232" s="62"/>
      <c r="BN232" s="62"/>
      <c r="BO232" s="62"/>
      <c r="BP232" s="62"/>
      <c r="BQ232" s="62"/>
      <c r="BR232" s="62"/>
      <c r="BS232" s="62"/>
      <c r="BT232" s="62"/>
      <c r="BU232" s="62"/>
      <c r="BV232" s="62"/>
      <c r="BW232" s="62"/>
      <c r="BX232" s="6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  <c r="HB232"/>
      <c r="HC232"/>
      <c r="HD232"/>
      <c r="HE232"/>
      <c r="HF232"/>
      <c r="HG232"/>
      <c r="HH232"/>
      <c r="HI232"/>
      <c r="HJ232"/>
      <c r="HK232"/>
      <c r="HL232"/>
      <c r="HM232"/>
      <c r="HN232"/>
      <c r="HO232"/>
      <c r="HP232"/>
      <c r="HQ232"/>
      <c r="HR232"/>
      <c r="HS232"/>
      <c r="HT232"/>
      <c r="HU232"/>
      <c r="HV232"/>
      <c r="HW232"/>
      <c r="HX232"/>
      <c r="HY232"/>
      <c r="HZ232"/>
      <c r="IA232"/>
      <c r="IB232"/>
      <c r="IC232"/>
      <c r="ID232"/>
      <c r="IE232"/>
      <c r="IF232"/>
      <c r="IG232"/>
      <c r="IH232"/>
      <c r="II232"/>
      <c r="IJ232"/>
      <c r="IK232"/>
      <c r="IL232"/>
      <c r="IM232"/>
      <c r="IN232"/>
      <c r="IO232"/>
      <c r="IP232"/>
      <c r="IQ232"/>
      <c r="IR232"/>
      <c r="IS232"/>
      <c r="IT232"/>
      <c r="IU232"/>
      <c r="IV232"/>
      <c r="IW232"/>
      <c r="IX232"/>
      <c r="IY232"/>
      <c r="IZ232"/>
      <c r="JA232"/>
      <c r="JB232"/>
      <c r="JC232"/>
      <c r="JD232"/>
      <c r="JE232"/>
      <c r="JF232"/>
      <c r="JG232"/>
      <c r="JH232"/>
      <c r="JI232"/>
      <c r="JJ232"/>
      <c r="JK232"/>
      <c r="JL232"/>
      <c r="JM232"/>
      <c r="JN232"/>
      <c r="JO232"/>
      <c r="JP232"/>
      <c r="JQ232"/>
      <c r="JR232"/>
      <c r="JS232"/>
      <c r="JT232"/>
      <c r="JU232"/>
      <c r="JV232"/>
      <c r="JW232"/>
      <c r="JX232"/>
      <c r="JY232"/>
      <c r="JZ232"/>
      <c r="KA232"/>
      <c r="KB232"/>
      <c r="KC232"/>
      <c r="KD232"/>
      <c r="KE232"/>
      <c r="KF232"/>
      <c r="KG232"/>
      <c r="KH232"/>
      <c r="KI232"/>
      <c r="KJ232"/>
      <c r="KK232"/>
      <c r="KL232"/>
      <c r="KM232"/>
      <c r="KN232"/>
      <c r="KO232"/>
      <c r="KP232"/>
      <c r="KQ232"/>
      <c r="KR232"/>
      <c r="KS232"/>
      <c r="KT232"/>
      <c r="KU232"/>
      <c r="KV232"/>
      <c r="KW232"/>
      <c r="KX232"/>
      <c r="KY232"/>
      <c r="KZ232"/>
      <c r="LA232"/>
      <c r="LB232"/>
      <c r="LC232"/>
      <c r="LD232"/>
      <c r="LE232"/>
      <c r="LF232"/>
      <c r="LG232"/>
      <c r="LH232"/>
      <c r="LI232"/>
      <c r="LJ232"/>
      <c r="LK232"/>
      <c r="LL232"/>
      <c r="LM232"/>
      <c r="LN232"/>
      <c r="LO232"/>
      <c r="LP232"/>
      <c r="LQ232"/>
      <c r="LR232"/>
      <c r="LS232"/>
      <c r="LT232"/>
      <c r="LU232"/>
      <c r="LV232"/>
      <c r="LW232"/>
      <c r="LX232"/>
      <c r="LY232"/>
      <c r="LZ232"/>
      <c r="MA232"/>
      <c r="MB232"/>
      <c r="MC232"/>
      <c r="MD232"/>
      <c r="ME232"/>
      <c r="MF232"/>
      <c r="MG232"/>
      <c r="MH232"/>
      <c r="MI232"/>
      <c r="MJ232"/>
      <c r="MK232"/>
      <c r="ML232"/>
      <c r="MM232"/>
      <c r="MN232"/>
      <c r="MO232"/>
      <c r="MP232"/>
      <c r="MQ232"/>
      <c r="MR232"/>
      <c r="MS232"/>
      <c r="MT232"/>
      <c r="MU232"/>
      <c r="MV232"/>
      <c r="MW232"/>
      <c r="MX232"/>
      <c r="MY232"/>
      <c r="MZ232"/>
      <c r="NA232"/>
      <c r="NB232"/>
      <c r="NC232"/>
      <c r="ND232"/>
      <c r="NE232"/>
      <c r="NF232"/>
      <c r="NG232"/>
      <c r="NH232"/>
      <c r="NI232"/>
      <c r="NJ232"/>
      <c r="NK232"/>
      <c r="NL232"/>
      <c r="NM232"/>
      <c r="NN232"/>
      <c r="NO232"/>
      <c r="NP232"/>
      <c r="NQ232"/>
      <c r="NR232"/>
      <c r="NS232"/>
      <c r="NT232"/>
      <c r="NU232"/>
      <c r="NV232"/>
      <c r="NW232"/>
      <c r="NX232"/>
      <c r="NY232"/>
      <c r="NZ232"/>
      <c r="OA232"/>
      <c r="OB232"/>
      <c r="OC232"/>
      <c r="OD232"/>
      <c r="OE232"/>
      <c r="OF232"/>
      <c r="OG232"/>
      <c r="OH232"/>
      <c r="OI232"/>
      <c r="OJ232"/>
      <c r="OK232"/>
      <c r="OL232"/>
      <c r="OM232"/>
      <c r="ON232"/>
      <c r="OO232"/>
      <c r="OP232"/>
      <c r="OQ232"/>
      <c r="OR232"/>
      <c r="OS232"/>
      <c r="OT232"/>
      <c r="OU232"/>
      <c r="OV232"/>
      <c r="OW232"/>
      <c r="OX232"/>
      <c r="OY232"/>
      <c r="OZ232"/>
      <c r="PA232"/>
      <c r="PB232"/>
      <c r="PC232"/>
      <c r="PD232"/>
      <c r="PE232"/>
      <c r="PF232"/>
      <c r="PG232"/>
      <c r="PH232"/>
      <c r="PI232"/>
      <c r="PJ232"/>
      <c r="PK232"/>
      <c r="PL232"/>
      <c r="PM232"/>
      <c r="PN232"/>
      <c r="PO232"/>
      <c r="PP232"/>
      <c r="PQ232"/>
      <c r="PR232"/>
      <c r="PS232"/>
      <c r="PT232"/>
      <c r="PU232"/>
      <c r="PV232"/>
      <c r="PW232"/>
      <c r="PX232"/>
      <c r="PY232"/>
      <c r="PZ232"/>
      <c r="QA232"/>
      <c r="QB232"/>
      <c r="QC232"/>
      <c r="QD232"/>
      <c r="QE232"/>
      <c r="QF232"/>
      <c r="QG232"/>
      <c r="QH232"/>
      <c r="QI232"/>
      <c r="QJ232"/>
      <c r="QK232"/>
      <c r="QL232"/>
      <c r="QM232"/>
      <c r="QN232"/>
      <c r="QO232"/>
      <c r="QP232"/>
      <c r="QQ232"/>
      <c r="QR232"/>
      <c r="QS232"/>
      <c r="QT232"/>
      <c r="QU232"/>
      <c r="QV232"/>
      <c r="QW232"/>
      <c r="QX232"/>
    </row>
    <row r="233" spans="1:466" x14ac:dyDescent="0.35">
      <c r="A233" s="53"/>
      <c r="B233" s="53"/>
      <c r="C233" s="55"/>
      <c r="D233" s="53"/>
      <c r="E233" s="53"/>
      <c r="F233" s="126" t="s">
        <v>438</v>
      </c>
      <c r="G233" s="125">
        <v>30</v>
      </c>
      <c r="H233" s="125">
        <v>1470</v>
      </c>
      <c r="I233" s="133">
        <v>49</v>
      </c>
      <c r="J233" s="53"/>
      <c r="K233" s="53"/>
      <c r="L233" s="53"/>
      <c r="M233" s="53"/>
      <c r="N233" s="53"/>
      <c r="O233" s="53"/>
      <c r="P233" s="53"/>
      <c r="Q233" s="53"/>
      <c r="R233" s="53"/>
      <c r="S233" s="53"/>
      <c r="T233" s="53"/>
      <c r="U233" s="53"/>
      <c r="V233" s="53"/>
      <c r="W233" s="53"/>
      <c r="X233" s="53"/>
      <c r="Y233" s="53"/>
      <c r="Z233" s="53"/>
      <c r="AA233" s="53"/>
      <c r="AB233" s="53"/>
      <c r="AC233" s="53"/>
      <c r="AD233" s="53"/>
      <c r="AE233" s="53"/>
      <c r="AF233" s="63"/>
      <c r="AG233" s="64"/>
      <c r="AH233" s="65"/>
      <c r="AI233" s="65"/>
      <c r="AJ233" s="53"/>
      <c r="AK233" s="62"/>
      <c r="AL233" s="62"/>
      <c r="AM233" s="62"/>
      <c r="AN233" s="62"/>
      <c r="AO233" s="62"/>
      <c r="AP233" s="62"/>
      <c r="AQ233" s="62"/>
      <c r="AR233" s="62"/>
      <c r="AS233" s="62"/>
      <c r="AT233" s="62"/>
      <c r="AU233" s="62"/>
      <c r="AV233" s="62"/>
      <c r="AW233" s="62"/>
      <c r="AX233" s="62"/>
      <c r="AY233" s="62"/>
      <c r="AZ233" s="62"/>
      <c r="BA233" s="62"/>
      <c r="BB233" s="62"/>
      <c r="BC233" s="62"/>
      <c r="BD233" s="62"/>
      <c r="BE233" s="62"/>
      <c r="BF233" s="62"/>
      <c r="BG233" s="62"/>
      <c r="BH233" s="62"/>
      <c r="BI233" s="62"/>
      <c r="BJ233" s="62"/>
      <c r="BK233" s="62"/>
      <c r="BL233" s="62"/>
      <c r="BM233" s="62"/>
      <c r="BN233" s="62"/>
      <c r="BO233" s="62"/>
      <c r="BP233" s="62"/>
      <c r="BQ233" s="62"/>
      <c r="BR233" s="62"/>
      <c r="BS233" s="62"/>
      <c r="BT233" s="62"/>
      <c r="BU233" s="62"/>
      <c r="BV233" s="62"/>
      <c r="BW233" s="62"/>
      <c r="BX233" s="62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  <c r="HB233"/>
      <c r="HC233"/>
      <c r="HD233"/>
      <c r="HE233"/>
      <c r="HF233"/>
      <c r="HG233"/>
      <c r="HH233"/>
      <c r="HI233"/>
      <c r="HJ233"/>
      <c r="HK233"/>
      <c r="HL233"/>
      <c r="HM233"/>
      <c r="HN233"/>
      <c r="HO233"/>
      <c r="HP233"/>
      <c r="HQ233"/>
      <c r="HR233"/>
      <c r="HS233"/>
      <c r="HT233"/>
      <c r="HU233"/>
      <c r="HV233"/>
      <c r="HW233"/>
      <c r="HX233"/>
      <c r="HY233"/>
      <c r="HZ233"/>
      <c r="IA233"/>
      <c r="IB233"/>
      <c r="IC233"/>
      <c r="ID233"/>
      <c r="IE233"/>
      <c r="IF233"/>
      <c r="IG233"/>
      <c r="IH233"/>
      <c r="II233"/>
      <c r="IJ233"/>
      <c r="IK233"/>
      <c r="IL233"/>
      <c r="IM233"/>
      <c r="IN233"/>
      <c r="IO233"/>
      <c r="IP233"/>
      <c r="IQ233"/>
      <c r="IR233"/>
      <c r="IS233"/>
      <c r="IT233"/>
      <c r="IU233"/>
      <c r="IV233"/>
      <c r="IW233"/>
      <c r="IX233"/>
      <c r="IY233"/>
      <c r="IZ233"/>
      <c r="JA233"/>
      <c r="JB233"/>
      <c r="JC233"/>
      <c r="JD233"/>
      <c r="JE233"/>
      <c r="JF233"/>
      <c r="JG233"/>
      <c r="JH233"/>
      <c r="JI233"/>
      <c r="JJ233"/>
      <c r="JK233"/>
      <c r="JL233"/>
      <c r="JM233"/>
      <c r="JN233"/>
      <c r="JO233"/>
      <c r="JP233"/>
      <c r="JQ233"/>
      <c r="JR233"/>
      <c r="JS233"/>
      <c r="JT233"/>
      <c r="JU233"/>
      <c r="JV233"/>
      <c r="JW233"/>
      <c r="JX233"/>
      <c r="JY233"/>
      <c r="JZ233"/>
      <c r="KA233"/>
      <c r="KB233"/>
      <c r="KC233"/>
      <c r="KD233"/>
      <c r="KE233"/>
      <c r="KF233"/>
      <c r="KG233"/>
      <c r="KH233"/>
      <c r="KI233"/>
      <c r="KJ233"/>
      <c r="KK233"/>
      <c r="KL233"/>
      <c r="KM233"/>
      <c r="KN233"/>
      <c r="KO233"/>
      <c r="KP233"/>
      <c r="KQ233"/>
      <c r="KR233"/>
      <c r="KS233"/>
      <c r="KT233"/>
      <c r="KU233"/>
      <c r="KV233"/>
      <c r="KW233"/>
      <c r="KX233"/>
      <c r="KY233"/>
      <c r="KZ233"/>
      <c r="LA233"/>
      <c r="LB233"/>
      <c r="LC233"/>
      <c r="LD233"/>
      <c r="LE233"/>
      <c r="LF233"/>
      <c r="LG233"/>
      <c r="LH233"/>
      <c r="LI233"/>
      <c r="LJ233"/>
      <c r="LK233"/>
      <c r="LL233"/>
      <c r="LM233"/>
      <c r="LN233"/>
      <c r="LO233"/>
      <c r="LP233"/>
      <c r="LQ233"/>
      <c r="LR233"/>
      <c r="LS233"/>
      <c r="LT233"/>
      <c r="LU233"/>
      <c r="LV233"/>
      <c r="LW233"/>
      <c r="LX233"/>
      <c r="LY233"/>
      <c r="LZ233"/>
      <c r="MA233"/>
      <c r="MB233"/>
      <c r="MC233"/>
      <c r="MD233"/>
      <c r="ME233"/>
      <c r="MF233"/>
      <c r="MG233"/>
      <c r="MH233"/>
      <c r="MI233"/>
      <c r="MJ233"/>
      <c r="MK233"/>
      <c r="ML233"/>
      <c r="MM233"/>
      <c r="MN233"/>
      <c r="MO233"/>
      <c r="MP233"/>
      <c r="MQ233"/>
      <c r="MR233"/>
      <c r="MS233"/>
      <c r="MT233"/>
      <c r="MU233"/>
      <c r="MV233"/>
      <c r="MW233"/>
      <c r="MX233"/>
      <c r="MY233"/>
      <c r="MZ233"/>
      <c r="NA233"/>
      <c r="NB233"/>
      <c r="NC233"/>
      <c r="ND233"/>
      <c r="NE233"/>
      <c r="NF233"/>
      <c r="NG233"/>
      <c r="NH233"/>
      <c r="NI233"/>
      <c r="NJ233"/>
      <c r="NK233"/>
      <c r="NL233"/>
      <c r="NM233"/>
      <c r="NN233"/>
      <c r="NO233"/>
      <c r="NP233"/>
      <c r="NQ233"/>
      <c r="NR233"/>
      <c r="NS233"/>
      <c r="NT233"/>
      <c r="NU233"/>
      <c r="NV233"/>
      <c r="NW233"/>
      <c r="NX233"/>
      <c r="NY233"/>
      <c r="NZ233"/>
      <c r="OA233"/>
      <c r="OB233"/>
      <c r="OC233"/>
      <c r="OD233"/>
      <c r="OE233"/>
      <c r="OF233"/>
      <c r="OG233"/>
      <c r="OH233"/>
      <c r="OI233"/>
      <c r="OJ233"/>
      <c r="OK233"/>
      <c r="OL233"/>
      <c r="OM233"/>
      <c r="ON233"/>
      <c r="OO233"/>
      <c r="OP233"/>
      <c r="OQ233"/>
      <c r="OR233"/>
      <c r="OS233"/>
      <c r="OT233"/>
      <c r="OU233"/>
      <c r="OV233"/>
      <c r="OW233"/>
      <c r="OX233"/>
      <c r="OY233"/>
      <c r="OZ233"/>
      <c r="PA233"/>
      <c r="PB233"/>
      <c r="PC233"/>
      <c r="PD233"/>
      <c r="PE233"/>
      <c r="PF233"/>
      <c r="PG233"/>
      <c r="PH233"/>
      <c r="PI233"/>
      <c r="PJ233"/>
      <c r="PK233"/>
      <c r="PL233"/>
      <c r="PM233"/>
      <c r="PN233"/>
      <c r="PO233"/>
      <c r="PP233"/>
      <c r="PQ233"/>
      <c r="PR233"/>
      <c r="PS233"/>
      <c r="PT233"/>
      <c r="PU233"/>
      <c r="PV233"/>
      <c r="PW233"/>
      <c r="PX233"/>
      <c r="PY233"/>
      <c r="PZ233"/>
      <c r="QA233"/>
      <c r="QB233"/>
      <c r="QC233"/>
      <c r="QD233"/>
      <c r="QE233"/>
      <c r="QF233"/>
      <c r="QG233"/>
      <c r="QH233"/>
      <c r="QI233"/>
      <c r="QJ233"/>
      <c r="QK233"/>
      <c r="QL233"/>
      <c r="QM233"/>
      <c r="QN233"/>
      <c r="QO233"/>
      <c r="QP233"/>
      <c r="QQ233"/>
      <c r="QR233"/>
      <c r="QS233"/>
      <c r="QT233"/>
      <c r="QU233"/>
      <c r="QV233"/>
      <c r="QW233"/>
      <c r="QX233"/>
    </row>
    <row r="234" spans="1:466" x14ac:dyDescent="0.35">
      <c r="A234" s="53"/>
      <c r="B234" s="53"/>
      <c r="C234" s="55"/>
      <c r="D234" s="53"/>
      <c r="E234" s="53"/>
      <c r="F234" s="126" t="s">
        <v>437</v>
      </c>
      <c r="G234" s="125">
        <v>15</v>
      </c>
      <c r="H234" s="125">
        <v>315</v>
      </c>
      <c r="I234" s="133">
        <v>21</v>
      </c>
      <c r="J234" s="53"/>
      <c r="K234" s="53"/>
      <c r="L234" s="53"/>
      <c r="M234" s="53"/>
      <c r="N234" s="53"/>
      <c r="O234" s="53"/>
      <c r="P234" s="53"/>
      <c r="Q234" s="53"/>
      <c r="R234" s="53"/>
      <c r="S234" s="53"/>
      <c r="T234" s="53"/>
      <c r="U234" s="53"/>
      <c r="V234" s="53"/>
      <c r="W234" s="53"/>
      <c r="X234" s="53"/>
      <c r="Y234" s="53"/>
      <c r="Z234" s="53"/>
      <c r="AA234" s="53"/>
      <c r="AB234" s="53"/>
      <c r="AC234" s="53"/>
      <c r="AD234" s="53"/>
      <c r="AE234" s="53"/>
      <c r="AF234" s="63"/>
      <c r="AG234" s="64"/>
      <c r="AH234" s="65"/>
      <c r="AI234" s="65"/>
      <c r="AJ234" s="53"/>
      <c r="AK234" s="62"/>
      <c r="AL234" s="62"/>
      <c r="AM234" s="62"/>
      <c r="AN234" s="62"/>
      <c r="AO234" s="62"/>
      <c r="AP234" s="62"/>
      <c r="AQ234" s="62"/>
      <c r="AR234" s="62"/>
      <c r="AS234" s="62"/>
      <c r="AT234" s="62"/>
      <c r="AU234" s="62"/>
      <c r="AV234" s="62"/>
      <c r="AW234" s="62"/>
      <c r="AX234" s="62"/>
      <c r="AY234" s="62"/>
      <c r="AZ234" s="62"/>
      <c r="BA234" s="62"/>
      <c r="BB234" s="62"/>
      <c r="BC234" s="62"/>
      <c r="BD234" s="62"/>
      <c r="BE234" s="62"/>
      <c r="BF234" s="62"/>
      <c r="BG234" s="62"/>
      <c r="BH234" s="62"/>
      <c r="BI234" s="62"/>
      <c r="BJ234" s="62"/>
      <c r="BK234" s="62"/>
      <c r="BL234" s="62"/>
      <c r="BM234" s="62"/>
      <c r="BN234" s="62"/>
      <c r="BO234" s="62"/>
      <c r="BP234" s="62"/>
      <c r="BQ234" s="62"/>
      <c r="BR234" s="62"/>
      <c r="BS234" s="62"/>
      <c r="BT234" s="62"/>
      <c r="BU234" s="62"/>
      <c r="BV234" s="62"/>
      <c r="BW234" s="62"/>
      <c r="BX234" s="62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  <c r="HB234"/>
      <c r="HC234"/>
      <c r="HD234"/>
      <c r="HE234"/>
      <c r="HF234"/>
      <c r="HG234"/>
      <c r="HH234"/>
      <c r="HI234"/>
      <c r="HJ234"/>
      <c r="HK234"/>
      <c r="HL234"/>
      <c r="HM234"/>
      <c r="HN234"/>
      <c r="HO234"/>
      <c r="HP234"/>
      <c r="HQ234"/>
      <c r="HR234"/>
      <c r="HS234"/>
      <c r="HT234"/>
      <c r="HU234"/>
      <c r="HV234"/>
      <c r="HW234"/>
      <c r="HX234"/>
      <c r="HY234"/>
      <c r="HZ234"/>
      <c r="IA234"/>
      <c r="IB234"/>
      <c r="IC234"/>
      <c r="ID234"/>
      <c r="IE234"/>
      <c r="IF234"/>
      <c r="IG234"/>
      <c r="IH234"/>
      <c r="II234"/>
      <c r="IJ234"/>
      <c r="IK234"/>
      <c r="IL234"/>
      <c r="IM234"/>
      <c r="IN234"/>
      <c r="IO234"/>
      <c r="IP234"/>
      <c r="IQ234"/>
      <c r="IR234"/>
      <c r="IS234"/>
      <c r="IT234"/>
      <c r="IU234"/>
      <c r="IV234"/>
      <c r="IW234"/>
      <c r="IX234"/>
      <c r="IY234"/>
      <c r="IZ234"/>
      <c r="JA234"/>
      <c r="JB234"/>
      <c r="JC234"/>
      <c r="JD234"/>
      <c r="JE234"/>
      <c r="JF234"/>
      <c r="JG234"/>
      <c r="JH234"/>
      <c r="JI234"/>
      <c r="JJ234"/>
      <c r="JK234"/>
      <c r="JL234"/>
      <c r="JM234"/>
      <c r="JN234"/>
      <c r="JO234"/>
      <c r="JP234"/>
      <c r="JQ234"/>
      <c r="JR234"/>
      <c r="JS234"/>
      <c r="JT234"/>
      <c r="JU234"/>
      <c r="JV234"/>
      <c r="JW234"/>
      <c r="JX234"/>
      <c r="JY234"/>
      <c r="JZ234"/>
      <c r="KA234"/>
      <c r="KB234"/>
      <c r="KC234"/>
      <c r="KD234"/>
      <c r="KE234"/>
      <c r="KF234"/>
      <c r="KG234"/>
      <c r="KH234"/>
      <c r="KI234"/>
      <c r="KJ234"/>
      <c r="KK234"/>
      <c r="KL234"/>
      <c r="KM234"/>
      <c r="KN234"/>
      <c r="KO234"/>
      <c r="KP234"/>
      <c r="KQ234"/>
      <c r="KR234"/>
      <c r="KS234"/>
      <c r="KT234"/>
      <c r="KU234"/>
      <c r="KV234"/>
      <c r="KW234"/>
      <c r="KX234"/>
      <c r="KY234"/>
      <c r="KZ234"/>
      <c r="LA234"/>
      <c r="LB234"/>
      <c r="LC234"/>
      <c r="LD234"/>
      <c r="LE234"/>
      <c r="LF234"/>
      <c r="LG234"/>
      <c r="LH234"/>
      <c r="LI234"/>
      <c r="LJ234"/>
      <c r="LK234"/>
      <c r="LL234"/>
      <c r="LM234"/>
      <c r="LN234"/>
      <c r="LO234"/>
      <c r="LP234"/>
      <c r="LQ234"/>
      <c r="LR234"/>
      <c r="LS234"/>
      <c r="LT234"/>
      <c r="LU234"/>
      <c r="LV234"/>
      <c r="LW234"/>
      <c r="LX234"/>
      <c r="LY234"/>
      <c r="LZ234"/>
      <c r="MA234"/>
      <c r="MB234"/>
      <c r="MC234"/>
      <c r="MD234"/>
      <c r="ME234"/>
      <c r="MF234"/>
      <c r="MG234"/>
      <c r="MH234"/>
      <c r="MI234"/>
      <c r="MJ234"/>
      <c r="MK234"/>
      <c r="ML234"/>
      <c r="MM234"/>
      <c r="MN234"/>
      <c r="MO234"/>
      <c r="MP234"/>
      <c r="MQ234"/>
      <c r="MR234"/>
      <c r="MS234"/>
      <c r="MT234"/>
      <c r="MU234"/>
      <c r="MV234"/>
      <c r="MW234"/>
      <c r="MX234"/>
      <c r="MY234"/>
      <c r="MZ234"/>
      <c r="NA234"/>
      <c r="NB234"/>
      <c r="NC234"/>
      <c r="ND234"/>
      <c r="NE234"/>
      <c r="NF234"/>
      <c r="NG234"/>
      <c r="NH234"/>
      <c r="NI234"/>
      <c r="NJ234"/>
      <c r="NK234"/>
      <c r="NL234"/>
      <c r="NM234"/>
      <c r="NN234"/>
      <c r="NO234"/>
      <c r="NP234"/>
      <c r="NQ234"/>
      <c r="NR234"/>
      <c r="NS234"/>
      <c r="NT234"/>
      <c r="NU234"/>
      <c r="NV234"/>
      <c r="NW234"/>
      <c r="NX234"/>
      <c r="NY234"/>
      <c r="NZ234"/>
      <c r="OA234"/>
      <c r="OB234"/>
      <c r="OC234"/>
      <c r="OD234"/>
      <c r="OE234"/>
      <c r="OF234"/>
      <c r="OG234"/>
      <c r="OH234"/>
      <c r="OI234"/>
      <c r="OJ234"/>
      <c r="OK234"/>
      <c r="OL234"/>
      <c r="OM234"/>
      <c r="ON234"/>
      <c r="OO234"/>
      <c r="OP234"/>
      <c r="OQ234"/>
      <c r="OR234"/>
      <c r="OS234"/>
      <c r="OT234"/>
      <c r="OU234"/>
      <c r="OV234"/>
      <c r="OW234"/>
      <c r="OX234"/>
      <c r="OY234"/>
      <c r="OZ234"/>
      <c r="PA234"/>
      <c r="PB234"/>
      <c r="PC234"/>
      <c r="PD234"/>
      <c r="PE234"/>
      <c r="PF234"/>
      <c r="PG234"/>
      <c r="PH234"/>
      <c r="PI234"/>
      <c r="PJ234"/>
      <c r="PK234"/>
      <c r="PL234"/>
      <c r="PM234"/>
      <c r="PN234"/>
      <c r="PO234"/>
      <c r="PP234"/>
      <c r="PQ234"/>
      <c r="PR234"/>
      <c r="PS234"/>
      <c r="PT234"/>
      <c r="PU234"/>
      <c r="PV234"/>
      <c r="PW234"/>
      <c r="PX234"/>
      <c r="PY234"/>
      <c r="PZ234"/>
      <c r="QA234"/>
      <c r="QB234"/>
      <c r="QC234"/>
      <c r="QD234"/>
      <c r="QE234"/>
      <c r="QF234"/>
      <c r="QG234"/>
      <c r="QH234"/>
      <c r="QI234"/>
      <c r="QJ234"/>
      <c r="QK234"/>
      <c r="QL234"/>
      <c r="QM234"/>
      <c r="QN234"/>
      <c r="QO234"/>
      <c r="QP234"/>
      <c r="QQ234"/>
      <c r="QR234"/>
      <c r="QS234"/>
      <c r="QT234"/>
      <c r="QU234"/>
      <c r="QV234"/>
      <c r="QW234"/>
      <c r="QX234"/>
    </row>
    <row r="235" spans="1:466" x14ac:dyDescent="0.35">
      <c r="A235" s="53"/>
      <c r="B235" s="53"/>
      <c r="C235" s="55"/>
      <c r="D235" s="53"/>
      <c r="E235" s="53"/>
      <c r="F235" s="126" t="s">
        <v>1281</v>
      </c>
      <c r="G235" s="125"/>
      <c r="H235" s="125">
        <v>0</v>
      </c>
      <c r="I235" s="133">
        <v>0</v>
      </c>
      <c r="J235" s="53"/>
      <c r="K235" s="53"/>
      <c r="L235" s="53"/>
      <c r="M235" s="53"/>
      <c r="N235" s="53"/>
      <c r="O235" s="53"/>
      <c r="P235" s="53"/>
      <c r="Q235" s="53"/>
      <c r="R235" s="53"/>
      <c r="S235" s="53"/>
      <c r="T235" s="53"/>
      <c r="U235" s="53"/>
      <c r="V235" s="53"/>
      <c r="W235" s="53"/>
      <c r="X235" s="53"/>
      <c r="Y235" s="53"/>
      <c r="Z235" s="53"/>
      <c r="AA235" s="53"/>
      <c r="AB235" s="53"/>
      <c r="AC235" s="53"/>
      <c r="AD235" s="53"/>
      <c r="AE235" s="53"/>
      <c r="AF235" s="63"/>
      <c r="AG235" s="64"/>
      <c r="AH235" s="65"/>
      <c r="AI235" s="65"/>
      <c r="AJ235" s="53"/>
      <c r="AK235" s="62"/>
      <c r="AL235" s="62"/>
      <c r="AM235" s="62"/>
      <c r="AN235" s="62"/>
      <c r="AO235" s="62"/>
      <c r="AP235" s="62"/>
      <c r="AQ235" s="62"/>
      <c r="AR235" s="62"/>
      <c r="AS235" s="62"/>
      <c r="AT235" s="62"/>
      <c r="AU235" s="62"/>
      <c r="AV235" s="62"/>
      <c r="AW235" s="62"/>
      <c r="AX235" s="62"/>
      <c r="AY235" s="62"/>
      <c r="AZ235" s="62"/>
      <c r="BA235" s="62"/>
      <c r="BB235" s="62"/>
      <c r="BC235" s="62"/>
      <c r="BD235" s="62"/>
      <c r="BE235" s="62"/>
      <c r="BF235" s="62"/>
      <c r="BG235" s="62"/>
      <c r="BH235" s="62"/>
      <c r="BI235" s="62"/>
      <c r="BJ235" s="62"/>
      <c r="BK235" s="62"/>
      <c r="BL235" s="62"/>
      <c r="BM235" s="62"/>
      <c r="BN235" s="62"/>
      <c r="BO235" s="62"/>
      <c r="BP235" s="62"/>
      <c r="BQ235" s="62"/>
      <c r="BR235" s="62"/>
      <c r="BS235" s="62"/>
      <c r="BT235" s="62"/>
      <c r="BU235" s="62"/>
      <c r="BV235" s="62"/>
      <c r="BW235" s="62"/>
      <c r="BX235" s="62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  <c r="HB235"/>
      <c r="HC235"/>
      <c r="HD235"/>
      <c r="HE235"/>
      <c r="HF235"/>
      <c r="HG235"/>
      <c r="HH235"/>
      <c r="HI235"/>
      <c r="HJ235"/>
      <c r="HK235"/>
      <c r="HL235"/>
      <c r="HM235"/>
      <c r="HN235"/>
      <c r="HO235"/>
      <c r="HP235"/>
      <c r="HQ235"/>
      <c r="HR235"/>
      <c r="HS235"/>
      <c r="HT235"/>
      <c r="HU235"/>
      <c r="HV235"/>
      <c r="HW235"/>
      <c r="HX235"/>
      <c r="HY235"/>
      <c r="HZ235"/>
      <c r="IA235"/>
      <c r="IB235"/>
      <c r="IC235"/>
      <c r="ID235"/>
      <c r="IE235"/>
      <c r="IF235"/>
      <c r="IG235"/>
      <c r="IH235"/>
      <c r="II235"/>
      <c r="IJ235"/>
      <c r="IK235"/>
      <c r="IL235"/>
      <c r="IM235"/>
      <c r="IN235"/>
      <c r="IO235"/>
      <c r="IP235"/>
      <c r="IQ235"/>
      <c r="IR235"/>
      <c r="IS235"/>
      <c r="IT235"/>
      <c r="IU235"/>
      <c r="IV235"/>
      <c r="IW235"/>
      <c r="IX235"/>
      <c r="IY235"/>
      <c r="IZ235"/>
      <c r="JA235"/>
      <c r="JB235"/>
      <c r="JC235"/>
      <c r="JD235"/>
      <c r="JE235"/>
      <c r="JF235"/>
      <c r="JG235"/>
      <c r="JH235"/>
      <c r="JI235"/>
      <c r="JJ235"/>
      <c r="JK235"/>
      <c r="JL235"/>
      <c r="JM235"/>
      <c r="JN235"/>
      <c r="JO235"/>
      <c r="JP235"/>
      <c r="JQ235"/>
      <c r="JR235"/>
      <c r="JS235"/>
      <c r="JT235"/>
      <c r="JU235"/>
      <c r="JV235"/>
      <c r="JW235"/>
      <c r="JX235"/>
      <c r="JY235"/>
      <c r="JZ235"/>
      <c r="KA235"/>
      <c r="KB235"/>
      <c r="KC235"/>
      <c r="KD235"/>
      <c r="KE235"/>
      <c r="KF235"/>
      <c r="KG235"/>
      <c r="KH235"/>
      <c r="KI235"/>
      <c r="KJ235"/>
      <c r="KK235"/>
      <c r="KL235"/>
      <c r="KM235"/>
      <c r="KN235"/>
      <c r="KO235"/>
      <c r="KP235"/>
      <c r="KQ235"/>
      <c r="KR235"/>
      <c r="KS235"/>
      <c r="KT235"/>
      <c r="KU235"/>
      <c r="KV235"/>
      <c r="KW235"/>
      <c r="KX235"/>
      <c r="KY235"/>
      <c r="KZ235"/>
      <c r="LA235"/>
      <c r="LB235"/>
      <c r="LC235"/>
      <c r="LD235"/>
      <c r="LE235"/>
      <c r="LF235"/>
      <c r="LG235"/>
      <c r="LH235"/>
      <c r="LI235"/>
      <c r="LJ235"/>
      <c r="LK235"/>
      <c r="LL235"/>
      <c r="LM235"/>
      <c r="LN235"/>
      <c r="LO235"/>
      <c r="LP235"/>
      <c r="LQ235"/>
      <c r="LR235"/>
      <c r="LS235"/>
      <c r="LT235"/>
      <c r="LU235"/>
      <c r="LV235"/>
      <c r="LW235"/>
      <c r="LX235"/>
      <c r="LY235"/>
      <c r="LZ235"/>
      <c r="MA235"/>
      <c r="MB235"/>
      <c r="MC235"/>
      <c r="MD235"/>
      <c r="ME235"/>
      <c r="MF235"/>
      <c r="MG235"/>
      <c r="MH235"/>
      <c r="MI235"/>
      <c r="MJ235"/>
      <c r="MK235"/>
      <c r="ML235"/>
      <c r="MM235"/>
      <c r="MN235"/>
      <c r="MO235"/>
      <c r="MP235"/>
      <c r="MQ235"/>
      <c r="MR235"/>
      <c r="MS235"/>
      <c r="MT235"/>
      <c r="MU235"/>
      <c r="MV235"/>
      <c r="MW235"/>
      <c r="MX235"/>
      <c r="MY235"/>
      <c r="MZ235"/>
      <c r="NA235"/>
      <c r="NB235"/>
      <c r="NC235"/>
      <c r="ND235"/>
      <c r="NE235"/>
      <c r="NF235"/>
      <c r="NG235"/>
      <c r="NH235"/>
      <c r="NI235"/>
      <c r="NJ235"/>
      <c r="NK235"/>
      <c r="NL235"/>
      <c r="NM235"/>
      <c r="NN235"/>
      <c r="NO235"/>
      <c r="NP235"/>
      <c r="NQ235"/>
      <c r="NR235"/>
      <c r="NS235"/>
      <c r="NT235"/>
      <c r="NU235"/>
      <c r="NV235"/>
      <c r="NW235"/>
      <c r="NX235"/>
      <c r="NY235"/>
      <c r="NZ235"/>
      <c r="OA235"/>
      <c r="OB235"/>
      <c r="OC235"/>
      <c r="OD235"/>
      <c r="OE235"/>
      <c r="OF235"/>
      <c r="OG235"/>
      <c r="OH235"/>
      <c r="OI235"/>
      <c r="OJ235"/>
      <c r="OK235"/>
      <c r="OL235"/>
      <c r="OM235"/>
      <c r="ON235"/>
      <c r="OO235"/>
      <c r="OP235"/>
      <c r="OQ235"/>
      <c r="OR235"/>
      <c r="OS235"/>
      <c r="OT235"/>
      <c r="OU235"/>
      <c r="OV235"/>
      <c r="OW235"/>
      <c r="OX235"/>
      <c r="OY235"/>
      <c r="OZ235"/>
      <c r="PA235"/>
      <c r="PB235"/>
      <c r="PC235"/>
      <c r="PD235"/>
      <c r="PE235"/>
      <c r="PF235"/>
      <c r="PG235"/>
      <c r="PH235"/>
      <c r="PI235"/>
      <c r="PJ235"/>
      <c r="PK235"/>
      <c r="PL235"/>
      <c r="PM235"/>
      <c r="PN235"/>
      <c r="PO235"/>
      <c r="PP235"/>
      <c r="PQ235"/>
      <c r="PR235"/>
      <c r="PS235"/>
      <c r="PT235"/>
      <c r="PU235"/>
      <c r="PV235"/>
      <c r="PW235"/>
      <c r="PX235"/>
      <c r="PY235"/>
      <c r="PZ235"/>
      <c r="QA235"/>
      <c r="QB235"/>
      <c r="QC235"/>
      <c r="QD235"/>
      <c r="QE235"/>
      <c r="QF235"/>
      <c r="QG235"/>
      <c r="QH235"/>
      <c r="QI235"/>
      <c r="QJ235"/>
      <c r="QK235"/>
      <c r="QL235"/>
      <c r="QM235"/>
      <c r="QN235"/>
      <c r="QO235"/>
      <c r="QP235"/>
      <c r="QQ235"/>
      <c r="QR235"/>
      <c r="QS235"/>
      <c r="QT235"/>
      <c r="QU235"/>
      <c r="QV235"/>
      <c r="QW235"/>
      <c r="QX235"/>
    </row>
    <row r="236" spans="1:466" x14ac:dyDescent="0.35">
      <c r="A236" s="53"/>
      <c r="B236" s="53"/>
      <c r="C236" s="55"/>
      <c r="D236" s="53"/>
      <c r="E236" s="53"/>
      <c r="F236" s="126" t="s">
        <v>424</v>
      </c>
      <c r="G236" s="125">
        <v>4.8125</v>
      </c>
      <c r="H236" s="125">
        <v>1597.75</v>
      </c>
      <c r="I236" s="133">
        <v>332</v>
      </c>
      <c r="J236" s="53"/>
      <c r="K236" s="53"/>
      <c r="L236" s="53"/>
      <c r="M236" s="53"/>
      <c r="N236" s="53"/>
      <c r="O236" s="53"/>
      <c r="P236" s="53"/>
      <c r="Q236" s="53"/>
      <c r="R236" s="53"/>
      <c r="S236" s="53"/>
      <c r="T236" s="53"/>
      <c r="U236" s="53"/>
      <c r="V236" s="53"/>
      <c r="W236" s="53"/>
      <c r="X236" s="53"/>
      <c r="Y236" s="53"/>
      <c r="Z236" s="53"/>
      <c r="AA236" s="53"/>
      <c r="AB236" s="53"/>
      <c r="AC236" s="53"/>
      <c r="AD236" s="53"/>
      <c r="AE236" s="53"/>
      <c r="AF236" s="63"/>
      <c r="AG236" s="64"/>
      <c r="AH236" s="65"/>
      <c r="AI236" s="65"/>
      <c r="AJ236" s="53"/>
      <c r="AK236" s="62"/>
      <c r="AL236" s="62"/>
      <c r="AM236" s="62"/>
      <c r="AN236" s="62"/>
      <c r="AO236" s="62"/>
      <c r="AP236" s="62"/>
      <c r="AQ236" s="62"/>
      <c r="AR236" s="62"/>
      <c r="AS236" s="62"/>
      <c r="AT236" s="62"/>
      <c r="AU236" s="62"/>
      <c r="AV236" s="62"/>
      <c r="AW236" s="62"/>
      <c r="AX236" s="62"/>
      <c r="AY236" s="62"/>
      <c r="AZ236" s="62"/>
      <c r="BA236" s="62"/>
      <c r="BB236" s="62"/>
      <c r="BC236" s="62"/>
      <c r="BD236" s="62"/>
      <c r="BE236" s="62"/>
      <c r="BF236" s="62"/>
      <c r="BG236" s="62"/>
      <c r="BH236" s="62"/>
      <c r="BI236" s="62"/>
      <c r="BJ236" s="62"/>
      <c r="BK236" s="62"/>
      <c r="BL236" s="62"/>
      <c r="BM236" s="62"/>
      <c r="BN236" s="62"/>
      <c r="BO236" s="62"/>
      <c r="BP236" s="62"/>
      <c r="BQ236" s="62"/>
      <c r="BR236" s="62"/>
      <c r="BS236" s="62"/>
      <c r="BT236" s="62"/>
      <c r="BU236" s="62"/>
      <c r="BV236" s="62"/>
      <c r="BW236" s="62"/>
      <c r="BX236" s="62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  <c r="HB236"/>
      <c r="HC236"/>
      <c r="HD236"/>
      <c r="HE236"/>
      <c r="HF236"/>
      <c r="HG236"/>
      <c r="HH236"/>
      <c r="HI236"/>
      <c r="HJ236"/>
      <c r="HK236"/>
      <c r="HL236"/>
      <c r="HM236"/>
      <c r="HN236"/>
      <c r="HO236"/>
      <c r="HP236"/>
      <c r="HQ236"/>
      <c r="HR236"/>
      <c r="HS236"/>
      <c r="HT236"/>
      <c r="HU236"/>
      <c r="HV236"/>
      <c r="HW236"/>
      <c r="HX236"/>
      <c r="HY236"/>
      <c r="HZ236"/>
      <c r="IA236"/>
      <c r="IB236"/>
      <c r="IC236"/>
      <c r="ID236"/>
      <c r="IE236"/>
      <c r="IF236"/>
      <c r="IG236"/>
      <c r="IH236"/>
      <c r="II236"/>
      <c r="IJ236"/>
      <c r="IK236"/>
      <c r="IL236"/>
      <c r="IM236"/>
      <c r="IN236"/>
      <c r="IO236"/>
      <c r="IP236"/>
      <c r="IQ236"/>
      <c r="IR236"/>
      <c r="IS236"/>
      <c r="IT236"/>
      <c r="IU236"/>
      <c r="IV236"/>
      <c r="IW236"/>
      <c r="IX236"/>
      <c r="IY236"/>
      <c r="IZ236"/>
      <c r="JA236"/>
      <c r="JB236"/>
      <c r="JC236"/>
      <c r="JD236"/>
      <c r="JE236"/>
      <c r="JF236"/>
      <c r="JG236"/>
      <c r="JH236"/>
      <c r="JI236"/>
      <c r="JJ236"/>
      <c r="JK236"/>
      <c r="JL236"/>
      <c r="JM236"/>
      <c r="JN236"/>
      <c r="JO236"/>
      <c r="JP236"/>
      <c r="JQ236"/>
      <c r="JR236"/>
      <c r="JS236"/>
      <c r="JT236"/>
      <c r="JU236"/>
      <c r="JV236"/>
      <c r="JW236"/>
      <c r="JX236"/>
      <c r="JY236"/>
      <c r="JZ236"/>
      <c r="KA236"/>
      <c r="KB236"/>
      <c r="KC236"/>
      <c r="KD236"/>
      <c r="KE236"/>
      <c r="KF236"/>
      <c r="KG236"/>
      <c r="KH236"/>
      <c r="KI236"/>
      <c r="KJ236"/>
      <c r="KK236"/>
      <c r="KL236"/>
      <c r="KM236"/>
      <c r="KN236"/>
      <c r="KO236"/>
      <c r="KP236"/>
      <c r="KQ236"/>
      <c r="KR236"/>
      <c r="KS236"/>
      <c r="KT236"/>
      <c r="KU236"/>
      <c r="KV236"/>
      <c r="KW236"/>
      <c r="KX236"/>
      <c r="KY236"/>
      <c r="KZ236"/>
      <c r="LA236"/>
      <c r="LB236"/>
      <c r="LC236"/>
      <c r="LD236"/>
      <c r="LE236"/>
      <c r="LF236"/>
      <c r="LG236"/>
      <c r="LH236"/>
      <c r="LI236"/>
      <c r="LJ236"/>
      <c r="LK236"/>
      <c r="LL236"/>
      <c r="LM236"/>
      <c r="LN236"/>
      <c r="LO236"/>
      <c r="LP236"/>
      <c r="LQ236"/>
      <c r="LR236"/>
      <c r="LS236"/>
      <c r="LT236"/>
      <c r="LU236"/>
      <c r="LV236"/>
      <c r="LW236"/>
      <c r="LX236"/>
      <c r="LY236"/>
      <c r="LZ236"/>
      <c r="MA236"/>
      <c r="MB236"/>
      <c r="MC236"/>
      <c r="MD236"/>
      <c r="ME236"/>
      <c r="MF236"/>
      <c r="MG236"/>
      <c r="MH236"/>
      <c r="MI236"/>
      <c r="MJ236"/>
      <c r="MK236"/>
      <c r="ML236"/>
      <c r="MM236"/>
      <c r="MN236"/>
      <c r="MO236"/>
      <c r="MP236"/>
      <c r="MQ236"/>
      <c r="MR236"/>
      <c r="MS236"/>
      <c r="MT236"/>
      <c r="MU236"/>
      <c r="MV236"/>
      <c r="MW236"/>
      <c r="MX236"/>
      <c r="MY236"/>
      <c r="MZ236"/>
      <c r="NA236"/>
      <c r="NB236"/>
      <c r="NC236"/>
      <c r="ND236"/>
      <c r="NE236"/>
      <c r="NF236"/>
      <c r="NG236"/>
      <c r="NH236"/>
      <c r="NI236"/>
      <c r="NJ236"/>
      <c r="NK236"/>
      <c r="NL236"/>
      <c r="NM236"/>
      <c r="NN236"/>
      <c r="NO236"/>
      <c r="NP236"/>
      <c r="NQ236"/>
      <c r="NR236"/>
      <c r="NS236"/>
      <c r="NT236"/>
      <c r="NU236"/>
      <c r="NV236"/>
      <c r="NW236"/>
      <c r="NX236"/>
      <c r="NY236"/>
      <c r="NZ236"/>
      <c r="OA236"/>
      <c r="OB236"/>
      <c r="OC236"/>
      <c r="OD236"/>
      <c r="OE236"/>
      <c r="OF236"/>
      <c r="OG236"/>
      <c r="OH236"/>
      <c r="OI236"/>
      <c r="OJ236"/>
      <c r="OK236"/>
      <c r="OL236"/>
      <c r="OM236"/>
      <c r="ON236"/>
      <c r="OO236"/>
      <c r="OP236"/>
      <c r="OQ236"/>
      <c r="OR236"/>
      <c r="OS236"/>
      <c r="OT236"/>
      <c r="OU236"/>
      <c r="OV236"/>
      <c r="OW236"/>
      <c r="OX236"/>
      <c r="OY236"/>
      <c r="OZ236"/>
      <c r="PA236"/>
      <c r="PB236"/>
      <c r="PC236"/>
      <c r="PD236"/>
      <c r="PE236"/>
      <c r="PF236"/>
      <c r="PG236"/>
      <c r="PH236"/>
      <c r="PI236"/>
      <c r="PJ236"/>
      <c r="PK236"/>
      <c r="PL236"/>
      <c r="PM236"/>
      <c r="PN236"/>
      <c r="PO236"/>
      <c r="PP236"/>
      <c r="PQ236"/>
      <c r="PR236"/>
      <c r="PS236"/>
      <c r="PT236"/>
      <c r="PU236"/>
      <c r="PV236"/>
      <c r="PW236"/>
      <c r="PX236"/>
      <c r="PY236"/>
      <c r="PZ236"/>
      <c r="QA236"/>
      <c r="QB236"/>
      <c r="QC236"/>
      <c r="QD236"/>
      <c r="QE236"/>
      <c r="QF236"/>
      <c r="QG236"/>
      <c r="QH236"/>
      <c r="QI236"/>
      <c r="QJ236"/>
      <c r="QK236"/>
      <c r="QL236"/>
      <c r="QM236"/>
      <c r="QN236"/>
      <c r="QO236"/>
      <c r="QP236"/>
      <c r="QQ236"/>
      <c r="QR236"/>
      <c r="QS236"/>
      <c r="QT236"/>
      <c r="QU236"/>
      <c r="QV236"/>
      <c r="QW236"/>
      <c r="QX236"/>
    </row>
    <row r="237" spans="1:466" x14ac:dyDescent="0.35">
      <c r="A237" s="53"/>
      <c r="B237" s="53"/>
      <c r="C237" s="55"/>
      <c r="D237" s="53"/>
      <c r="E237" s="53"/>
      <c r="F237" s="126" t="s">
        <v>425</v>
      </c>
      <c r="G237" s="125">
        <v>4.8125</v>
      </c>
      <c r="H237" s="125">
        <v>423.5</v>
      </c>
      <c r="I237" s="133">
        <v>88</v>
      </c>
      <c r="J237" s="53"/>
      <c r="K237" s="53"/>
      <c r="L237" s="53"/>
      <c r="M237" s="53"/>
      <c r="N237" s="53"/>
      <c r="O237" s="53"/>
      <c r="P237" s="53"/>
      <c r="Q237" s="53"/>
      <c r="R237" s="53"/>
      <c r="S237" s="53"/>
      <c r="T237" s="53"/>
      <c r="U237" s="53"/>
      <c r="V237" s="53"/>
      <c r="W237" s="53"/>
      <c r="X237" s="53"/>
      <c r="Y237" s="53"/>
      <c r="Z237" s="53"/>
      <c r="AA237" s="53"/>
      <c r="AB237" s="53"/>
      <c r="AC237" s="53"/>
      <c r="AD237" s="53"/>
      <c r="AE237" s="53"/>
      <c r="AF237" s="63"/>
      <c r="AG237" s="64"/>
      <c r="AH237" s="65"/>
      <c r="AI237" s="65"/>
      <c r="AJ237" s="53"/>
      <c r="AK237" s="62"/>
      <c r="AL237" s="62"/>
      <c r="AM237" s="62"/>
      <c r="AN237" s="62"/>
      <c r="AO237" s="62"/>
      <c r="AP237" s="62"/>
      <c r="AQ237" s="62"/>
      <c r="AR237" s="62"/>
      <c r="AS237" s="62"/>
      <c r="AT237" s="62"/>
      <c r="AU237" s="62"/>
      <c r="AV237" s="62"/>
      <c r="AW237" s="62"/>
      <c r="AX237" s="62"/>
      <c r="AY237" s="62"/>
      <c r="AZ237" s="62"/>
      <c r="BA237" s="62"/>
      <c r="BB237" s="62"/>
      <c r="BC237" s="62"/>
      <c r="BD237" s="62"/>
      <c r="BE237" s="62"/>
      <c r="BF237" s="62"/>
      <c r="BG237" s="62"/>
      <c r="BH237" s="62"/>
      <c r="BI237" s="62"/>
      <c r="BJ237" s="62"/>
      <c r="BK237" s="62"/>
      <c r="BL237" s="62"/>
      <c r="BM237" s="62"/>
      <c r="BN237" s="62"/>
      <c r="BO237" s="62"/>
      <c r="BP237" s="62"/>
      <c r="BQ237" s="62"/>
      <c r="BR237" s="62"/>
      <c r="BS237" s="62"/>
      <c r="BT237" s="62"/>
      <c r="BU237" s="62"/>
      <c r="BV237" s="62"/>
      <c r="BW237" s="62"/>
      <c r="BX237" s="62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  <c r="HB237"/>
      <c r="HC237"/>
      <c r="HD237"/>
      <c r="HE237"/>
      <c r="HF237"/>
      <c r="HG237"/>
      <c r="HH237"/>
      <c r="HI237"/>
      <c r="HJ237"/>
      <c r="HK237"/>
      <c r="HL237"/>
      <c r="HM237"/>
      <c r="HN237"/>
      <c r="HO237"/>
      <c r="HP237"/>
      <c r="HQ237"/>
      <c r="HR237"/>
      <c r="HS237"/>
      <c r="HT237"/>
      <c r="HU237"/>
      <c r="HV237"/>
      <c r="HW237"/>
      <c r="HX237"/>
      <c r="HY237"/>
      <c r="HZ237"/>
      <c r="IA237"/>
      <c r="IB237"/>
      <c r="IC237"/>
      <c r="ID237"/>
      <c r="IE237"/>
      <c r="IF237"/>
      <c r="IG237"/>
      <c r="IH237"/>
      <c r="II237"/>
      <c r="IJ237"/>
      <c r="IK237"/>
      <c r="IL237"/>
      <c r="IM237"/>
      <c r="IN237"/>
      <c r="IO237"/>
      <c r="IP237"/>
      <c r="IQ237"/>
      <c r="IR237"/>
      <c r="IS237"/>
      <c r="IT237"/>
      <c r="IU237"/>
      <c r="IV237"/>
      <c r="IW237"/>
      <c r="IX237"/>
      <c r="IY237"/>
      <c r="IZ237"/>
      <c r="JA237"/>
      <c r="JB237"/>
      <c r="JC237"/>
      <c r="JD237"/>
      <c r="JE237"/>
      <c r="JF237"/>
      <c r="JG237"/>
      <c r="JH237"/>
      <c r="JI237"/>
      <c r="JJ237"/>
      <c r="JK237"/>
      <c r="JL237"/>
      <c r="JM237"/>
      <c r="JN237"/>
      <c r="JO237"/>
      <c r="JP237"/>
      <c r="JQ237"/>
      <c r="JR237"/>
      <c r="JS237"/>
      <c r="JT237"/>
      <c r="JU237"/>
      <c r="JV237"/>
      <c r="JW237"/>
      <c r="JX237"/>
      <c r="JY237"/>
      <c r="JZ237"/>
      <c r="KA237"/>
      <c r="KB237"/>
      <c r="KC237"/>
      <c r="KD237"/>
      <c r="KE237"/>
      <c r="KF237"/>
      <c r="KG237"/>
      <c r="KH237"/>
      <c r="KI237"/>
      <c r="KJ237"/>
      <c r="KK237"/>
      <c r="KL237"/>
      <c r="KM237"/>
      <c r="KN237"/>
      <c r="KO237"/>
      <c r="KP237"/>
      <c r="KQ237"/>
      <c r="KR237"/>
      <c r="KS237"/>
      <c r="KT237"/>
      <c r="KU237"/>
      <c r="KV237"/>
      <c r="KW237"/>
      <c r="KX237"/>
      <c r="KY237"/>
      <c r="KZ237"/>
      <c r="LA237"/>
      <c r="LB237"/>
      <c r="LC237"/>
      <c r="LD237"/>
      <c r="LE237"/>
      <c r="LF237"/>
      <c r="LG237"/>
      <c r="LH237"/>
      <c r="LI237"/>
      <c r="LJ237"/>
      <c r="LK237"/>
      <c r="LL237"/>
      <c r="LM237"/>
      <c r="LN237"/>
      <c r="LO237"/>
      <c r="LP237"/>
      <c r="LQ237"/>
      <c r="LR237"/>
      <c r="LS237"/>
      <c r="LT237"/>
      <c r="LU237"/>
      <c r="LV237"/>
      <c r="LW237"/>
      <c r="LX237"/>
      <c r="LY237"/>
      <c r="LZ237"/>
      <c r="MA237"/>
      <c r="MB237"/>
      <c r="MC237"/>
      <c r="MD237"/>
      <c r="ME237"/>
      <c r="MF237"/>
      <c r="MG237"/>
      <c r="MH237"/>
      <c r="MI237"/>
      <c r="MJ237"/>
      <c r="MK237"/>
      <c r="ML237"/>
      <c r="MM237"/>
      <c r="MN237"/>
      <c r="MO237"/>
      <c r="MP237"/>
      <c r="MQ237"/>
      <c r="MR237"/>
      <c r="MS237"/>
      <c r="MT237"/>
      <c r="MU237"/>
      <c r="MV237"/>
      <c r="MW237"/>
      <c r="MX237"/>
      <c r="MY237"/>
      <c r="MZ237"/>
      <c r="NA237"/>
      <c r="NB237"/>
      <c r="NC237"/>
      <c r="ND237"/>
      <c r="NE237"/>
      <c r="NF237"/>
      <c r="NG237"/>
      <c r="NH237"/>
      <c r="NI237"/>
      <c r="NJ237"/>
      <c r="NK237"/>
      <c r="NL237"/>
      <c r="NM237"/>
      <c r="NN237"/>
      <c r="NO237"/>
      <c r="NP237"/>
      <c r="NQ237"/>
      <c r="NR237"/>
      <c r="NS237"/>
      <c r="NT237"/>
      <c r="NU237"/>
      <c r="NV237"/>
      <c r="NW237"/>
      <c r="NX237"/>
      <c r="NY237"/>
      <c r="NZ237"/>
      <c r="OA237"/>
      <c r="OB237"/>
      <c r="OC237"/>
      <c r="OD237"/>
      <c r="OE237"/>
      <c r="OF237"/>
      <c r="OG237"/>
      <c r="OH237"/>
      <c r="OI237"/>
      <c r="OJ237"/>
      <c r="OK237"/>
      <c r="OL237"/>
      <c r="OM237"/>
      <c r="ON237"/>
      <c r="OO237"/>
      <c r="OP237"/>
      <c r="OQ237"/>
      <c r="OR237"/>
      <c r="OS237"/>
      <c r="OT237"/>
      <c r="OU237"/>
      <c r="OV237"/>
      <c r="OW237"/>
      <c r="OX237"/>
      <c r="OY237"/>
      <c r="OZ237"/>
      <c r="PA237"/>
      <c r="PB237"/>
      <c r="PC237"/>
      <c r="PD237"/>
      <c r="PE237"/>
      <c r="PF237"/>
      <c r="PG237"/>
      <c r="PH237"/>
      <c r="PI237"/>
      <c r="PJ237"/>
      <c r="PK237"/>
      <c r="PL237"/>
      <c r="PM237"/>
      <c r="PN237"/>
      <c r="PO237"/>
      <c r="PP237"/>
      <c r="PQ237"/>
      <c r="PR237"/>
      <c r="PS237"/>
      <c r="PT237"/>
      <c r="PU237"/>
      <c r="PV237"/>
      <c r="PW237"/>
      <c r="PX237"/>
      <c r="PY237"/>
      <c r="PZ237"/>
      <c r="QA237"/>
      <c r="QB237"/>
      <c r="QC237"/>
      <c r="QD237"/>
      <c r="QE237"/>
      <c r="QF237"/>
      <c r="QG237"/>
      <c r="QH237"/>
      <c r="QI237"/>
      <c r="QJ237"/>
      <c r="QK237"/>
      <c r="QL237"/>
      <c r="QM237"/>
      <c r="QN237"/>
      <c r="QO237"/>
      <c r="QP237"/>
      <c r="QQ237"/>
      <c r="QR237"/>
      <c r="QS237"/>
      <c r="QT237"/>
      <c r="QU237"/>
      <c r="QV237"/>
      <c r="QW237"/>
      <c r="QX237"/>
    </row>
    <row r="238" spans="1:466" x14ac:dyDescent="0.35">
      <c r="A238" s="53"/>
      <c r="B238" s="53"/>
      <c r="C238" s="55"/>
      <c r="D238" s="53"/>
      <c r="E238" s="53"/>
      <c r="F238" s="126" t="s">
        <v>426</v>
      </c>
      <c r="G238" s="125">
        <v>6.25</v>
      </c>
      <c r="H238" s="125">
        <v>712.5</v>
      </c>
      <c r="I238" s="133">
        <v>114</v>
      </c>
      <c r="J238" s="53"/>
      <c r="K238" s="53"/>
      <c r="L238" s="53"/>
      <c r="M238" s="53"/>
      <c r="N238" s="53"/>
      <c r="O238" s="53"/>
      <c r="P238" s="53"/>
      <c r="Q238" s="53"/>
      <c r="R238" s="53"/>
      <c r="S238" s="53"/>
      <c r="T238" s="53"/>
      <c r="U238" s="53"/>
      <c r="V238" s="53"/>
      <c r="W238" s="53"/>
      <c r="X238" s="53"/>
      <c r="Y238" s="53"/>
      <c r="Z238" s="53"/>
      <c r="AA238" s="53"/>
      <c r="AB238" s="53"/>
      <c r="AC238" s="53"/>
      <c r="AD238" s="53"/>
      <c r="AE238" s="53"/>
      <c r="AF238" s="63"/>
      <c r="AG238" s="64"/>
      <c r="AH238" s="65"/>
      <c r="AI238" s="65"/>
      <c r="AJ238" s="53"/>
      <c r="AK238" s="62"/>
      <c r="AL238" s="62"/>
      <c r="AM238" s="62"/>
      <c r="AN238" s="62"/>
      <c r="AO238" s="62"/>
      <c r="AP238" s="62"/>
      <c r="AQ238" s="62"/>
      <c r="AR238" s="62"/>
      <c r="AS238" s="62"/>
      <c r="AT238" s="62"/>
      <c r="AU238" s="62"/>
      <c r="AV238" s="62"/>
      <c r="AW238" s="62"/>
      <c r="AX238" s="62"/>
      <c r="AY238" s="62"/>
      <c r="AZ238" s="62"/>
      <c r="BA238" s="62"/>
      <c r="BB238" s="62"/>
      <c r="BC238" s="62"/>
      <c r="BD238" s="62"/>
      <c r="BE238" s="62"/>
      <c r="BF238" s="62"/>
      <c r="BG238" s="62"/>
      <c r="BH238" s="62"/>
      <c r="BI238" s="62"/>
      <c r="BJ238" s="62"/>
      <c r="BK238" s="62"/>
      <c r="BL238" s="62"/>
      <c r="BM238" s="62"/>
      <c r="BN238" s="62"/>
      <c r="BO238" s="62"/>
      <c r="BP238" s="62"/>
      <c r="BQ238" s="62"/>
      <c r="BR238" s="62"/>
      <c r="BS238" s="62"/>
      <c r="BT238" s="62"/>
      <c r="BU238" s="62"/>
      <c r="BV238" s="62"/>
      <c r="BW238" s="62"/>
      <c r="BX238" s="62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  <c r="HB238"/>
      <c r="HC238"/>
      <c r="HD238"/>
      <c r="HE238"/>
      <c r="HF238"/>
      <c r="HG238"/>
      <c r="HH238"/>
      <c r="HI238"/>
      <c r="HJ238"/>
      <c r="HK238"/>
      <c r="HL238"/>
      <c r="HM238"/>
      <c r="HN238"/>
      <c r="HO238"/>
      <c r="HP238"/>
      <c r="HQ238"/>
      <c r="HR238"/>
      <c r="HS238"/>
      <c r="HT238"/>
      <c r="HU238"/>
      <c r="HV238"/>
      <c r="HW238"/>
      <c r="HX238"/>
      <c r="HY238"/>
      <c r="HZ238"/>
      <c r="IA238"/>
      <c r="IB238"/>
      <c r="IC238"/>
      <c r="ID238"/>
      <c r="IE238"/>
      <c r="IF238"/>
      <c r="IG238"/>
      <c r="IH238"/>
      <c r="II238"/>
      <c r="IJ238"/>
      <c r="IK238"/>
      <c r="IL238"/>
      <c r="IM238"/>
      <c r="IN238"/>
      <c r="IO238"/>
      <c r="IP238"/>
      <c r="IQ238"/>
      <c r="IR238"/>
      <c r="IS238"/>
      <c r="IT238"/>
      <c r="IU238"/>
      <c r="IV238"/>
      <c r="IW238"/>
      <c r="IX238"/>
      <c r="IY238"/>
      <c r="IZ238"/>
      <c r="JA238"/>
      <c r="JB238"/>
      <c r="JC238"/>
      <c r="JD238"/>
      <c r="JE238"/>
      <c r="JF238"/>
      <c r="JG238"/>
      <c r="JH238"/>
      <c r="JI238"/>
      <c r="JJ238"/>
      <c r="JK238"/>
      <c r="JL238"/>
      <c r="JM238"/>
      <c r="JN238"/>
      <c r="JO238"/>
      <c r="JP238"/>
      <c r="JQ238"/>
      <c r="JR238"/>
      <c r="JS238"/>
      <c r="JT238"/>
      <c r="JU238"/>
      <c r="JV238"/>
      <c r="JW238"/>
      <c r="JX238"/>
      <c r="JY238"/>
      <c r="JZ238"/>
      <c r="KA238"/>
      <c r="KB238"/>
      <c r="KC238"/>
      <c r="KD238"/>
      <c r="KE238"/>
      <c r="KF238"/>
      <c r="KG238"/>
      <c r="KH238"/>
      <c r="KI238"/>
      <c r="KJ238"/>
      <c r="KK238"/>
      <c r="KL238"/>
      <c r="KM238"/>
      <c r="KN238"/>
      <c r="KO238"/>
      <c r="KP238"/>
      <c r="KQ238"/>
      <c r="KR238"/>
      <c r="KS238"/>
      <c r="KT238"/>
      <c r="KU238"/>
      <c r="KV238"/>
      <c r="KW238"/>
      <c r="KX238"/>
      <c r="KY238"/>
      <c r="KZ238"/>
      <c r="LA238"/>
      <c r="LB238"/>
      <c r="LC238"/>
      <c r="LD238"/>
      <c r="LE238"/>
      <c r="LF238"/>
      <c r="LG238"/>
      <c r="LH238"/>
      <c r="LI238"/>
      <c r="LJ238"/>
      <c r="LK238"/>
      <c r="LL238"/>
      <c r="LM238"/>
      <c r="LN238"/>
      <c r="LO238"/>
      <c r="LP238"/>
      <c r="LQ238"/>
      <c r="LR238"/>
      <c r="LS238"/>
      <c r="LT238"/>
      <c r="LU238"/>
      <c r="LV238"/>
      <c r="LW238"/>
      <c r="LX238"/>
      <c r="LY238"/>
      <c r="LZ238"/>
      <c r="MA238"/>
      <c r="MB238"/>
      <c r="MC238"/>
      <c r="MD238"/>
      <c r="ME238"/>
      <c r="MF238"/>
      <c r="MG238"/>
      <c r="MH238"/>
      <c r="MI238"/>
      <c r="MJ238"/>
      <c r="MK238"/>
      <c r="ML238"/>
      <c r="MM238"/>
      <c r="MN238"/>
      <c r="MO238"/>
      <c r="MP238"/>
      <c r="MQ238"/>
      <c r="MR238"/>
      <c r="MS238"/>
      <c r="MT238"/>
      <c r="MU238"/>
      <c r="MV238"/>
      <c r="MW238"/>
      <c r="MX238"/>
      <c r="MY238"/>
      <c r="MZ238"/>
      <c r="NA238"/>
      <c r="NB238"/>
      <c r="NC238"/>
      <c r="ND238"/>
      <c r="NE238"/>
      <c r="NF238"/>
      <c r="NG238"/>
      <c r="NH238"/>
      <c r="NI238"/>
      <c r="NJ238"/>
      <c r="NK238"/>
      <c r="NL238"/>
      <c r="NM238"/>
      <c r="NN238"/>
      <c r="NO238"/>
      <c r="NP238"/>
      <c r="NQ238"/>
      <c r="NR238"/>
      <c r="NS238"/>
      <c r="NT238"/>
      <c r="NU238"/>
      <c r="NV238"/>
      <c r="NW238"/>
      <c r="NX238"/>
      <c r="NY238"/>
      <c r="NZ238"/>
      <c r="OA238"/>
      <c r="OB238"/>
      <c r="OC238"/>
      <c r="OD238"/>
      <c r="OE238"/>
      <c r="OF238"/>
      <c r="OG238"/>
      <c r="OH238"/>
      <c r="OI238"/>
      <c r="OJ238"/>
      <c r="OK238"/>
      <c r="OL238"/>
      <c r="OM238"/>
      <c r="ON238"/>
      <c r="OO238"/>
      <c r="OP238"/>
      <c r="OQ238"/>
      <c r="OR238"/>
      <c r="OS238"/>
      <c r="OT238"/>
      <c r="OU238"/>
      <c r="OV238"/>
      <c r="OW238"/>
      <c r="OX238"/>
      <c r="OY238"/>
      <c r="OZ238"/>
      <c r="PA238"/>
      <c r="PB238"/>
      <c r="PC238"/>
      <c r="PD238"/>
      <c r="PE238"/>
      <c r="PF238"/>
      <c r="PG238"/>
      <c r="PH238"/>
      <c r="PI238"/>
      <c r="PJ238"/>
      <c r="PK238"/>
      <c r="PL238"/>
      <c r="PM238"/>
      <c r="PN238"/>
      <c r="PO238"/>
      <c r="PP238"/>
      <c r="PQ238"/>
      <c r="PR238"/>
      <c r="PS238"/>
      <c r="PT238"/>
      <c r="PU238"/>
      <c r="PV238"/>
      <c r="PW238"/>
      <c r="PX238"/>
      <c r="PY238"/>
      <c r="PZ238"/>
      <c r="QA238"/>
      <c r="QB238"/>
      <c r="QC238"/>
      <c r="QD238"/>
      <c r="QE238"/>
      <c r="QF238"/>
      <c r="QG238"/>
      <c r="QH238"/>
      <c r="QI238"/>
      <c r="QJ238"/>
      <c r="QK238"/>
      <c r="QL238"/>
      <c r="QM238"/>
      <c r="QN238"/>
      <c r="QO238"/>
      <c r="QP238"/>
      <c r="QQ238"/>
      <c r="QR238"/>
      <c r="QS238"/>
      <c r="QT238"/>
      <c r="QU238"/>
      <c r="QV238"/>
      <c r="QW238"/>
      <c r="QX238"/>
    </row>
    <row r="239" spans="1:466" x14ac:dyDescent="0.35">
      <c r="A239" s="53"/>
      <c r="B239" s="53"/>
      <c r="C239" s="55"/>
      <c r="D239" s="53"/>
      <c r="E239" s="53"/>
      <c r="F239" s="126" t="s">
        <v>474</v>
      </c>
      <c r="G239" s="125"/>
      <c r="H239" s="125">
        <v>0</v>
      </c>
      <c r="I239" s="133">
        <v>0</v>
      </c>
      <c r="J239" s="53"/>
      <c r="K239" s="53"/>
      <c r="L239" s="53"/>
      <c r="M239" s="53"/>
      <c r="N239" s="53"/>
      <c r="O239" s="53"/>
      <c r="P239" s="53"/>
      <c r="Q239" s="53"/>
      <c r="R239" s="53"/>
      <c r="S239" s="53"/>
      <c r="T239" s="53"/>
      <c r="U239" s="53"/>
      <c r="V239" s="53"/>
      <c r="W239" s="53"/>
      <c r="X239" s="53"/>
      <c r="Y239" s="53"/>
      <c r="Z239" s="53"/>
      <c r="AA239" s="53"/>
      <c r="AB239" s="53"/>
      <c r="AC239" s="53"/>
      <c r="AD239" s="53"/>
      <c r="AE239" s="53"/>
      <c r="AF239" s="63"/>
      <c r="AG239" s="64"/>
      <c r="AH239" s="65"/>
      <c r="AI239" s="65"/>
      <c r="AJ239" s="53"/>
      <c r="AK239" s="62"/>
      <c r="AL239" s="62"/>
      <c r="AM239" s="62"/>
      <c r="AN239" s="62"/>
      <c r="AO239" s="62"/>
      <c r="AP239" s="62"/>
      <c r="AQ239" s="62"/>
      <c r="AR239" s="62"/>
      <c r="AS239" s="62"/>
      <c r="AT239" s="62"/>
      <c r="AU239" s="62"/>
      <c r="AV239" s="62"/>
      <c r="AW239" s="62"/>
      <c r="AX239" s="62"/>
      <c r="AY239" s="62"/>
      <c r="AZ239" s="62"/>
      <c r="BA239" s="62"/>
      <c r="BB239" s="62"/>
      <c r="BC239" s="62"/>
      <c r="BD239" s="62"/>
      <c r="BE239" s="62"/>
      <c r="BF239" s="62"/>
      <c r="BG239" s="62"/>
      <c r="BH239" s="62"/>
      <c r="BI239" s="62"/>
      <c r="BJ239" s="62"/>
      <c r="BK239" s="62"/>
      <c r="BL239" s="62"/>
      <c r="BM239" s="62"/>
      <c r="BN239" s="62"/>
      <c r="BO239" s="62"/>
      <c r="BP239" s="62"/>
      <c r="BQ239" s="62"/>
      <c r="BR239" s="62"/>
      <c r="BS239" s="62"/>
      <c r="BT239" s="62"/>
      <c r="BU239" s="62"/>
      <c r="BV239" s="62"/>
      <c r="BW239" s="62"/>
      <c r="BX239" s="62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  <c r="HB239"/>
      <c r="HC239"/>
      <c r="HD239"/>
      <c r="HE239"/>
      <c r="HF239"/>
      <c r="HG239"/>
      <c r="HH239"/>
      <c r="HI239"/>
      <c r="HJ239"/>
      <c r="HK239"/>
      <c r="HL239"/>
      <c r="HM239"/>
      <c r="HN239"/>
      <c r="HO239"/>
      <c r="HP239"/>
      <c r="HQ239"/>
      <c r="HR239"/>
      <c r="HS239"/>
      <c r="HT239"/>
      <c r="HU239"/>
      <c r="HV239"/>
      <c r="HW239"/>
      <c r="HX239"/>
      <c r="HY239"/>
      <c r="HZ239"/>
      <c r="IA239"/>
      <c r="IB239"/>
      <c r="IC239"/>
      <c r="ID239"/>
      <c r="IE239"/>
      <c r="IF239"/>
      <c r="IG239"/>
      <c r="IH239"/>
      <c r="II239"/>
      <c r="IJ239"/>
      <c r="IK239"/>
      <c r="IL239"/>
      <c r="IM239"/>
      <c r="IN239"/>
      <c r="IO239"/>
      <c r="IP239"/>
      <c r="IQ239"/>
      <c r="IR239"/>
      <c r="IS239"/>
      <c r="IT239"/>
      <c r="IU239"/>
      <c r="IV239"/>
      <c r="IW239"/>
      <c r="IX239"/>
      <c r="IY239"/>
      <c r="IZ239"/>
      <c r="JA239"/>
      <c r="JB239"/>
      <c r="JC239"/>
      <c r="JD239"/>
      <c r="JE239"/>
      <c r="JF239"/>
      <c r="JG239"/>
      <c r="JH239"/>
      <c r="JI239"/>
      <c r="JJ239"/>
      <c r="JK239"/>
      <c r="JL239"/>
      <c r="JM239"/>
      <c r="JN239"/>
      <c r="JO239"/>
      <c r="JP239"/>
      <c r="JQ239"/>
      <c r="JR239"/>
      <c r="JS239"/>
      <c r="JT239"/>
      <c r="JU239"/>
      <c r="JV239"/>
      <c r="JW239"/>
      <c r="JX239"/>
      <c r="JY239"/>
      <c r="JZ239"/>
      <c r="KA239"/>
      <c r="KB239"/>
      <c r="KC239"/>
      <c r="KD239"/>
      <c r="KE239"/>
      <c r="KF239"/>
      <c r="KG239"/>
      <c r="KH239"/>
      <c r="KI239"/>
      <c r="KJ239"/>
      <c r="KK239"/>
      <c r="KL239"/>
      <c r="KM239"/>
      <c r="KN239"/>
      <c r="KO239"/>
      <c r="KP239"/>
      <c r="KQ239"/>
      <c r="KR239"/>
      <c r="KS239"/>
      <c r="KT239"/>
      <c r="KU239"/>
      <c r="KV239"/>
      <c r="KW239"/>
      <c r="KX239"/>
      <c r="KY239"/>
      <c r="KZ239"/>
      <c r="LA239"/>
      <c r="LB239"/>
      <c r="LC239"/>
      <c r="LD239"/>
      <c r="LE239"/>
      <c r="LF239"/>
      <c r="LG239"/>
      <c r="LH239"/>
      <c r="LI239"/>
      <c r="LJ239"/>
      <c r="LK239"/>
      <c r="LL239"/>
      <c r="LM239"/>
      <c r="LN239"/>
      <c r="LO239"/>
      <c r="LP239"/>
      <c r="LQ239"/>
      <c r="LR239"/>
      <c r="LS239"/>
      <c r="LT239"/>
      <c r="LU239"/>
      <c r="LV239"/>
      <c r="LW239"/>
      <c r="LX239"/>
      <c r="LY239"/>
      <c r="LZ239"/>
      <c r="MA239"/>
      <c r="MB239"/>
      <c r="MC239"/>
      <c r="MD239"/>
      <c r="ME239"/>
      <c r="MF239"/>
      <c r="MG239"/>
      <c r="MH239"/>
      <c r="MI239"/>
      <c r="MJ239"/>
      <c r="MK239"/>
      <c r="ML239"/>
      <c r="MM239"/>
      <c r="MN239"/>
      <c r="MO239"/>
      <c r="MP239"/>
      <c r="MQ239"/>
      <c r="MR239"/>
      <c r="MS239"/>
      <c r="MT239"/>
      <c r="MU239"/>
      <c r="MV239"/>
      <c r="MW239"/>
      <c r="MX239"/>
      <c r="MY239"/>
      <c r="MZ239"/>
      <c r="NA239"/>
      <c r="NB239"/>
      <c r="NC239"/>
      <c r="ND239"/>
      <c r="NE239"/>
      <c r="NF239"/>
      <c r="NG239"/>
      <c r="NH239"/>
      <c r="NI239"/>
      <c r="NJ239"/>
      <c r="NK239"/>
      <c r="NL239"/>
      <c r="NM239"/>
      <c r="NN239"/>
      <c r="NO239"/>
      <c r="NP239"/>
      <c r="NQ239"/>
      <c r="NR239"/>
      <c r="NS239"/>
      <c r="NT239"/>
      <c r="NU239"/>
      <c r="NV239"/>
      <c r="NW239"/>
      <c r="NX239"/>
      <c r="NY239"/>
      <c r="NZ239"/>
      <c r="OA239"/>
      <c r="OB239"/>
      <c r="OC239"/>
      <c r="OD239"/>
      <c r="OE239"/>
      <c r="OF239"/>
      <c r="OG239"/>
      <c r="OH239"/>
      <c r="OI239"/>
      <c r="OJ239"/>
      <c r="OK239"/>
      <c r="OL239"/>
      <c r="OM239"/>
      <c r="ON239"/>
      <c r="OO239"/>
      <c r="OP239"/>
      <c r="OQ239"/>
      <c r="OR239"/>
      <c r="OS239"/>
      <c r="OT239"/>
      <c r="OU239"/>
      <c r="OV239"/>
      <c r="OW239"/>
      <c r="OX239"/>
      <c r="OY239"/>
      <c r="OZ239"/>
      <c r="PA239"/>
      <c r="PB239"/>
      <c r="PC239"/>
      <c r="PD239"/>
      <c r="PE239"/>
      <c r="PF239"/>
      <c r="PG239"/>
      <c r="PH239"/>
      <c r="PI239"/>
      <c r="PJ239"/>
      <c r="PK239"/>
      <c r="PL239"/>
      <c r="PM239"/>
      <c r="PN239"/>
      <c r="PO239"/>
      <c r="PP239"/>
      <c r="PQ239"/>
      <c r="PR239"/>
      <c r="PS239"/>
      <c r="PT239"/>
      <c r="PU239"/>
      <c r="PV239"/>
      <c r="PW239"/>
      <c r="PX239"/>
      <c r="PY239"/>
      <c r="PZ239"/>
      <c r="QA239"/>
      <c r="QB239"/>
      <c r="QC239"/>
      <c r="QD239"/>
      <c r="QE239"/>
      <c r="QF239"/>
      <c r="QG239"/>
      <c r="QH239"/>
      <c r="QI239"/>
      <c r="QJ239"/>
      <c r="QK239"/>
      <c r="QL239"/>
      <c r="QM239"/>
      <c r="QN239"/>
      <c r="QO239"/>
      <c r="QP239"/>
      <c r="QQ239"/>
      <c r="QR239"/>
      <c r="QS239"/>
      <c r="QT239"/>
      <c r="QU239"/>
      <c r="QV239"/>
      <c r="QW239"/>
      <c r="QX239"/>
    </row>
    <row r="240" spans="1:466" x14ac:dyDescent="0.35">
      <c r="A240" s="53"/>
      <c r="B240" s="53"/>
      <c r="C240" s="55"/>
      <c r="D240" s="53"/>
      <c r="E240" s="53"/>
      <c r="F240" s="126" t="s">
        <v>349</v>
      </c>
      <c r="G240" s="125">
        <v>31.8</v>
      </c>
      <c r="H240" s="125">
        <v>318</v>
      </c>
      <c r="I240" s="133">
        <v>10</v>
      </c>
      <c r="J240" s="53"/>
      <c r="K240" s="53"/>
      <c r="L240" s="53"/>
      <c r="M240" s="53"/>
      <c r="N240" s="53"/>
      <c r="O240" s="53"/>
      <c r="P240" s="53"/>
      <c r="Q240" s="53"/>
      <c r="R240" s="53"/>
      <c r="S240" s="53"/>
      <c r="T240" s="53"/>
      <c r="U240" s="53"/>
      <c r="V240" s="53"/>
      <c r="W240" s="53"/>
      <c r="X240" s="53"/>
      <c r="Y240" s="53"/>
      <c r="Z240" s="53"/>
      <c r="AA240" s="53"/>
      <c r="AB240" s="53"/>
      <c r="AC240" s="53"/>
      <c r="AD240" s="53"/>
      <c r="AE240" s="53"/>
      <c r="AF240" s="63"/>
      <c r="AG240" s="64"/>
      <c r="AH240" s="65"/>
      <c r="AI240" s="65"/>
      <c r="AJ240" s="53"/>
      <c r="AK240" s="62"/>
      <c r="AL240" s="62"/>
      <c r="AM240" s="62"/>
      <c r="AN240" s="62"/>
      <c r="AO240" s="62"/>
      <c r="AP240" s="62"/>
      <c r="AQ240" s="62"/>
      <c r="AR240" s="62"/>
      <c r="AS240" s="62"/>
      <c r="AT240" s="62"/>
      <c r="AU240" s="62"/>
      <c r="AV240" s="62"/>
      <c r="AW240" s="62"/>
      <c r="AX240" s="62"/>
      <c r="AY240" s="62"/>
      <c r="AZ240" s="62"/>
      <c r="BA240" s="62"/>
      <c r="BB240" s="62"/>
      <c r="BC240" s="62"/>
      <c r="BD240" s="62"/>
      <c r="BE240" s="62"/>
      <c r="BF240" s="62"/>
      <c r="BG240" s="62"/>
      <c r="BH240" s="62"/>
      <c r="BI240" s="62"/>
      <c r="BJ240" s="62"/>
      <c r="BK240" s="62"/>
      <c r="BL240" s="62"/>
      <c r="BM240" s="62"/>
      <c r="BN240" s="62"/>
      <c r="BO240" s="62"/>
      <c r="BP240" s="62"/>
      <c r="BQ240" s="62"/>
      <c r="BR240" s="62"/>
      <c r="BS240" s="62"/>
      <c r="BT240" s="62"/>
      <c r="BU240" s="62"/>
      <c r="BV240" s="62"/>
      <c r="BW240" s="62"/>
      <c r="BX240" s="62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  <c r="HB240"/>
      <c r="HC240"/>
      <c r="HD240"/>
      <c r="HE240"/>
      <c r="HF240"/>
      <c r="HG240"/>
      <c r="HH240"/>
      <c r="HI240"/>
      <c r="HJ240"/>
      <c r="HK240"/>
      <c r="HL240"/>
      <c r="HM240"/>
      <c r="HN240"/>
      <c r="HO240"/>
      <c r="HP240"/>
      <c r="HQ240"/>
      <c r="HR240"/>
      <c r="HS240"/>
      <c r="HT240"/>
      <c r="HU240"/>
      <c r="HV240"/>
      <c r="HW240"/>
      <c r="HX240"/>
      <c r="HY240"/>
      <c r="HZ240"/>
      <c r="IA240"/>
      <c r="IB240"/>
      <c r="IC240"/>
      <c r="ID240"/>
      <c r="IE240"/>
      <c r="IF240"/>
      <c r="IG240"/>
      <c r="IH240"/>
      <c r="II240"/>
      <c r="IJ240"/>
      <c r="IK240"/>
      <c r="IL240"/>
      <c r="IM240"/>
      <c r="IN240"/>
      <c r="IO240"/>
      <c r="IP240"/>
      <c r="IQ240"/>
      <c r="IR240"/>
      <c r="IS240"/>
      <c r="IT240"/>
      <c r="IU240"/>
      <c r="IV240"/>
      <c r="IW240"/>
      <c r="IX240"/>
      <c r="IY240"/>
      <c r="IZ240"/>
      <c r="JA240"/>
      <c r="JB240"/>
      <c r="JC240"/>
      <c r="JD240"/>
      <c r="JE240"/>
      <c r="JF240"/>
      <c r="JG240"/>
      <c r="JH240"/>
      <c r="JI240"/>
      <c r="JJ240"/>
      <c r="JK240"/>
      <c r="JL240"/>
      <c r="JM240"/>
      <c r="JN240"/>
      <c r="JO240"/>
      <c r="JP240"/>
      <c r="JQ240"/>
      <c r="JR240"/>
      <c r="JS240"/>
      <c r="JT240"/>
      <c r="JU240"/>
      <c r="JV240"/>
      <c r="JW240"/>
      <c r="JX240"/>
      <c r="JY240"/>
      <c r="JZ240"/>
      <c r="KA240"/>
      <c r="KB240"/>
      <c r="KC240"/>
      <c r="KD240"/>
      <c r="KE240"/>
      <c r="KF240"/>
      <c r="KG240"/>
      <c r="KH240"/>
      <c r="KI240"/>
      <c r="KJ240"/>
      <c r="KK240"/>
      <c r="KL240"/>
      <c r="KM240"/>
      <c r="KN240"/>
      <c r="KO240"/>
      <c r="KP240"/>
      <c r="KQ240"/>
      <c r="KR240"/>
      <c r="KS240"/>
      <c r="KT240"/>
      <c r="KU240"/>
      <c r="KV240"/>
      <c r="KW240"/>
      <c r="KX240"/>
      <c r="KY240"/>
      <c r="KZ240"/>
      <c r="LA240"/>
      <c r="LB240"/>
      <c r="LC240"/>
      <c r="LD240"/>
      <c r="LE240"/>
      <c r="LF240"/>
      <c r="LG240"/>
      <c r="LH240"/>
      <c r="LI240"/>
      <c r="LJ240"/>
      <c r="LK240"/>
      <c r="LL240"/>
      <c r="LM240"/>
      <c r="LN240"/>
      <c r="LO240"/>
      <c r="LP240"/>
      <c r="LQ240"/>
      <c r="LR240"/>
      <c r="LS240"/>
      <c r="LT240"/>
      <c r="LU240"/>
      <c r="LV240"/>
      <c r="LW240"/>
      <c r="LX240"/>
      <c r="LY240"/>
      <c r="LZ240"/>
      <c r="MA240"/>
      <c r="MB240"/>
      <c r="MC240"/>
      <c r="MD240"/>
      <c r="ME240"/>
      <c r="MF240"/>
      <c r="MG240"/>
      <c r="MH240"/>
      <c r="MI240"/>
      <c r="MJ240"/>
      <c r="MK240"/>
      <c r="ML240"/>
      <c r="MM240"/>
      <c r="MN240"/>
      <c r="MO240"/>
      <c r="MP240"/>
      <c r="MQ240"/>
      <c r="MR240"/>
      <c r="MS240"/>
      <c r="MT240"/>
      <c r="MU240"/>
      <c r="MV240"/>
      <c r="MW240"/>
      <c r="MX240"/>
      <c r="MY240"/>
      <c r="MZ240"/>
      <c r="NA240"/>
      <c r="NB240"/>
      <c r="NC240"/>
      <c r="ND240"/>
      <c r="NE240"/>
      <c r="NF240"/>
      <c r="NG240"/>
      <c r="NH240"/>
      <c r="NI240"/>
      <c r="NJ240"/>
      <c r="NK240"/>
      <c r="NL240"/>
      <c r="NM240"/>
      <c r="NN240"/>
      <c r="NO240"/>
      <c r="NP240"/>
      <c r="NQ240"/>
      <c r="NR240"/>
      <c r="NS240"/>
      <c r="NT240"/>
      <c r="NU240"/>
      <c r="NV240"/>
      <c r="NW240"/>
      <c r="NX240"/>
      <c r="NY240"/>
      <c r="NZ240"/>
      <c r="OA240"/>
      <c r="OB240"/>
      <c r="OC240"/>
      <c r="OD240"/>
      <c r="OE240"/>
      <c r="OF240"/>
      <c r="OG240"/>
      <c r="OH240"/>
      <c r="OI240"/>
      <c r="OJ240"/>
      <c r="OK240"/>
      <c r="OL240"/>
      <c r="OM240"/>
      <c r="ON240"/>
      <c r="OO240"/>
      <c r="OP240"/>
      <c r="OQ240"/>
      <c r="OR240"/>
      <c r="OS240"/>
      <c r="OT240"/>
      <c r="OU240"/>
      <c r="OV240"/>
      <c r="OW240"/>
      <c r="OX240"/>
      <c r="OY240"/>
      <c r="OZ240"/>
      <c r="PA240"/>
      <c r="PB240"/>
      <c r="PC240"/>
      <c r="PD240"/>
      <c r="PE240"/>
      <c r="PF240"/>
      <c r="PG240"/>
      <c r="PH240"/>
      <c r="PI240"/>
      <c r="PJ240"/>
      <c r="PK240"/>
      <c r="PL240"/>
      <c r="PM240"/>
      <c r="PN240"/>
      <c r="PO240"/>
      <c r="PP240"/>
      <c r="PQ240"/>
      <c r="PR240"/>
      <c r="PS240"/>
      <c r="PT240"/>
      <c r="PU240"/>
      <c r="PV240"/>
      <c r="PW240"/>
      <c r="PX240"/>
      <c r="PY240"/>
      <c r="PZ240"/>
      <c r="QA240"/>
      <c r="QB240"/>
      <c r="QC240"/>
      <c r="QD240"/>
      <c r="QE240"/>
      <c r="QF240"/>
      <c r="QG240"/>
      <c r="QH240"/>
      <c r="QI240"/>
      <c r="QJ240"/>
      <c r="QK240"/>
      <c r="QL240"/>
      <c r="QM240"/>
      <c r="QN240"/>
      <c r="QO240"/>
      <c r="QP240"/>
      <c r="QQ240"/>
      <c r="QR240"/>
      <c r="QS240"/>
      <c r="QT240"/>
      <c r="QU240"/>
      <c r="QV240"/>
      <c r="QW240"/>
      <c r="QX240"/>
    </row>
    <row r="241" spans="1:466" x14ac:dyDescent="0.35">
      <c r="A241" s="53"/>
      <c r="B241" s="53"/>
      <c r="C241" s="55"/>
      <c r="D241" s="53"/>
      <c r="E241" s="53"/>
      <c r="F241" s="126" t="s">
        <v>486</v>
      </c>
      <c r="G241" s="125">
        <v>3.96</v>
      </c>
      <c r="H241" s="125">
        <v>0</v>
      </c>
      <c r="I241" s="133">
        <v>0</v>
      </c>
      <c r="J241" s="53"/>
      <c r="K241" s="53"/>
      <c r="L241" s="53"/>
      <c r="M241" s="53"/>
      <c r="N241" s="53"/>
      <c r="O241" s="53"/>
      <c r="P241" s="53"/>
      <c r="Q241" s="53"/>
      <c r="R241" s="53"/>
      <c r="S241" s="53"/>
      <c r="T241" s="53"/>
      <c r="U241" s="53"/>
      <c r="V241" s="53"/>
      <c r="W241" s="53"/>
      <c r="X241" s="53"/>
      <c r="Y241" s="53"/>
      <c r="Z241" s="53"/>
      <c r="AA241" s="53"/>
      <c r="AB241" s="53"/>
      <c r="AC241" s="53"/>
      <c r="AD241" s="53"/>
      <c r="AE241" s="53"/>
      <c r="AF241" s="63"/>
      <c r="AG241" s="64"/>
      <c r="AH241" s="65"/>
      <c r="AI241" s="65"/>
      <c r="AJ241" s="53"/>
      <c r="AK241" s="62"/>
      <c r="AL241" s="62"/>
      <c r="AM241" s="62"/>
      <c r="AN241" s="62"/>
      <c r="AO241" s="62"/>
      <c r="AP241" s="62"/>
      <c r="AQ241" s="62"/>
      <c r="AR241" s="62"/>
      <c r="AS241" s="62"/>
      <c r="AT241" s="62"/>
      <c r="AU241" s="62"/>
      <c r="AV241" s="62"/>
      <c r="AW241" s="62"/>
      <c r="AX241" s="62"/>
      <c r="AY241" s="62"/>
      <c r="AZ241" s="62"/>
      <c r="BA241" s="62"/>
      <c r="BB241" s="62"/>
      <c r="BC241" s="62"/>
      <c r="BD241" s="62"/>
      <c r="BE241" s="62"/>
      <c r="BF241" s="62"/>
      <c r="BG241" s="62"/>
      <c r="BH241" s="62"/>
      <c r="BI241" s="62"/>
      <c r="BJ241" s="62"/>
      <c r="BK241" s="62"/>
      <c r="BL241" s="62"/>
      <c r="BM241" s="62"/>
      <c r="BN241" s="62"/>
      <c r="BO241" s="62"/>
      <c r="BP241" s="62"/>
      <c r="BQ241" s="62"/>
      <c r="BR241" s="62"/>
      <c r="BS241" s="62"/>
      <c r="BT241" s="62"/>
      <c r="BU241" s="62"/>
      <c r="BV241" s="62"/>
      <c r="BW241" s="62"/>
      <c r="BX241" s="62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  <c r="HB241"/>
      <c r="HC241"/>
      <c r="HD241"/>
      <c r="HE241"/>
      <c r="HF241"/>
      <c r="HG241"/>
      <c r="HH241"/>
      <c r="HI241"/>
      <c r="HJ241"/>
      <c r="HK241"/>
      <c r="HL241"/>
      <c r="HM241"/>
      <c r="HN241"/>
      <c r="HO241"/>
      <c r="HP241"/>
      <c r="HQ241"/>
      <c r="HR241"/>
      <c r="HS241"/>
      <c r="HT241"/>
      <c r="HU241"/>
      <c r="HV241"/>
      <c r="HW241"/>
      <c r="HX241"/>
      <c r="HY241"/>
      <c r="HZ241"/>
      <c r="IA241"/>
      <c r="IB241"/>
      <c r="IC241"/>
      <c r="ID241"/>
      <c r="IE241"/>
      <c r="IF241"/>
      <c r="IG241"/>
      <c r="IH241"/>
      <c r="II241"/>
      <c r="IJ241"/>
      <c r="IK241"/>
      <c r="IL241"/>
      <c r="IM241"/>
      <c r="IN241"/>
      <c r="IO241"/>
      <c r="IP241"/>
      <c r="IQ241"/>
      <c r="IR241"/>
      <c r="IS241"/>
      <c r="IT241"/>
      <c r="IU241"/>
      <c r="IV241"/>
      <c r="IW241"/>
      <c r="IX241"/>
      <c r="IY241"/>
      <c r="IZ241"/>
      <c r="JA241"/>
      <c r="JB241"/>
      <c r="JC241"/>
      <c r="JD241"/>
      <c r="JE241"/>
      <c r="JF241"/>
      <c r="JG241"/>
      <c r="JH241"/>
      <c r="JI241"/>
      <c r="JJ241"/>
      <c r="JK241"/>
      <c r="JL241"/>
      <c r="JM241"/>
      <c r="JN241"/>
      <c r="JO241"/>
      <c r="JP241"/>
      <c r="JQ241"/>
      <c r="JR241"/>
      <c r="JS241"/>
      <c r="JT241"/>
      <c r="JU241"/>
      <c r="JV241"/>
      <c r="JW241"/>
      <c r="JX241"/>
      <c r="JY241"/>
      <c r="JZ241"/>
      <c r="KA241"/>
      <c r="KB241"/>
      <c r="KC241"/>
      <c r="KD241"/>
      <c r="KE241"/>
      <c r="KF241"/>
      <c r="KG241"/>
      <c r="KH241"/>
      <c r="KI241"/>
      <c r="KJ241"/>
      <c r="KK241"/>
      <c r="KL241"/>
      <c r="KM241"/>
      <c r="KN241"/>
      <c r="KO241"/>
      <c r="KP241"/>
      <c r="KQ241"/>
      <c r="KR241"/>
      <c r="KS241"/>
      <c r="KT241"/>
      <c r="KU241"/>
      <c r="KV241"/>
      <c r="KW241"/>
      <c r="KX241"/>
      <c r="KY241"/>
      <c r="KZ241"/>
      <c r="LA241"/>
      <c r="LB241"/>
      <c r="LC241"/>
      <c r="LD241"/>
      <c r="LE241"/>
      <c r="LF241"/>
      <c r="LG241"/>
      <c r="LH241"/>
      <c r="LI241"/>
      <c r="LJ241"/>
      <c r="LK241"/>
      <c r="LL241"/>
      <c r="LM241"/>
      <c r="LN241"/>
      <c r="LO241"/>
      <c r="LP241"/>
      <c r="LQ241"/>
      <c r="LR241"/>
      <c r="LS241"/>
      <c r="LT241"/>
      <c r="LU241"/>
      <c r="LV241"/>
      <c r="LW241"/>
      <c r="LX241"/>
      <c r="LY241"/>
      <c r="LZ241"/>
      <c r="MA241"/>
      <c r="MB241"/>
      <c r="MC241"/>
      <c r="MD241"/>
      <c r="ME241"/>
      <c r="MF241"/>
      <c r="MG241"/>
      <c r="MH241"/>
      <c r="MI241"/>
      <c r="MJ241"/>
      <c r="MK241"/>
      <c r="ML241"/>
      <c r="MM241"/>
      <c r="MN241"/>
      <c r="MO241"/>
      <c r="MP241"/>
      <c r="MQ241"/>
      <c r="MR241"/>
      <c r="MS241"/>
      <c r="MT241"/>
      <c r="MU241"/>
      <c r="MV241"/>
      <c r="MW241"/>
      <c r="MX241"/>
      <c r="MY241"/>
      <c r="MZ241"/>
      <c r="NA241"/>
      <c r="NB241"/>
      <c r="NC241"/>
      <c r="ND241"/>
      <c r="NE241"/>
      <c r="NF241"/>
      <c r="NG241"/>
      <c r="NH241"/>
      <c r="NI241"/>
      <c r="NJ241"/>
      <c r="NK241"/>
      <c r="NL241"/>
      <c r="NM241"/>
      <c r="NN241"/>
      <c r="NO241"/>
      <c r="NP241"/>
      <c r="NQ241"/>
      <c r="NR241"/>
      <c r="NS241"/>
      <c r="NT241"/>
      <c r="NU241"/>
      <c r="NV241"/>
      <c r="NW241"/>
      <c r="NX241"/>
      <c r="NY241"/>
      <c r="NZ241"/>
      <c r="OA241"/>
      <c r="OB241"/>
      <c r="OC241"/>
      <c r="OD241"/>
      <c r="OE241"/>
      <c r="OF241"/>
      <c r="OG241"/>
      <c r="OH241"/>
      <c r="OI241"/>
      <c r="OJ241"/>
      <c r="OK241"/>
      <c r="OL241"/>
      <c r="OM241"/>
      <c r="ON241"/>
      <c r="OO241"/>
      <c r="OP241"/>
      <c r="OQ241"/>
      <c r="OR241"/>
      <c r="OS241"/>
      <c r="OT241"/>
      <c r="OU241"/>
      <c r="OV241"/>
      <c r="OW241"/>
      <c r="OX241"/>
      <c r="OY241"/>
      <c r="OZ241"/>
      <c r="PA241"/>
      <c r="PB241"/>
      <c r="PC241"/>
      <c r="PD241"/>
      <c r="PE241"/>
      <c r="PF241"/>
      <c r="PG241"/>
      <c r="PH241"/>
      <c r="PI241"/>
      <c r="PJ241"/>
      <c r="PK241"/>
      <c r="PL241"/>
      <c r="PM241"/>
      <c r="PN241"/>
      <c r="PO241"/>
      <c r="PP241"/>
      <c r="PQ241"/>
      <c r="PR241"/>
      <c r="PS241"/>
      <c r="PT241"/>
      <c r="PU241"/>
      <c r="PV241"/>
      <c r="PW241"/>
      <c r="PX241"/>
      <c r="PY241"/>
      <c r="PZ241"/>
      <c r="QA241"/>
      <c r="QB241"/>
      <c r="QC241"/>
      <c r="QD241"/>
      <c r="QE241"/>
      <c r="QF241"/>
      <c r="QG241"/>
      <c r="QH241"/>
      <c r="QI241"/>
      <c r="QJ241"/>
      <c r="QK241"/>
      <c r="QL241"/>
      <c r="QM241"/>
      <c r="QN241"/>
      <c r="QO241"/>
      <c r="QP241"/>
      <c r="QQ241"/>
      <c r="QR241"/>
      <c r="QS241"/>
      <c r="QT241"/>
      <c r="QU241"/>
      <c r="QV241"/>
      <c r="QW241"/>
      <c r="QX241"/>
    </row>
    <row r="242" spans="1:466" x14ac:dyDescent="0.35">
      <c r="A242" s="53"/>
      <c r="B242" s="53"/>
      <c r="C242" s="55"/>
      <c r="D242" s="53"/>
      <c r="E242" s="53"/>
      <c r="F242" s="126" t="s">
        <v>351</v>
      </c>
      <c r="G242" s="125">
        <v>22.2</v>
      </c>
      <c r="H242" s="125">
        <v>0</v>
      </c>
      <c r="I242" s="133">
        <v>0</v>
      </c>
      <c r="J242" s="53"/>
      <c r="K242" s="53"/>
      <c r="L242" s="53"/>
      <c r="M242" s="53"/>
      <c r="N242" s="53"/>
      <c r="O242" s="53"/>
      <c r="P242" s="53"/>
      <c r="Q242" s="53"/>
      <c r="R242" s="53"/>
      <c r="S242" s="53"/>
      <c r="T242" s="53"/>
      <c r="U242" s="53"/>
      <c r="V242" s="53"/>
      <c r="W242" s="53"/>
      <c r="X242" s="53"/>
      <c r="Y242" s="53"/>
      <c r="Z242" s="53"/>
      <c r="AA242" s="53"/>
      <c r="AB242" s="53"/>
      <c r="AC242" s="53"/>
      <c r="AD242" s="53"/>
      <c r="AE242" s="53"/>
      <c r="AF242" s="63"/>
      <c r="AG242" s="64"/>
      <c r="AH242" s="65"/>
      <c r="AI242" s="65"/>
      <c r="AJ242" s="53"/>
      <c r="AK242" s="62"/>
      <c r="AL242" s="62"/>
      <c r="AM242" s="62"/>
      <c r="AN242" s="62"/>
      <c r="AO242" s="62"/>
      <c r="AP242" s="62"/>
      <c r="AQ242" s="62"/>
      <c r="AR242" s="62"/>
      <c r="AS242" s="62"/>
      <c r="AT242" s="62"/>
      <c r="AU242" s="62"/>
      <c r="AV242" s="62"/>
      <c r="AW242" s="62"/>
      <c r="AX242" s="62"/>
      <c r="AY242" s="62"/>
      <c r="AZ242" s="62"/>
      <c r="BA242" s="62"/>
      <c r="BB242" s="62"/>
      <c r="BC242" s="62"/>
      <c r="BD242" s="62"/>
      <c r="BE242" s="62"/>
      <c r="BF242" s="62"/>
      <c r="BG242" s="62"/>
      <c r="BH242" s="62"/>
      <c r="BI242" s="62"/>
      <c r="BJ242" s="62"/>
      <c r="BK242" s="62"/>
      <c r="BL242" s="62"/>
      <c r="BM242" s="62"/>
      <c r="BN242" s="62"/>
      <c r="BO242" s="62"/>
      <c r="BP242" s="62"/>
      <c r="BQ242" s="62"/>
      <c r="BR242" s="62"/>
      <c r="BS242" s="62"/>
      <c r="BT242" s="62"/>
      <c r="BU242" s="62"/>
      <c r="BV242" s="62"/>
      <c r="BW242" s="62"/>
      <c r="BX242" s="6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  <c r="HB242"/>
      <c r="HC242"/>
      <c r="HD242"/>
      <c r="HE242"/>
      <c r="HF242"/>
      <c r="HG242"/>
      <c r="HH242"/>
      <c r="HI242"/>
      <c r="HJ242"/>
      <c r="HK242"/>
      <c r="HL242"/>
      <c r="HM242"/>
      <c r="HN242"/>
      <c r="HO242"/>
      <c r="HP242"/>
      <c r="HQ242"/>
      <c r="HR242"/>
      <c r="HS242"/>
      <c r="HT242"/>
      <c r="HU242"/>
      <c r="HV242"/>
      <c r="HW242"/>
      <c r="HX242"/>
      <c r="HY242"/>
      <c r="HZ242"/>
      <c r="IA242"/>
      <c r="IB242"/>
      <c r="IC242"/>
      <c r="ID242"/>
      <c r="IE242"/>
      <c r="IF242"/>
      <c r="IG242"/>
      <c r="IH242"/>
      <c r="II242"/>
      <c r="IJ242"/>
      <c r="IK242"/>
      <c r="IL242"/>
      <c r="IM242"/>
      <c r="IN242"/>
      <c r="IO242"/>
      <c r="IP242"/>
      <c r="IQ242"/>
      <c r="IR242"/>
      <c r="IS242"/>
      <c r="IT242"/>
      <c r="IU242"/>
      <c r="IV242"/>
      <c r="IW242"/>
      <c r="IX242"/>
      <c r="IY242"/>
      <c r="IZ242"/>
      <c r="JA242"/>
      <c r="JB242"/>
      <c r="JC242"/>
      <c r="JD242"/>
      <c r="JE242"/>
      <c r="JF242"/>
      <c r="JG242"/>
      <c r="JH242"/>
      <c r="JI242"/>
      <c r="JJ242"/>
      <c r="JK242"/>
      <c r="JL242"/>
      <c r="JM242"/>
      <c r="JN242"/>
      <c r="JO242"/>
      <c r="JP242"/>
      <c r="JQ242"/>
      <c r="JR242"/>
      <c r="JS242"/>
      <c r="JT242"/>
      <c r="JU242"/>
      <c r="JV242"/>
      <c r="JW242"/>
      <c r="JX242"/>
      <c r="JY242"/>
      <c r="JZ242"/>
      <c r="KA242"/>
      <c r="KB242"/>
      <c r="KC242"/>
      <c r="KD242"/>
      <c r="KE242"/>
      <c r="KF242"/>
      <c r="KG242"/>
      <c r="KH242"/>
      <c r="KI242"/>
      <c r="KJ242"/>
      <c r="KK242"/>
      <c r="KL242"/>
      <c r="KM242"/>
      <c r="KN242"/>
      <c r="KO242"/>
      <c r="KP242"/>
      <c r="KQ242"/>
      <c r="KR242"/>
      <c r="KS242"/>
      <c r="KT242"/>
      <c r="KU242"/>
      <c r="KV242"/>
      <c r="KW242"/>
      <c r="KX242"/>
      <c r="KY242"/>
      <c r="KZ242"/>
      <c r="LA242"/>
      <c r="LB242"/>
      <c r="LC242"/>
      <c r="LD242"/>
      <c r="LE242"/>
      <c r="LF242"/>
      <c r="LG242"/>
      <c r="LH242"/>
      <c r="LI242"/>
      <c r="LJ242"/>
      <c r="LK242"/>
      <c r="LL242"/>
      <c r="LM242"/>
      <c r="LN242"/>
      <c r="LO242"/>
      <c r="LP242"/>
      <c r="LQ242"/>
      <c r="LR242"/>
      <c r="LS242"/>
      <c r="LT242"/>
      <c r="LU242"/>
      <c r="LV242"/>
      <c r="LW242"/>
      <c r="LX242"/>
      <c r="LY242"/>
      <c r="LZ242"/>
      <c r="MA242"/>
      <c r="MB242"/>
      <c r="MC242"/>
      <c r="MD242"/>
      <c r="ME242"/>
      <c r="MF242"/>
      <c r="MG242"/>
      <c r="MH242"/>
      <c r="MI242"/>
      <c r="MJ242"/>
      <c r="MK242"/>
      <c r="ML242"/>
      <c r="MM242"/>
      <c r="MN242"/>
      <c r="MO242"/>
      <c r="MP242"/>
      <c r="MQ242"/>
      <c r="MR242"/>
      <c r="MS242"/>
      <c r="MT242"/>
      <c r="MU242"/>
      <c r="MV242"/>
      <c r="MW242"/>
      <c r="MX242"/>
      <c r="MY242"/>
      <c r="MZ242"/>
      <c r="NA242"/>
      <c r="NB242"/>
      <c r="NC242"/>
      <c r="ND242"/>
      <c r="NE242"/>
      <c r="NF242"/>
      <c r="NG242"/>
      <c r="NH242"/>
      <c r="NI242"/>
      <c r="NJ242"/>
      <c r="NK242"/>
      <c r="NL242"/>
      <c r="NM242"/>
      <c r="NN242"/>
      <c r="NO242"/>
      <c r="NP242"/>
      <c r="NQ242"/>
      <c r="NR242"/>
      <c r="NS242"/>
      <c r="NT242"/>
      <c r="NU242"/>
      <c r="NV242"/>
      <c r="NW242"/>
      <c r="NX242"/>
      <c r="NY242"/>
      <c r="NZ242"/>
      <c r="OA242"/>
      <c r="OB242"/>
      <c r="OC242"/>
      <c r="OD242"/>
      <c r="OE242"/>
      <c r="OF242"/>
      <c r="OG242"/>
      <c r="OH242"/>
      <c r="OI242"/>
      <c r="OJ242"/>
      <c r="OK242"/>
      <c r="OL242"/>
      <c r="OM242"/>
      <c r="ON242"/>
      <c r="OO242"/>
      <c r="OP242"/>
      <c r="OQ242"/>
      <c r="OR242"/>
      <c r="OS242"/>
      <c r="OT242"/>
      <c r="OU242"/>
      <c r="OV242"/>
      <c r="OW242"/>
      <c r="OX242"/>
      <c r="OY242"/>
      <c r="OZ242"/>
      <c r="PA242"/>
      <c r="PB242"/>
      <c r="PC242"/>
      <c r="PD242"/>
      <c r="PE242"/>
      <c r="PF242"/>
      <c r="PG242"/>
      <c r="PH242"/>
      <c r="PI242"/>
      <c r="PJ242"/>
      <c r="PK242"/>
      <c r="PL242"/>
      <c r="PM242"/>
      <c r="PN242"/>
      <c r="PO242"/>
      <c r="PP242"/>
      <c r="PQ242"/>
      <c r="PR242"/>
      <c r="PS242"/>
      <c r="PT242"/>
      <c r="PU242"/>
      <c r="PV242"/>
      <c r="PW242"/>
      <c r="PX242"/>
      <c r="PY242"/>
      <c r="PZ242"/>
      <c r="QA242"/>
      <c r="QB242"/>
      <c r="QC242"/>
      <c r="QD242"/>
      <c r="QE242"/>
      <c r="QF242"/>
      <c r="QG242"/>
      <c r="QH242"/>
      <c r="QI242"/>
      <c r="QJ242"/>
      <c r="QK242"/>
      <c r="QL242"/>
      <c r="QM242"/>
      <c r="QN242"/>
      <c r="QO242"/>
      <c r="QP242"/>
      <c r="QQ242"/>
      <c r="QR242"/>
      <c r="QS242"/>
      <c r="QT242"/>
      <c r="QU242"/>
      <c r="QV242"/>
      <c r="QW242"/>
      <c r="QX242"/>
    </row>
    <row r="243" spans="1:466" x14ac:dyDescent="0.35">
      <c r="A243" s="53"/>
      <c r="B243" s="53"/>
      <c r="C243" s="55"/>
      <c r="D243" s="53"/>
      <c r="E243" s="53"/>
      <c r="F243" s="126" t="s">
        <v>353</v>
      </c>
      <c r="G243" s="125">
        <v>22.2</v>
      </c>
      <c r="H243" s="125">
        <v>0</v>
      </c>
      <c r="I243" s="133">
        <v>0</v>
      </c>
      <c r="J243" s="53"/>
      <c r="K243" s="53"/>
      <c r="L243" s="53"/>
      <c r="M243" s="53"/>
      <c r="N243" s="53"/>
      <c r="O243" s="53"/>
      <c r="P243" s="53"/>
      <c r="Q243" s="53"/>
      <c r="R243" s="53"/>
      <c r="S243" s="53"/>
      <c r="T243" s="53"/>
      <c r="U243" s="53"/>
      <c r="V243" s="53"/>
      <c r="W243" s="53"/>
      <c r="X243" s="53"/>
      <c r="Y243" s="53"/>
      <c r="Z243" s="53"/>
      <c r="AA243" s="53"/>
      <c r="AB243" s="53"/>
      <c r="AC243" s="53"/>
      <c r="AD243" s="53"/>
      <c r="AE243" s="53"/>
      <c r="AF243" s="63"/>
      <c r="AG243" s="64"/>
      <c r="AH243" s="65"/>
      <c r="AI243" s="65"/>
      <c r="AJ243" s="53"/>
      <c r="AK243" s="62"/>
      <c r="AL243" s="62"/>
      <c r="AM243" s="62"/>
      <c r="AN243" s="62"/>
      <c r="AO243" s="62"/>
      <c r="AP243" s="62"/>
      <c r="AQ243" s="62"/>
      <c r="AR243" s="62"/>
      <c r="AS243" s="62"/>
      <c r="AT243" s="62"/>
      <c r="AU243" s="62"/>
      <c r="AV243" s="62"/>
      <c r="AW243" s="62"/>
      <c r="AX243" s="62"/>
      <c r="AY243" s="62"/>
      <c r="AZ243" s="62"/>
      <c r="BA243" s="62"/>
      <c r="BB243" s="62"/>
      <c r="BC243" s="62"/>
      <c r="BD243" s="62"/>
      <c r="BE243" s="62"/>
      <c r="BF243" s="62"/>
      <c r="BG243" s="62"/>
      <c r="BH243" s="62"/>
      <c r="BI243" s="62"/>
      <c r="BJ243" s="62"/>
      <c r="BK243" s="62"/>
      <c r="BL243" s="62"/>
      <c r="BM243" s="62"/>
      <c r="BN243" s="62"/>
      <c r="BO243" s="62"/>
      <c r="BP243" s="62"/>
      <c r="BQ243" s="62"/>
      <c r="BR243" s="62"/>
      <c r="BS243" s="62"/>
      <c r="BT243" s="62"/>
      <c r="BU243" s="62"/>
      <c r="BV243" s="62"/>
      <c r="BW243" s="62"/>
      <c r="BX243" s="62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  <c r="HB243"/>
      <c r="HC243"/>
      <c r="HD243"/>
      <c r="HE243"/>
      <c r="HF243"/>
      <c r="HG243"/>
      <c r="HH243"/>
      <c r="HI243"/>
      <c r="HJ243"/>
      <c r="HK243"/>
      <c r="HL243"/>
      <c r="HM243"/>
      <c r="HN243"/>
      <c r="HO243"/>
      <c r="HP243"/>
      <c r="HQ243"/>
      <c r="HR243"/>
      <c r="HS243"/>
      <c r="HT243"/>
      <c r="HU243"/>
      <c r="HV243"/>
      <c r="HW243"/>
      <c r="HX243"/>
      <c r="HY243"/>
      <c r="HZ243"/>
      <c r="IA243"/>
      <c r="IB243"/>
      <c r="IC243"/>
      <c r="ID243"/>
      <c r="IE243"/>
      <c r="IF243"/>
      <c r="IG243"/>
      <c r="IH243"/>
      <c r="II243"/>
      <c r="IJ243"/>
      <c r="IK243"/>
      <c r="IL243"/>
      <c r="IM243"/>
      <c r="IN243"/>
      <c r="IO243"/>
      <c r="IP243"/>
      <c r="IQ243"/>
      <c r="IR243"/>
      <c r="IS243"/>
      <c r="IT243"/>
      <c r="IU243"/>
      <c r="IV243"/>
      <c r="IW243"/>
      <c r="IX243"/>
      <c r="IY243"/>
      <c r="IZ243"/>
      <c r="JA243"/>
      <c r="JB243"/>
      <c r="JC243"/>
      <c r="JD243"/>
      <c r="JE243"/>
      <c r="JF243"/>
      <c r="JG243"/>
      <c r="JH243"/>
      <c r="JI243"/>
      <c r="JJ243"/>
      <c r="JK243"/>
      <c r="JL243"/>
      <c r="JM243"/>
      <c r="JN243"/>
      <c r="JO243"/>
      <c r="JP243"/>
      <c r="JQ243"/>
      <c r="JR243"/>
      <c r="JS243"/>
      <c r="JT243"/>
      <c r="JU243"/>
      <c r="JV243"/>
      <c r="JW243"/>
      <c r="JX243"/>
      <c r="JY243"/>
      <c r="JZ243"/>
      <c r="KA243"/>
      <c r="KB243"/>
      <c r="KC243"/>
      <c r="KD243"/>
      <c r="KE243"/>
      <c r="KF243"/>
      <c r="KG243"/>
      <c r="KH243"/>
      <c r="KI243"/>
      <c r="KJ243"/>
      <c r="KK243"/>
      <c r="KL243"/>
      <c r="KM243"/>
      <c r="KN243"/>
      <c r="KO243"/>
      <c r="KP243"/>
      <c r="KQ243"/>
      <c r="KR243"/>
      <c r="KS243"/>
      <c r="KT243"/>
      <c r="KU243"/>
      <c r="KV243"/>
      <c r="KW243"/>
      <c r="KX243"/>
      <c r="KY243"/>
      <c r="KZ243"/>
      <c r="LA243"/>
      <c r="LB243"/>
      <c r="LC243"/>
      <c r="LD243"/>
      <c r="LE243"/>
      <c r="LF243"/>
      <c r="LG243"/>
      <c r="LH243"/>
      <c r="LI243"/>
      <c r="LJ243"/>
      <c r="LK243"/>
      <c r="LL243"/>
      <c r="LM243"/>
      <c r="LN243"/>
      <c r="LO243"/>
      <c r="LP243"/>
      <c r="LQ243"/>
      <c r="LR243"/>
      <c r="LS243"/>
      <c r="LT243"/>
      <c r="LU243"/>
      <c r="LV243"/>
      <c r="LW243"/>
      <c r="LX243"/>
      <c r="LY243"/>
      <c r="LZ243"/>
      <c r="MA243"/>
      <c r="MB243"/>
      <c r="MC243"/>
      <c r="MD243"/>
      <c r="ME243"/>
      <c r="MF243"/>
      <c r="MG243"/>
      <c r="MH243"/>
      <c r="MI243"/>
      <c r="MJ243"/>
      <c r="MK243"/>
      <c r="ML243"/>
      <c r="MM243"/>
      <c r="MN243"/>
      <c r="MO243"/>
      <c r="MP243"/>
      <c r="MQ243"/>
      <c r="MR243"/>
      <c r="MS243"/>
      <c r="MT243"/>
      <c r="MU243"/>
      <c r="MV243"/>
      <c r="MW243"/>
      <c r="MX243"/>
      <c r="MY243"/>
      <c r="MZ243"/>
      <c r="NA243"/>
      <c r="NB243"/>
      <c r="NC243"/>
      <c r="ND243"/>
      <c r="NE243"/>
      <c r="NF243"/>
      <c r="NG243"/>
      <c r="NH243"/>
      <c r="NI243"/>
      <c r="NJ243"/>
      <c r="NK243"/>
      <c r="NL243"/>
      <c r="NM243"/>
      <c r="NN243"/>
      <c r="NO243"/>
      <c r="NP243"/>
      <c r="NQ243"/>
      <c r="NR243"/>
      <c r="NS243"/>
      <c r="NT243"/>
      <c r="NU243"/>
      <c r="NV243"/>
      <c r="NW243"/>
      <c r="NX243"/>
      <c r="NY243"/>
      <c r="NZ243"/>
      <c r="OA243"/>
      <c r="OB243"/>
      <c r="OC243"/>
      <c r="OD243"/>
      <c r="OE243"/>
      <c r="OF243"/>
      <c r="OG243"/>
      <c r="OH243"/>
      <c r="OI243"/>
      <c r="OJ243"/>
      <c r="OK243"/>
      <c r="OL243"/>
      <c r="OM243"/>
      <c r="ON243"/>
      <c r="OO243"/>
      <c r="OP243"/>
      <c r="OQ243"/>
      <c r="OR243"/>
      <c r="OS243"/>
      <c r="OT243"/>
      <c r="OU243"/>
      <c r="OV243"/>
      <c r="OW243"/>
      <c r="OX243"/>
      <c r="OY243"/>
      <c r="OZ243"/>
      <c r="PA243"/>
      <c r="PB243"/>
      <c r="PC243"/>
      <c r="PD243"/>
      <c r="PE243"/>
      <c r="PF243"/>
      <c r="PG243"/>
      <c r="PH243"/>
      <c r="PI243"/>
      <c r="PJ243"/>
      <c r="PK243"/>
      <c r="PL243"/>
      <c r="PM243"/>
      <c r="PN243"/>
      <c r="PO243"/>
      <c r="PP243"/>
      <c r="PQ243"/>
      <c r="PR243"/>
      <c r="PS243"/>
      <c r="PT243"/>
      <c r="PU243"/>
      <c r="PV243"/>
      <c r="PW243"/>
      <c r="PX243"/>
      <c r="PY243"/>
      <c r="PZ243"/>
      <c r="QA243"/>
      <c r="QB243"/>
      <c r="QC243"/>
      <c r="QD243"/>
      <c r="QE243"/>
      <c r="QF243"/>
      <c r="QG243"/>
      <c r="QH243"/>
      <c r="QI243"/>
      <c r="QJ243"/>
      <c r="QK243"/>
      <c r="QL243"/>
      <c r="QM243"/>
      <c r="QN243"/>
      <c r="QO243"/>
      <c r="QP243"/>
      <c r="QQ243"/>
      <c r="QR243"/>
      <c r="QS243"/>
      <c r="QT243"/>
      <c r="QU243"/>
      <c r="QV243"/>
      <c r="QW243"/>
      <c r="QX243"/>
    </row>
    <row r="244" spans="1:466" x14ac:dyDescent="0.35">
      <c r="A244" s="53"/>
      <c r="B244" s="53"/>
      <c r="C244" s="55"/>
      <c r="D244" s="53"/>
      <c r="E244" s="53"/>
      <c r="F244" s="126" t="s">
        <v>446</v>
      </c>
      <c r="G244" s="125">
        <v>152.5</v>
      </c>
      <c r="H244" s="125">
        <v>1830</v>
      </c>
      <c r="I244" s="133">
        <v>12</v>
      </c>
      <c r="J244" s="53"/>
      <c r="K244" s="53"/>
      <c r="L244" s="53"/>
      <c r="M244" s="53"/>
      <c r="N244" s="53"/>
      <c r="O244" s="53"/>
      <c r="P244" s="53"/>
      <c r="Q244" s="53"/>
      <c r="R244" s="53"/>
      <c r="S244" s="53"/>
      <c r="T244" s="53"/>
      <c r="U244" s="53"/>
      <c r="V244" s="53"/>
      <c r="W244" s="53"/>
      <c r="X244" s="53"/>
      <c r="Y244" s="53"/>
      <c r="Z244" s="53"/>
      <c r="AA244" s="53"/>
      <c r="AB244" s="53"/>
      <c r="AC244" s="53"/>
      <c r="AD244" s="53"/>
      <c r="AE244" s="53"/>
      <c r="AF244" s="63"/>
      <c r="AG244" s="64"/>
      <c r="AH244" s="65"/>
      <c r="AI244" s="65"/>
      <c r="AJ244" s="53"/>
      <c r="AK244" s="62"/>
      <c r="AL244" s="62"/>
      <c r="AM244" s="62"/>
      <c r="AN244" s="62"/>
      <c r="AO244" s="62"/>
      <c r="AP244" s="62"/>
      <c r="AQ244" s="62"/>
      <c r="AR244" s="62"/>
      <c r="AS244" s="62"/>
      <c r="AT244" s="62"/>
      <c r="AU244" s="62"/>
      <c r="AV244" s="62"/>
      <c r="AW244" s="62"/>
      <c r="AX244" s="62"/>
      <c r="AY244" s="62"/>
      <c r="AZ244" s="62"/>
      <c r="BA244" s="62"/>
      <c r="BB244" s="62"/>
      <c r="BC244" s="62"/>
      <c r="BD244" s="62"/>
      <c r="BE244" s="62"/>
      <c r="BF244" s="62"/>
      <c r="BG244" s="62"/>
      <c r="BH244" s="62"/>
      <c r="BI244" s="62"/>
      <c r="BJ244" s="62"/>
      <c r="BK244" s="62"/>
      <c r="BL244" s="62"/>
      <c r="BM244" s="62"/>
      <c r="BN244" s="62"/>
      <c r="BO244" s="62"/>
      <c r="BP244" s="62"/>
      <c r="BQ244" s="62"/>
      <c r="BR244" s="62"/>
      <c r="BS244" s="62"/>
      <c r="BT244" s="62"/>
      <c r="BU244" s="62"/>
      <c r="BV244" s="62"/>
      <c r="BW244" s="62"/>
      <c r="BX244" s="62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  <c r="HB244"/>
      <c r="HC244"/>
      <c r="HD244"/>
      <c r="HE244"/>
      <c r="HF244"/>
      <c r="HG244"/>
      <c r="HH244"/>
      <c r="HI244"/>
      <c r="HJ244"/>
      <c r="HK244"/>
      <c r="HL244"/>
      <c r="HM244"/>
      <c r="HN244"/>
      <c r="HO244"/>
      <c r="HP244"/>
      <c r="HQ244"/>
      <c r="HR244"/>
      <c r="HS244"/>
      <c r="HT244"/>
      <c r="HU244"/>
      <c r="HV244"/>
      <c r="HW244"/>
      <c r="HX244"/>
      <c r="HY244"/>
      <c r="HZ244"/>
      <c r="IA244"/>
      <c r="IB244"/>
      <c r="IC244"/>
      <c r="ID244"/>
      <c r="IE244"/>
      <c r="IF244"/>
      <c r="IG244"/>
      <c r="IH244"/>
      <c r="II244"/>
      <c r="IJ244"/>
      <c r="IK244"/>
      <c r="IL244"/>
      <c r="IM244"/>
      <c r="IN244"/>
      <c r="IO244"/>
      <c r="IP244"/>
      <c r="IQ244"/>
      <c r="IR244"/>
      <c r="IS244"/>
      <c r="IT244"/>
      <c r="IU244"/>
      <c r="IV244"/>
      <c r="IW244"/>
      <c r="IX244"/>
      <c r="IY244"/>
      <c r="IZ244"/>
      <c r="JA244"/>
      <c r="JB244"/>
      <c r="JC244"/>
      <c r="JD244"/>
      <c r="JE244"/>
      <c r="JF244"/>
      <c r="JG244"/>
      <c r="JH244"/>
      <c r="JI244"/>
      <c r="JJ244"/>
      <c r="JK244"/>
      <c r="JL244"/>
      <c r="JM244"/>
      <c r="JN244"/>
      <c r="JO244"/>
      <c r="JP244"/>
      <c r="JQ244"/>
      <c r="JR244"/>
      <c r="JS244"/>
      <c r="JT244"/>
      <c r="JU244"/>
      <c r="JV244"/>
      <c r="JW244"/>
      <c r="JX244"/>
      <c r="JY244"/>
      <c r="JZ244"/>
      <c r="KA244"/>
      <c r="KB244"/>
      <c r="KC244"/>
      <c r="KD244"/>
      <c r="KE244"/>
      <c r="KF244"/>
      <c r="KG244"/>
      <c r="KH244"/>
      <c r="KI244"/>
      <c r="KJ244"/>
      <c r="KK244"/>
      <c r="KL244"/>
      <c r="KM244"/>
      <c r="KN244"/>
      <c r="KO244"/>
      <c r="KP244"/>
      <c r="KQ244"/>
      <c r="KR244"/>
      <c r="KS244"/>
      <c r="KT244"/>
      <c r="KU244"/>
      <c r="KV244"/>
      <c r="KW244"/>
      <c r="KX244"/>
      <c r="KY244"/>
      <c r="KZ244"/>
      <c r="LA244"/>
      <c r="LB244"/>
      <c r="LC244"/>
      <c r="LD244"/>
      <c r="LE244"/>
      <c r="LF244"/>
      <c r="LG244"/>
      <c r="LH244"/>
      <c r="LI244"/>
      <c r="LJ244"/>
      <c r="LK244"/>
      <c r="LL244"/>
      <c r="LM244"/>
      <c r="LN244"/>
      <c r="LO244"/>
      <c r="LP244"/>
      <c r="LQ244"/>
      <c r="LR244"/>
      <c r="LS244"/>
      <c r="LT244"/>
      <c r="LU244"/>
      <c r="LV244"/>
      <c r="LW244"/>
      <c r="LX244"/>
      <c r="LY244"/>
      <c r="LZ244"/>
      <c r="MA244"/>
      <c r="MB244"/>
      <c r="MC244"/>
      <c r="MD244"/>
      <c r="ME244"/>
      <c r="MF244"/>
      <c r="MG244"/>
      <c r="MH244"/>
      <c r="MI244"/>
      <c r="MJ244"/>
      <c r="MK244"/>
      <c r="ML244"/>
      <c r="MM244"/>
      <c r="MN244"/>
      <c r="MO244"/>
      <c r="MP244"/>
      <c r="MQ244"/>
      <c r="MR244"/>
      <c r="MS244"/>
      <c r="MT244"/>
      <c r="MU244"/>
      <c r="MV244"/>
      <c r="MW244"/>
      <c r="MX244"/>
      <c r="MY244"/>
      <c r="MZ244"/>
      <c r="NA244"/>
      <c r="NB244"/>
      <c r="NC244"/>
      <c r="ND244"/>
      <c r="NE244"/>
      <c r="NF244"/>
      <c r="NG244"/>
      <c r="NH244"/>
      <c r="NI244"/>
      <c r="NJ244"/>
      <c r="NK244"/>
      <c r="NL244"/>
      <c r="NM244"/>
      <c r="NN244"/>
      <c r="NO244"/>
      <c r="NP244"/>
      <c r="NQ244"/>
      <c r="NR244"/>
      <c r="NS244"/>
      <c r="NT244"/>
      <c r="NU244"/>
      <c r="NV244"/>
      <c r="NW244"/>
      <c r="NX244"/>
      <c r="NY244"/>
      <c r="NZ244"/>
      <c r="OA244"/>
      <c r="OB244"/>
      <c r="OC244"/>
      <c r="OD244"/>
      <c r="OE244"/>
      <c r="OF244"/>
      <c r="OG244"/>
      <c r="OH244"/>
      <c r="OI244"/>
      <c r="OJ244"/>
      <c r="OK244"/>
      <c r="OL244"/>
      <c r="OM244"/>
      <c r="ON244"/>
      <c r="OO244"/>
      <c r="OP244"/>
      <c r="OQ244"/>
      <c r="OR244"/>
      <c r="OS244"/>
      <c r="OT244"/>
      <c r="OU244"/>
      <c r="OV244"/>
      <c r="OW244"/>
      <c r="OX244"/>
      <c r="OY244"/>
      <c r="OZ244"/>
      <c r="PA244"/>
      <c r="PB244"/>
      <c r="PC244"/>
      <c r="PD244"/>
      <c r="PE244"/>
      <c r="PF244"/>
      <c r="PG244"/>
      <c r="PH244"/>
      <c r="PI244"/>
      <c r="PJ244"/>
      <c r="PK244"/>
      <c r="PL244"/>
      <c r="PM244"/>
      <c r="PN244"/>
      <c r="PO244"/>
      <c r="PP244"/>
      <c r="PQ244"/>
      <c r="PR244"/>
      <c r="PS244"/>
      <c r="PT244"/>
      <c r="PU244"/>
      <c r="PV244"/>
      <c r="PW244"/>
      <c r="PX244"/>
      <c r="PY244"/>
      <c r="PZ244"/>
      <c r="QA244"/>
      <c r="QB244"/>
      <c r="QC244"/>
      <c r="QD244"/>
      <c r="QE244"/>
      <c r="QF244"/>
      <c r="QG244"/>
      <c r="QH244"/>
      <c r="QI244"/>
      <c r="QJ244"/>
      <c r="QK244"/>
      <c r="QL244"/>
      <c r="QM244"/>
      <c r="QN244"/>
      <c r="QO244"/>
      <c r="QP244"/>
      <c r="QQ244"/>
      <c r="QR244"/>
      <c r="QS244"/>
      <c r="QT244"/>
      <c r="QU244"/>
      <c r="QV244"/>
      <c r="QW244"/>
      <c r="QX244"/>
    </row>
    <row r="245" spans="1:466" x14ac:dyDescent="0.35">
      <c r="A245" s="53"/>
      <c r="B245" s="53"/>
      <c r="C245" s="55"/>
      <c r="D245" s="53"/>
      <c r="E245" s="53"/>
      <c r="F245" s="126" t="s">
        <v>447</v>
      </c>
      <c r="G245" s="125">
        <v>88.29</v>
      </c>
      <c r="H245" s="125">
        <v>353.16</v>
      </c>
      <c r="I245" s="133">
        <v>4</v>
      </c>
      <c r="J245" s="53"/>
      <c r="K245" s="53"/>
      <c r="L245" s="53"/>
      <c r="M245" s="53"/>
      <c r="N245" s="53"/>
      <c r="O245" s="53"/>
      <c r="P245" s="53"/>
      <c r="Q245" s="53"/>
      <c r="R245" s="53"/>
      <c r="S245" s="53"/>
      <c r="T245" s="53"/>
      <c r="U245" s="53"/>
      <c r="V245" s="53"/>
      <c r="W245" s="53"/>
      <c r="X245" s="53"/>
      <c r="Y245" s="53"/>
      <c r="Z245" s="53"/>
      <c r="AA245" s="53"/>
      <c r="AB245" s="53"/>
      <c r="AC245" s="53"/>
      <c r="AD245" s="53"/>
      <c r="AE245" s="53"/>
      <c r="AF245" s="63"/>
      <c r="AG245" s="64"/>
      <c r="AH245" s="65"/>
      <c r="AI245" s="65"/>
      <c r="AJ245" s="53"/>
      <c r="AK245" s="62"/>
      <c r="AL245" s="62"/>
      <c r="AM245" s="62"/>
      <c r="AN245" s="62"/>
      <c r="AO245" s="62"/>
      <c r="AP245" s="62"/>
      <c r="AQ245" s="62"/>
      <c r="AR245" s="62"/>
      <c r="AS245" s="62"/>
      <c r="AT245" s="62"/>
      <c r="AU245" s="62"/>
      <c r="AV245" s="62"/>
      <c r="AW245" s="62"/>
      <c r="AX245" s="62"/>
      <c r="AY245" s="62"/>
      <c r="AZ245" s="62"/>
      <c r="BA245" s="62"/>
      <c r="BB245" s="62"/>
      <c r="BC245" s="62"/>
      <c r="BD245" s="62"/>
      <c r="BE245" s="62"/>
      <c r="BF245" s="62"/>
      <c r="BG245" s="62"/>
      <c r="BH245" s="62"/>
      <c r="BI245" s="62"/>
      <c r="BJ245" s="62"/>
      <c r="BK245" s="62"/>
      <c r="BL245" s="62"/>
      <c r="BM245" s="62"/>
      <c r="BN245" s="62"/>
      <c r="BO245" s="62"/>
      <c r="BP245" s="62"/>
      <c r="BQ245" s="62"/>
      <c r="BR245" s="62"/>
      <c r="BS245" s="62"/>
      <c r="BT245" s="62"/>
      <c r="BU245" s="62"/>
      <c r="BV245" s="62"/>
      <c r="BW245" s="62"/>
      <c r="BX245" s="62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  <c r="HB245"/>
      <c r="HC245"/>
      <c r="HD245"/>
      <c r="HE245"/>
      <c r="HF245"/>
      <c r="HG245"/>
      <c r="HH245"/>
      <c r="HI245"/>
      <c r="HJ245"/>
      <c r="HK245"/>
      <c r="HL245"/>
      <c r="HM245"/>
      <c r="HN245"/>
      <c r="HO245"/>
      <c r="HP245"/>
      <c r="HQ245"/>
      <c r="HR245"/>
      <c r="HS245"/>
      <c r="HT245"/>
      <c r="HU245"/>
      <c r="HV245"/>
      <c r="HW245"/>
      <c r="HX245"/>
      <c r="HY245"/>
      <c r="HZ245"/>
      <c r="IA245"/>
      <c r="IB245"/>
      <c r="IC245"/>
      <c r="ID245"/>
      <c r="IE245"/>
      <c r="IF245"/>
      <c r="IG245"/>
      <c r="IH245"/>
      <c r="II245"/>
      <c r="IJ245"/>
      <c r="IK245"/>
      <c r="IL245"/>
      <c r="IM245"/>
      <c r="IN245"/>
      <c r="IO245"/>
      <c r="IP245"/>
      <c r="IQ245"/>
      <c r="IR245"/>
      <c r="IS245"/>
      <c r="IT245"/>
      <c r="IU245"/>
      <c r="IV245"/>
      <c r="IW245"/>
      <c r="IX245"/>
      <c r="IY245"/>
      <c r="IZ245"/>
      <c r="JA245"/>
      <c r="JB245"/>
      <c r="JC245"/>
      <c r="JD245"/>
      <c r="JE245"/>
      <c r="JF245"/>
      <c r="JG245"/>
      <c r="JH245"/>
      <c r="JI245"/>
      <c r="JJ245"/>
      <c r="JK245"/>
      <c r="JL245"/>
      <c r="JM245"/>
      <c r="JN245"/>
      <c r="JO245"/>
      <c r="JP245"/>
      <c r="JQ245"/>
      <c r="JR245"/>
      <c r="JS245"/>
      <c r="JT245"/>
      <c r="JU245"/>
      <c r="JV245"/>
      <c r="JW245"/>
      <c r="JX245"/>
      <c r="JY245"/>
      <c r="JZ245"/>
      <c r="KA245"/>
      <c r="KB245"/>
      <c r="KC245"/>
      <c r="KD245"/>
      <c r="KE245"/>
      <c r="KF245"/>
      <c r="KG245"/>
      <c r="KH245"/>
      <c r="KI245"/>
      <c r="KJ245"/>
      <c r="KK245"/>
      <c r="KL245"/>
      <c r="KM245"/>
      <c r="KN245"/>
      <c r="KO245"/>
      <c r="KP245"/>
      <c r="KQ245"/>
      <c r="KR245"/>
      <c r="KS245"/>
      <c r="KT245"/>
      <c r="KU245"/>
      <c r="KV245"/>
      <c r="KW245"/>
      <c r="KX245"/>
      <c r="KY245"/>
      <c r="KZ245"/>
      <c r="LA245"/>
      <c r="LB245"/>
      <c r="LC245"/>
      <c r="LD245"/>
      <c r="LE245"/>
      <c r="LF245"/>
      <c r="LG245"/>
      <c r="LH245"/>
      <c r="LI245"/>
      <c r="LJ245"/>
      <c r="LK245"/>
      <c r="LL245"/>
      <c r="LM245"/>
      <c r="LN245"/>
      <c r="LO245"/>
      <c r="LP245"/>
      <c r="LQ245"/>
      <c r="LR245"/>
      <c r="LS245"/>
      <c r="LT245"/>
      <c r="LU245"/>
      <c r="LV245"/>
      <c r="LW245"/>
      <c r="LX245"/>
      <c r="LY245"/>
      <c r="LZ245"/>
      <c r="MA245"/>
      <c r="MB245"/>
      <c r="MC245"/>
      <c r="MD245"/>
      <c r="ME245"/>
      <c r="MF245"/>
      <c r="MG245"/>
      <c r="MH245"/>
      <c r="MI245"/>
      <c r="MJ245"/>
      <c r="MK245"/>
      <c r="ML245"/>
      <c r="MM245"/>
      <c r="MN245"/>
      <c r="MO245"/>
      <c r="MP245"/>
      <c r="MQ245"/>
      <c r="MR245"/>
      <c r="MS245"/>
      <c r="MT245"/>
      <c r="MU245"/>
      <c r="MV245"/>
      <c r="MW245"/>
      <c r="MX245"/>
      <c r="MY245"/>
      <c r="MZ245"/>
      <c r="NA245"/>
      <c r="NB245"/>
      <c r="NC245"/>
      <c r="ND245"/>
      <c r="NE245"/>
      <c r="NF245"/>
      <c r="NG245"/>
      <c r="NH245"/>
      <c r="NI245"/>
      <c r="NJ245"/>
      <c r="NK245"/>
      <c r="NL245"/>
      <c r="NM245"/>
      <c r="NN245"/>
      <c r="NO245"/>
      <c r="NP245"/>
      <c r="NQ245"/>
      <c r="NR245"/>
      <c r="NS245"/>
      <c r="NT245"/>
      <c r="NU245"/>
      <c r="NV245"/>
      <c r="NW245"/>
      <c r="NX245"/>
      <c r="NY245"/>
      <c r="NZ245"/>
      <c r="OA245"/>
      <c r="OB245"/>
      <c r="OC245"/>
      <c r="OD245"/>
      <c r="OE245"/>
      <c r="OF245"/>
      <c r="OG245"/>
      <c r="OH245"/>
      <c r="OI245"/>
      <c r="OJ245"/>
      <c r="OK245"/>
      <c r="OL245"/>
      <c r="OM245"/>
      <c r="ON245"/>
      <c r="OO245"/>
      <c r="OP245"/>
      <c r="OQ245"/>
      <c r="OR245"/>
      <c r="OS245"/>
      <c r="OT245"/>
      <c r="OU245"/>
      <c r="OV245"/>
      <c r="OW245"/>
      <c r="OX245"/>
      <c r="OY245"/>
      <c r="OZ245"/>
      <c r="PA245"/>
      <c r="PB245"/>
      <c r="PC245"/>
      <c r="PD245"/>
      <c r="PE245"/>
      <c r="PF245"/>
      <c r="PG245"/>
      <c r="PH245"/>
      <c r="PI245"/>
      <c r="PJ245"/>
      <c r="PK245"/>
      <c r="PL245"/>
      <c r="PM245"/>
      <c r="PN245"/>
      <c r="PO245"/>
      <c r="PP245"/>
      <c r="PQ245"/>
      <c r="PR245"/>
      <c r="PS245"/>
      <c r="PT245"/>
      <c r="PU245"/>
      <c r="PV245"/>
      <c r="PW245"/>
      <c r="PX245"/>
      <c r="PY245"/>
      <c r="PZ245"/>
      <c r="QA245"/>
      <c r="QB245"/>
      <c r="QC245"/>
      <c r="QD245"/>
      <c r="QE245"/>
      <c r="QF245"/>
      <c r="QG245"/>
      <c r="QH245"/>
      <c r="QI245"/>
      <c r="QJ245"/>
      <c r="QK245"/>
      <c r="QL245"/>
      <c r="QM245"/>
      <c r="QN245"/>
      <c r="QO245"/>
      <c r="QP245"/>
      <c r="QQ245"/>
      <c r="QR245"/>
      <c r="QS245"/>
      <c r="QT245"/>
      <c r="QU245"/>
      <c r="QV245"/>
      <c r="QW245"/>
      <c r="QX245"/>
    </row>
    <row r="246" spans="1:466" x14ac:dyDescent="0.35">
      <c r="A246" s="53"/>
      <c r="B246" s="53"/>
      <c r="C246" s="55"/>
      <c r="D246" s="53"/>
      <c r="E246" s="53"/>
      <c r="F246" s="126" t="s">
        <v>469</v>
      </c>
      <c r="G246" s="125"/>
      <c r="H246" s="125">
        <v>0</v>
      </c>
      <c r="I246" s="133">
        <v>0</v>
      </c>
      <c r="J246" s="53"/>
      <c r="K246" s="53"/>
      <c r="L246" s="53"/>
      <c r="M246" s="53"/>
      <c r="N246" s="53"/>
      <c r="O246" s="53"/>
      <c r="P246" s="53"/>
      <c r="Q246" s="53"/>
      <c r="R246" s="53"/>
      <c r="S246" s="53"/>
      <c r="T246" s="53"/>
      <c r="U246" s="53"/>
      <c r="V246" s="53"/>
      <c r="W246" s="53"/>
      <c r="X246" s="53"/>
      <c r="Y246" s="53"/>
      <c r="Z246" s="53"/>
      <c r="AA246" s="53"/>
      <c r="AB246" s="53"/>
      <c r="AC246" s="53"/>
      <c r="AD246" s="53"/>
      <c r="AE246" s="53"/>
      <c r="AF246" s="63"/>
      <c r="AG246" s="64"/>
      <c r="AH246" s="65"/>
      <c r="AI246" s="65"/>
      <c r="AJ246" s="53"/>
      <c r="AK246" s="62"/>
      <c r="AL246" s="62"/>
      <c r="AM246" s="62"/>
      <c r="AN246" s="62"/>
      <c r="AO246" s="62"/>
      <c r="AP246" s="62"/>
      <c r="AQ246" s="62"/>
      <c r="AR246" s="62"/>
      <c r="AS246" s="62"/>
      <c r="AT246" s="62"/>
      <c r="AU246" s="62"/>
      <c r="AV246" s="62"/>
      <c r="AW246" s="62"/>
      <c r="AX246" s="62"/>
      <c r="AY246" s="62"/>
      <c r="AZ246" s="62"/>
      <c r="BA246" s="62"/>
      <c r="BB246" s="62"/>
      <c r="BC246" s="62"/>
      <c r="BD246" s="62"/>
      <c r="BE246" s="62"/>
      <c r="BF246" s="62"/>
      <c r="BG246" s="62"/>
      <c r="BH246" s="62"/>
      <c r="BI246" s="62"/>
      <c r="BJ246" s="62"/>
      <c r="BK246" s="62"/>
      <c r="BL246" s="62"/>
      <c r="BM246" s="62"/>
      <c r="BN246" s="62"/>
      <c r="BO246" s="62"/>
      <c r="BP246" s="62"/>
      <c r="BQ246" s="62"/>
      <c r="BR246" s="62"/>
      <c r="BS246" s="62"/>
      <c r="BT246" s="62"/>
      <c r="BU246" s="62"/>
      <c r="BV246" s="62"/>
      <c r="BW246" s="62"/>
      <c r="BX246" s="62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  <c r="HB246"/>
      <c r="HC246"/>
      <c r="HD246"/>
      <c r="HE246"/>
      <c r="HF246"/>
      <c r="HG246"/>
      <c r="HH246"/>
      <c r="HI246"/>
      <c r="HJ246"/>
      <c r="HK246"/>
      <c r="HL246"/>
      <c r="HM246"/>
      <c r="HN246"/>
      <c r="HO246"/>
      <c r="HP246"/>
      <c r="HQ246"/>
      <c r="HR246"/>
      <c r="HS246"/>
      <c r="HT246"/>
      <c r="HU246"/>
      <c r="HV246"/>
      <c r="HW246"/>
      <c r="HX246"/>
      <c r="HY246"/>
      <c r="HZ246"/>
      <c r="IA246"/>
      <c r="IB246"/>
      <c r="IC246"/>
      <c r="ID246"/>
      <c r="IE246"/>
      <c r="IF246"/>
      <c r="IG246"/>
      <c r="IH246"/>
      <c r="II246"/>
      <c r="IJ246"/>
      <c r="IK246"/>
      <c r="IL246"/>
      <c r="IM246"/>
      <c r="IN246"/>
      <c r="IO246"/>
      <c r="IP246"/>
      <c r="IQ246"/>
      <c r="IR246"/>
      <c r="IS246"/>
      <c r="IT246"/>
      <c r="IU246"/>
      <c r="IV246"/>
      <c r="IW246"/>
      <c r="IX246"/>
      <c r="IY246"/>
      <c r="IZ246"/>
      <c r="JA246"/>
      <c r="JB246"/>
      <c r="JC246"/>
      <c r="JD246"/>
      <c r="JE246"/>
      <c r="JF246"/>
      <c r="JG246"/>
      <c r="JH246"/>
      <c r="JI246"/>
      <c r="JJ246"/>
      <c r="JK246"/>
      <c r="JL246"/>
      <c r="JM246"/>
      <c r="JN246"/>
      <c r="JO246"/>
      <c r="JP246"/>
      <c r="JQ246"/>
      <c r="JR246"/>
      <c r="JS246"/>
      <c r="JT246"/>
      <c r="JU246"/>
      <c r="JV246"/>
      <c r="JW246"/>
      <c r="JX246"/>
      <c r="JY246"/>
      <c r="JZ246"/>
      <c r="KA246"/>
      <c r="KB246"/>
      <c r="KC246"/>
      <c r="KD246"/>
      <c r="KE246"/>
      <c r="KF246"/>
      <c r="KG246"/>
      <c r="KH246"/>
      <c r="KI246"/>
      <c r="KJ246"/>
      <c r="KK246"/>
      <c r="KL246"/>
      <c r="KM246"/>
      <c r="KN246"/>
      <c r="KO246"/>
      <c r="KP246"/>
      <c r="KQ246"/>
      <c r="KR246"/>
      <c r="KS246"/>
      <c r="KT246"/>
      <c r="KU246"/>
      <c r="KV246"/>
      <c r="KW246"/>
      <c r="KX246"/>
      <c r="KY246"/>
      <c r="KZ246"/>
      <c r="LA246"/>
      <c r="LB246"/>
      <c r="LC246"/>
      <c r="LD246"/>
      <c r="LE246"/>
      <c r="LF246"/>
      <c r="LG246"/>
      <c r="LH246"/>
      <c r="LI246"/>
      <c r="LJ246"/>
      <c r="LK246"/>
      <c r="LL246"/>
      <c r="LM246"/>
      <c r="LN246"/>
      <c r="LO246"/>
      <c r="LP246"/>
      <c r="LQ246"/>
      <c r="LR246"/>
      <c r="LS246"/>
      <c r="LT246"/>
      <c r="LU246"/>
      <c r="LV246"/>
      <c r="LW246"/>
      <c r="LX246"/>
      <c r="LY246"/>
      <c r="LZ246"/>
      <c r="MA246"/>
      <c r="MB246"/>
      <c r="MC246"/>
      <c r="MD246"/>
      <c r="ME246"/>
      <c r="MF246"/>
      <c r="MG246"/>
      <c r="MH246"/>
      <c r="MI246"/>
      <c r="MJ246"/>
      <c r="MK246"/>
      <c r="ML246"/>
      <c r="MM246"/>
      <c r="MN246"/>
      <c r="MO246"/>
      <c r="MP246"/>
      <c r="MQ246"/>
      <c r="MR246"/>
      <c r="MS246"/>
      <c r="MT246"/>
      <c r="MU246"/>
      <c r="MV246"/>
      <c r="MW246"/>
      <c r="MX246"/>
      <c r="MY246"/>
      <c r="MZ246"/>
      <c r="NA246"/>
      <c r="NB246"/>
      <c r="NC246"/>
      <c r="ND246"/>
      <c r="NE246"/>
      <c r="NF246"/>
      <c r="NG246"/>
      <c r="NH246"/>
      <c r="NI246"/>
      <c r="NJ246"/>
      <c r="NK246"/>
      <c r="NL246"/>
      <c r="NM246"/>
      <c r="NN246"/>
      <c r="NO246"/>
      <c r="NP246"/>
      <c r="NQ246"/>
      <c r="NR246"/>
      <c r="NS246"/>
      <c r="NT246"/>
      <c r="NU246"/>
      <c r="NV246"/>
      <c r="NW246"/>
      <c r="NX246"/>
      <c r="NY246"/>
      <c r="NZ246"/>
      <c r="OA246"/>
      <c r="OB246"/>
      <c r="OC246"/>
      <c r="OD246"/>
      <c r="OE246"/>
      <c r="OF246"/>
      <c r="OG246"/>
      <c r="OH246"/>
      <c r="OI246"/>
      <c r="OJ246"/>
      <c r="OK246"/>
      <c r="OL246"/>
      <c r="OM246"/>
      <c r="ON246"/>
      <c r="OO246"/>
      <c r="OP246"/>
      <c r="OQ246"/>
      <c r="OR246"/>
      <c r="OS246"/>
      <c r="OT246"/>
      <c r="OU246"/>
      <c r="OV246"/>
      <c r="OW246"/>
      <c r="OX246"/>
      <c r="OY246"/>
      <c r="OZ246"/>
      <c r="PA246"/>
      <c r="PB246"/>
      <c r="PC246"/>
      <c r="PD246"/>
      <c r="PE246"/>
      <c r="PF246"/>
      <c r="PG246"/>
      <c r="PH246"/>
      <c r="PI246"/>
      <c r="PJ246"/>
      <c r="PK246"/>
      <c r="PL246"/>
      <c r="PM246"/>
      <c r="PN246"/>
      <c r="PO246"/>
      <c r="PP246"/>
      <c r="PQ246"/>
      <c r="PR246"/>
      <c r="PS246"/>
      <c r="PT246"/>
      <c r="PU246"/>
      <c r="PV246"/>
      <c r="PW246"/>
      <c r="PX246"/>
      <c r="PY246"/>
      <c r="PZ246"/>
      <c r="QA246"/>
      <c r="QB246"/>
      <c r="QC246"/>
      <c r="QD246"/>
      <c r="QE246"/>
      <c r="QF246"/>
      <c r="QG246"/>
      <c r="QH246"/>
      <c r="QI246"/>
      <c r="QJ246"/>
      <c r="QK246"/>
      <c r="QL246"/>
      <c r="QM246"/>
      <c r="QN246"/>
      <c r="QO246"/>
      <c r="QP246"/>
      <c r="QQ246"/>
      <c r="QR246"/>
      <c r="QS246"/>
      <c r="QT246"/>
      <c r="QU246"/>
      <c r="QV246"/>
      <c r="QW246"/>
      <c r="QX246"/>
    </row>
    <row r="247" spans="1:466" x14ac:dyDescent="0.35">
      <c r="A247" s="53"/>
      <c r="B247" s="53"/>
      <c r="C247" s="55"/>
      <c r="D247" s="53"/>
      <c r="E247" s="53"/>
      <c r="F247" s="126" t="s">
        <v>466</v>
      </c>
      <c r="G247" s="125"/>
      <c r="H247" s="125">
        <v>0</v>
      </c>
      <c r="I247" s="133">
        <v>0</v>
      </c>
      <c r="J247" s="53"/>
      <c r="K247" s="53"/>
      <c r="L247" s="53"/>
      <c r="M247" s="53"/>
      <c r="N247" s="53"/>
      <c r="O247" s="53"/>
      <c r="P247" s="53"/>
      <c r="Q247" s="53"/>
      <c r="R247" s="53"/>
      <c r="S247" s="53"/>
      <c r="T247" s="53"/>
      <c r="U247" s="53"/>
      <c r="V247" s="53"/>
      <c r="W247" s="53"/>
      <c r="X247" s="53"/>
      <c r="Y247" s="53"/>
      <c r="Z247" s="53"/>
      <c r="AA247" s="53"/>
      <c r="AB247" s="53"/>
      <c r="AC247" s="53"/>
      <c r="AD247" s="53"/>
      <c r="AE247" s="53"/>
      <c r="AF247" s="63"/>
      <c r="AG247" s="64"/>
      <c r="AH247" s="65"/>
      <c r="AI247" s="65"/>
      <c r="AJ247" s="53"/>
      <c r="AK247" s="62"/>
      <c r="AL247" s="62"/>
      <c r="AM247" s="62"/>
      <c r="AN247" s="62"/>
      <c r="AO247" s="62"/>
      <c r="AP247" s="62"/>
      <c r="AQ247" s="62"/>
      <c r="AR247" s="62"/>
      <c r="AS247" s="62"/>
      <c r="AT247" s="62"/>
      <c r="AU247" s="62"/>
      <c r="AV247" s="62"/>
      <c r="AW247" s="62"/>
      <c r="AX247" s="62"/>
      <c r="AY247" s="62"/>
      <c r="AZ247" s="62"/>
      <c r="BA247" s="62"/>
      <c r="BB247" s="62"/>
      <c r="BC247" s="62"/>
      <c r="BD247" s="62"/>
      <c r="BE247" s="62"/>
      <c r="BF247" s="62"/>
      <c r="BG247" s="62"/>
      <c r="BH247" s="62"/>
      <c r="BI247" s="62"/>
      <c r="BJ247" s="62"/>
      <c r="BK247" s="62"/>
      <c r="BL247" s="62"/>
      <c r="BM247" s="62"/>
      <c r="BN247" s="62"/>
      <c r="BO247" s="62"/>
      <c r="BP247" s="62"/>
      <c r="BQ247" s="62"/>
      <c r="BR247" s="62"/>
      <c r="BS247" s="62"/>
      <c r="BT247" s="62"/>
      <c r="BU247" s="62"/>
      <c r="BV247" s="62"/>
      <c r="BW247" s="62"/>
      <c r="BX247" s="62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  <c r="HB247"/>
      <c r="HC247"/>
      <c r="HD247"/>
      <c r="HE247"/>
      <c r="HF247"/>
      <c r="HG247"/>
      <c r="HH247"/>
      <c r="HI247"/>
      <c r="HJ247"/>
      <c r="HK247"/>
      <c r="HL247"/>
      <c r="HM247"/>
      <c r="HN247"/>
      <c r="HO247"/>
      <c r="HP247"/>
      <c r="HQ247"/>
      <c r="HR247"/>
      <c r="HS247"/>
      <c r="HT247"/>
      <c r="HU247"/>
      <c r="HV247"/>
      <c r="HW247"/>
      <c r="HX247"/>
      <c r="HY247"/>
      <c r="HZ247"/>
      <c r="IA247"/>
      <c r="IB247"/>
      <c r="IC247"/>
      <c r="ID247"/>
      <c r="IE247"/>
      <c r="IF247"/>
      <c r="IG247"/>
      <c r="IH247"/>
      <c r="II247"/>
      <c r="IJ247"/>
      <c r="IK247"/>
      <c r="IL247"/>
      <c r="IM247"/>
      <c r="IN247"/>
      <c r="IO247"/>
      <c r="IP247"/>
      <c r="IQ247"/>
      <c r="IR247"/>
      <c r="IS247"/>
      <c r="IT247"/>
      <c r="IU247"/>
      <c r="IV247"/>
      <c r="IW247"/>
      <c r="IX247"/>
      <c r="IY247"/>
      <c r="IZ247"/>
      <c r="JA247"/>
      <c r="JB247"/>
      <c r="JC247"/>
      <c r="JD247"/>
      <c r="JE247"/>
      <c r="JF247"/>
      <c r="JG247"/>
      <c r="JH247"/>
      <c r="JI247"/>
      <c r="JJ247"/>
      <c r="JK247"/>
      <c r="JL247"/>
      <c r="JM247"/>
      <c r="JN247"/>
      <c r="JO247"/>
      <c r="JP247"/>
      <c r="JQ247"/>
      <c r="JR247"/>
      <c r="JS247"/>
      <c r="JT247"/>
      <c r="JU247"/>
      <c r="JV247"/>
      <c r="JW247"/>
      <c r="JX247"/>
      <c r="JY247"/>
      <c r="JZ247"/>
      <c r="KA247"/>
      <c r="KB247"/>
      <c r="KC247"/>
      <c r="KD247"/>
      <c r="KE247"/>
      <c r="KF247"/>
      <c r="KG247"/>
      <c r="KH247"/>
      <c r="KI247"/>
      <c r="KJ247"/>
      <c r="KK247"/>
      <c r="KL247"/>
      <c r="KM247"/>
      <c r="KN247"/>
      <c r="KO247"/>
      <c r="KP247"/>
      <c r="KQ247"/>
      <c r="KR247"/>
      <c r="KS247"/>
      <c r="KT247"/>
      <c r="KU247"/>
      <c r="KV247"/>
      <c r="KW247"/>
      <c r="KX247"/>
      <c r="KY247"/>
      <c r="KZ247"/>
      <c r="LA247"/>
      <c r="LB247"/>
      <c r="LC247"/>
      <c r="LD247"/>
      <c r="LE247"/>
      <c r="LF247"/>
      <c r="LG247"/>
      <c r="LH247"/>
      <c r="LI247"/>
      <c r="LJ247"/>
      <c r="LK247"/>
      <c r="LL247"/>
      <c r="LM247"/>
      <c r="LN247"/>
      <c r="LO247"/>
      <c r="LP247"/>
      <c r="LQ247"/>
      <c r="LR247"/>
      <c r="LS247"/>
      <c r="LT247"/>
      <c r="LU247"/>
      <c r="LV247"/>
      <c r="LW247"/>
      <c r="LX247"/>
      <c r="LY247"/>
      <c r="LZ247"/>
      <c r="MA247"/>
      <c r="MB247"/>
      <c r="MC247"/>
      <c r="MD247"/>
      <c r="ME247"/>
      <c r="MF247"/>
      <c r="MG247"/>
      <c r="MH247"/>
      <c r="MI247"/>
      <c r="MJ247"/>
      <c r="MK247"/>
      <c r="ML247"/>
      <c r="MM247"/>
      <c r="MN247"/>
      <c r="MO247"/>
      <c r="MP247"/>
      <c r="MQ247"/>
      <c r="MR247"/>
      <c r="MS247"/>
      <c r="MT247"/>
      <c r="MU247"/>
      <c r="MV247"/>
      <c r="MW247"/>
      <c r="MX247"/>
      <c r="MY247"/>
      <c r="MZ247"/>
      <c r="NA247"/>
      <c r="NB247"/>
      <c r="NC247"/>
      <c r="ND247"/>
      <c r="NE247"/>
      <c r="NF247"/>
      <c r="NG247"/>
      <c r="NH247"/>
      <c r="NI247"/>
      <c r="NJ247"/>
      <c r="NK247"/>
      <c r="NL247"/>
      <c r="NM247"/>
      <c r="NN247"/>
      <c r="NO247"/>
      <c r="NP247"/>
      <c r="NQ247"/>
      <c r="NR247"/>
      <c r="NS247"/>
      <c r="NT247"/>
      <c r="NU247"/>
      <c r="NV247"/>
      <c r="NW247"/>
      <c r="NX247"/>
      <c r="NY247"/>
      <c r="NZ247"/>
      <c r="OA247"/>
      <c r="OB247"/>
      <c r="OC247"/>
      <c r="OD247"/>
      <c r="OE247"/>
      <c r="OF247"/>
      <c r="OG247"/>
      <c r="OH247"/>
      <c r="OI247"/>
      <c r="OJ247"/>
      <c r="OK247"/>
      <c r="OL247"/>
      <c r="OM247"/>
      <c r="ON247"/>
      <c r="OO247"/>
      <c r="OP247"/>
      <c r="OQ247"/>
      <c r="OR247"/>
      <c r="OS247"/>
      <c r="OT247"/>
      <c r="OU247"/>
      <c r="OV247"/>
      <c r="OW247"/>
      <c r="OX247"/>
      <c r="OY247"/>
      <c r="OZ247"/>
      <c r="PA247"/>
      <c r="PB247"/>
      <c r="PC247"/>
      <c r="PD247"/>
      <c r="PE247"/>
      <c r="PF247"/>
      <c r="PG247"/>
      <c r="PH247"/>
      <c r="PI247"/>
      <c r="PJ247"/>
      <c r="PK247"/>
      <c r="PL247"/>
      <c r="PM247"/>
      <c r="PN247"/>
      <c r="PO247"/>
      <c r="PP247"/>
      <c r="PQ247"/>
      <c r="PR247"/>
      <c r="PS247"/>
      <c r="PT247"/>
      <c r="PU247"/>
      <c r="PV247"/>
      <c r="PW247"/>
      <c r="PX247"/>
      <c r="PY247"/>
      <c r="PZ247"/>
      <c r="QA247"/>
      <c r="QB247"/>
      <c r="QC247"/>
      <c r="QD247"/>
      <c r="QE247"/>
      <c r="QF247"/>
      <c r="QG247"/>
      <c r="QH247"/>
      <c r="QI247"/>
      <c r="QJ247"/>
      <c r="QK247"/>
      <c r="QL247"/>
      <c r="QM247"/>
      <c r="QN247"/>
      <c r="QO247"/>
      <c r="QP247"/>
      <c r="QQ247"/>
      <c r="QR247"/>
      <c r="QS247"/>
      <c r="QT247"/>
      <c r="QU247"/>
      <c r="QV247"/>
      <c r="QW247"/>
      <c r="QX247"/>
    </row>
    <row r="248" spans="1:466" x14ac:dyDescent="0.35">
      <c r="A248" s="53"/>
      <c r="B248" s="53"/>
      <c r="C248" s="55"/>
      <c r="D248" s="53"/>
      <c r="E248" s="53"/>
      <c r="F248" s="126" t="s">
        <v>465</v>
      </c>
      <c r="G248" s="125">
        <v>16.25</v>
      </c>
      <c r="H248" s="125">
        <v>81.25</v>
      </c>
      <c r="I248" s="133">
        <v>5</v>
      </c>
      <c r="J248" s="53"/>
      <c r="K248" s="53"/>
      <c r="L248" s="53"/>
      <c r="M248" s="53"/>
      <c r="N248" s="53"/>
      <c r="O248" s="53"/>
      <c r="P248" s="53"/>
      <c r="Q248" s="53"/>
      <c r="R248" s="53"/>
      <c r="S248" s="53"/>
      <c r="T248" s="53"/>
      <c r="U248" s="53"/>
      <c r="V248" s="53"/>
      <c r="W248" s="53"/>
      <c r="X248" s="53"/>
      <c r="Y248" s="53"/>
      <c r="Z248" s="53"/>
      <c r="AA248" s="53"/>
      <c r="AB248" s="53"/>
      <c r="AC248" s="53"/>
      <c r="AD248" s="53"/>
      <c r="AE248" s="53"/>
      <c r="AF248" s="63"/>
      <c r="AG248" s="64"/>
      <c r="AH248" s="65"/>
      <c r="AI248" s="65"/>
      <c r="AJ248" s="53"/>
      <c r="AK248" s="62"/>
      <c r="AL248" s="62"/>
      <c r="AM248" s="62"/>
      <c r="AN248" s="62"/>
      <c r="AO248" s="62"/>
      <c r="AP248" s="62"/>
      <c r="AQ248" s="62"/>
      <c r="AR248" s="62"/>
      <c r="AS248" s="62"/>
      <c r="AT248" s="62"/>
      <c r="AU248" s="62"/>
      <c r="AV248" s="62"/>
      <c r="AW248" s="62"/>
      <c r="AX248" s="62"/>
      <c r="AY248" s="62"/>
      <c r="AZ248" s="62"/>
      <c r="BA248" s="62"/>
      <c r="BB248" s="62"/>
      <c r="BC248" s="62"/>
      <c r="BD248" s="62"/>
      <c r="BE248" s="62"/>
      <c r="BF248" s="62"/>
      <c r="BG248" s="62"/>
      <c r="BH248" s="62"/>
      <c r="BI248" s="62"/>
      <c r="BJ248" s="62"/>
      <c r="BK248" s="62"/>
      <c r="BL248" s="62"/>
      <c r="BM248" s="62"/>
      <c r="BN248" s="62"/>
      <c r="BO248" s="62"/>
      <c r="BP248" s="62"/>
      <c r="BQ248" s="62"/>
      <c r="BR248" s="62"/>
      <c r="BS248" s="62"/>
      <c r="BT248" s="62"/>
      <c r="BU248" s="62"/>
      <c r="BV248" s="62"/>
      <c r="BW248" s="62"/>
      <c r="BX248" s="62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  <c r="HB248"/>
      <c r="HC248"/>
      <c r="HD248"/>
      <c r="HE248"/>
      <c r="HF248"/>
      <c r="HG248"/>
      <c r="HH248"/>
      <c r="HI248"/>
      <c r="HJ248"/>
      <c r="HK248"/>
      <c r="HL248"/>
      <c r="HM248"/>
      <c r="HN248"/>
      <c r="HO248"/>
      <c r="HP248"/>
      <c r="HQ248"/>
      <c r="HR248"/>
      <c r="HS248"/>
      <c r="HT248"/>
      <c r="HU248"/>
      <c r="HV248"/>
      <c r="HW248"/>
      <c r="HX248"/>
      <c r="HY248"/>
      <c r="HZ248"/>
      <c r="IA248"/>
      <c r="IB248"/>
      <c r="IC248"/>
      <c r="ID248"/>
      <c r="IE248"/>
      <c r="IF248"/>
      <c r="IG248"/>
      <c r="IH248"/>
      <c r="II248"/>
      <c r="IJ248"/>
      <c r="IK248"/>
      <c r="IL248"/>
      <c r="IM248"/>
      <c r="IN248"/>
      <c r="IO248"/>
      <c r="IP248"/>
      <c r="IQ248"/>
      <c r="IR248"/>
      <c r="IS248"/>
      <c r="IT248"/>
      <c r="IU248"/>
      <c r="IV248"/>
      <c r="IW248"/>
      <c r="IX248"/>
      <c r="IY248"/>
      <c r="IZ248"/>
      <c r="JA248"/>
      <c r="JB248"/>
      <c r="JC248"/>
      <c r="JD248"/>
      <c r="JE248"/>
      <c r="JF248"/>
      <c r="JG248"/>
      <c r="JH248"/>
      <c r="JI248"/>
      <c r="JJ248"/>
      <c r="JK248"/>
      <c r="JL248"/>
      <c r="JM248"/>
      <c r="JN248"/>
      <c r="JO248"/>
      <c r="JP248"/>
      <c r="JQ248"/>
      <c r="JR248"/>
      <c r="JS248"/>
      <c r="JT248"/>
      <c r="JU248"/>
      <c r="JV248"/>
      <c r="JW248"/>
      <c r="JX248"/>
      <c r="JY248"/>
      <c r="JZ248"/>
      <c r="KA248"/>
      <c r="KB248"/>
      <c r="KC248"/>
      <c r="KD248"/>
      <c r="KE248"/>
      <c r="KF248"/>
      <c r="KG248"/>
      <c r="KH248"/>
      <c r="KI248"/>
      <c r="KJ248"/>
      <c r="KK248"/>
      <c r="KL248"/>
      <c r="KM248"/>
      <c r="KN248"/>
      <c r="KO248"/>
      <c r="KP248"/>
      <c r="KQ248"/>
      <c r="KR248"/>
      <c r="KS248"/>
      <c r="KT248"/>
      <c r="KU248"/>
      <c r="KV248"/>
      <c r="KW248"/>
      <c r="KX248"/>
      <c r="KY248"/>
      <c r="KZ248"/>
      <c r="LA248"/>
      <c r="LB248"/>
      <c r="LC248"/>
      <c r="LD248"/>
      <c r="LE248"/>
      <c r="LF248"/>
      <c r="LG248"/>
      <c r="LH248"/>
      <c r="LI248"/>
      <c r="LJ248"/>
      <c r="LK248"/>
      <c r="LL248"/>
      <c r="LM248"/>
      <c r="LN248"/>
      <c r="LO248"/>
      <c r="LP248"/>
      <c r="LQ248"/>
      <c r="LR248"/>
      <c r="LS248"/>
      <c r="LT248"/>
      <c r="LU248"/>
      <c r="LV248"/>
      <c r="LW248"/>
      <c r="LX248"/>
      <c r="LY248"/>
      <c r="LZ248"/>
      <c r="MA248"/>
      <c r="MB248"/>
      <c r="MC248"/>
      <c r="MD248"/>
      <c r="ME248"/>
      <c r="MF248"/>
      <c r="MG248"/>
      <c r="MH248"/>
      <c r="MI248"/>
      <c r="MJ248"/>
      <c r="MK248"/>
      <c r="ML248"/>
      <c r="MM248"/>
      <c r="MN248"/>
      <c r="MO248"/>
      <c r="MP248"/>
      <c r="MQ248"/>
      <c r="MR248"/>
      <c r="MS248"/>
      <c r="MT248"/>
      <c r="MU248"/>
      <c r="MV248"/>
      <c r="MW248"/>
      <c r="MX248"/>
      <c r="MY248"/>
      <c r="MZ248"/>
      <c r="NA248"/>
      <c r="NB248"/>
      <c r="NC248"/>
      <c r="ND248"/>
      <c r="NE248"/>
      <c r="NF248"/>
      <c r="NG248"/>
      <c r="NH248"/>
      <c r="NI248"/>
      <c r="NJ248"/>
      <c r="NK248"/>
      <c r="NL248"/>
      <c r="NM248"/>
      <c r="NN248"/>
      <c r="NO248"/>
      <c r="NP248"/>
      <c r="NQ248"/>
      <c r="NR248"/>
      <c r="NS248"/>
      <c r="NT248"/>
      <c r="NU248"/>
      <c r="NV248"/>
      <c r="NW248"/>
      <c r="NX248"/>
      <c r="NY248"/>
      <c r="NZ248"/>
      <c r="OA248"/>
      <c r="OB248"/>
      <c r="OC248"/>
      <c r="OD248"/>
      <c r="OE248"/>
      <c r="OF248"/>
      <c r="OG248"/>
      <c r="OH248"/>
      <c r="OI248"/>
      <c r="OJ248"/>
      <c r="OK248"/>
      <c r="OL248"/>
      <c r="OM248"/>
      <c r="ON248"/>
      <c r="OO248"/>
      <c r="OP248"/>
      <c r="OQ248"/>
      <c r="OR248"/>
      <c r="OS248"/>
      <c r="OT248"/>
      <c r="OU248"/>
      <c r="OV248"/>
      <c r="OW248"/>
      <c r="OX248"/>
      <c r="OY248"/>
      <c r="OZ248"/>
      <c r="PA248"/>
      <c r="PB248"/>
      <c r="PC248"/>
      <c r="PD248"/>
      <c r="PE248"/>
      <c r="PF248"/>
      <c r="PG248"/>
      <c r="PH248"/>
      <c r="PI248"/>
      <c r="PJ248"/>
      <c r="PK248"/>
      <c r="PL248"/>
      <c r="PM248"/>
      <c r="PN248"/>
      <c r="PO248"/>
      <c r="PP248"/>
      <c r="PQ248"/>
      <c r="PR248"/>
      <c r="PS248"/>
      <c r="PT248"/>
      <c r="PU248"/>
      <c r="PV248"/>
      <c r="PW248"/>
      <c r="PX248"/>
      <c r="PY248"/>
      <c r="PZ248"/>
      <c r="QA248"/>
      <c r="QB248"/>
      <c r="QC248"/>
      <c r="QD248"/>
      <c r="QE248"/>
      <c r="QF248"/>
      <c r="QG248"/>
      <c r="QH248"/>
      <c r="QI248"/>
      <c r="QJ248"/>
      <c r="QK248"/>
      <c r="QL248"/>
      <c r="QM248"/>
      <c r="QN248"/>
      <c r="QO248"/>
      <c r="QP248"/>
      <c r="QQ248"/>
      <c r="QR248"/>
      <c r="QS248"/>
      <c r="QT248"/>
      <c r="QU248"/>
      <c r="QV248"/>
      <c r="QW248"/>
      <c r="QX248"/>
    </row>
    <row r="249" spans="1:466" x14ac:dyDescent="0.35">
      <c r="A249" s="53"/>
      <c r="B249" s="53"/>
      <c r="C249" s="55"/>
      <c r="D249" s="53"/>
      <c r="E249" s="53"/>
      <c r="F249" s="126" t="s">
        <v>445</v>
      </c>
      <c r="G249" s="125">
        <v>42.5</v>
      </c>
      <c r="H249" s="125">
        <v>1657.5</v>
      </c>
      <c r="I249" s="133">
        <v>39</v>
      </c>
      <c r="J249" s="53"/>
      <c r="K249" s="53"/>
      <c r="L249" s="53"/>
      <c r="M249" s="53"/>
      <c r="N249" s="53"/>
      <c r="O249" s="53"/>
      <c r="P249" s="53"/>
      <c r="Q249" s="53"/>
      <c r="R249" s="53"/>
      <c r="S249" s="53"/>
      <c r="T249" s="53"/>
      <c r="U249" s="53"/>
      <c r="V249" s="53"/>
      <c r="W249" s="53"/>
      <c r="X249" s="53"/>
      <c r="Y249" s="53"/>
      <c r="Z249" s="53"/>
      <c r="AA249" s="53"/>
      <c r="AB249" s="53"/>
      <c r="AC249" s="53"/>
      <c r="AD249" s="53"/>
      <c r="AE249" s="53"/>
      <c r="AF249" s="63"/>
      <c r="AG249" s="64"/>
      <c r="AH249" s="65"/>
      <c r="AI249" s="65"/>
      <c r="AJ249" s="53"/>
      <c r="AK249" s="62"/>
      <c r="AL249" s="62"/>
      <c r="AM249" s="62"/>
      <c r="AN249" s="62"/>
      <c r="AO249" s="62"/>
      <c r="AP249" s="62"/>
      <c r="AQ249" s="62"/>
      <c r="AR249" s="62"/>
      <c r="AS249" s="62"/>
      <c r="AT249" s="62"/>
      <c r="AU249" s="62"/>
      <c r="AV249" s="62"/>
      <c r="AW249" s="62"/>
      <c r="AX249" s="62"/>
      <c r="AY249" s="62"/>
      <c r="AZ249" s="62"/>
      <c r="BA249" s="62"/>
      <c r="BB249" s="62"/>
      <c r="BC249" s="62"/>
      <c r="BD249" s="62"/>
      <c r="BE249" s="62"/>
      <c r="BF249" s="62"/>
      <c r="BG249" s="62"/>
      <c r="BH249" s="62"/>
      <c r="BI249" s="62"/>
      <c r="BJ249" s="62"/>
      <c r="BK249" s="62"/>
      <c r="BL249" s="62"/>
      <c r="BM249" s="62"/>
      <c r="BN249" s="62"/>
      <c r="BO249" s="62"/>
      <c r="BP249" s="62"/>
      <c r="BQ249" s="62"/>
      <c r="BR249" s="62"/>
      <c r="BS249" s="62"/>
      <c r="BT249" s="62"/>
      <c r="BU249" s="62"/>
      <c r="BV249" s="62"/>
      <c r="BW249" s="62"/>
      <c r="BX249" s="62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  <c r="HB249"/>
      <c r="HC249"/>
      <c r="HD249"/>
      <c r="HE249"/>
      <c r="HF249"/>
      <c r="HG249"/>
      <c r="HH249"/>
      <c r="HI249"/>
      <c r="HJ249"/>
      <c r="HK249"/>
      <c r="HL249"/>
      <c r="HM249"/>
      <c r="HN249"/>
      <c r="HO249"/>
      <c r="HP249"/>
      <c r="HQ249"/>
      <c r="HR249"/>
      <c r="HS249"/>
      <c r="HT249"/>
      <c r="HU249"/>
      <c r="HV249"/>
      <c r="HW249"/>
      <c r="HX249"/>
      <c r="HY249"/>
      <c r="HZ249"/>
      <c r="IA249"/>
      <c r="IB249"/>
      <c r="IC249"/>
      <c r="ID249"/>
      <c r="IE249"/>
      <c r="IF249"/>
      <c r="IG249"/>
      <c r="IH249"/>
      <c r="II249"/>
      <c r="IJ249"/>
      <c r="IK249"/>
      <c r="IL249"/>
      <c r="IM249"/>
      <c r="IN249"/>
      <c r="IO249"/>
      <c r="IP249"/>
      <c r="IQ249"/>
      <c r="IR249"/>
      <c r="IS249"/>
      <c r="IT249"/>
      <c r="IU249"/>
      <c r="IV249"/>
      <c r="IW249"/>
      <c r="IX249"/>
      <c r="IY249"/>
      <c r="IZ249"/>
      <c r="JA249"/>
      <c r="JB249"/>
      <c r="JC249"/>
      <c r="JD249"/>
      <c r="JE249"/>
      <c r="JF249"/>
      <c r="JG249"/>
      <c r="JH249"/>
      <c r="JI249"/>
      <c r="JJ249"/>
      <c r="JK249"/>
      <c r="JL249"/>
      <c r="JM249"/>
      <c r="JN249"/>
      <c r="JO249"/>
      <c r="JP249"/>
      <c r="JQ249"/>
      <c r="JR249"/>
      <c r="JS249"/>
      <c r="JT249"/>
      <c r="JU249"/>
      <c r="JV249"/>
      <c r="JW249"/>
      <c r="JX249"/>
      <c r="JY249"/>
      <c r="JZ249"/>
      <c r="KA249"/>
      <c r="KB249"/>
      <c r="KC249"/>
      <c r="KD249"/>
      <c r="KE249"/>
      <c r="KF249"/>
      <c r="KG249"/>
      <c r="KH249"/>
      <c r="KI249"/>
      <c r="KJ249"/>
      <c r="KK249"/>
      <c r="KL249"/>
      <c r="KM249"/>
      <c r="KN249"/>
      <c r="KO249"/>
      <c r="KP249"/>
      <c r="KQ249"/>
      <c r="KR249"/>
      <c r="KS249"/>
      <c r="KT249"/>
      <c r="KU249"/>
      <c r="KV249"/>
      <c r="KW249"/>
      <c r="KX249"/>
      <c r="KY249"/>
      <c r="KZ249"/>
      <c r="LA249"/>
      <c r="LB249"/>
      <c r="LC249"/>
      <c r="LD249"/>
      <c r="LE249"/>
      <c r="LF249"/>
      <c r="LG249"/>
      <c r="LH249"/>
      <c r="LI249"/>
      <c r="LJ249"/>
      <c r="LK249"/>
      <c r="LL249"/>
      <c r="LM249"/>
      <c r="LN249"/>
      <c r="LO249"/>
      <c r="LP249"/>
      <c r="LQ249"/>
      <c r="LR249"/>
      <c r="LS249"/>
      <c r="LT249"/>
      <c r="LU249"/>
      <c r="LV249"/>
      <c r="LW249"/>
      <c r="LX249"/>
      <c r="LY249"/>
      <c r="LZ249"/>
      <c r="MA249"/>
      <c r="MB249"/>
      <c r="MC249"/>
      <c r="MD249"/>
      <c r="ME249"/>
      <c r="MF249"/>
      <c r="MG249"/>
      <c r="MH249"/>
      <c r="MI249"/>
      <c r="MJ249"/>
      <c r="MK249"/>
      <c r="ML249"/>
      <c r="MM249"/>
      <c r="MN249"/>
      <c r="MO249"/>
      <c r="MP249"/>
      <c r="MQ249"/>
      <c r="MR249"/>
      <c r="MS249"/>
      <c r="MT249"/>
      <c r="MU249"/>
      <c r="MV249"/>
      <c r="MW249"/>
      <c r="MX249"/>
      <c r="MY249"/>
      <c r="MZ249"/>
      <c r="NA249"/>
      <c r="NB249"/>
      <c r="NC249"/>
      <c r="ND249"/>
      <c r="NE249"/>
      <c r="NF249"/>
      <c r="NG249"/>
      <c r="NH249"/>
      <c r="NI249"/>
      <c r="NJ249"/>
      <c r="NK249"/>
      <c r="NL249"/>
      <c r="NM249"/>
      <c r="NN249"/>
      <c r="NO249"/>
      <c r="NP249"/>
      <c r="NQ249"/>
      <c r="NR249"/>
      <c r="NS249"/>
      <c r="NT249"/>
      <c r="NU249"/>
      <c r="NV249"/>
      <c r="NW249"/>
      <c r="NX249"/>
      <c r="NY249"/>
      <c r="NZ249"/>
      <c r="OA249"/>
      <c r="OB249"/>
      <c r="OC249"/>
      <c r="OD249"/>
      <c r="OE249"/>
      <c r="OF249"/>
      <c r="OG249"/>
      <c r="OH249"/>
      <c r="OI249"/>
      <c r="OJ249"/>
      <c r="OK249"/>
      <c r="OL249"/>
      <c r="OM249"/>
      <c r="ON249"/>
      <c r="OO249"/>
      <c r="OP249"/>
      <c r="OQ249"/>
      <c r="OR249"/>
      <c r="OS249"/>
      <c r="OT249"/>
      <c r="OU249"/>
      <c r="OV249"/>
      <c r="OW249"/>
      <c r="OX249"/>
      <c r="OY249"/>
      <c r="OZ249"/>
      <c r="PA249"/>
      <c r="PB249"/>
      <c r="PC249"/>
      <c r="PD249"/>
      <c r="PE249"/>
      <c r="PF249"/>
      <c r="PG249"/>
      <c r="PH249"/>
      <c r="PI249"/>
      <c r="PJ249"/>
      <c r="PK249"/>
      <c r="PL249"/>
      <c r="PM249"/>
      <c r="PN249"/>
      <c r="PO249"/>
      <c r="PP249"/>
      <c r="PQ249"/>
      <c r="PR249"/>
      <c r="PS249"/>
      <c r="PT249"/>
      <c r="PU249"/>
      <c r="PV249"/>
      <c r="PW249"/>
      <c r="PX249"/>
      <c r="PY249"/>
      <c r="PZ249"/>
      <c r="QA249"/>
      <c r="QB249"/>
      <c r="QC249"/>
      <c r="QD249"/>
      <c r="QE249"/>
      <c r="QF249"/>
      <c r="QG249"/>
      <c r="QH249"/>
      <c r="QI249"/>
      <c r="QJ249"/>
      <c r="QK249"/>
      <c r="QL249"/>
      <c r="QM249"/>
      <c r="QN249"/>
      <c r="QO249"/>
      <c r="QP249"/>
      <c r="QQ249"/>
      <c r="QR249"/>
      <c r="QS249"/>
      <c r="QT249"/>
      <c r="QU249"/>
      <c r="QV249"/>
      <c r="QW249"/>
      <c r="QX249"/>
    </row>
    <row r="250" spans="1:466" x14ac:dyDescent="0.35">
      <c r="A250" s="53"/>
      <c r="B250" s="53"/>
      <c r="C250" s="55"/>
      <c r="D250" s="53"/>
      <c r="E250" s="53"/>
      <c r="F250" s="126" t="s">
        <v>431</v>
      </c>
      <c r="G250" s="125"/>
      <c r="H250" s="125">
        <v>0</v>
      </c>
      <c r="I250" s="133">
        <v>0</v>
      </c>
      <c r="J250" s="53"/>
      <c r="K250" s="53"/>
      <c r="L250" s="53"/>
      <c r="M250" s="53"/>
      <c r="N250" s="53"/>
      <c r="O250" s="53"/>
      <c r="P250" s="53"/>
      <c r="Q250" s="53"/>
      <c r="R250" s="53"/>
      <c r="S250" s="53"/>
      <c r="T250" s="53"/>
      <c r="U250" s="53"/>
      <c r="V250" s="53"/>
      <c r="W250" s="53"/>
      <c r="X250" s="53"/>
      <c r="Y250" s="53"/>
      <c r="Z250" s="53"/>
      <c r="AA250" s="53"/>
      <c r="AB250" s="53"/>
      <c r="AC250" s="53"/>
      <c r="AD250" s="53"/>
      <c r="AE250" s="53"/>
      <c r="AF250" s="63"/>
      <c r="AG250" s="64"/>
      <c r="AH250" s="65"/>
      <c r="AI250" s="65"/>
      <c r="AJ250" s="53"/>
      <c r="AK250" s="62"/>
      <c r="AL250" s="62"/>
      <c r="AM250" s="62"/>
      <c r="AN250" s="62"/>
      <c r="AO250" s="62"/>
      <c r="AP250" s="62"/>
      <c r="AQ250" s="62"/>
      <c r="AR250" s="62"/>
      <c r="AS250" s="62"/>
      <c r="AT250" s="62"/>
      <c r="AU250" s="62"/>
      <c r="AV250" s="62"/>
      <c r="AW250" s="62"/>
      <c r="AX250" s="62"/>
      <c r="AY250" s="62"/>
      <c r="AZ250" s="62"/>
      <c r="BA250" s="62"/>
      <c r="BB250" s="62"/>
      <c r="BC250" s="62"/>
      <c r="BD250" s="62"/>
      <c r="BE250" s="62"/>
      <c r="BF250" s="62"/>
      <c r="BG250" s="62"/>
      <c r="BH250" s="62"/>
      <c r="BI250" s="62"/>
      <c r="BJ250" s="62"/>
      <c r="BK250" s="62"/>
      <c r="BL250" s="62"/>
      <c r="BM250" s="62"/>
      <c r="BN250" s="62"/>
      <c r="BO250" s="62"/>
      <c r="BP250" s="62"/>
      <c r="BQ250" s="62"/>
      <c r="BR250" s="62"/>
      <c r="BS250" s="62"/>
      <c r="BT250" s="62"/>
      <c r="BU250" s="62"/>
      <c r="BV250" s="62"/>
      <c r="BW250" s="62"/>
      <c r="BX250" s="62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  <c r="HB250"/>
      <c r="HC250"/>
      <c r="HD250"/>
      <c r="HE250"/>
      <c r="HF250"/>
      <c r="HG250"/>
      <c r="HH250"/>
      <c r="HI250"/>
      <c r="HJ250"/>
      <c r="HK250"/>
      <c r="HL250"/>
      <c r="HM250"/>
      <c r="HN250"/>
      <c r="HO250"/>
      <c r="HP250"/>
      <c r="HQ250"/>
      <c r="HR250"/>
      <c r="HS250"/>
      <c r="HT250"/>
      <c r="HU250"/>
      <c r="HV250"/>
      <c r="HW250"/>
      <c r="HX250"/>
      <c r="HY250"/>
      <c r="HZ250"/>
      <c r="IA250"/>
      <c r="IB250"/>
      <c r="IC250"/>
      <c r="ID250"/>
      <c r="IE250"/>
      <c r="IF250"/>
      <c r="IG250"/>
      <c r="IH250"/>
      <c r="II250"/>
      <c r="IJ250"/>
      <c r="IK250"/>
      <c r="IL250"/>
      <c r="IM250"/>
      <c r="IN250"/>
      <c r="IO250"/>
      <c r="IP250"/>
      <c r="IQ250"/>
      <c r="IR250"/>
      <c r="IS250"/>
      <c r="IT250"/>
      <c r="IU250"/>
      <c r="IV250"/>
      <c r="IW250"/>
      <c r="IX250"/>
      <c r="IY250"/>
      <c r="IZ250"/>
      <c r="JA250"/>
      <c r="JB250"/>
      <c r="JC250"/>
      <c r="JD250"/>
      <c r="JE250"/>
      <c r="JF250"/>
      <c r="JG250"/>
      <c r="JH250"/>
      <c r="JI250"/>
      <c r="JJ250"/>
      <c r="JK250"/>
      <c r="JL250"/>
      <c r="JM250"/>
      <c r="JN250"/>
      <c r="JO250"/>
      <c r="JP250"/>
      <c r="JQ250"/>
      <c r="JR250"/>
      <c r="JS250"/>
      <c r="JT250"/>
      <c r="JU250"/>
      <c r="JV250"/>
      <c r="JW250"/>
      <c r="JX250"/>
      <c r="JY250"/>
      <c r="JZ250"/>
      <c r="KA250"/>
      <c r="KB250"/>
      <c r="KC250"/>
      <c r="KD250"/>
      <c r="KE250"/>
      <c r="KF250"/>
      <c r="KG250"/>
      <c r="KH250"/>
      <c r="KI250"/>
      <c r="KJ250"/>
      <c r="KK250"/>
      <c r="KL250"/>
      <c r="KM250"/>
      <c r="KN250"/>
      <c r="KO250"/>
      <c r="KP250"/>
      <c r="KQ250"/>
      <c r="KR250"/>
      <c r="KS250"/>
      <c r="KT250"/>
      <c r="KU250"/>
      <c r="KV250"/>
      <c r="KW250"/>
      <c r="KX250"/>
      <c r="KY250"/>
      <c r="KZ250"/>
      <c r="LA250"/>
      <c r="LB250"/>
      <c r="LC250"/>
      <c r="LD250"/>
      <c r="LE250"/>
      <c r="LF250"/>
      <c r="LG250"/>
      <c r="LH250"/>
      <c r="LI250"/>
      <c r="LJ250"/>
      <c r="LK250"/>
      <c r="LL250"/>
      <c r="LM250"/>
      <c r="LN250"/>
      <c r="LO250"/>
      <c r="LP250"/>
      <c r="LQ250"/>
      <c r="LR250"/>
      <c r="LS250"/>
      <c r="LT250"/>
      <c r="LU250"/>
      <c r="LV250"/>
      <c r="LW250"/>
      <c r="LX250"/>
      <c r="LY250"/>
      <c r="LZ250"/>
      <c r="MA250"/>
      <c r="MB250"/>
      <c r="MC250"/>
      <c r="MD250"/>
      <c r="ME250"/>
      <c r="MF250"/>
      <c r="MG250"/>
      <c r="MH250"/>
      <c r="MI250"/>
      <c r="MJ250"/>
      <c r="MK250"/>
      <c r="ML250"/>
      <c r="MM250"/>
      <c r="MN250"/>
      <c r="MO250"/>
      <c r="MP250"/>
      <c r="MQ250"/>
      <c r="MR250"/>
      <c r="MS250"/>
      <c r="MT250"/>
      <c r="MU250"/>
      <c r="MV250"/>
      <c r="MW250"/>
      <c r="MX250"/>
      <c r="MY250"/>
      <c r="MZ250"/>
      <c r="NA250"/>
      <c r="NB250"/>
      <c r="NC250"/>
      <c r="ND250"/>
      <c r="NE250"/>
      <c r="NF250"/>
      <c r="NG250"/>
      <c r="NH250"/>
      <c r="NI250"/>
      <c r="NJ250"/>
      <c r="NK250"/>
      <c r="NL250"/>
      <c r="NM250"/>
      <c r="NN250"/>
      <c r="NO250"/>
      <c r="NP250"/>
      <c r="NQ250"/>
      <c r="NR250"/>
      <c r="NS250"/>
      <c r="NT250"/>
      <c r="NU250"/>
      <c r="NV250"/>
      <c r="NW250"/>
      <c r="NX250"/>
      <c r="NY250"/>
      <c r="NZ250"/>
      <c r="OA250"/>
      <c r="OB250"/>
      <c r="OC250"/>
      <c r="OD250"/>
      <c r="OE250"/>
      <c r="OF250"/>
      <c r="OG250"/>
      <c r="OH250"/>
      <c r="OI250"/>
      <c r="OJ250"/>
      <c r="OK250"/>
      <c r="OL250"/>
      <c r="OM250"/>
      <c r="ON250"/>
      <c r="OO250"/>
      <c r="OP250"/>
      <c r="OQ250"/>
      <c r="OR250"/>
      <c r="OS250"/>
      <c r="OT250"/>
      <c r="OU250"/>
      <c r="OV250"/>
      <c r="OW250"/>
      <c r="OX250"/>
      <c r="OY250"/>
      <c r="OZ250"/>
      <c r="PA250"/>
      <c r="PB250"/>
      <c r="PC250"/>
      <c r="PD250"/>
      <c r="PE250"/>
      <c r="PF250"/>
      <c r="PG250"/>
      <c r="PH250"/>
      <c r="PI250"/>
      <c r="PJ250"/>
      <c r="PK250"/>
      <c r="PL250"/>
      <c r="PM250"/>
      <c r="PN250"/>
      <c r="PO250"/>
      <c r="PP250"/>
      <c r="PQ250"/>
      <c r="PR250"/>
      <c r="PS250"/>
      <c r="PT250"/>
      <c r="PU250"/>
      <c r="PV250"/>
      <c r="PW250"/>
      <c r="PX250"/>
      <c r="PY250"/>
      <c r="PZ250"/>
      <c r="QA250"/>
      <c r="QB250"/>
      <c r="QC250"/>
      <c r="QD250"/>
      <c r="QE250"/>
      <c r="QF250"/>
      <c r="QG250"/>
      <c r="QH250"/>
      <c r="QI250"/>
      <c r="QJ250"/>
      <c r="QK250"/>
      <c r="QL250"/>
      <c r="QM250"/>
      <c r="QN250"/>
      <c r="QO250"/>
      <c r="QP250"/>
      <c r="QQ250"/>
      <c r="QR250"/>
      <c r="QS250"/>
      <c r="QT250"/>
      <c r="QU250"/>
      <c r="QV250"/>
      <c r="QW250"/>
      <c r="QX250"/>
    </row>
    <row r="251" spans="1:466" x14ac:dyDescent="0.35">
      <c r="A251" s="53"/>
      <c r="B251" s="53"/>
      <c r="C251" s="55"/>
      <c r="D251" s="53"/>
      <c r="E251" s="53"/>
      <c r="F251" s="126" t="s">
        <v>433</v>
      </c>
      <c r="G251" s="125"/>
      <c r="H251" s="125">
        <v>0</v>
      </c>
      <c r="I251" s="133">
        <v>0</v>
      </c>
      <c r="J251" s="53"/>
      <c r="K251" s="53"/>
      <c r="L251" s="53"/>
      <c r="M251" s="53"/>
      <c r="N251" s="53"/>
      <c r="O251" s="53"/>
      <c r="P251" s="53"/>
      <c r="Q251" s="53"/>
      <c r="R251" s="53"/>
      <c r="S251" s="53"/>
      <c r="T251" s="53"/>
      <c r="U251" s="53"/>
      <c r="V251" s="53"/>
      <c r="W251" s="53"/>
      <c r="X251" s="53"/>
      <c r="Y251" s="53"/>
      <c r="Z251" s="53"/>
      <c r="AA251" s="53"/>
      <c r="AB251" s="53"/>
      <c r="AC251" s="53"/>
      <c r="AD251" s="53"/>
      <c r="AE251" s="53"/>
      <c r="AF251" s="63"/>
      <c r="AG251" s="64"/>
      <c r="AH251" s="65"/>
      <c r="AI251" s="65"/>
      <c r="AJ251" s="53"/>
      <c r="AK251" s="62"/>
      <c r="AL251" s="62"/>
      <c r="AM251" s="62"/>
      <c r="AN251" s="62"/>
      <c r="AO251" s="62"/>
      <c r="AP251" s="62"/>
      <c r="AQ251" s="62"/>
      <c r="AR251" s="62"/>
      <c r="AS251" s="62"/>
      <c r="AT251" s="62"/>
      <c r="AU251" s="62"/>
      <c r="AV251" s="62"/>
      <c r="AW251" s="62"/>
      <c r="AX251" s="62"/>
      <c r="AY251" s="62"/>
      <c r="AZ251" s="62"/>
      <c r="BA251" s="62"/>
      <c r="BB251" s="62"/>
      <c r="BC251" s="62"/>
      <c r="BD251" s="62"/>
      <c r="BE251" s="62"/>
      <c r="BF251" s="62"/>
      <c r="BG251" s="62"/>
      <c r="BH251" s="62"/>
      <c r="BI251" s="62"/>
      <c r="BJ251" s="62"/>
      <c r="BK251" s="62"/>
      <c r="BL251" s="62"/>
      <c r="BM251" s="62"/>
      <c r="BN251" s="62"/>
      <c r="BO251" s="62"/>
      <c r="BP251" s="62"/>
      <c r="BQ251" s="62"/>
      <c r="BR251" s="62"/>
      <c r="BS251" s="62"/>
      <c r="BT251" s="62"/>
      <c r="BU251" s="62"/>
      <c r="BV251" s="62"/>
      <c r="BW251" s="62"/>
      <c r="BX251" s="62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  <c r="HB251"/>
      <c r="HC251"/>
      <c r="HD251"/>
      <c r="HE251"/>
      <c r="HF251"/>
      <c r="HG251"/>
      <c r="HH251"/>
      <c r="HI251"/>
      <c r="HJ251"/>
      <c r="HK251"/>
      <c r="HL251"/>
      <c r="HM251"/>
      <c r="HN251"/>
      <c r="HO251"/>
      <c r="HP251"/>
      <c r="HQ251"/>
      <c r="HR251"/>
      <c r="HS251"/>
      <c r="HT251"/>
      <c r="HU251"/>
      <c r="HV251"/>
      <c r="HW251"/>
      <c r="HX251"/>
      <c r="HY251"/>
      <c r="HZ251"/>
      <c r="IA251"/>
      <c r="IB251"/>
      <c r="IC251"/>
      <c r="ID251"/>
      <c r="IE251"/>
      <c r="IF251"/>
      <c r="IG251"/>
      <c r="IH251"/>
      <c r="II251"/>
      <c r="IJ251"/>
      <c r="IK251"/>
      <c r="IL251"/>
      <c r="IM251"/>
      <c r="IN251"/>
      <c r="IO251"/>
      <c r="IP251"/>
      <c r="IQ251"/>
      <c r="IR251"/>
      <c r="IS251"/>
      <c r="IT251"/>
      <c r="IU251"/>
      <c r="IV251"/>
      <c r="IW251"/>
      <c r="IX251"/>
      <c r="IY251"/>
      <c r="IZ251"/>
      <c r="JA251"/>
      <c r="JB251"/>
      <c r="JC251"/>
      <c r="JD251"/>
      <c r="JE251"/>
      <c r="JF251"/>
      <c r="JG251"/>
      <c r="JH251"/>
      <c r="JI251"/>
      <c r="JJ251"/>
      <c r="JK251"/>
      <c r="JL251"/>
      <c r="JM251"/>
      <c r="JN251"/>
      <c r="JO251"/>
      <c r="JP251"/>
      <c r="JQ251"/>
      <c r="JR251"/>
      <c r="JS251"/>
      <c r="JT251"/>
      <c r="JU251"/>
      <c r="JV251"/>
      <c r="JW251"/>
      <c r="JX251"/>
      <c r="JY251"/>
      <c r="JZ251"/>
      <c r="KA251"/>
      <c r="KB251"/>
      <c r="KC251"/>
      <c r="KD251"/>
      <c r="KE251"/>
      <c r="KF251"/>
      <c r="KG251"/>
      <c r="KH251"/>
      <c r="KI251"/>
      <c r="KJ251"/>
      <c r="KK251"/>
      <c r="KL251"/>
      <c r="KM251"/>
      <c r="KN251"/>
      <c r="KO251"/>
      <c r="KP251"/>
      <c r="KQ251"/>
      <c r="KR251"/>
      <c r="KS251"/>
      <c r="KT251"/>
      <c r="KU251"/>
      <c r="KV251"/>
      <c r="KW251"/>
      <c r="KX251"/>
      <c r="KY251"/>
      <c r="KZ251"/>
      <c r="LA251"/>
      <c r="LB251"/>
      <c r="LC251"/>
      <c r="LD251"/>
      <c r="LE251"/>
      <c r="LF251"/>
      <c r="LG251"/>
      <c r="LH251"/>
      <c r="LI251"/>
      <c r="LJ251"/>
      <c r="LK251"/>
      <c r="LL251"/>
      <c r="LM251"/>
      <c r="LN251"/>
      <c r="LO251"/>
      <c r="LP251"/>
      <c r="LQ251"/>
      <c r="LR251"/>
      <c r="LS251"/>
      <c r="LT251"/>
      <c r="LU251"/>
      <c r="LV251"/>
      <c r="LW251"/>
      <c r="LX251"/>
      <c r="LY251"/>
      <c r="LZ251"/>
      <c r="MA251"/>
      <c r="MB251"/>
      <c r="MC251"/>
      <c r="MD251"/>
      <c r="ME251"/>
      <c r="MF251"/>
      <c r="MG251"/>
      <c r="MH251"/>
      <c r="MI251"/>
      <c r="MJ251"/>
      <c r="MK251"/>
      <c r="ML251"/>
      <c r="MM251"/>
      <c r="MN251"/>
      <c r="MO251"/>
      <c r="MP251"/>
      <c r="MQ251"/>
      <c r="MR251"/>
      <c r="MS251"/>
      <c r="MT251"/>
      <c r="MU251"/>
      <c r="MV251"/>
      <c r="MW251"/>
      <c r="MX251"/>
      <c r="MY251"/>
      <c r="MZ251"/>
      <c r="NA251"/>
      <c r="NB251"/>
      <c r="NC251"/>
      <c r="ND251"/>
      <c r="NE251"/>
      <c r="NF251"/>
      <c r="NG251"/>
      <c r="NH251"/>
      <c r="NI251"/>
      <c r="NJ251"/>
      <c r="NK251"/>
      <c r="NL251"/>
      <c r="NM251"/>
      <c r="NN251"/>
      <c r="NO251"/>
      <c r="NP251"/>
      <c r="NQ251"/>
      <c r="NR251"/>
      <c r="NS251"/>
      <c r="NT251"/>
      <c r="NU251"/>
      <c r="NV251"/>
      <c r="NW251"/>
      <c r="NX251"/>
      <c r="NY251"/>
      <c r="NZ251"/>
      <c r="OA251"/>
      <c r="OB251"/>
      <c r="OC251"/>
      <c r="OD251"/>
      <c r="OE251"/>
      <c r="OF251"/>
      <c r="OG251"/>
      <c r="OH251"/>
      <c r="OI251"/>
      <c r="OJ251"/>
      <c r="OK251"/>
      <c r="OL251"/>
      <c r="OM251"/>
      <c r="ON251"/>
      <c r="OO251"/>
      <c r="OP251"/>
      <c r="OQ251"/>
      <c r="OR251"/>
      <c r="OS251"/>
      <c r="OT251"/>
      <c r="OU251"/>
      <c r="OV251"/>
      <c r="OW251"/>
      <c r="OX251"/>
      <c r="OY251"/>
      <c r="OZ251"/>
      <c r="PA251"/>
      <c r="PB251"/>
      <c r="PC251"/>
      <c r="PD251"/>
      <c r="PE251"/>
      <c r="PF251"/>
      <c r="PG251"/>
      <c r="PH251"/>
      <c r="PI251"/>
      <c r="PJ251"/>
      <c r="PK251"/>
      <c r="PL251"/>
      <c r="PM251"/>
      <c r="PN251"/>
      <c r="PO251"/>
      <c r="PP251"/>
      <c r="PQ251"/>
      <c r="PR251"/>
      <c r="PS251"/>
      <c r="PT251"/>
      <c r="PU251"/>
      <c r="PV251"/>
      <c r="PW251"/>
      <c r="PX251"/>
      <c r="PY251"/>
      <c r="PZ251"/>
      <c r="QA251"/>
      <c r="QB251"/>
      <c r="QC251"/>
      <c r="QD251"/>
      <c r="QE251"/>
      <c r="QF251"/>
      <c r="QG251"/>
      <c r="QH251"/>
      <c r="QI251"/>
      <c r="QJ251"/>
      <c r="QK251"/>
      <c r="QL251"/>
      <c r="QM251"/>
      <c r="QN251"/>
      <c r="QO251"/>
      <c r="QP251"/>
      <c r="QQ251"/>
      <c r="QR251"/>
      <c r="QS251"/>
      <c r="QT251"/>
      <c r="QU251"/>
      <c r="QV251"/>
      <c r="QW251"/>
      <c r="QX251"/>
    </row>
    <row r="252" spans="1:466" x14ac:dyDescent="0.35">
      <c r="A252" s="53"/>
      <c r="B252" s="53"/>
      <c r="C252" s="55"/>
      <c r="D252" s="53"/>
      <c r="E252" s="53"/>
      <c r="F252" s="126" t="s">
        <v>1282</v>
      </c>
      <c r="G252" s="125">
        <v>22.95</v>
      </c>
      <c r="H252" s="125">
        <v>459</v>
      </c>
      <c r="I252" s="133">
        <v>20</v>
      </c>
      <c r="J252" s="53"/>
      <c r="K252" s="53"/>
      <c r="L252" s="53"/>
      <c r="M252" s="53"/>
      <c r="N252" s="53"/>
      <c r="O252" s="53"/>
      <c r="P252" s="53"/>
      <c r="Q252" s="53"/>
      <c r="R252" s="53"/>
      <c r="S252" s="53"/>
      <c r="T252" s="53"/>
      <c r="U252" s="53"/>
      <c r="V252" s="53"/>
      <c r="W252" s="53"/>
      <c r="X252" s="53"/>
      <c r="Y252" s="53"/>
      <c r="Z252" s="53"/>
      <c r="AA252" s="53"/>
      <c r="AB252" s="53"/>
      <c r="AC252" s="53"/>
      <c r="AD252" s="53"/>
      <c r="AE252" s="53"/>
      <c r="AF252" s="63"/>
      <c r="AG252" s="64"/>
      <c r="AH252" s="65"/>
      <c r="AI252" s="65"/>
      <c r="AJ252" s="53"/>
      <c r="AK252" s="62"/>
      <c r="AL252" s="62"/>
      <c r="AM252" s="62"/>
      <c r="AN252" s="62"/>
      <c r="AO252" s="62"/>
      <c r="AP252" s="62"/>
      <c r="AQ252" s="62"/>
      <c r="AR252" s="62"/>
      <c r="AS252" s="62"/>
      <c r="AT252" s="62"/>
      <c r="AU252" s="62"/>
      <c r="AV252" s="62"/>
      <c r="AW252" s="62"/>
      <c r="AX252" s="62"/>
      <c r="AY252" s="62"/>
      <c r="AZ252" s="62"/>
      <c r="BA252" s="62"/>
      <c r="BB252" s="62"/>
      <c r="BC252" s="62"/>
      <c r="BD252" s="62"/>
      <c r="BE252" s="62"/>
      <c r="BF252" s="62"/>
      <c r="BG252" s="62"/>
      <c r="BH252" s="62"/>
      <c r="BI252" s="62"/>
      <c r="BJ252" s="62"/>
      <c r="BK252" s="62"/>
      <c r="BL252" s="62"/>
      <c r="BM252" s="62"/>
      <c r="BN252" s="62"/>
      <c r="BO252" s="62"/>
      <c r="BP252" s="62"/>
      <c r="BQ252" s="62"/>
      <c r="BR252" s="62"/>
      <c r="BS252" s="62"/>
      <c r="BT252" s="62"/>
      <c r="BU252" s="62"/>
      <c r="BV252" s="62"/>
      <c r="BW252" s="62"/>
      <c r="BX252" s="6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  <c r="HB252"/>
      <c r="HC252"/>
      <c r="HD252"/>
      <c r="HE252"/>
      <c r="HF252"/>
      <c r="HG252"/>
      <c r="HH252"/>
      <c r="HI252"/>
      <c r="HJ252"/>
      <c r="HK252"/>
      <c r="HL252"/>
      <c r="HM252"/>
      <c r="HN252"/>
      <c r="HO252"/>
      <c r="HP252"/>
      <c r="HQ252"/>
      <c r="HR252"/>
      <c r="HS252"/>
      <c r="HT252"/>
      <c r="HU252"/>
      <c r="HV252"/>
      <c r="HW252"/>
      <c r="HX252"/>
      <c r="HY252"/>
      <c r="HZ252"/>
      <c r="IA252"/>
      <c r="IB252"/>
      <c r="IC252"/>
      <c r="ID252"/>
      <c r="IE252"/>
      <c r="IF252"/>
      <c r="IG252"/>
      <c r="IH252"/>
      <c r="II252"/>
      <c r="IJ252"/>
      <c r="IK252"/>
      <c r="IL252"/>
      <c r="IM252"/>
      <c r="IN252"/>
      <c r="IO252"/>
      <c r="IP252"/>
      <c r="IQ252"/>
      <c r="IR252"/>
      <c r="IS252"/>
      <c r="IT252"/>
      <c r="IU252"/>
      <c r="IV252"/>
      <c r="IW252"/>
      <c r="IX252"/>
      <c r="IY252"/>
      <c r="IZ252"/>
      <c r="JA252"/>
      <c r="JB252"/>
      <c r="JC252"/>
      <c r="JD252"/>
      <c r="JE252"/>
      <c r="JF252"/>
      <c r="JG252"/>
      <c r="JH252"/>
      <c r="JI252"/>
      <c r="JJ252"/>
      <c r="JK252"/>
      <c r="JL252"/>
      <c r="JM252"/>
      <c r="JN252"/>
      <c r="JO252"/>
      <c r="JP252"/>
      <c r="JQ252"/>
      <c r="JR252"/>
      <c r="JS252"/>
      <c r="JT252"/>
      <c r="JU252"/>
      <c r="JV252"/>
      <c r="JW252"/>
      <c r="JX252"/>
      <c r="JY252"/>
      <c r="JZ252"/>
      <c r="KA252"/>
      <c r="KB252"/>
      <c r="KC252"/>
      <c r="KD252"/>
      <c r="KE252"/>
      <c r="KF252"/>
      <c r="KG252"/>
      <c r="KH252"/>
      <c r="KI252"/>
      <c r="KJ252"/>
      <c r="KK252"/>
      <c r="KL252"/>
      <c r="KM252"/>
      <c r="KN252"/>
      <c r="KO252"/>
      <c r="KP252"/>
      <c r="KQ252"/>
      <c r="KR252"/>
      <c r="KS252"/>
      <c r="KT252"/>
      <c r="KU252"/>
      <c r="KV252"/>
      <c r="KW252"/>
      <c r="KX252"/>
      <c r="KY252"/>
      <c r="KZ252"/>
      <c r="LA252"/>
      <c r="LB252"/>
      <c r="LC252"/>
      <c r="LD252"/>
      <c r="LE252"/>
      <c r="LF252"/>
      <c r="LG252"/>
      <c r="LH252"/>
      <c r="LI252"/>
      <c r="LJ252"/>
      <c r="LK252"/>
      <c r="LL252"/>
      <c r="LM252"/>
      <c r="LN252"/>
      <c r="LO252"/>
      <c r="LP252"/>
      <c r="LQ252"/>
      <c r="LR252"/>
      <c r="LS252"/>
      <c r="LT252"/>
      <c r="LU252"/>
      <c r="LV252"/>
      <c r="LW252"/>
      <c r="LX252"/>
      <c r="LY252"/>
      <c r="LZ252"/>
      <c r="MA252"/>
      <c r="MB252"/>
      <c r="MC252"/>
      <c r="MD252"/>
      <c r="ME252"/>
      <c r="MF252"/>
      <c r="MG252"/>
      <c r="MH252"/>
      <c r="MI252"/>
      <c r="MJ252"/>
      <c r="MK252"/>
      <c r="ML252"/>
      <c r="MM252"/>
      <c r="MN252"/>
      <c r="MO252"/>
      <c r="MP252"/>
      <c r="MQ252"/>
      <c r="MR252"/>
      <c r="MS252"/>
      <c r="MT252"/>
      <c r="MU252"/>
      <c r="MV252"/>
      <c r="MW252"/>
      <c r="MX252"/>
      <c r="MY252"/>
      <c r="MZ252"/>
      <c r="NA252"/>
      <c r="NB252"/>
      <c r="NC252"/>
      <c r="ND252"/>
      <c r="NE252"/>
      <c r="NF252"/>
      <c r="NG252"/>
      <c r="NH252"/>
      <c r="NI252"/>
      <c r="NJ252"/>
      <c r="NK252"/>
      <c r="NL252"/>
      <c r="NM252"/>
      <c r="NN252"/>
      <c r="NO252"/>
      <c r="NP252"/>
      <c r="NQ252"/>
      <c r="NR252"/>
      <c r="NS252"/>
      <c r="NT252"/>
      <c r="NU252"/>
      <c r="NV252"/>
      <c r="NW252"/>
      <c r="NX252"/>
      <c r="NY252"/>
      <c r="NZ252"/>
      <c r="OA252"/>
      <c r="OB252"/>
      <c r="OC252"/>
      <c r="OD252"/>
      <c r="OE252"/>
      <c r="OF252"/>
      <c r="OG252"/>
      <c r="OH252"/>
      <c r="OI252"/>
      <c r="OJ252"/>
      <c r="OK252"/>
      <c r="OL252"/>
      <c r="OM252"/>
      <c r="ON252"/>
      <c r="OO252"/>
      <c r="OP252"/>
      <c r="OQ252"/>
      <c r="OR252"/>
      <c r="OS252"/>
      <c r="OT252"/>
      <c r="OU252"/>
      <c r="OV252"/>
      <c r="OW252"/>
      <c r="OX252"/>
      <c r="OY252"/>
      <c r="OZ252"/>
      <c r="PA252"/>
      <c r="PB252"/>
      <c r="PC252"/>
      <c r="PD252"/>
      <c r="PE252"/>
      <c r="PF252"/>
      <c r="PG252"/>
      <c r="PH252"/>
      <c r="PI252"/>
      <c r="PJ252"/>
      <c r="PK252"/>
      <c r="PL252"/>
      <c r="PM252"/>
      <c r="PN252"/>
      <c r="PO252"/>
      <c r="PP252"/>
      <c r="PQ252"/>
      <c r="PR252"/>
      <c r="PS252"/>
      <c r="PT252"/>
      <c r="PU252"/>
      <c r="PV252"/>
      <c r="PW252"/>
      <c r="PX252"/>
      <c r="PY252"/>
      <c r="PZ252"/>
      <c r="QA252"/>
      <c r="QB252"/>
      <c r="QC252"/>
      <c r="QD252"/>
      <c r="QE252"/>
      <c r="QF252"/>
      <c r="QG252"/>
      <c r="QH252"/>
      <c r="QI252"/>
      <c r="QJ252"/>
      <c r="QK252"/>
      <c r="QL252"/>
      <c r="QM252"/>
      <c r="QN252"/>
      <c r="QO252"/>
      <c r="QP252"/>
      <c r="QQ252"/>
      <c r="QR252"/>
      <c r="QS252"/>
      <c r="QT252"/>
      <c r="QU252"/>
      <c r="QV252"/>
      <c r="QW252"/>
      <c r="QX252"/>
    </row>
    <row r="253" spans="1:466" x14ac:dyDescent="0.35">
      <c r="A253" s="53"/>
      <c r="B253" s="53"/>
      <c r="C253" s="55"/>
      <c r="D253" s="53"/>
      <c r="E253" s="53"/>
      <c r="F253" s="126" t="s">
        <v>388</v>
      </c>
      <c r="G253" s="125">
        <v>2.2320000000000002</v>
      </c>
      <c r="H253" s="125">
        <v>658.44</v>
      </c>
      <c r="I253" s="133">
        <v>295</v>
      </c>
      <c r="J253" s="53"/>
      <c r="K253" s="53"/>
      <c r="L253" s="53"/>
      <c r="M253" s="53"/>
      <c r="N253" s="53"/>
      <c r="O253" s="53"/>
      <c r="P253" s="53"/>
      <c r="Q253" s="53"/>
      <c r="R253" s="53"/>
      <c r="S253" s="53"/>
      <c r="T253" s="53"/>
      <c r="U253" s="53"/>
      <c r="V253" s="53"/>
      <c r="W253" s="53"/>
      <c r="X253" s="53"/>
      <c r="Y253" s="53"/>
      <c r="Z253" s="53"/>
      <c r="AA253" s="53"/>
      <c r="AB253" s="53"/>
      <c r="AC253" s="53"/>
      <c r="AD253" s="53"/>
      <c r="AE253" s="53"/>
      <c r="AF253" s="63"/>
      <c r="AG253" s="64"/>
      <c r="AH253" s="65"/>
      <c r="AI253" s="65"/>
      <c r="AJ253" s="53"/>
      <c r="AK253" s="62"/>
      <c r="AL253" s="62"/>
      <c r="AM253" s="62"/>
      <c r="AN253" s="62"/>
      <c r="AO253" s="62"/>
      <c r="AP253" s="62"/>
      <c r="AQ253" s="62"/>
      <c r="AR253" s="62"/>
      <c r="AS253" s="62"/>
      <c r="AT253" s="62"/>
      <c r="AU253" s="62"/>
      <c r="AV253" s="62"/>
      <c r="AW253" s="62"/>
      <c r="AX253" s="62"/>
      <c r="AY253" s="62"/>
      <c r="AZ253" s="62"/>
      <c r="BA253" s="62"/>
      <c r="BB253" s="62"/>
      <c r="BC253" s="62"/>
      <c r="BD253" s="62"/>
      <c r="BE253" s="62"/>
      <c r="BF253" s="62"/>
      <c r="BG253" s="62"/>
      <c r="BH253" s="62"/>
      <c r="BI253" s="62"/>
      <c r="BJ253" s="62"/>
      <c r="BK253" s="62"/>
      <c r="BL253" s="62"/>
      <c r="BM253" s="62"/>
      <c r="BN253" s="62"/>
      <c r="BO253" s="62"/>
      <c r="BP253" s="62"/>
      <c r="BQ253" s="62"/>
      <c r="BR253" s="62"/>
      <c r="BS253" s="62"/>
      <c r="BT253" s="62"/>
      <c r="BU253" s="62"/>
      <c r="BV253" s="62"/>
      <c r="BW253" s="62"/>
      <c r="BX253" s="62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  <c r="HB253"/>
      <c r="HC253"/>
      <c r="HD253"/>
      <c r="HE253"/>
      <c r="HF253"/>
      <c r="HG253"/>
      <c r="HH253"/>
      <c r="HI253"/>
      <c r="HJ253"/>
      <c r="HK253"/>
      <c r="HL253"/>
      <c r="HM253"/>
      <c r="HN253"/>
      <c r="HO253"/>
      <c r="HP253"/>
      <c r="HQ253"/>
      <c r="HR253"/>
      <c r="HS253"/>
      <c r="HT253"/>
      <c r="HU253"/>
      <c r="HV253"/>
      <c r="HW253"/>
      <c r="HX253"/>
      <c r="HY253"/>
      <c r="HZ253"/>
      <c r="IA253"/>
      <c r="IB253"/>
      <c r="IC253"/>
      <c r="ID253"/>
      <c r="IE253"/>
      <c r="IF253"/>
      <c r="IG253"/>
      <c r="IH253"/>
      <c r="II253"/>
      <c r="IJ253"/>
      <c r="IK253"/>
      <c r="IL253"/>
      <c r="IM253"/>
      <c r="IN253"/>
      <c r="IO253"/>
      <c r="IP253"/>
      <c r="IQ253"/>
      <c r="IR253"/>
      <c r="IS253"/>
      <c r="IT253"/>
      <c r="IU253"/>
      <c r="IV253"/>
      <c r="IW253"/>
      <c r="IX253"/>
      <c r="IY253"/>
      <c r="IZ253"/>
      <c r="JA253"/>
      <c r="JB253"/>
      <c r="JC253"/>
      <c r="JD253"/>
      <c r="JE253"/>
      <c r="JF253"/>
      <c r="JG253"/>
      <c r="JH253"/>
      <c r="JI253"/>
      <c r="JJ253"/>
      <c r="JK253"/>
      <c r="JL253"/>
      <c r="JM253"/>
      <c r="JN253"/>
      <c r="JO253"/>
      <c r="JP253"/>
      <c r="JQ253"/>
      <c r="JR253"/>
      <c r="JS253"/>
      <c r="JT253"/>
      <c r="JU253"/>
      <c r="JV253"/>
      <c r="JW253"/>
      <c r="JX253"/>
      <c r="JY253"/>
      <c r="JZ253"/>
      <c r="KA253"/>
      <c r="KB253"/>
      <c r="KC253"/>
      <c r="KD253"/>
      <c r="KE253"/>
      <c r="KF253"/>
      <c r="KG253"/>
      <c r="KH253"/>
      <c r="KI253"/>
      <c r="KJ253"/>
      <c r="KK253"/>
      <c r="KL253"/>
      <c r="KM253"/>
      <c r="KN253"/>
      <c r="KO253"/>
      <c r="KP253"/>
      <c r="KQ253"/>
      <c r="KR253"/>
      <c r="KS253"/>
      <c r="KT253"/>
      <c r="KU253"/>
      <c r="KV253"/>
      <c r="KW253"/>
      <c r="KX253"/>
      <c r="KY253"/>
      <c r="KZ253"/>
      <c r="LA253"/>
      <c r="LB253"/>
      <c r="LC253"/>
      <c r="LD253"/>
      <c r="LE253"/>
      <c r="LF253"/>
      <c r="LG253"/>
      <c r="LH253"/>
      <c r="LI253"/>
      <c r="LJ253"/>
      <c r="LK253"/>
      <c r="LL253"/>
      <c r="LM253"/>
      <c r="LN253"/>
      <c r="LO253"/>
      <c r="LP253"/>
      <c r="LQ253"/>
      <c r="LR253"/>
      <c r="LS253"/>
      <c r="LT253"/>
      <c r="LU253"/>
      <c r="LV253"/>
      <c r="LW253"/>
      <c r="LX253"/>
      <c r="LY253"/>
      <c r="LZ253"/>
      <c r="MA253"/>
      <c r="MB253"/>
      <c r="MC253"/>
      <c r="MD253"/>
      <c r="ME253"/>
      <c r="MF253"/>
      <c r="MG253"/>
      <c r="MH253"/>
      <c r="MI253"/>
      <c r="MJ253"/>
      <c r="MK253"/>
      <c r="ML253"/>
      <c r="MM253"/>
      <c r="MN253"/>
      <c r="MO253"/>
      <c r="MP253"/>
      <c r="MQ253"/>
      <c r="MR253"/>
      <c r="MS253"/>
      <c r="MT253"/>
      <c r="MU253"/>
      <c r="MV253"/>
      <c r="MW253"/>
      <c r="MX253"/>
      <c r="MY253"/>
      <c r="MZ253"/>
      <c r="NA253"/>
      <c r="NB253"/>
      <c r="NC253"/>
      <c r="ND253"/>
      <c r="NE253"/>
      <c r="NF253"/>
      <c r="NG253"/>
      <c r="NH253"/>
      <c r="NI253"/>
      <c r="NJ253"/>
      <c r="NK253"/>
      <c r="NL253"/>
      <c r="NM253"/>
      <c r="NN253"/>
      <c r="NO253"/>
      <c r="NP253"/>
      <c r="NQ253"/>
      <c r="NR253"/>
      <c r="NS253"/>
      <c r="NT253"/>
      <c r="NU253"/>
      <c r="NV253"/>
      <c r="NW253"/>
      <c r="NX253"/>
      <c r="NY253"/>
      <c r="NZ253"/>
      <c r="OA253"/>
      <c r="OB253"/>
      <c r="OC253"/>
      <c r="OD253"/>
      <c r="OE253"/>
      <c r="OF253"/>
      <c r="OG253"/>
      <c r="OH253"/>
      <c r="OI253"/>
      <c r="OJ253"/>
      <c r="OK253"/>
      <c r="OL253"/>
      <c r="OM253"/>
      <c r="ON253"/>
      <c r="OO253"/>
      <c r="OP253"/>
      <c r="OQ253"/>
      <c r="OR253"/>
      <c r="OS253"/>
      <c r="OT253"/>
      <c r="OU253"/>
      <c r="OV253"/>
      <c r="OW253"/>
      <c r="OX253"/>
      <c r="OY253"/>
      <c r="OZ253"/>
      <c r="PA253"/>
      <c r="PB253"/>
      <c r="PC253"/>
      <c r="PD253"/>
      <c r="PE253"/>
      <c r="PF253"/>
      <c r="PG253"/>
      <c r="PH253"/>
      <c r="PI253"/>
      <c r="PJ253"/>
      <c r="PK253"/>
      <c r="PL253"/>
      <c r="PM253"/>
      <c r="PN253"/>
      <c r="PO253"/>
      <c r="PP253"/>
      <c r="PQ253"/>
      <c r="PR253"/>
      <c r="PS253"/>
      <c r="PT253"/>
      <c r="PU253"/>
      <c r="PV253"/>
      <c r="PW253"/>
      <c r="PX253"/>
      <c r="PY253"/>
      <c r="PZ253"/>
      <c r="QA253"/>
      <c r="QB253"/>
      <c r="QC253"/>
      <c r="QD253"/>
      <c r="QE253"/>
      <c r="QF253"/>
      <c r="QG253"/>
      <c r="QH253"/>
      <c r="QI253"/>
      <c r="QJ253"/>
      <c r="QK253"/>
      <c r="QL253"/>
      <c r="QM253"/>
      <c r="QN253"/>
      <c r="QO253"/>
      <c r="QP253"/>
      <c r="QQ253"/>
      <c r="QR253"/>
      <c r="QS253"/>
      <c r="QT253"/>
      <c r="QU253"/>
      <c r="QV253"/>
      <c r="QW253"/>
      <c r="QX253"/>
    </row>
    <row r="254" spans="1:466" x14ac:dyDescent="0.35">
      <c r="A254" s="53"/>
      <c r="B254" s="53"/>
      <c r="C254" s="55"/>
      <c r="D254" s="53"/>
      <c r="E254" s="53"/>
      <c r="F254" s="126" t="s">
        <v>390</v>
      </c>
      <c r="G254" s="125">
        <v>2.472</v>
      </c>
      <c r="H254" s="125">
        <v>803.4</v>
      </c>
      <c r="I254" s="133">
        <v>325</v>
      </c>
      <c r="J254" s="53"/>
      <c r="K254" s="53"/>
      <c r="L254" s="53"/>
      <c r="M254" s="53"/>
      <c r="N254" s="53"/>
      <c r="O254" s="53"/>
      <c r="P254" s="53"/>
      <c r="Q254" s="53"/>
      <c r="R254" s="53"/>
      <c r="S254" s="53"/>
      <c r="T254" s="53"/>
      <c r="U254" s="53"/>
      <c r="V254" s="53"/>
      <c r="W254" s="53"/>
      <c r="X254" s="53"/>
      <c r="Y254" s="53"/>
      <c r="Z254" s="53"/>
      <c r="AA254" s="53"/>
      <c r="AB254" s="53"/>
      <c r="AC254" s="53"/>
      <c r="AD254" s="53"/>
      <c r="AE254" s="53"/>
      <c r="AF254" s="63"/>
      <c r="AG254" s="64"/>
      <c r="AH254" s="65"/>
      <c r="AI254" s="65"/>
      <c r="AJ254" s="53"/>
      <c r="AK254" s="62"/>
      <c r="AL254" s="62"/>
      <c r="AM254" s="62"/>
      <c r="AN254" s="62"/>
      <c r="AO254" s="62"/>
      <c r="AP254" s="62"/>
      <c r="AQ254" s="62"/>
      <c r="AR254" s="62"/>
      <c r="AS254" s="62"/>
      <c r="AT254" s="62"/>
      <c r="AU254" s="62"/>
      <c r="AV254" s="62"/>
      <c r="AW254" s="62"/>
      <c r="AX254" s="62"/>
      <c r="AY254" s="62"/>
      <c r="AZ254" s="62"/>
      <c r="BA254" s="62"/>
      <c r="BB254" s="62"/>
      <c r="BC254" s="62"/>
      <c r="BD254" s="62"/>
      <c r="BE254" s="62"/>
      <c r="BF254" s="62"/>
      <c r="BG254" s="62"/>
      <c r="BH254" s="62"/>
      <c r="BI254" s="62"/>
      <c r="BJ254" s="62"/>
      <c r="BK254" s="62"/>
      <c r="BL254" s="62"/>
      <c r="BM254" s="62"/>
      <c r="BN254" s="62"/>
      <c r="BO254" s="62"/>
      <c r="BP254" s="62"/>
      <c r="BQ254" s="62"/>
      <c r="BR254" s="62"/>
      <c r="BS254" s="62"/>
      <c r="BT254" s="62"/>
      <c r="BU254" s="62"/>
      <c r="BV254" s="62"/>
      <c r="BW254" s="62"/>
      <c r="BX254" s="62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  <c r="HB254"/>
      <c r="HC254"/>
      <c r="HD254"/>
      <c r="HE254"/>
      <c r="HF254"/>
      <c r="HG254"/>
      <c r="HH254"/>
      <c r="HI254"/>
      <c r="HJ254"/>
      <c r="HK254"/>
      <c r="HL254"/>
      <c r="HM254"/>
      <c r="HN254"/>
      <c r="HO254"/>
      <c r="HP254"/>
      <c r="HQ254"/>
      <c r="HR254"/>
      <c r="HS254"/>
      <c r="HT254"/>
      <c r="HU254"/>
      <c r="HV254"/>
      <c r="HW254"/>
      <c r="HX254"/>
      <c r="HY254"/>
      <c r="HZ254"/>
      <c r="IA254"/>
      <c r="IB254"/>
      <c r="IC254"/>
      <c r="ID254"/>
      <c r="IE254"/>
      <c r="IF254"/>
      <c r="IG254"/>
      <c r="IH254"/>
      <c r="II254"/>
      <c r="IJ254"/>
      <c r="IK254"/>
      <c r="IL254"/>
      <c r="IM254"/>
      <c r="IN254"/>
      <c r="IO254"/>
      <c r="IP254"/>
      <c r="IQ254"/>
      <c r="IR254"/>
      <c r="IS254"/>
      <c r="IT254"/>
      <c r="IU254"/>
      <c r="IV254"/>
      <c r="IW254"/>
      <c r="IX254"/>
      <c r="IY254"/>
      <c r="IZ254"/>
      <c r="JA254"/>
      <c r="JB254"/>
      <c r="JC254"/>
      <c r="JD254"/>
      <c r="JE254"/>
      <c r="JF254"/>
      <c r="JG254"/>
      <c r="JH254"/>
      <c r="JI254"/>
      <c r="JJ254"/>
      <c r="JK254"/>
      <c r="JL254"/>
      <c r="JM254"/>
      <c r="JN254"/>
      <c r="JO254"/>
      <c r="JP254"/>
      <c r="JQ254"/>
      <c r="JR254"/>
      <c r="JS254"/>
      <c r="JT254"/>
      <c r="JU254"/>
      <c r="JV254"/>
      <c r="JW254"/>
      <c r="JX254"/>
      <c r="JY254"/>
      <c r="JZ254"/>
      <c r="KA254"/>
      <c r="KB254"/>
      <c r="KC254"/>
      <c r="KD254"/>
      <c r="KE254"/>
      <c r="KF254"/>
      <c r="KG254"/>
      <c r="KH254"/>
      <c r="KI254"/>
      <c r="KJ254"/>
      <c r="KK254"/>
      <c r="KL254"/>
      <c r="KM254"/>
      <c r="KN254"/>
      <c r="KO254"/>
      <c r="KP254"/>
      <c r="KQ254"/>
      <c r="KR254"/>
      <c r="KS254"/>
      <c r="KT254"/>
      <c r="KU254"/>
      <c r="KV254"/>
      <c r="KW254"/>
      <c r="KX254"/>
      <c r="KY254"/>
      <c r="KZ254"/>
      <c r="LA254"/>
      <c r="LB254"/>
      <c r="LC254"/>
      <c r="LD254"/>
      <c r="LE254"/>
      <c r="LF254"/>
      <c r="LG254"/>
      <c r="LH254"/>
      <c r="LI254"/>
      <c r="LJ254"/>
      <c r="LK254"/>
      <c r="LL254"/>
      <c r="LM254"/>
      <c r="LN254"/>
      <c r="LO254"/>
      <c r="LP254"/>
      <c r="LQ254"/>
      <c r="LR254"/>
      <c r="LS254"/>
      <c r="LT254"/>
      <c r="LU254"/>
      <c r="LV254"/>
      <c r="LW254"/>
      <c r="LX254"/>
      <c r="LY254"/>
      <c r="LZ254"/>
      <c r="MA254"/>
      <c r="MB254"/>
      <c r="MC254"/>
      <c r="MD254"/>
      <c r="ME254"/>
      <c r="MF254"/>
      <c r="MG254"/>
      <c r="MH254"/>
      <c r="MI254"/>
      <c r="MJ254"/>
      <c r="MK254"/>
      <c r="ML254"/>
      <c r="MM254"/>
      <c r="MN254"/>
      <c r="MO254"/>
      <c r="MP254"/>
      <c r="MQ254"/>
      <c r="MR254"/>
      <c r="MS254"/>
      <c r="MT254"/>
      <c r="MU254"/>
      <c r="MV254"/>
      <c r="MW254"/>
      <c r="MX254"/>
      <c r="MY254"/>
      <c r="MZ254"/>
      <c r="NA254"/>
      <c r="NB254"/>
      <c r="NC254"/>
      <c r="ND254"/>
      <c r="NE254"/>
      <c r="NF254"/>
      <c r="NG254"/>
      <c r="NH254"/>
      <c r="NI254"/>
      <c r="NJ254"/>
      <c r="NK254"/>
      <c r="NL254"/>
      <c r="NM254"/>
      <c r="NN254"/>
      <c r="NO254"/>
      <c r="NP254"/>
      <c r="NQ254"/>
      <c r="NR254"/>
      <c r="NS254"/>
      <c r="NT254"/>
      <c r="NU254"/>
      <c r="NV254"/>
      <c r="NW254"/>
      <c r="NX254"/>
      <c r="NY254"/>
      <c r="NZ254"/>
      <c r="OA254"/>
      <c r="OB254"/>
      <c r="OC254"/>
      <c r="OD254"/>
      <c r="OE254"/>
      <c r="OF254"/>
      <c r="OG254"/>
      <c r="OH254"/>
      <c r="OI254"/>
      <c r="OJ254"/>
      <c r="OK254"/>
      <c r="OL254"/>
      <c r="OM254"/>
      <c r="ON254"/>
      <c r="OO254"/>
      <c r="OP254"/>
      <c r="OQ254"/>
      <c r="OR254"/>
      <c r="OS254"/>
      <c r="OT254"/>
      <c r="OU254"/>
      <c r="OV254"/>
      <c r="OW254"/>
      <c r="OX254"/>
      <c r="OY254"/>
      <c r="OZ254"/>
      <c r="PA254"/>
      <c r="PB254"/>
      <c r="PC254"/>
      <c r="PD254"/>
      <c r="PE254"/>
      <c r="PF254"/>
      <c r="PG254"/>
      <c r="PH254"/>
      <c r="PI254"/>
      <c r="PJ254"/>
      <c r="PK254"/>
      <c r="PL254"/>
      <c r="PM254"/>
      <c r="PN254"/>
      <c r="PO254"/>
      <c r="PP254"/>
      <c r="PQ254"/>
      <c r="PR254"/>
      <c r="PS254"/>
      <c r="PT254"/>
      <c r="PU254"/>
      <c r="PV254"/>
      <c r="PW254"/>
      <c r="PX254"/>
      <c r="PY254"/>
      <c r="PZ254"/>
      <c r="QA254"/>
      <c r="QB254"/>
      <c r="QC254"/>
      <c r="QD254"/>
      <c r="QE254"/>
      <c r="QF254"/>
      <c r="QG254"/>
      <c r="QH254"/>
      <c r="QI254"/>
      <c r="QJ254"/>
      <c r="QK254"/>
      <c r="QL254"/>
      <c r="QM254"/>
      <c r="QN254"/>
      <c r="QO254"/>
      <c r="QP254"/>
      <c r="QQ254"/>
      <c r="QR254"/>
      <c r="QS254"/>
      <c r="QT254"/>
      <c r="QU254"/>
      <c r="QV254"/>
      <c r="QW254"/>
      <c r="QX254"/>
    </row>
    <row r="255" spans="1:466" x14ac:dyDescent="0.35">
      <c r="A255" s="53"/>
      <c r="B255" s="53"/>
      <c r="C255" s="55"/>
      <c r="D255" s="53"/>
      <c r="E255" s="53"/>
      <c r="F255" s="126" t="s">
        <v>379</v>
      </c>
      <c r="G255" s="125">
        <v>1.9296000000000002</v>
      </c>
      <c r="H255" s="125">
        <v>0</v>
      </c>
      <c r="I255" s="133">
        <v>0</v>
      </c>
      <c r="J255" s="53"/>
      <c r="K255" s="53"/>
      <c r="L255" s="53"/>
      <c r="M255" s="53"/>
      <c r="N255" s="53"/>
      <c r="O255" s="53"/>
      <c r="P255" s="53"/>
      <c r="Q255" s="53"/>
      <c r="R255" s="53"/>
      <c r="S255" s="53"/>
      <c r="T255" s="53"/>
      <c r="U255" s="53"/>
      <c r="V255" s="53"/>
      <c r="W255" s="53"/>
      <c r="X255" s="53"/>
      <c r="Y255" s="53"/>
      <c r="Z255" s="53"/>
      <c r="AA255" s="53"/>
      <c r="AB255" s="53"/>
      <c r="AC255" s="53"/>
      <c r="AD255" s="53"/>
      <c r="AE255" s="53"/>
      <c r="AF255" s="63"/>
      <c r="AG255" s="64"/>
      <c r="AH255" s="65"/>
      <c r="AI255" s="65"/>
      <c r="AJ255" s="53"/>
      <c r="AK255" s="62"/>
      <c r="AL255" s="62"/>
      <c r="AM255" s="62"/>
      <c r="AN255" s="62"/>
      <c r="AO255" s="62"/>
      <c r="AP255" s="62"/>
      <c r="AQ255" s="62"/>
      <c r="AR255" s="62"/>
      <c r="AS255" s="62"/>
      <c r="AT255" s="62"/>
      <c r="AU255" s="62"/>
      <c r="AV255" s="62"/>
      <c r="AW255" s="62"/>
      <c r="AX255" s="62"/>
      <c r="AY255" s="62"/>
      <c r="AZ255" s="62"/>
      <c r="BA255" s="62"/>
      <c r="BB255" s="62"/>
      <c r="BC255" s="62"/>
      <c r="BD255" s="62"/>
      <c r="BE255" s="62"/>
      <c r="BF255" s="62"/>
      <c r="BG255" s="62"/>
      <c r="BH255" s="62"/>
      <c r="BI255" s="62"/>
      <c r="BJ255" s="62"/>
      <c r="BK255" s="62"/>
      <c r="BL255" s="62"/>
      <c r="BM255" s="62"/>
      <c r="BN255" s="62"/>
      <c r="BO255" s="62"/>
      <c r="BP255" s="62"/>
      <c r="BQ255" s="62"/>
      <c r="BR255" s="62"/>
      <c r="BS255" s="62"/>
      <c r="BT255" s="62"/>
      <c r="BU255" s="62"/>
      <c r="BV255" s="62"/>
      <c r="BW255" s="62"/>
      <c r="BX255" s="62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  <c r="HB255"/>
      <c r="HC255"/>
      <c r="HD255"/>
      <c r="HE255"/>
      <c r="HF255"/>
      <c r="HG255"/>
      <c r="HH255"/>
      <c r="HI255"/>
      <c r="HJ255"/>
      <c r="HK255"/>
      <c r="HL255"/>
      <c r="HM255"/>
      <c r="HN255"/>
      <c r="HO255"/>
      <c r="HP255"/>
      <c r="HQ255"/>
      <c r="HR255"/>
      <c r="HS255"/>
      <c r="HT255"/>
      <c r="HU255"/>
      <c r="HV255"/>
      <c r="HW255"/>
      <c r="HX255"/>
      <c r="HY255"/>
      <c r="HZ255"/>
      <c r="IA255"/>
      <c r="IB255"/>
      <c r="IC255"/>
      <c r="ID255"/>
      <c r="IE255"/>
      <c r="IF255"/>
      <c r="IG255"/>
      <c r="IH255"/>
      <c r="II255"/>
      <c r="IJ255"/>
      <c r="IK255"/>
      <c r="IL255"/>
      <c r="IM255"/>
      <c r="IN255"/>
      <c r="IO255"/>
      <c r="IP255"/>
      <c r="IQ255"/>
      <c r="IR255"/>
      <c r="IS255"/>
      <c r="IT255"/>
      <c r="IU255"/>
      <c r="IV255"/>
      <c r="IW255"/>
      <c r="IX255"/>
      <c r="IY255"/>
      <c r="IZ255"/>
      <c r="JA255"/>
      <c r="JB255"/>
      <c r="JC255"/>
      <c r="JD255"/>
      <c r="JE255"/>
      <c r="JF255"/>
      <c r="JG255"/>
      <c r="JH255"/>
      <c r="JI255"/>
      <c r="JJ255"/>
      <c r="JK255"/>
      <c r="JL255"/>
      <c r="JM255"/>
      <c r="JN255"/>
      <c r="JO255"/>
      <c r="JP255"/>
      <c r="JQ255"/>
      <c r="JR255"/>
      <c r="JS255"/>
      <c r="JT255"/>
      <c r="JU255"/>
      <c r="JV255"/>
      <c r="JW255"/>
      <c r="JX255"/>
      <c r="JY255"/>
      <c r="JZ255"/>
      <c r="KA255"/>
      <c r="KB255"/>
      <c r="KC255"/>
      <c r="KD255"/>
      <c r="KE255"/>
      <c r="KF255"/>
      <c r="KG255"/>
      <c r="KH255"/>
      <c r="KI255"/>
      <c r="KJ255"/>
      <c r="KK255"/>
      <c r="KL255"/>
      <c r="KM255"/>
      <c r="KN255"/>
      <c r="KO255"/>
      <c r="KP255"/>
      <c r="KQ255"/>
      <c r="KR255"/>
      <c r="KS255"/>
      <c r="KT255"/>
      <c r="KU255"/>
      <c r="KV255"/>
      <c r="KW255"/>
      <c r="KX255"/>
      <c r="KY255"/>
      <c r="KZ255"/>
      <c r="LA255"/>
      <c r="LB255"/>
      <c r="LC255"/>
      <c r="LD255"/>
      <c r="LE255"/>
      <c r="LF255"/>
      <c r="LG255"/>
      <c r="LH255"/>
      <c r="LI255"/>
      <c r="LJ255"/>
      <c r="LK255"/>
      <c r="LL255"/>
      <c r="LM255"/>
      <c r="LN255"/>
      <c r="LO255"/>
      <c r="LP255"/>
      <c r="LQ255"/>
      <c r="LR255"/>
      <c r="LS255"/>
      <c r="LT255"/>
      <c r="LU255"/>
      <c r="LV255"/>
      <c r="LW255"/>
      <c r="LX255"/>
      <c r="LY255"/>
      <c r="LZ255"/>
      <c r="MA255"/>
      <c r="MB255"/>
      <c r="MC255"/>
      <c r="MD255"/>
      <c r="ME255"/>
      <c r="MF255"/>
      <c r="MG255"/>
      <c r="MH255"/>
      <c r="MI255"/>
      <c r="MJ255"/>
      <c r="MK255"/>
      <c r="ML255"/>
      <c r="MM255"/>
      <c r="MN255"/>
      <c r="MO255"/>
      <c r="MP255"/>
      <c r="MQ255"/>
      <c r="MR255"/>
      <c r="MS255"/>
      <c r="MT255"/>
      <c r="MU255"/>
      <c r="MV255"/>
      <c r="MW255"/>
      <c r="MX255"/>
      <c r="MY255"/>
      <c r="MZ255"/>
      <c r="NA255"/>
      <c r="NB255"/>
      <c r="NC255"/>
      <c r="ND255"/>
      <c r="NE255"/>
      <c r="NF255"/>
      <c r="NG255"/>
      <c r="NH255"/>
      <c r="NI255"/>
      <c r="NJ255"/>
      <c r="NK255"/>
      <c r="NL255"/>
      <c r="NM255"/>
      <c r="NN255"/>
      <c r="NO255"/>
      <c r="NP255"/>
      <c r="NQ255"/>
      <c r="NR255"/>
      <c r="NS255"/>
      <c r="NT255"/>
      <c r="NU255"/>
      <c r="NV255"/>
      <c r="NW255"/>
      <c r="NX255"/>
      <c r="NY255"/>
      <c r="NZ255"/>
      <c r="OA255"/>
      <c r="OB255"/>
      <c r="OC255"/>
      <c r="OD255"/>
      <c r="OE255"/>
      <c r="OF255"/>
      <c r="OG255"/>
      <c r="OH255"/>
      <c r="OI255"/>
      <c r="OJ255"/>
      <c r="OK255"/>
      <c r="OL255"/>
      <c r="OM255"/>
      <c r="ON255"/>
      <c r="OO255"/>
      <c r="OP255"/>
      <c r="OQ255"/>
      <c r="OR255"/>
      <c r="OS255"/>
      <c r="OT255"/>
      <c r="OU255"/>
      <c r="OV255"/>
      <c r="OW255"/>
      <c r="OX255"/>
      <c r="OY255"/>
      <c r="OZ255"/>
      <c r="PA255"/>
      <c r="PB255"/>
      <c r="PC255"/>
      <c r="PD255"/>
      <c r="PE255"/>
      <c r="PF255"/>
      <c r="PG255"/>
      <c r="PH255"/>
      <c r="PI255"/>
      <c r="PJ255"/>
      <c r="PK255"/>
      <c r="PL255"/>
      <c r="PM255"/>
      <c r="PN255"/>
      <c r="PO255"/>
      <c r="PP255"/>
      <c r="PQ255"/>
      <c r="PR255"/>
      <c r="PS255"/>
      <c r="PT255"/>
      <c r="PU255"/>
      <c r="PV255"/>
      <c r="PW255"/>
      <c r="PX255"/>
      <c r="PY255"/>
      <c r="PZ255"/>
      <c r="QA255"/>
      <c r="QB255"/>
      <c r="QC255"/>
      <c r="QD255"/>
      <c r="QE255"/>
      <c r="QF255"/>
      <c r="QG255"/>
      <c r="QH255"/>
      <c r="QI255"/>
      <c r="QJ255"/>
      <c r="QK255"/>
      <c r="QL255"/>
      <c r="QM255"/>
      <c r="QN255"/>
      <c r="QO255"/>
      <c r="QP255"/>
      <c r="QQ255"/>
      <c r="QR255"/>
      <c r="QS255"/>
      <c r="QT255"/>
      <c r="QU255"/>
      <c r="QV255"/>
      <c r="QW255"/>
      <c r="QX255"/>
    </row>
    <row r="256" spans="1:466" x14ac:dyDescent="0.35">
      <c r="A256" s="53"/>
      <c r="B256" s="53"/>
      <c r="C256" s="55"/>
      <c r="D256" s="53"/>
      <c r="E256" s="53"/>
      <c r="F256" s="126" t="s">
        <v>382</v>
      </c>
      <c r="G256" s="125">
        <v>2.0227200000000001</v>
      </c>
      <c r="H256" s="125">
        <v>141.59040000000002</v>
      </c>
      <c r="I256" s="133">
        <v>70</v>
      </c>
      <c r="J256" s="53"/>
      <c r="K256" s="53"/>
      <c r="L256" s="53"/>
      <c r="M256" s="53"/>
      <c r="N256" s="53"/>
      <c r="O256" s="53"/>
      <c r="P256" s="53"/>
      <c r="Q256" s="53"/>
      <c r="R256" s="53"/>
      <c r="S256" s="53"/>
      <c r="T256" s="53"/>
      <c r="U256" s="53"/>
      <c r="V256" s="53"/>
      <c r="W256" s="53"/>
      <c r="X256" s="53"/>
      <c r="Y256" s="53"/>
      <c r="Z256" s="53"/>
      <c r="AA256" s="53"/>
      <c r="AB256" s="53"/>
      <c r="AC256" s="53"/>
      <c r="AD256" s="53"/>
      <c r="AE256" s="53"/>
      <c r="AF256" s="63"/>
      <c r="AG256" s="64"/>
      <c r="AH256" s="65"/>
      <c r="AI256" s="65"/>
      <c r="AJ256" s="53"/>
      <c r="AK256" s="62"/>
      <c r="AL256" s="62"/>
      <c r="AM256" s="62"/>
      <c r="AN256" s="62"/>
      <c r="AO256" s="62"/>
      <c r="AP256" s="62"/>
      <c r="AQ256" s="62"/>
      <c r="AR256" s="62"/>
      <c r="AS256" s="62"/>
      <c r="AT256" s="62"/>
      <c r="AU256" s="62"/>
      <c r="AV256" s="62"/>
      <c r="AW256" s="62"/>
      <c r="AX256" s="62"/>
      <c r="AY256" s="62"/>
      <c r="AZ256" s="62"/>
      <c r="BA256" s="62"/>
      <c r="BB256" s="62"/>
      <c r="BC256" s="62"/>
      <c r="BD256" s="62"/>
      <c r="BE256" s="62"/>
      <c r="BF256" s="62"/>
      <c r="BG256" s="62"/>
      <c r="BH256" s="62"/>
      <c r="BI256" s="62"/>
      <c r="BJ256" s="62"/>
      <c r="BK256" s="62"/>
      <c r="BL256" s="62"/>
      <c r="BM256" s="62"/>
      <c r="BN256" s="62"/>
      <c r="BO256" s="62"/>
      <c r="BP256" s="62"/>
      <c r="BQ256" s="62"/>
      <c r="BR256" s="62"/>
      <c r="BS256" s="62"/>
      <c r="BT256" s="62"/>
      <c r="BU256" s="62"/>
      <c r="BV256" s="62"/>
      <c r="BW256" s="62"/>
      <c r="BX256" s="62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  <c r="HB256"/>
      <c r="HC256"/>
      <c r="HD256"/>
      <c r="HE256"/>
      <c r="HF256"/>
      <c r="HG256"/>
      <c r="HH256"/>
      <c r="HI256"/>
      <c r="HJ256"/>
      <c r="HK256"/>
      <c r="HL256"/>
      <c r="HM256"/>
      <c r="HN256"/>
      <c r="HO256"/>
      <c r="HP256"/>
      <c r="HQ256"/>
      <c r="HR256"/>
      <c r="HS256"/>
      <c r="HT256"/>
      <c r="HU256"/>
      <c r="HV256"/>
      <c r="HW256"/>
      <c r="HX256"/>
      <c r="HY256"/>
      <c r="HZ256"/>
      <c r="IA256"/>
      <c r="IB256"/>
      <c r="IC256"/>
      <c r="ID256"/>
      <c r="IE256"/>
      <c r="IF256"/>
      <c r="IG256"/>
      <c r="IH256"/>
      <c r="II256"/>
      <c r="IJ256"/>
      <c r="IK256"/>
      <c r="IL256"/>
      <c r="IM256"/>
      <c r="IN256"/>
      <c r="IO256"/>
      <c r="IP256"/>
      <c r="IQ256"/>
      <c r="IR256"/>
      <c r="IS256"/>
      <c r="IT256"/>
      <c r="IU256"/>
      <c r="IV256"/>
      <c r="IW256"/>
      <c r="IX256"/>
      <c r="IY256"/>
      <c r="IZ256"/>
      <c r="JA256"/>
      <c r="JB256"/>
      <c r="JC256"/>
      <c r="JD256"/>
      <c r="JE256"/>
      <c r="JF256"/>
      <c r="JG256"/>
      <c r="JH256"/>
      <c r="JI256"/>
      <c r="JJ256"/>
      <c r="JK256"/>
      <c r="JL256"/>
      <c r="JM256"/>
      <c r="JN256"/>
      <c r="JO256"/>
      <c r="JP256"/>
      <c r="JQ256"/>
      <c r="JR256"/>
      <c r="JS256"/>
      <c r="JT256"/>
      <c r="JU256"/>
      <c r="JV256"/>
      <c r="JW256"/>
      <c r="JX256"/>
      <c r="JY256"/>
      <c r="JZ256"/>
      <c r="KA256"/>
      <c r="KB256"/>
      <c r="KC256"/>
      <c r="KD256"/>
      <c r="KE256"/>
      <c r="KF256"/>
      <c r="KG256"/>
      <c r="KH256"/>
      <c r="KI256"/>
      <c r="KJ256"/>
      <c r="KK256"/>
      <c r="KL256"/>
      <c r="KM256"/>
      <c r="KN256"/>
      <c r="KO256"/>
      <c r="KP256"/>
      <c r="KQ256"/>
      <c r="KR256"/>
      <c r="KS256"/>
      <c r="KT256"/>
      <c r="KU256"/>
      <c r="KV256"/>
      <c r="KW256"/>
      <c r="KX256"/>
      <c r="KY256"/>
      <c r="KZ256"/>
      <c r="LA256"/>
      <c r="LB256"/>
      <c r="LC256"/>
      <c r="LD256"/>
      <c r="LE256"/>
      <c r="LF256"/>
      <c r="LG256"/>
      <c r="LH256"/>
      <c r="LI256"/>
      <c r="LJ256"/>
      <c r="LK256"/>
      <c r="LL256"/>
      <c r="LM256"/>
      <c r="LN256"/>
      <c r="LO256"/>
      <c r="LP256"/>
      <c r="LQ256"/>
      <c r="LR256"/>
      <c r="LS256"/>
      <c r="LT256"/>
      <c r="LU256"/>
      <c r="LV256"/>
      <c r="LW256"/>
      <c r="LX256"/>
      <c r="LY256"/>
      <c r="LZ256"/>
      <c r="MA256"/>
      <c r="MB256"/>
      <c r="MC256"/>
      <c r="MD256"/>
      <c r="ME256"/>
      <c r="MF256"/>
      <c r="MG256"/>
      <c r="MH256"/>
      <c r="MI256"/>
      <c r="MJ256"/>
      <c r="MK256"/>
      <c r="ML256"/>
      <c r="MM256"/>
      <c r="MN256"/>
      <c r="MO256"/>
      <c r="MP256"/>
      <c r="MQ256"/>
      <c r="MR256"/>
      <c r="MS256"/>
      <c r="MT256"/>
      <c r="MU256"/>
      <c r="MV256"/>
      <c r="MW256"/>
      <c r="MX256"/>
      <c r="MY256"/>
      <c r="MZ256"/>
      <c r="NA256"/>
      <c r="NB256"/>
      <c r="NC256"/>
      <c r="ND256"/>
      <c r="NE256"/>
      <c r="NF256"/>
      <c r="NG256"/>
      <c r="NH256"/>
      <c r="NI256"/>
      <c r="NJ256"/>
      <c r="NK256"/>
      <c r="NL256"/>
      <c r="NM256"/>
      <c r="NN256"/>
      <c r="NO256"/>
      <c r="NP256"/>
      <c r="NQ256"/>
      <c r="NR256"/>
      <c r="NS256"/>
      <c r="NT256"/>
      <c r="NU256"/>
      <c r="NV256"/>
      <c r="NW256"/>
      <c r="NX256"/>
      <c r="NY256"/>
      <c r="NZ256"/>
      <c r="OA256"/>
      <c r="OB256"/>
      <c r="OC256"/>
      <c r="OD256"/>
      <c r="OE256"/>
      <c r="OF256"/>
      <c r="OG256"/>
      <c r="OH256"/>
      <c r="OI256"/>
      <c r="OJ256"/>
      <c r="OK256"/>
      <c r="OL256"/>
      <c r="OM256"/>
      <c r="ON256"/>
      <c r="OO256"/>
      <c r="OP256"/>
      <c r="OQ256"/>
      <c r="OR256"/>
      <c r="OS256"/>
      <c r="OT256"/>
      <c r="OU256"/>
      <c r="OV256"/>
      <c r="OW256"/>
      <c r="OX256"/>
      <c r="OY256"/>
      <c r="OZ256"/>
      <c r="PA256"/>
      <c r="PB256"/>
      <c r="PC256"/>
      <c r="PD256"/>
      <c r="PE256"/>
      <c r="PF256"/>
      <c r="PG256"/>
      <c r="PH256"/>
      <c r="PI256"/>
      <c r="PJ256"/>
      <c r="PK256"/>
      <c r="PL256"/>
      <c r="PM256"/>
      <c r="PN256"/>
      <c r="PO256"/>
      <c r="PP256"/>
      <c r="PQ256"/>
      <c r="PR256"/>
      <c r="PS256"/>
      <c r="PT256"/>
      <c r="PU256"/>
      <c r="PV256"/>
      <c r="PW256"/>
      <c r="PX256"/>
      <c r="PY256"/>
      <c r="PZ256"/>
      <c r="QA256"/>
      <c r="QB256"/>
      <c r="QC256"/>
      <c r="QD256"/>
      <c r="QE256"/>
      <c r="QF256"/>
      <c r="QG256"/>
      <c r="QH256"/>
      <c r="QI256"/>
      <c r="QJ256"/>
      <c r="QK256"/>
      <c r="QL256"/>
      <c r="QM256"/>
      <c r="QN256"/>
      <c r="QO256"/>
      <c r="QP256"/>
      <c r="QQ256"/>
      <c r="QR256"/>
      <c r="QS256"/>
      <c r="QT256"/>
      <c r="QU256"/>
      <c r="QV256"/>
      <c r="QW256"/>
      <c r="QX256"/>
    </row>
    <row r="257" spans="1:466" x14ac:dyDescent="0.35">
      <c r="A257" s="53"/>
      <c r="B257" s="53"/>
      <c r="C257" s="55"/>
      <c r="D257" s="53"/>
      <c r="E257" s="53"/>
      <c r="F257" s="126" t="s">
        <v>384</v>
      </c>
      <c r="G257" s="125">
        <v>2.2089600000000003</v>
      </c>
      <c r="H257" s="125">
        <v>125.91072000000001</v>
      </c>
      <c r="I257" s="133">
        <v>57</v>
      </c>
      <c r="J257" s="53"/>
      <c r="K257" s="53"/>
      <c r="L257" s="53"/>
      <c r="M257" s="53"/>
      <c r="N257" s="53"/>
      <c r="O257" s="53"/>
      <c r="P257" s="53"/>
      <c r="Q257" s="53"/>
      <c r="R257" s="53"/>
      <c r="S257" s="53"/>
      <c r="T257" s="53"/>
      <c r="U257" s="53"/>
      <c r="V257" s="53"/>
      <c r="W257" s="53"/>
      <c r="X257" s="53"/>
      <c r="Y257" s="53"/>
      <c r="Z257" s="53"/>
      <c r="AA257" s="53"/>
      <c r="AB257" s="53"/>
      <c r="AC257" s="53"/>
      <c r="AD257" s="53"/>
      <c r="AE257" s="53"/>
      <c r="AF257" s="63"/>
      <c r="AG257" s="64"/>
      <c r="AH257" s="65"/>
      <c r="AI257" s="65"/>
      <c r="AJ257" s="53"/>
      <c r="AK257" s="62"/>
      <c r="AL257" s="62"/>
      <c r="AM257" s="62"/>
      <c r="AN257" s="62"/>
      <c r="AO257" s="62"/>
      <c r="AP257" s="62"/>
      <c r="AQ257" s="62"/>
      <c r="AR257" s="62"/>
      <c r="AS257" s="62"/>
      <c r="AT257" s="62"/>
      <c r="AU257" s="62"/>
      <c r="AV257" s="62"/>
      <c r="AW257" s="62"/>
      <c r="AX257" s="62"/>
      <c r="AY257" s="62"/>
      <c r="AZ257" s="62"/>
      <c r="BA257" s="62"/>
      <c r="BB257" s="62"/>
      <c r="BC257" s="62"/>
      <c r="BD257" s="62"/>
      <c r="BE257" s="62"/>
      <c r="BF257" s="62"/>
      <c r="BG257" s="62"/>
      <c r="BH257" s="62"/>
      <c r="BI257" s="62"/>
      <c r="BJ257" s="62"/>
      <c r="BK257" s="62"/>
      <c r="BL257" s="62"/>
      <c r="BM257" s="62"/>
      <c r="BN257" s="62"/>
      <c r="BO257" s="62"/>
      <c r="BP257" s="62"/>
      <c r="BQ257" s="62"/>
      <c r="BR257" s="62"/>
      <c r="BS257" s="62"/>
      <c r="BT257" s="62"/>
      <c r="BU257" s="62"/>
      <c r="BV257" s="62"/>
      <c r="BW257" s="62"/>
      <c r="BX257" s="62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  <c r="HB257"/>
      <c r="HC257"/>
      <c r="HD257"/>
      <c r="HE257"/>
      <c r="HF257"/>
      <c r="HG257"/>
      <c r="HH257"/>
      <c r="HI257"/>
      <c r="HJ257"/>
      <c r="HK257"/>
      <c r="HL257"/>
      <c r="HM257"/>
      <c r="HN257"/>
      <c r="HO257"/>
      <c r="HP257"/>
      <c r="HQ257"/>
      <c r="HR257"/>
      <c r="HS257"/>
      <c r="HT257"/>
      <c r="HU257"/>
      <c r="HV257"/>
      <c r="HW257"/>
      <c r="HX257"/>
      <c r="HY257"/>
      <c r="HZ257"/>
      <c r="IA257"/>
      <c r="IB257"/>
      <c r="IC257"/>
      <c r="ID257"/>
      <c r="IE257"/>
      <c r="IF257"/>
      <c r="IG257"/>
      <c r="IH257"/>
      <c r="II257"/>
      <c r="IJ257"/>
      <c r="IK257"/>
      <c r="IL257"/>
      <c r="IM257"/>
      <c r="IN257"/>
      <c r="IO257"/>
      <c r="IP257"/>
      <c r="IQ257"/>
      <c r="IR257"/>
      <c r="IS257"/>
      <c r="IT257"/>
      <c r="IU257"/>
      <c r="IV257"/>
      <c r="IW257"/>
      <c r="IX257"/>
      <c r="IY257"/>
      <c r="IZ257"/>
      <c r="JA257"/>
      <c r="JB257"/>
      <c r="JC257"/>
      <c r="JD257"/>
      <c r="JE257"/>
      <c r="JF257"/>
      <c r="JG257"/>
      <c r="JH257"/>
      <c r="JI257"/>
      <c r="JJ257"/>
      <c r="JK257"/>
      <c r="JL257"/>
      <c r="JM257"/>
      <c r="JN257"/>
      <c r="JO257"/>
      <c r="JP257"/>
      <c r="JQ257"/>
      <c r="JR257"/>
      <c r="JS257"/>
      <c r="JT257"/>
      <c r="JU257"/>
      <c r="JV257"/>
      <c r="JW257"/>
      <c r="JX257"/>
      <c r="JY257"/>
      <c r="JZ257"/>
      <c r="KA257"/>
      <c r="KB257"/>
      <c r="KC257"/>
      <c r="KD257"/>
      <c r="KE257"/>
      <c r="KF257"/>
      <c r="KG257"/>
      <c r="KH257"/>
      <c r="KI257"/>
      <c r="KJ257"/>
      <c r="KK257"/>
      <c r="KL257"/>
      <c r="KM257"/>
      <c r="KN257"/>
      <c r="KO257"/>
      <c r="KP257"/>
      <c r="KQ257"/>
      <c r="KR257"/>
      <c r="KS257"/>
      <c r="KT257"/>
      <c r="KU257"/>
      <c r="KV257"/>
      <c r="KW257"/>
      <c r="KX257"/>
      <c r="KY257"/>
      <c r="KZ257"/>
      <c r="LA257"/>
      <c r="LB257"/>
      <c r="LC257"/>
      <c r="LD257"/>
      <c r="LE257"/>
      <c r="LF257"/>
      <c r="LG257"/>
      <c r="LH257"/>
      <c r="LI257"/>
      <c r="LJ257"/>
      <c r="LK257"/>
      <c r="LL257"/>
      <c r="LM257"/>
      <c r="LN257"/>
      <c r="LO257"/>
      <c r="LP257"/>
      <c r="LQ257"/>
      <c r="LR257"/>
      <c r="LS257"/>
      <c r="LT257"/>
      <c r="LU257"/>
      <c r="LV257"/>
      <c r="LW257"/>
      <c r="LX257"/>
      <c r="LY257"/>
      <c r="LZ257"/>
      <c r="MA257"/>
      <c r="MB257"/>
      <c r="MC257"/>
      <c r="MD257"/>
      <c r="ME257"/>
      <c r="MF257"/>
      <c r="MG257"/>
      <c r="MH257"/>
      <c r="MI257"/>
      <c r="MJ257"/>
      <c r="MK257"/>
      <c r="ML257"/>
      <c r="MM257"/>
      <c r="MN257"/>
      <c r="MO257"/>
      <c r="MP257"/>
      <c r="MQ257"/>
      <c r="MR257"/>
      <c r="MS257"/>
      <c r="MT257"/>
      <c r="MU257"/>
      <c r="MV257"/>
      <c r="MW257"/>
      <c r="MX257"/>
      <c r="MY257"/>
      <c r="MZ257"/>
      <c r="NA257"/>
      <c r="NB257"/>
      <c r="NC257"/>
      <c r="ND257"/>
      <c r="NE257"/>
      <c r="NF257"/>
      <c r="NG257"/>
      <c r="NH257"/>
      <c r="NI257"/>
      <c r="NJ257"/>
      <c r="NK257"/>
      <c r="NL257"/>
      <c r="NM257"/>
      <c r="NN257"/>
      <c r="NO257"/>
      <c r="NP257"/>
      <c r="NQ257"/>
      <c r="NR257"/>
      <c r="NS257"/>
      <c r="NT257"/>
      <c r="NU257"/>
      <c r="NV257"/>
      <c r="NW257"/>
      <c r="NX257"/>
      <c r="NY257"/>
      <c r="NZ257"/>
      <c r="OA257"/>
      <c r="OB257"/>
      <c r="OC257"/>
      <c r="OD257"/>
      <c r="OE257"/>
      <c r="OF257"/>
      <c r="OG257"/>
      <c r="OH257"/>
      <c r="OI257"/>
      <c r="OJ257"/>
      <c r="OK257"/>
      <c r="OL257"/>
      <c r="OM257"/>
      <c r="ON257"/>
      <c r="OO257"/>
      <c r="OP257"/>
      <c r="OQ257"/>
      <c r="OR257"/>
      <c r="OS257"/>
      <c r="OT257"/>
      <c r="OU257"/>
      <c r="OV257"/>
      <c r="OW257"/>
      <c r="OX257"/>
      <c r="OY257"/>
      <c r="OZ257"/>
      <c r="PA257"/>
      <c r="PB257"/>
      <c r="PC257"/>
      <c r="PD257"/>
      <c r="PE257"/>
      <c r="PF257"/>
      <c r="PG257"/>
      <c r="PH257"/>
      <c r="PI257"/>
      <c r="PJ257"/>
      <c r="PK257"/>
      <c r="PL257"/>
      <c r="PM257"/>
      <c r="PN257"/>
      <c r="PO257"/>
      <c r="PP257"/>
      <c r="PQ257"/>
      <c r="PR257"/>
      <c r="PS257"/>
      <c r="PT257"/>
      <c r="PU257"/>
      <c r="PV257"/>
      <c r="PW257"/>
      <c r="PX257"/>
      <c r="PY257"/>
      <c r="PZ257"/>
      <c r="QA257"/>
      <c r="QB257"/>
      <c r="QC257"/>
      <c r="QD257"/>
      <c r="QE257"/>
      <c r="QF257"/>
      <c r="QG257"/>
      <c r="QH257"/>
      <c r="QI257"/>
      <c r="QJ257"/>
      <c r="QK257"/>
      <c r="QL257"/>
      <c r="QM257"/>
      <c r="QN257"/>
      <c r="QO257"/>
      <c r="QP257"/>
      <c r="QQ257"/>
      <c r="QR257"/>
      <c r="QS257"/>
      <c r="QT257"/>
      <c r="QU257"/>
      <c r="QV257"/>
      <c r="QW257"/>
      <c r="QX257"/>
    </row>
    <row r="258" spans="1:466" x14ac:dyDescent="0.35">
      <c r="A258" s="53"/>
      <c r="B258" s="53"/>
      <c r="C258" s="55"/>
      <c r="D258" s="53"/>
      <c r="E258" s="53"/>
      <c r="F258" s="126" t="s">
        <v>386</v>
      </c>
      <c r="G258" s="125">
        <v>2.3835600000000001</v>
      </c>
      <c r="H258" s="125">
        <v>33.369840000000003</v>
      </c>
      <c r="I258" s="133">
        <v>14</v>
      </c>
      <c r="J258" s="53"/>
      <c r="K258" s="53"/>
      <c r="L258" s="53"/>
      <c r="M258" s="53"/>
      <c r="N258" s="53"/>
      <c r="O258" s="53"/>
      <c r="P258" s="53"/>
      <c r="Q258" s="53"/>
      <c r="R258" s="53"/>
      <c r="S258" s="53"/>
      <c r="T258" s="53"/>
      <c r="U258" s="53"/>
      <c r="V258" s="53"/>
      <c r="W258" s="53"/>
      <c r="X258" s="53"/>
      <c r="Y258" s="53"/>
      <c r="Z258" s="53"/>
      <c r="AA258" s="53"/>
      <c r="AB258" s="53"/>
      <c r="AC258" s="53"/>
      <c r="AD258" s="53"/>
      <c r="AE258" s="53"/>
      <c r="AF258" s="63"/>
      <c r="AG258" s="64"/>
      <c r="AH258" s="65"/>
      <c r="AI258" s="65"/>
      <c r="AJ258" s="53"/>
      <c r="AK258" s="62"/>
      <c r="AL258" s="62"/>
      <c r="AM258" s="62"/>
      <c r="AN258" s="62"/>
      <c r="AO258" s="62"/>
      <c r="AP258" s="62"/>
      <c r="AQ258" s="62"/>
      <c r="AR258" s="62"/>
      <c r="AS258" s="62"/>
      <c r="AT258" s="62"/>
      <c r="AU258" s="62"/>
      <c r="AV258" s="62"/>
      <c r="AW258" s="62"/>
      <c r="AX258" s="62"/>
      <c r="AY258" s="62"/>
      <c r="AZ258" s="62"/>
      <c r="BA258" s="62"/>
      <c r="BB258" s="62"/>
      <c r="BC258" s="62"/>
      <c r="BD258" s="62"/>
      <c r="BE258" s="62"/>
      <c r="BF258" s="62"/>
      <c r="BG258" s="62"/>
      <c r="BH258" s="62"/>
      <c r="BI258" s="62"/>
      <c r="BJ258" s="62"/>
      <c r="BK258" s="62"/>
      <c r="BL258" s="62"/>
      <c r="BM258" s="62"/>
      <c r="BN258" s="62"/>
      <c r="BO258" s="62"/>
      <c r="BP258" s="62"/>
      <c r="BQ258" s="62"/>
      <c r="BR258" s="62"/>
      <c r="BS258" s="62"/>
      <c r="BT258" s="62"/>
      <c r="BU258" s="62"/>
      <c r="BV258" s="62"/>
      <c r="BW258" s="62"/>
      <c r="BX258" s="62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  <c r="HB258"/>
      <c r="HC258"/>
      <c r="HD258"/>
      <c r="HE258"/>
      <c r="HF258"/>
      <c r="HG258"/>
      <c r="HH258"/>
      <c r="HI258"/>
      <c r="HJ258"/>
      <c r="HK258"/>
      <c r="HL258"/>
      <c r="HM258"/>
      <c r="HN258"/>
      <c r="HO258"/>
      <c r="HP258"/>
      <c r="HQ258"/>
      <c r="HR258"/>
      <c r="HS258"/>
      <c r="HT258"/>
      <c r="HU258"/>
      <c r="HV258"/>
      <c r="HW258"/>
      <c r="HX258"/>
      <c r="HY258"/>
      <c r="HZ258"/>
      <c r="IA258"/>
      <c r="IB258"/>
      <c r="IC258"/>
      <c r="ID258"/>
      <c r="IE258"/>
      <c r="IF258"/>
      <c r="IG258"/>
      <c r="IH258"/>
      <c r="II258"/>
      <c r="IJ258"/>
      <c r="IK258"/>
      <c r="IL258"/>
      <c r="IM258"/>
      <c r="IN258"/>
      <c r="IO258"/>
      <c r="IP258"/>
      <c r="IQ258"/>
      <c r="IR258"/>
      <c r="IS258"/>
      <c r="IT258"/>
      <c r="IU258"/>
      <c r="IV258"/>
      <c r="IW258"/>
      <c r="IX258"/>
      <c r="IY258"/>
      <c r="IZ258"/>
      <c r="JA258"/>
      <c r="JB258"/>
      <c r="JC258"/>
      <c r="JD258"/>
      <c r="JE258"/>
      <c r="JF258"/>
      <c r="JG258"/>
      <c r="JH258"/>
      <c r="JI258"/>
      <c r="JJ258"/>
      <c r="JK258"/>
      <c r="JL258"/>
      <c r="JM258"/>
      <c r="JN258"/>
      <c r="JO258"/>
      <c r="JP258"/>
      <c r="JQ258"/>
      <c r="JR258"/>
      <c r="JS258"/>
      <c r="JT258"/>
      <c r="JU258"/>
      <c r="JV258"/>
      <c r="JW258"/>
      <c r="JX258"/>
      <c r="JY258"/>
      <c r="JZ258"/>
      <c r="KA258"/>
      <c r="KB258"/>
      <c r="KC258"/>
      <c r="KD258"/>
      <c r="KE258"/>
      <c r="KF258"/>
      <c r="KG258"/>
      <c r="KH258"/>
      <c r="KI258"/>
      <c r="KJ258"/>
      <c r="KK258"/>
      <c r="KL258"/>
      <c r="KM258"/>
      <c r="KN258"/>
      <c r="KO258"/>
      <c r="KP258"/>
      <c r="KQ258"/>
      <c r="KR258"/>
      <c r="KS258"/>
      <c r="KT258"/>
      <c r="KU258"/>
      <c r="KV258"/>
      <c r="KW258"/>
      <c r="KX258"/>
      <c r="KY258"/>
      <c r="KZ258"/>
      <c r="LA258"/>
      <c r="LB258"/>
      <c r="LC258"/>
      <c r="LD258"/>
      <c r="LE258"/>
      <c r="LF258"/>
      <c r="LG258"/>
      <c r="LH258"/>
      <c r="LI258"/>
      <c r="LJ258"/>
      <c r="LK258"/>
      <c r="LL258"/>
      <c r="LM258"/>
      <c r="LN258"/>
      <c r="LO258"/>
      <c r="LP258"/>
      <c r="LQ258"/>
      <c r="LR258"/>
      <c r="LS258"/>
      <c r="LT258"/>
      <c r="LU258"/>
      <c r="LV258"/>
      <c r="LW258"/>
      <c r="LX258"/>
      <c r="LY258"/>
      <c r="LZ258"/>
      <c r="MA258"/>
      <c r="MB258"/>
      <c r="MC258"/>
      <c r="MD258"/>
      <c r="ME258"/>
      <c r="MF258"/>
      <c r="MG258"/>
      <c r="MH258"/>
      <c r="MI258"/>
      <c r="MJ258"/>
      <c r="MK258"/>
      <c r="ML258"/>
      <c r="MM258"/>
      <c r="MN258"/>
      <c r="MO258"/>
      <c r="MP258"/>
      <c r="MQ258"/>
      <c r="MR258"/>
      <c r="MS258"/>
      <c r="MT258"/>
      <c r="MU258"/>
      <c r="MV258"/>
      <c r="MW258"/>
      <c r="MX258"/>
      <c r="MY258"/>
      <c r="MZ258"/>
      <c r="NA258"/>
      <c r="NB258"/>
      <c r="NC258"/>
      <c r="ND258"/>
      <c r="NE258"/>
      <c r="NF258"/>
      <c r="NG258"/>
      <c r="NH258"/>
      <c r="NI258"/>
      <c r="NJ258"/>
      <c r="NK258"/>
      <c r="NL258"/>
      <c r="NM258"/>
      <c r="NN258"/>
      <c r="NO258"/>
      <c r="NP258"/>
      <c r="NQ258"/>
      <c r="NR258"/>
      <c r="NS258"/>
      <c r="NT258"/>
      <c r="NU258"/>
      <c r="NV258"/>
      <c r="NW258"/>
      <c r="NX258"/>
      <c r="NY258"/>
      <c r="NZ258"/>
      <c r="OA258"/>
      <c r="OB258"/>
      <c r="OC258"/>
      <c r="OD258"/>
      <c r="OE258"/>
      <c r="OF258"/>
      <c r="OG258"/>
      <c r="OH258"/>
      <c r="OI258"/>
      <c r="OJ258"/>
      <c r="OK258"/>
      <c r="OL258"/>
      <c r="OM258"/>
      <c r="ON258"/>
      <c r="OO258"/>
      <c r="OP258"/>
      <c r="OQ258"/>
      <c r="OR258"/>
      <c r="OS258"/>
      <c r="OT258"/>
      <c r="OU258"/>
      <c r="OV258"/>
      <c r="OW258"/>
      <c r="OX258"/>
      <c r="OY258"/>
      <c r="OZ258"/>
      <c r="PA258"/>
      <c r="PB258"/>
      <c r="PC258"/>
      <c r="PD258"/>
      <c r="PE258"/>
      <c r="PF258"/>
      <c r="PG258"/>
      <c r="PH258"/>
      <c r="PI258"/>
      <c r="PJ258"/>
      <c r="PK258"/>
      <c r="PL258"/>
      <c r="PM258"/>
      <c r="PN258"/>
      <c r="PO258"/>
      <c r="PP258"/>
      <c r="PQ258"/>
      <c r="PR258"/>
      <c r="PS258"/>
      <c r="PT258"/>
      <c r="PU258"/>
      <c r="PV258"/>
      <c r="PW258"/>
      <c r="PX258"/>
      <c r="PY258"/>
      <c r="PZ258"/>
      <c r="QA258"/>
      <c r="QB258"/>
      <c r="QC258"/>
      <c r="QD258"/>
      <c r="QE258"/>
      <c r="QF258"/>
      <c r="QG258"/>
      <c r="QH258"/>
      <c r="QI258"/>
      <c r="QJ258"/>
      <c r="QK258"/>
      <c r="QL258"/>
      <c r="QM258"/>
      <c r="QN258"/>
      <c r="QO258"/>
      <c r="QP258"/>
      <c r="QQ258"/>
      <c r="QR258"/>
      <c r="QS258"/>
      <c r="QT258"/>
      <c r="QU258"/>
      <c r="QV258"/>
      <c r="QW258"/>
      <c r="QX258"/>
    </row>
    <row r="259" spans="1:466" x14ac:dyDescent="0.35">
      <c r="A259" s="53"/>
      <c r="B259" s="53"/>
      <c r="C259" s="55"/>
      <c r="D259" s="53"/>
      <c r="E259" s="53"/>
      <c r="F259" s="126" t="s">
        <v>414</v>
      </c>
      <c r="G259" s="125">
        <v>0.54</v>
      </c>
      <c r="H259" s="125">
        <v>623.16000000000008</v>
      </c>
      <c r="I259" s="133">
        <v>1154</v>
      </c>
      <c r="J259" s="53"/>
      <c r="K259" s="53"/>
      <c r="L259" s="53"/>
      <c r="M259" s="53"/>
      <c r="N259" s="53"/>
      <c r="O259" s="53"/>
      <c r="P259" s="53"/>
      <c r="Q259" s="53"/>
      <c r="R259" s="53"/>
      <c r="S259" s="53"/>
      <c r="T259" s="53"/>
      <c r="U259" s="53"/>
      <c r="V259" s="53"/>
      <c r="W259" s="53"/>
      <c r="X259" s="53"/>
      <c r="Y259" s="53"/>
      <c r="Z259" s="53"/>
      <c r="AA259" s="53"/>
      <c r="AB259" s="53"/>
      <c r="AC259" s="53"/>
      <c r="AD259" s="53"/>
      <c r="AE259" s="53"/>
      <c r="AF259" s="63"/>
      <c r="AG259" s="64"/>
      <c r="AH259" s="65"/>
      <c r="AI259" s="65"/>
      <c r="AJ259" s="53"/>
      <c r="AK259" s="62"/>
      <c r="AL259" s="62"/>
      <c r="AM259" s="62"/>
      <c r="AN259" s="62"/>
      <c r="AO259" s="62"/>
      <c r="AP259" s="62"/>
      <c r="AQ259" s="62"/>
      <c r="AR259" s="62"/>
      <c r="AS259" s="62"/>
      <c r="AT259" s="62"/>
      <c r="AU259" s="62"/>
      <c r="AV259" s="62"/>
      <c r="AW259" s="62"/>
      <c r="AX259" s="62"/>
      <c r="AY259" s="62"/>
      <c r="AZ259" s="62"/>
      <c r="BA259" s="62"/>
      <c r="BB259" s="62"/>
      <c r="BC259" s="62"/>
      <c r="BD259" s="62"/>
      <c r="BE259" s="62"/>
      <c r="BF259" s="62"/>
      <c r="BG259" s="62"/>
      <c r="BH259" s="62"/>
      <c r="BI259" s="62"/>
      <c r="BJ259" s="62"/>
      <c r="BK259" s="62"/>
      <c r="BL259" s="62"/>
      <c r="BM259" s="62"/>
      <c r="BN259" s="62"/>
      <c r="BO259" s="62"/>
      <c r="BP259" s="62"/>
      <c r="BQ259" s="62"/>
      <c r="BR259" s="62"/>
      <c r="BS259" s="62"/>
      <c r="BT259" s="62"/>
      <c r="BU259" s="62"/>
      <c r="BV259" s="62"/>
      <c r="BW259" s="62"/>
      <c r="BX259" s="62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  <c r="HB259"/>
      <c r="HC259"/>
      <c r="HD259"/>
      <c r="HE259"/>
      <c r="HF259"/>
      <c r="HG259"/>
      <c r="HH259"/>
      <c r="HI259"/>
      <c r="HJ259"/>
      <c r="HK259"/>
      <c r="HL259"/>
      <c r="HM259"/>
      <c r="HN259"/>
      <c r="HO259"/>
      <c r="HP259"/>
      <c r="HQ259"/>
      <c r="HR259"/>
      <c r="HS259"/>
      <c r="HT259"/>
      <c r="HU259"/>
      <c r="HV259"/>
      <c r="HW259"/>
      <c r="HX259"/>
      <c r="HY259"/>
      <c r="HZ259"/>
      <c r="IA259"/>
      <c r="IB259"/>
      <c r="IC259"/>
      <c r="ID259"/>
      <c r="IE259"/>
      <c r="IF259"/>
      <c r="IG259"/>
      <c r="IH259"/>
      <c r="II259"/>
      <c r="IJ259"/>
      <c r="IK259"/>
      <c r="IL259"/>
      <c r="IM259"/>
      <c r="IN259"/>
      <c r="IO259"/>
      <c r="IP259"/>
      <c r="IQ259"/>
      <c r="IR259"/>
      <c r="IS259"/>
      <c r="IT259"/>
      <c r="IU259"/>
      <c r="IV259"/>
      <c r="IW259"/>
      <c r="IX259"/>
      <c r="IY259"/>
      <c r="IZ259"/>
      <c r="JA259"/>
      <c r="JB259"/>
      <c r="JC259"/>
      <c r="JD259"/>
      <c r="JE259"/>
      <c r="JF259"/>
      <c r="JG259"/>
      <c r="JH259"/>
      <c r="JI259"/>
      <c r="JJ259"/>
      <c r="JK259"/>
      <c r="JL259"/>
      <c r="JM259"/>
      <c r="JN259"/>
      <c r="JO259"/>
      <c r="JP259"/>
      <c r="JQ259"/>
      <c r="JR259"/>
      <c r="JS259"/>
      <c r="JT259"/>
      <c r="JU259"/>
      <c r="JV259"/>
      <c r="JW259"/>
      <c r="JX259"/>
      <c r="JY259"/>
      <c r="JZ259"/>
      <c r="KA259"/>
      <c r="KB259"/>
      <c r="KC259"/>
      <c r="KD259"/>
      <c r="KE259"/>
      <c r="KF259"/>
      <c r="KG259"/>
      <c r="KH259"/>
      <c r="KI259"/>
      <c r="KJ259"/>
      <c r="KK259"/>
      <c r="KL259"/>
      <c r="KM259"/>
      <c r="KN259"/>
      <c r="KO259"/>
      <c r="KP259"/>
      <c r="KQ259"/>
      <c r="KR259"/>
      <c r="KS259"/>
      <c r="KT259"/>
      <c r="KU259"/>
      <c r="KV259"/>
      <c r="KW259"/>
      <c r="KX259"/>
      <c r="KY259"/>
      <c r="KZ259"/>
      <c r="LA259"/>
      <c r="LB259"/>
      <c r="LC259"/>
      <c r="LD259"/>
      <c r="LE259"/>
      <c r="LF259"/>
      <c r="LG259"/>
      <c r="LH259"/>
      <c r="LI259"/>
      <c r="LJ259"/>
      <c r="LK259"/>
      <c r="LL259"/>
      <c r="LM259"/>
      <c r="LN259"/>
      <c r="LO259"/>
      <c r="LP259"/>
      <c r="LQ259"/>
      <c r="LR259"/>
      <c r="LS259"/>
      <c r="LT259"/>
      <c r="LU259"/>
      <c r="LV259"/>
      <c r="LW259"/>
      <c r="LX259"/>
      <c r="LY259"/>
      <c r="LZ259"/>
      <c r="MA259"/>
      <c r="MB259"/>
      <c r="MC259"/>
      <c r="MD259"/>
      <c r="ME259"/>
      <c r="MF259"/>
      <c r="MG259"/>
      <c r="MH259"/>
      <c r="MI259"/>
      <c r="MJ259"/>
      <c r="MK259"/>
      <c r="ML259"/>
      <c r="MM259"/>
      <c r="MN259"/>
      <c r="MO259"/>
      <c r="MP259"/>
      <c r="MQ259"/>
      <c r="MR259"/>
      <c r="MS259"/>
      <c r="MT259"/>
      <c r="MU259"/>
      <c r="MV259"/>
      <c r="MW259"/>
      <c r="MX259"/>
      <c r="MY259"/>
      <c r="MZ259"/>
      <c r="NA259"/>
      <c r="NB259"/>
      <c r="NC259"/>
      <c r="ND259"/>
      <c r="NE259"/>
      <c r="NF259"/>
      <c r="NG259"/>
      <c r="NH259"/>
      <c r="NI259"/>
      <c r="NJ259"/>
      <c r="NK259"/>
      <c r="NL259"/>
      <c r="NM259"/>
      <c r="NN259"/>
      <c r="NO259"/>
      <c r="NP259"/>
      <c r="NQ259"/>
      <c r="NR259"/>
      <c r="NS259"/>
      <c r="NT259"/>
      <c r="NU259"/>
      <c r="NV259"/>
      <c r="NW259"/>
      <c r="NX259"/>
      <c r="NY259"/>
      <c r="NZ259"/>
      <c r="OA259"/>
      <c r="OB259"/>
      <c r="OC259"/>
      <c r="OD259"/>
      <c r="OE259"/>
      <c r="OF259"/>
      <c r="OG259"/>
      <c r="OH259"/>
      <c r="OI259"/>
      <c r="OJ259"/>
      <c r="OK259"/>
      <c r="OL259"/>
      <c r="OM259"/>
      <c r="ON259"/>
      <c r="OO259"/>
      <c r="OP259"/>
      <c r="OQ259"/>
      <c r="OR259"/>
      <c r="OS259"/>
      <c r="OT259"/>
      <c r="OU259"/>
      <c r="OV259"/>
      <c r="OW259"/>
      <c r="OX259"/>
      <c r="OY259"/>
      <c r="OZ259"/>
      <c r="PA259"/>
      <c r="PB259"/>
      <c r="PC259"/>
      <c r="PD259"/>
      <c r="PE259"/>
      <c r="PF259"/>
      <c r="PG259"/>
      <c r="PH259"/>
      <c r="PI259"/>
      <c r="PJ259"/>
      <c r="PK259"/>
      <c r="PL259"/>
      <c r="PM259"/>
      <c r="PN259"/>
      <c r="PO259"/>
      <c r="PP259"/>
      <c r="PQ259"/>
      <c r="PR259"/>
      <c r="PS259"/>
      <c r="PT259"/>
      <c r="PU259"/>
      <c r="PV259"/>
      <c r="PW259"/>
      <c r="PX259"/>
      <c r="PY259"/>
      <c r="PZ259"/>
      <c r="QA259"/>
      <c r="QB259"/>
      <c r="QC259"/>
      <c r="QD259"/>
      <c r="QE259"/>
      <c r="QF259"/>
      <c r="QG259"/>
      <c r="QH259"/>
      <c r="QI259"/>
      <c r="QJ259"/>
      <c r="QK259"/>
      <c r="QL259"/>
      <c r="QM259"/>
      <c r="QN259"/>
      <c r="QO259"/>
      <c r="QP259"/>
      <c r="QQ259"/>
      <c r="QR259"/>
      <c r="QS259"/>
      <c r="QT259"/>
      <c r="QU259"/>
      <c r="QV259"/>
      <c r="QW259"/>
      <c r="QX259"/>
    </row>
    <row r="260" spans="1:466" x14ac:dyDescent="0.35">
      <c r="A260" s="53"/>
      <c r="B260" s="53"/>
      <c r="C260" s="55"/>
      <c r="D260" s="53"/>
      <c r="E260" s="53"/>
      <c r="F260" s="126" t="s">
        <v>416</v>
      </c>
      <c r="G260" s="125">
        <v>0.63600000000000001</v>
      </c>
      <c r="H260" s="125">
        <v>840.79200000000003</v>
      </c>
      <c r="I260" s="133">
        <v>1322</v>
      </c>
      <c r="J260" s="53"/>
      <c r="K260" s="53"/>
      <c r="L260" s="53"/>
      <c r="M260" s="53"/>
      <c r="N260" s="53"/>
      <c r="O260" s="53"/>
      <c r="P260" s="53"/>
      <c r="Q260" s="53"/>
      <c r="R260" s="53"/>
      <c r="S260" s="53"/>
      <c r="T260" s="53"/>
      <c r="U260" s="53"/>
      <c r="V260" s="53"/>
      <c r="W260" s="53"/>
      <c r="X260" s="53"/>
      <c r="Y260" s="53"/>
      <c r="Z260" s="53"/>
      <c r="AA260" s="53"/>
      <c r="AB260" s="53"/>
      <c r="AC260" s="53"/>
      <c r="AD260" s="53"/>
      <c r="AE260" s="53"/>
      <c r="AF260" s="63"/>
      <c r="AG260" s="64"/>
      <c r="AH260" s="65"/>
      <c r="AI260" s="65"/>
      <c r="AJ260" s="53"/>
      <c r="AK260" s="62"/>
      <c r="AL260" s="62"/>
      <c r="AM260" s="62"/>
      <c r="AN260" s="62"/>
      <c r="AO260" s="62"/>
      <c r="AP260" s="62"/>
      <c r="AQ260" s="62"/>
      <c r="AR260" s="62"/>
      <c r="AS260" s="62"/>
      <c r="AT260" s="62"/>
      <c r="AU260" s="62"/>
      <c r="AV260" s="62"/>
      <c r="AW260" s="62"/>
      <c r="AX260" s="62"/>
      <c r="AY260" s="62"/>
      <c r="AZ260" s="62"/>
      <c r="BA260" s="62"/>
      <c r="BB260" s="62"/>
      <c r="BC260" s="62"/>
      <c r="BD260" s="62"/>
      <c r="BE260" s="62"/>
      <c r="BF260" s="62"/>
      <c r="BG260" s="62"/>
      <c r="BH260" s="62"/>
      <c r="BI260" s="62"/>
      <c r="BJ260" s="62"/>
      <c r="BK260" s="62"/>
      <c r="BL260" s="62"/>
      <c r="BM260" s="62"/>
      <c r="BN260" s="62"/>
      <c r="BO260" s="62"/>
      <c r="BP260" s="62"/>
      <c r="BQ260" s="62"/>
      <c r="BR260" s="62"/>
      <c r="BS260" s="62"/>
      <c r="BT260" s="62"/>
      <c r="BU260" s="62"/>
      <c r="BV260" s="62"/>
      <c r="BW260" s="62"/>
      <c r="BX260" s="62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  <c r="HB260"/>
      <c r="HC260"/>
      <c r="HD260"/>
      <c r="HE260"/>
      <c r="HF260"/>
      <c r="HG260"/>
      <c r="HH260"/>
      <c r="HI260"/>
      <c r="HJ260"/>
      <c r="HK260"/>
      <c r="HL260"/>
      <c r="HM260"/>
      <c r="HN260"/>
      <c r="HO260"/>
      <c r="HP260"/>
      <c r="HQ260"/>
      <c r="HR260"/>
      <c r="HS260"/>
      <c r="HT260"/>
      <c r="HU260"/>
      <c r="HV260"/>
      <c r="HW260"/>
      <c r="HX260"/>
      <c r="HY260"/>
      <c r="HZ260"/>
      <c r="IA260"/>
      <c r="IB260"/>
      <c r="IC260"/>
      <c r="ID260"/>
      <c r="IE260"/>
      <c r="IF260"/>
      <c r="IG260"/>
      <c r="IH260"/>
      <c r="II260"/>
      <c r="IJ260"/>
      <c r="IK260"/>
      <c r="IL260"/>
      <c r="IM260"/>
      <c r="IN260"/>
      <c r="IO260"/>
      <c r="IP260"/>
      <c r="IQ260"/>
      <c r="IR260"/>
      <c r="IS260"/>
      <c r="IT260"/>
      <c r="IU260"/>
      <c r="IV260"/>
      <c r="IW260"/>
      <c r="IX260"/>
      <c r="IY260"/>
      <c r="IZ260"/>
      <c r="JA260"/>
      <c r="JB260"/>
      <c r="JC260"/>
      <c r="JD260"/>
      <c r="JE260"/>
      <c r="JF260"/>
      <c r="JG260"/>
      <c r="JH260"/>
      <c r="JI260"/>
      <c r="JJ260"/>
      <c r="JK260"/>
      <c r="JL260"/>
      <c r="JM260"/>
      <c r="JN260"/>
      <c r="JO260"/>
      <c r="JP260"/>
      <c r="JQ260"/>
      <c r="JR260"/>
      <c r="JS260"/>
      <c r="JT260"/>
      <c r="JU260"/>
      <c r="JV260"/>
      <c r="JW260"/>
      <c r="JX260"/>
      <c r="JY260"/>
      <c r="JZ260"/>
      <c r="KA260"/>
      <c r="KB260"/>
      <c r="KC260"/>
      <c r="KD260"/>
      <c r="KE260"/>
      <c r="KF260"/>
      <c r="KG260"/>
      <c r="KH260"/>
      <c r="KI260"/>
      <c r="KJ260"/>
      <c r="KK260"/>
      <c r="KL260"/>
      <c r="KM260"/>
      <c r="KN260"/>
      <c r="KO260"/>
      <c r="KP260"/>
      <c r="KQ260"/>
      <c r="KR260"/>
      <c r="KS260"/>
      <c r="KT260"/>
      <c r="KU260"/>
      <c r="KV260"/>
      <c r="KW260"/>
      <c r="KX260"/>
      <c r="KY260"/>
      <c r="KZ260"/>
      <c r="LA260"/>
      <c r="LB260"/>
      <c r="LC260"/>
      <c r="LD260"/>
      <c r="LE260"/>
      <c r="LF260"/>
      <c r="LG260"/>
      <c r="LH260"/>
      <c r="LI260"/>
      <c r="LJ260"/>
      <c r="LK260"/>
      <c r="LL260"/>
      <c r="LM260"/>
      <c r="LN260"/>
      <c r="LO260"/>
      <c r="LP260"/>
      <c r="LQ260"/>
      <c r="LR260"/>
      <c r="LS260"/>
      <c r="LT260"/>
      <c r="LU260"/>
      <c r="LV260"/>
      <c r="LW260"/>
      <c r="LX260"/>
      <c r="LY260"/>
      <c r="LZ260"/>
      <c r="MA260"/>
      <c r="MB260"/>
      <c r="MC260"/>
      <c r="MD260"/>
      <c r="ME260"/>
      <c r="MF260"/>
      <c r="MG260"/>
      <c r="MH260"/>
      <c r="MI260"/>
      <c r="MJ260"/>
      <c r="MK260"/>
      <c r="ML260"/>
      <c r="MM260"/>
      <c r="MN260"/>
      <c r="MO260"/>
      <c r="MP260"/>
      <c r="MQ260"/>
      <c r="MR260"/>
      <c r="MS260"/>
      <c r="MT260"/>
      <c r="MU260"/>
      <c r="MV260"/>
      <c r="MW260"/>
      <c r="MX260"/>
      <c r="MY260"/>
      <c r="MZ260"/>
      <c r="NA260"/>
      <c r="NB260"/>
      <c r="NC260"/>
      <c r="ND260"/>
      <c r="NE260"/>
      <c r="NF260"/>
      <c r="NG260"/>
      <c r="NH260"/>
      <c r="NI260"/>
      <c r="NJ260"/>
      <c r="NK260"/>
      <c r="NL260"/>
      <c r="NM260"/>
      <c r="NN260"/>
      <c r="NO260"/>
      <c r="NP260"/>
      <c r="NQ260"/>
      <c r="NR260"/>
      <c r="NS260"/>
      <c r="NT260"/>
      <c r="NU260"/>
      <c r="NV260"/>
      <c r="NW260"/>
      <c r="NX260"/>
      <c r="NY260"/>
      <c r="NZ260"/>
      <c r="OA260"/>
      <c r="OB260"/>
      <c r="OC260"/>
      <c r="OD260"/>
      <c r="OE260"/>
      <c r="OF260"/>
      <c r="OG260"/>
      <c r="OH260"/>
      <c r="OI260"/>
      <c r="OJ260"/>
      <c r="OK260"/>
      <c r="OL260"/>
      <c r="OM260"/>
      <c r="ON260"/>
      <c r="OO260"/>
      <c r="OP260"/>
      <c r="OQ260"/>
      <c r="OR260"/>
      <c r="OS260"/>
      <c r="OT260"/>
      <c r="OU260"/>
      <c r="OV260"/>
      <c r="OW260"/>
      <c r="OX260"/>
      <c r="OY260"/>
      <c r="OZ260"/>
      <c r="PA260"/>
      <c r="PB260"/>
      <c r="PC260"/>
      <c r="PD260"/>
      <c r="PE260"/>
      <c r="PF260"/>
      <c r="PG260"/>
      <c r="PH260"/>
      <c r="PI260"/>
      <c r="PJ260"/>
      <c r="PK260"/>
      <c r="PL260"/>
      <c r="PM260"/>
      <c r="PN260"/>
      <c r="PO260"/>
      <c r="PP260"/>
      <c r="PQ260"/>
      <c r="PR260"/>
      <c r="PS260"/>
      <c r="PT260"/>
      <c r="PU260"/>
      <c r="PV260"/>
      <c r="PW260"/>
      <c r="PX260"/>
      <c r="PY260"/>
      <c r="PZ260"/>
      <c r="QA260"/>
      <c r="QB260"/>
      <c r="QC260"/>
      <c r="QD260"/>
      <c r="QE260"/>
      <c r="QF260"/>
      <c r="QG260"/>
      <c r="QH260"/>
      <c r="QI260"/>
      <c r="QJ260"/>
      <c r="QK260"/>
      <c r="QL260"/>
      <c r="QM260"/>
      <c r="QN260"/>
      <c r="QO260"/>
      <c r="QP260"/>
      <c r="QQ260"/>
      <c r="QR260"/>
      <c r="QS260"/>
      <c r="QT260"/>
      <c r="QU260"/>
      <c r="QV260"/>
      <c r="QW260"/>
      <c r="QX260"/>
    </row>
    <row r="261" spans="1:466" x14ac:dyDescent="0.35">
      <c r="A261" s="53"/>
      <c r="B261" s="53"/>
      <c r="C261" s="55"/>
      <c r="D261" s="53"/>
      <c r="E261" s="53"/>
      <c r="F261" s="126" t="s">
        <v>410</v>
      </c>
      <c r="G261" s="125">
        <v>0.49199999999999999</v>
      </c>
      <c r="H261" s="125">
        <v>0</v>
      </c>
      <c r="I261" s="133">
        <v>0</v>
      </c>
      <c r="J261" s="53"/>
      <c r="K261" s="53"/>
      <c r="L261" s="53"/>
      <c r="M261" s="53"/>
      <c r="N261" s="53"/>
      <c r="O261" s="53"/>
      <c r="P261" s="53"/>
      <c r="Q261" s="53"/>
      <c r="R261" s="53"/>
      <c r="S261" s="53"/>
      <c r="T261" s="53"/>
      <c r="U261" s="53"/>
      <c r="V261" s="53"/>
      <c r="W261" s="53"/>
      <c r="X261" s="53"/>
      <c r="Y261" s="53"/>
      <c r="Z261" s="53"/>
      <c r="AA261" s="53"/>
      <c r="AB261" s="53"/>
      <c r="AC261" s="53"/>
      <c r="AD261" s="53"/>
      <c r="AE261" s="53"/>
      <c r="AF261" s="63"/>
      <c r="AG261" s="64"/>
      <c r="AH261" s="65"/>
      <c r="AI261" s="65"/>
      <c r="AJ261" s="53"/>
      <c r="AK261" s="62"/>
      <c r="AL261" s="62"/>
      <c r="AM261" s="62"/>
      <c r="AN261" s="62"/>
      <c r="AO261" s="62"/>
      <c r="AP261" s="62"/>
      <c r="AQ261" s="62"/>
      <c r="AR261" s="62"/>
      <c r="AS261" s="62"/>
      <c r="AT261" s="62"/>
      <c r="AU261" s="62"/>
      <c r="AV261" s="62"/>
      <c r="AW261" s="62"/>
      <c r="AX261" s="62"/>
      <c r="AY261" s="62"/>
      <c r="AZ261" s="62"/>
      <c r="BA261" s="62"/>
      <c r="BB261" s="62"/>
      <c r="BC261" s="62"/>
      <c r="BD261" s="62"/>
      <c r="BE261" s="62"/>
      <c r="BF261" s="62"/>
      <c r="BG261" s="62"/>
      <c r="BH261" s="62"/>
      <c r="BI261" s="62"/>
      <c r="BJ261" s="62"/>
      <c r="BK261" s="62"/>
      <c r="BL261" s="62"/>
      <c r="BM261" s="62"/>
      <c r="BN261" s="62"/>
      <c r="BO261" s="62"/>
      <c r="BP261" s="62"/>
      <c r="BQ261" s="62"/>
      <c r="BR261" s="62"/>
      <c r="BS261" s="62"/>
      <c r="BT261" s="62"/>
      <c r="BU261" s="62"/>
      <c r="BV261" s="62"/>
      <c r="BW261" s="62"/>
      <c r="BX261" s="62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  <c r="HB261"/>
      <c r="HC261"/>
      <c r="HD261"/>
      <c r="HE261"/>
      <c r="HF261"/>
      <c r="HG261"/>
      <c r="HH261"/>
      <c r="HI261"/>
      <c r="HJ261"/>
      <c r="HK261"/>
      <c r="HL261"/>
      <c r="HM261"/>
      <c r="HN261"/>
      <c r="HO261"/>
      <c r="HP261"/>
      <c r="HQ261"/>
      <c r="HR261"/>
      <c r="HS261"/>
      <c r="HT261"/>
      <c r="HU261"/>
      <c r="HV261"/>
      <c r="HW261"/>
      <c r="HX261"/>
      <c r="HY261"/>
      <c r="HZ261"/>
      <c r="IA261"/>
      <c r="IB261"/>
      <c r="IC261"/>
      <c r="ID261"/>
      <c r="IE261"/>
      <c r="IF261"/>
      <c r="IG261"/>
      <c r="IH261"/>
      <c r="II261"/>
      <c r="IJ261"/>
      <c r="IK261"/>
      <c r="IL261"/>
      <c r="IM261"/>
      <c r="IN261"/>
      <c r="IO261"/>
      <c r="IP261"/>
      <c r="IQ261"/>
      <c r="IR261"/>
      <c r="IS261"/>
      <c r="IT261"/>
      <c r="IU261"/>
      <c r="IV261"/>
      <c r="IW261"/>
      <c r="IX261"/>
      <c r="IY261"/>
      <c r="IZ261"/>
      <c r="JA261"/>
      <c r="JB261"/>
      <c r="JC261"/>
      <c r="JD261"/>
      <c r="JE261"/>
      <c r="JF261"/>
      <c r="JG261"/>
      <c r="JH261"/>
      <c r="JI261"/>
      <c r="JJ261"/>
      <c r="JK261"/>
      <c r="JL261"/>
      <c r="JM261"/>
      <c r="JN261"/>
      <c r="JO261"/>
      <c r="JP261"/>
      <c r="JQ261"/>
      <c r="JR261"/>
      <c r="JS261"/>
      <c r="JT261"/>
      <c r="JU261"/>
      <c r="JV261"/>
      <c r="JW261"/>
      <c r="JX261"/>
      <c r="JY261"/>
      <c r="JZ261"/>
      <c r="KA261"/>
      <c r="KB261"/>
      <c r="KC261"/>
      <c r="KD261"/>
      <c r="KE261"/>
      <c r="KF261"/>
      <c r="KG261"/>
      <c r="KH261"/>
      <c r="KI261"/>
      <c r="KJ261"/>
      <c r="KK261"/>
      <c r="KL261"/>
      <c r="KM261"/>
      <c r="KN261"/>
      <c r="KO261"/>
      <c r="KP261"/>
      <c r="KQ261"/>
      <c r="KR261"/>
      <c r="KS261"/>
      <c r="KT261"/>
      <c r="KU261"/>
      <c r="KV261"/>
      <c r="KW261"/>
      <c r="KX261"/>
      <c r="KY261"/>
      <c r="KZ261"/>
      <c r="LA261"/>
      <c r="LB261"/>
      <c r="LC261"/>
      <c r="LD261"/>
      <c r="LE261"/>
      <c r="LF261"/>
      <c r="LG261"/>
      <c r="LH261"/>
      <c r="LI261"/>
      <c r="LJ261"/>
      <c r="LK261"/>
      <c r="LL261"/>
      <c r="LM261"/>
      <c r="LN261"/>
      <c r="LO261"/>
      <c r="LP261"/>
      <c r="LQ261"/>
      <c r="LR261"/>
      <c r="LS261"/>
      <c r="LT261"/>
      <c r="LU261"/>
      <c r="LV261"/>
      <c r="LW261"/>
      <c r="LX261"/>
      <c r="LY261"/>
      <c r="LZ261"/>
      <c r="MA261"/>
      <c r="MB261"/>
      <c r="MC261"/>
      <c r="MD261"/>
      <c r="ME261"/>
      <c r="MF261"/>
      <c r="MG261"/>
      <c r="MH261"/>
      <c r="MI261"/>
      <c r="MJ261"/>
      <c r="MK261"/>
      <c r="ML261"/>
      <c r="MM261"/>
      <c r="MN261"/>
      <c r="MO261"/>
      <c r="MP261"/>
      <c r="MQ261"/>
      <c r="MR261"/>
      <c r="MS261"/>
      <c r="MT261"/>
      <c r="MU261"/>
      <c r="MV261"/>
      <c r="MW261"/>
      <c r="MX261"/>
      <c r="MY261"/>
      <c r="MZ261"/>
      <c r="NA261"/>
      <c r="NB261"/>
      <c r="NC261"/>
      <c r="ND261"/>
      <c r="NE261"/>
      <c r="NF261"/>
      <c r="NG261"/>
      <c r="NH261"/>
      <c r="NI261"/>
      <c r="NJ261"/>
      <c r="NK261"/>
      <c r="NL261"/>
      <c r="NM261"/>
      <c r="NN261"/>
      <c r="NO261"/>
      <c r="NP261"/>
      <c r="NQ261"/>
      <c r="NR261"/>
      <c r="NS261"/>
      <c r="NT261"/>
      <c r="NU261"/>
      <c r="NV261"/>
      <c r="NW261"/>
      <c r="NX261"/>
      <c r="NY261"/>
      <c r="NZ261"/>
      <c r="OA261"/>
      <c r="OB261"/>
      <c r="OC261"/>
      <c r="OD261"/>
      <c r="OE261"/>
      <c r="OF261"/>
      <c r="OG261"/>
      <c r="OH261"/>
      <c r="OI261"/>
      <c r="OJ261"/>
      <c r="OK261"/>
      <c r="OL261"/>
      <c r="OM261"/>
      <c r="ON261"/>
      <c r="OO261"/>
      <c r="OP261"/>
      <c r="OQ261"/>
      <c r="OR261"/>
      <c r="OS261"/>
      <c r="OT261"/>
      <c r="OU261"/>
      <c r="OV261"/>
      <c r="OW261"/>
      <c r="OX261"/>
      <c r="OY261"/>
      <c r="OZ261"/>
      <c r="PA261"/>
      <c r="PB261"/>
      <c r="PC261"/>
      <c r="PD261"/>
      <c r="PE261"/>
      <c r="PF261"/>
      <c r="PG261"/>
      <c r="PH261"/>
      <c r="PI261"/>
      <c r="PJ261"/>
      <c r="PK261"/>
      <c r="PL261"/>
      <c r="PM261"/>
      <c r="PN261"/>
      <c r="PO261"/>
      <c r="PP261"/>
      <c r="PQ261"/>
      <c r="PR261"/>
      <c r="PS261"/>
      <c r="PT261"/>
      <c r="PU261"/>
      <c r="PV261"/>
      <c r="PW261"/>
      <c r="PX261"/>
      <c r="PY261"/>
      <c r="PZ261"/>
      <c r="QA261"/>
      <c r="QB261"/>
      <c r="QC261"/>
      <c r="QD261"/>
      <c r="QE261"/>
      <c r="QF261"/>
      <c r="QG261"/>
      <c r="QH261"/>
      <c r="QI261"/>
      <c r="QJ261"/>
      <c r="QK261"/>
      <c r="QL261"/>
      <c r="QM261"/>
      <c r="QN261"/>
      <c r="QO261"/>
      <c r="QP261"/>
      <c r="QQ261"/>
      <c r="QR261"/>
      <c r="QS261"/>
      <c r="QT261"/>
      <c r="QU261"/>
      <c r="QV261"/>
      <c r="QW261"/>
      <c r="QX261"/>
    </row>
    <row r="262" spans="1:466" x14ac:dyDescent="0.35">
      <c r="A262" s="53"/>
      <c r="B262" s="53"/>
      <c r="C262" s="55"/>
      <c r="D262" s="53"/>
      <c r="E262" s="53"/>
      <c r="F262" s="126" t="s">
        <v>400</v>
      </c>
      <c r="G262" s="125">
        <v>0.156</v>
      </c>
      <c r="H262" s="125">
        <v>125.42400000000001</v>
      </c>
      <c r="I262" s="133">
        <v>804</v>
      </c>
      <c r="J262" s="53"/>
      <c r="K262" s="53"/>
      <c r="L262" s="53"/>
      <c r="M262" s="53"/>
      <c r="N262" s="53"/>
      <c r="O262" s="53"/>
      <c r="P262" s="53"/>
      <c r="Q262" s="53"/>
      <c r="R262" s="53"/>
      <c r="S262" s="53"/>
      <c r="T262" s="53"/>
      <c r="U262" s="53"/>
      <c r="V262" s="53"/>
      <c r="W262" s="53"/>
      <c r="X262" s="53"/>
      <c r="Y262" s="53"/>
      <c r="Z262" s="53"/>
      <c r="AA262" s="53"/>
      <c r="AB262" s="53"/>
      <c r="AC262" s="53"/>
      <c r="AD262" s="53"/>
      <c r="AE262" s="53"/>
      <c r="AF262" s="63"/>
      <c r="AG262" s="64"/>
      <c r="AH262" s="65"/>
      <c r="AI262" s="65"/>
      <c r="AJ262" s="53"/>
      <c r="AK262" s="62"/>
      <c r="AL262" s="62"/>
      <c r="AM262" s="62"/>
      <c r="AN262" s="62"/>
      <c r="AO262" s="62"/>
      <c r="AP262" s="62"/>
      <c r="AQ262" s="62"/>
      <c r="AR262" s="62"/>
      <c r="AS262" s="62"/>
      <c r="AT262" s="62"/>
      <c r="AU262" s="62"/>
      <c r="AV262" s="62"/>
      <c r="AW262" s="62"/>
      <c r="AX262" s="62"/>
      <c r="AY262" s="62"/>
      <c r="AZ262" s="62"/>
      <c r="BA262" s="62"/>
      <c r="BB262" s="62"/>
      <c r="BC262" s="62"/>
      <c r="BD262" s="62"/>
      <c r="BE262" s="62"/>
      <c r="BF262" s="62"/>
      <c r="BG262" s="62"/>
      <c r="BH262" s="62"/>
      <c r="BI262" s="62"/>
      <c r="BJ262" s="62"/>
      <c r="BK262" s="62"/>
      <c r="BL262" s="62"/>
      <c r="BM262" s="62"/>
      <c r="BN262" s="62"/>
      <c r="BO262" s="62"/>
      <c r="BP262" s="62"/>
      <c r="BQ262" s="62"/>
      <c r="BR262" s="62"/>
      <c r="BS262" s="62"/>
      <c r="BT262" s="62"/>
      <c r="BU262" s="62"/>
      <c r="BV262" s="62"/>
      <c r="BW262" s="62"/>
      <c r="BX262" s="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  <c r="HB262"/>
      <c r="HC262"/>
      <c r="HD262"/>
      <c r="HE262"/>
      <c r="HF262"/>
      <c r="HG262"/>
      <c r="HH262"/>
      <c r="HI262"/>
      <c r="HJ262"/>
      <c r="HK262"/>
      <c r="HL262"/>
      <c r="HM262"/>
      <c r="HN262"/>
      <c r="HO262"/>
      <c r="HP262"/>
      <c r="HQ262"/>
      <c r="HR262"/>
      <c r="HS262"/>
      <c r="HT262"/>
      <c r="HU262"/>
      <c r="HV262"/>
      <c r="HW262"/>
      <c r="HX262"/>
      <c r="HY262"/>
      <c r="HZ262"/>
      <c r="IA262"/>
      <c r="IB262"/>
      <c r="IC262"/>
      <c r="ID262"/>
      <c r="IE262"/>
      <c r="IF262"/>
      <c r="IG262"/>
      <c r="IH262"/>
      <c r="II262"/>
      <c r="IJ262"/>
      <c r="IK262"/>
      <c r="IL262"/>
      <c r="IM262"/>
      <c r="IN262"/>
      <c r="IO262"/>
      <c r="IP262"/>
      <c r="IQ262"/>
      <c r="IR262"/>
      <c r="IS262"/>
      <c r="IT262"/>
      <c r="IU262"/>
      <c r="IV262"/>
      <c r="IW262"/>
      <c r="IX262"/>
      <c r="IY262"/>
      <c r="IZ262"/>
      <c r="JA262"/>
      <c r="JB262"/>
      <c r="JC262"/>
      <c r="JD262"/>
      <c r="JE262"/>
      <c r="JF262"/>
      <c r="JG262"/>
      <c r="JH262"/>
      <c r="JI262"/>
      <c r="JJ262"/>
      <c r="JK262"/>
      <c r="JL262"/>
      <c r="JM262"/>
      <c r="JN262"/>
      <c r="JO262"/>
      <c r="JP262"/>
      <c r="JQ262"/>
      <c r="JR262"/>
      <c r="JS262"/>
      <c r="JT262"/>
      <c r="JU262"/>
      <c r="JV262"/>
      <c r="JW262"/>
      <c r="JX262"/>
      <c r="JY262"/>
      <c r="JZ262"/>
      <c r="KA262"/>
      <c r="KB262"/>
      <c r="KC262"/>
      <c r="KD262"/>
      <c r="KE262"/>
      <c r="KF262"/>
      <c r="KG262"/>
      <c r="KH262"/>
      <c r="KI262"/>
      <c r="KJ262"/>
      <c r="KK262"/>
      <c r="KL262"/>
      <c r="KM262"/>
      <c r="KN262"/>
      <c r="KO262"/>
      <c r="KP262"/>
      <c r="KQ262"/>
      <c r="KR262"/>
      <c r="KS262"/>
      <c r="KT262"/>
      <c r="KU262"/>
      <c r="KV262"/>
      <c r="KW262"/>
      <c r="KX262"/>
      <c r="KY262"/>
      <c r="KZ262"/>
      <c r="LA262"/>
      <c r="LB262"/>
      <c r="LC262"/>
      <c r="LD262"/>
      <c r="LE262"/>
      <c r="LF262"/>
      <c r="LG262"/>
      <c r="LH262"/>
      <c r="LI262"/>
      <c r="LJ262"/>
      <c r="LK262"/>
      <c r="LL262"/>
      <c r="LM262"/>
      <c r="LN262"/>
      <c r="LO262"/>
      <c r="LP262"/>
      <c r="LQ262"/>
      <c r="LR262"/>
      <c r="LS262"/>
      <c r="LT262"/>
      <c r="LU262"/>
      <c r="LV262"/>
      <c r="LW262"/>
      <c r="LX262"/>
      <c r="LY262"/>
      <c r="LZ262"/>
      <c r="MA262"/>
      <c r="MB262"/>
      <c r="MC262"/>
      <c r="MD262"/>
      <c r="ME262"/>
      <c r="MF262"/>
      <c r="MG262"/>
      <c r="MH262"/>
      <c r="MI262"/>
      <c r="MJ262"/>
      <c r="MK262"/>
      <c r="ML262"/>
      <c r="MM262"/>
      <c r="MN262"/>
      <c r="MO262"/>
      <c r="MP262"/>
      <c r="MQ262"/>
      <c r="MR262"/>
      <c r="MS262"/>
      <c r="MT262"/>
      <c r="MU262"/>
      <c r="MV262"/>
      <c r="MW262"/>
      <c r="MX262"/>
      <c r="MY262"/>
      <c r="MZ262"/>
      <c r="NA262"/>
      <c r="NB262"/>
      <c r="NC262"/>
      <c r="ND262"/>
      <c r="NE262"/>
      <c r="NF262"/>
      <c r="NG262"/>
      <c r="NH262"/>
      <c r="NI262"/>
      <c r="NJ262"/>
      <c r="NK262"/>
      <c r="NL262"/>
      <c r="NM262"/>
      <c r="NN262"/>
      <c r="NO262"/>
      <c r="NP262"/>
      <c r="NQ262"/>
      <c r="NR262"/>
      <c r="NS262"/>
      <c r="NT262"/>
      <c r="NU262"/>
      <c r="NV262"/>
      <c r="NW262"/>
      <c r="NX262"/>
      <c r="NY262"/>
      <c r="NZ262"/>
      <c r="OA262"/>
      <c r="OB262"/>
      <c r="OC262"/>
      <c r="OD262"/>
      <c r="OE262"/>
      <c r="OF262"/>
      <c r="OG262"/>
      <c r="OH262"/>
      <c r="OI262"/>
      <c r="OJ262"/>
      <c r="OK262"/>
      <c r="OL262"/>
      <c r="OM262"/>
      <c r="ON262"/>
      <c r="OO262"/>
      <c r="OP262"/>
      <c r="OQ262"/>
      <c r="OR262"/>
      <c r="OS262"/>
      <c r="OT262"/>
      <c r="OU262"/>
      <c r="OV262"/>
      <c r="OW262"/>
      <c r="OX262"/>
      <c r="OY262"/>
      <c r="OZ262"/>
      <c r="PA262"/>
      <c r="PB262"/>
      <c r="PC262"/>
      <c r="PD262"/>
      <c r="PE262"/>
      <c r="PF262"/>
      <c r="PG262"/>
      <c r="PH262"/>
      <c r="PI262"/>
      <c r="PJ262"/>
      <c r="PK262"/>
      <c r="PL262"/>
      <c r="PM262"/>
      <c r="PN262"/>
      <c r="PO262"/>
      <c r="PP262"/>
      <c r="PQ262"/>
      <c r="PR262"/>
      <c r="PS262"/>
      <c r="PT262"/>
      <c r="PU262"/>
      <c r="PV262"/>
      <c r="PW262"/>
      <c r="PX262"/>
      <c r="PY262"/>
      <c r="PZ262"/>
      <c r="QA262"/>
      <c r="QB262"/>
      <c r="QC262"/>
      <c r="QD262"/>
      <c r="QE262"/>
      <c r="QF262"/>
      <c r="QG262"/>
      <c r="QH262"/>
      <c r="QI262"/>
      <c r="QJ262"/>
      <c r="QK262"/>
      <c r="QL262"/>
      <c r="QM262"/>
      <c r="QN262"/>
      <c r="QO262"/>
      <c r="QP262"/>
      <c r="QQ262"/>
      <c r="QR262"/>
      <c r="QS262"/>
      <c r="QT262"/>
      <c r="QU262"/>
      <c r="QV262"/>
      <c r="QW262"/>
      <c r="QX262"/>
    </row>
    <row r="263" spans="1:466" x14ac:dyDescent="0.35">
      <c r="A263" s="53"/>
      <c r="B263" s="53"/>
      <c r="C263" s="55"/>
      <c r="D263" s="53"/>
      <c r="E263" s="53"/>
      <c r="F263" s="126" t="s">
        <v>402</v>
      </c>
      <c r="G263" s="125">
        <v>0.18</v>
      </c>
      <c r="H263" s="125">
        <v>174.42</v>
      </c>
      <c r="I263" s="133">
        <v>969</v>
      </c>
      <c r="J263" s="53"/>
      <c r="K263" s="53"/>
      <c r="L263" s="53"/>
      <c r="M263" s="53"/>
      <c r="N263" s="53"/>
      <c r="O263" s="53"/>
      <c r="P263" s="53"/>
      <c r="Q263" s="53"/>
      <c r="R263" s="53"/>
      <c r="S263" s="53"/>
      <c r="T263" s="53"/>
      <c r="U263" s="53"/>
      <c r="V263" s="53"/>
      <c r="W263" s="53"/>
      <c r="X263" s="53"/>
      <c r="Y263" s="53"/>
      <c r="Z263" s="53"/>
      <c r="AA263" s="53"/>
      <c r="AB263" s="53"/>
      <c r="AC263" s="53"/>
      <c r="AD263" s="53"/>
      <c r="AE263" s="53"/>
      <c r="AF263" s="63"/>
      <c r="AG263" s="64"/>
      <c r="AH263" s="65"/>
      <c r="AI263" s="65"/>
      <c r="AJ263" s="53"/>
      <c r="AK263" s="62"/>
      <c r="AL263" s="62"/>
      <c r="AM263" s="62"/>
      <c r="AN263" s="62"/>
      <c r="AO263" s="62"/>
      <c r="AP263" s="62"/>
      <c r="AQ263" s="62"/>
      <c r="AR263" s="62"/>
      <c r="AS263" s="62"/>
      <c r="AT263" s="62"/>
      <c r="AU263" s="62"/>
      <c r="AV263" s="62"/>
      <c r="AW263" s="62"/>
      <c r="AX263" s="62"/>
      <c r="AY263" s="62"/>
      <c r="AZ263" s="62"/>
      <c r="BA263" s="62"/>
      <c r="BB263" s="62"/>
      <c r="BC263" s="62"/>
      <c r="BD263" s="62"/>
      <c r="BE263" s="62"/>
      <c r="BF263" s="62"/>
      <c r="BG263" s="62"/>
      <c r="BH263" s="62"/>
      <c r="BI263" s="62"/>
      <c r="BJ263" s="62"/>
      <c r="BK263" s="62"/>
      <c r="BL263" s="62"/>
      <c r="BM263" s="62"/>
      <c r="BN263" s="62"/>
      <c r="BO263" s="62"/>
      <c r="BP263" s="62"/>
      <c r="BQ263" s="62"/>
      <c r="BR263" s="62"/>
      <c r="BS263" s="62"/>
      <c r="BT263" s="62"/>
      <c r="BU263" s="62"/>
      <c r="BV263" s="62"/>
      <c r="BW263" s="62"/>
      <c r="BX263" s="62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  <c r="HB263"/>
      <c r="HC263"/>
      <c r="HD263"/>
      <c r="HE263"/>
      <c r="HF263"/>
      <c r="HG263"/>
      <c r="HH263"/>
      <c r="HI263"/>
      <c r="HJ263"/>
      <c r="HK263"/>
      <c r="HL263"/>
      <c r="HM263"/>
      <c r="HN263"/>
      <c r="HO263"/>
      <c r="HP263"/>
      <c r="HQ263"/>
      <c r="HR263"/>
      <c r="HS263"/>
      <c r="HT263"/>
      <c r="HU263"/>
      <c r="HV263"/>
      <c r="HW263"/>
      <c r="HX263"/>
      <c r="HY263"/>
      <c r="HZ263"/>
      <c r="IA263"/>
      <c r="IB263"/>
      <c r="IC263"/>
      <c r="ID263"/>
      <c r="IE263"/>
      <c r="IF263"/>
      <c r="IG263"/>
      <c r="IH263"/>
      <c r="II263"/>
      <c r="IJ263"/>
      <c r="IK263"/>
      <c r="IL263"/>
      <c r="IM263"/>
      <c r="IN263"/>
      <c r="IO263"/>
      <c r="IP263"/>
      <c r="IQ263"/>
      <c r="IR263"/>
      <c r="IS263"/>
      <c r="IT263"/>
      <c r="IU263"/>
      <c r="IV263"/>
      <c r="IW263"/>
      <c r="IX263"/>
      <c r="IY263"/>
      <c r="IZ263"/>
      <c r="JA263"/>
      <c r="JB263"/>
      <c r="JC263"/>
      <c r="JD263"/>
      <c r="JE263"/>
      <c r="JF263"/>
      <c r="JG263"/>
      <c r="JH263"/>
      <c r="JI263"/>
      <c r="JJ263"/>
      <c r="JK263"/>
      <c r="JL263"/>
      <c r="JM263"/>
      <c r="JN263"/>
      <c r="JO263"/>
      <c r="JP263"/>
      <c r="JQ263"/>
      <c r="JR263"/>
      <c r="JS263"/>
      <c r="JT263"/>
      <c r="JU263"/>
      <c r="JV263"/>
      <c r="JW263"/>
      <c r="JX263"/>
      <c r="JY263"/>
      <c r="JZ263"/>
      <c r="KA263"/>
      <c r="KB263"/>
      <c r="KC263"/>
      <c r="KD263"/>
      <c r="KE263"/>
      <c r="KF263"/>
      <c r="KG263"/>
      <c r="KH263"/>
      <c r="KI263"/>
      <c r="KJ263"/>
      <c r="KK263"/>
      <c r="KL263"/>
      <c r="KM263"/>
      <c r="KN263"/>
      <c r="KO263"/>
      <c r="KP263"/>
      <c r="KQ263"/>
      <c r="KR263"/>
      <c r="KS263"/>
      <c r="KT263"/>
      <c r="KU263"/>
      <c r="KV263"/>
      <c r="KW263"/>
      <c r="KX263"/>
      <c r="KY263"/>
      <c r="KZ263"/>
      <c r="LA263"/>
      <c r="LB263"/>
      <c r="LC263"/>
      <c r="LD263"/>
      <c r="LE263"/>
      <c r="LF263"/>
      <c r="LG263"/>
      <c r="LH263"/>
      <c r="LI263"/>
      <c r="LJ263"/>
      <c r="LK263"/>
      <c r="LL263"/>
      <c r="LM263"/>
      <c r="LN263"/>
      <c r="LO263"/>
      <c r="LP263"/>
      <c r="LQ263"/>
      <c r="LR263"/>
      <c r="LS263"/>
      <c r="LT263"/>
      <c r="LU263"/>
      <c r="LV263"/>
      <c r="LW263"/>
      <c r="LX263"/>
      <c r="LY263"/>
      <c r="LZ263"/>
      <c r="MA263"/>
      <c r="MB263"/>
      <c r="MC263"/>
      <c r="MD263"/>
      <c r="ME263"/>
      <c r="MF263"/>
      <c r="MG263"/>
      <c r="MH263"/>
      <c r="MI263"/>
      <c r="MJ263"/>
      <c r="MK263"/>
      <c r="ML263"/>
      <c r="MM263"/>
      <c r="MN263"/>
      <c r="MO263"/>
      <c r="MP263"/>
      <c r="MQ263"/>
      <c r="MR263"/>
      <c r="MS263"/>
      <c r="MT263"/>
      <c r="MU263"/>
      <c r="MV263"/>
      <c r="MW263"/>
      <c r="MX263"/>
      <c r="MY263"/>
      <c r="MZ263"/>
      <c r="NA263"/>
      <c r="NB263"/>
      <c r="NC263"/>
      <c r="ND263"/>
      <c r="NE263"/>
      <c r="NF263"/>
      <c r="NG263"/>
      <c r="NH263"/>
      <c r="NI263"/>
      <c r="NJ263"/>
      <c r="NK263"/>
      <c r="NL263"/>
      <c r="NM263"/>
      <c r="NN263"/>
      <c r="NO263"/>
      <c r="NP263"/>
      <c r="NQ263"/>
      <c r="NR263"/>
      <c r="NS263"/>
      <c r="NT263"/>
      <c r="NU263"/>
      <c r="NV263"/>
      <c r="NW263"/>
      <c r="NX263"/>
      <c r="NY263"/>
      <c r="NZ263"/>
      <c r="OA263"/>
      <c r="OB263"/>
      <c r="OC263"/>
      <c r="OD263"/>
      <c r="OE263"/>
      <c r="OF263"/>
      <c r="OG263"/>
      <c r="OH263"/>
      <c r="OI263"/>
      <c r="OJ263"/>
      <c r="OK263"/>
      <c r="OL263"/>
      <c r="OM263"/>
      <c r="ON263"/>
      <c r="OO263"/>
      <c r="OP263"/>
      <c r="OQ263"/>
      <c r="OR263"/>
      <c r="OS263"/>
      <c r="OT263"/>
      <c r="OU263"/>
      <c r="OV263"/>
      <c r="OW263"/>
      <c r="OX263"/>
      <c r="OY263"/>
      <c r="OZ263"/>
      <c r="PA263"/>
      <c r="PB263"/>
      <c r="PC263"/>
      <c r="PD263"/>
      <c r="PE263"/>
      <c r="PF263"/>
      <c r="PG263"/>
      <c r="PH263"/>
      <c r="PI263"/>
      <c r="PJ263"/>
      <c r="PK263"/>
      <c r="PL263"/>
      <c r="PM263"/>
      <c r="PN263"/>
      <c r="PO263"/>
      <c r="PP263"/>
      <c r="PQ263"/>
      <c r="PR263"/>
      <c r="PS263"/>
      <c r="PT263"/>
      <c r="PU263"/>
      <c r="PV263"/>
      <c r="PW263"/>
      <c r="PX263"/>
      <c r="PY263"/>
      <c r="PZ263"/>
      <c r="QA263"/>
      <c r="QB263"/>
      <c r="QC263"/>
      <c r="QD263"/>
      <c r="QE263"/>
      <c r="QF263"/>
      <c r="QG263"/>
      <c r="QH263"/>
      <c r="QI263"/>
      <c r="QJ263"/>
      <c r="QK263"/>
      <c r="QL263"/>
      <c r="QM263"/>
      <c r="QN263"/>
      <c r="QO263"/>
      <c r="QP263"/>
      <c r="QQ263"/>
      <c r="QR263"/>
      <c r="QS263"/>
      <c r="QT263"/>
      <c r="QU263"/>
      <c r="QV263"/>
      <c r="QW263"/>
      <c r="QX263"/>
    </row>
    <row r="264" spans="1:466" x14ac:dyDescent="0.35">
      <c r="A264" s="53"/>
      <c r="B264" s="53"/>
      <c r="C264" s="55"/>
      <c r="D264" s="53"/>
      <c r="E264" s="53"/>
      <c r="F264" s="126" t="s">
        <v>398</v>
      </c>
      <c r="G264" s="125">
        <v>0.14399999999999999</v>
      </c>
      <c r="H264" s="125">
        <v>23.471999999999998</v>
      </c>
      <c r="I264" s="133">
        <v>163</v>
      </c>
      <c r="J264" s="53"/>
      <c r="K264" s="53"/>
      <c r="L264" s="53"/>
      <c r="M264" s="53"/>
      <c r="N264" s="53"/>
      <c r="O264" s="53"/>
      <c r="P264" s="53"/>
      <c r="Q264" s="53"/>
      <c r="R264" s="53"/>
      <c r="S264" s="53"/>
      <c r="T264" s="53"/>
      <c r="U264" s="53"/>
      <c r="V264" s="53"/>
      <c r="W264" s="53"/>
      <c r="X264" s="53"/>
      <c r="Y264" s="53"/>
      <c r="Z264" s="53"/>
      <c r="AA264" s="53"/>
      <c r="AB264" s="53"/>
      <c r="AC264" s="53"/>
      <c r="AD264" s="53"/>
      <c r="AE264" s="53"/>
      <c r="AF264" s="63"/>
      <c r="AG264" s="64"/>
      <c r="AH264" s="65"/>
      <c r="AI264" s="65"/>
      <c r="AJ264" s="53"/>
      <c r="AK264" s="62"/>
      <c r="AL264" s="62"/>
      <c r="AM264" s="62"/>
      <c r="AN264" s="62"/>
      <c r="AO264" s="62"/>
      <c r="AP264" s="62"/>
      <c r="AQ264" s="62"/>
      <c r="AR264" s="62"/>
      <c r="AS264" s="62"/>
      <c r="AT264" s="62"/>
      <c r="AU264" s="62"/>
      <c r="AV264" s="62"/>
      <c r="AW264" s="62"/>
      <c r="AX264" s="62"/>
      <c r="AY264" s="62"/>
      <c r="AZ264" s="62"/>
      <c r="BA264" s="62"/>
      <c r="BB264" s="62"/>
      <c r="BC264" s="62"/>
      <c r="BD264" s="62"/>
      <c r="BE264" s="62"/>
      <c r="BF264" s="62"/>
      <c r="BG264" s="62"/>
      <c r="BH264" s="62"/>
      <c r="BI264" s="62"/>
      <c r="BJ264" s="62"/>
      <c r="BK264" s="62"/>
      <c r="BL264" s="62"/>
      <c r="BM264" s="62"/>
      <c r="BN264" s="62"/>
      <c r="BO264" s="62"/>
      <c r="BP264" s="62"/>
      <c r="BQ264" s="62"/>
      <c r="BR264" s="62"/>
      <c r="BS264" s="62"/>
      <c r="BT264" s="62"/>
      <c r="BU264" s="62"/>
      <c r="BV264" s="62"/>
      <c r="BW264" s="62"/>
      <c r="BX264" s="62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  <c r="HB264"/>
      <c r="HC264"/>
      <c r="HD264"/>
      <c r="HE264"/>
      <c r="HF264"/>
      <c r="HG264"/>
      <c r="HH264"/>
      <c r="HI264"/>
      <c r="HJ264"/>
      <c r="HK264"/>
      <c r="HL264"/>
      <c r="HM264"/>
      <c r="HN264"/>
      <c r="HO264"/>
      <c r="HP264"/>
      <c r="HQ264"/>
      <c r="HR264"/>
      <c r="HS264"/>
      <c r="HT264"/>
      <c r="HU264"/>
      <c r="HV264"/>
      <c r="HW264"/>
      <c r="HX264"/>
      <c r="HY264"/>
      <c r="HZ264"/>
      <c r="IA264"/>
      <c r="IB264"/>
      <c r="IC264"/>
      <c r="ID264"/>
      <c r="IE264"/>
      <c r="IF264"/>
      <c r="IG264"/>
      <c r="IH264"/>
      <c r="II264"/>
      <c r="IJ264"/>
      <c r="IK264"/>
      <c r="IL264"/>
      <c r="IM264"/>
      <c r="IN264"/>
      <c r="IO264"/>
      <c r="IP264"/>
      <c r="IQ264"/>
      <c r="IR264"/>
      <c r="IS264"/>
      <c r="IT264"/>
      <c r="IU264"/>
      <c r="IV264"/>
      <c r="IW264"/>
      <c r="IX264"/>
      <c r="IY264"/>
      <c r="IZ264"/>
      <c r="JA264"/>
      <c r="JB264"/>
      <c r="JC264"/>
      <c r="JD264"/>
      <c r="JE264"/>
      <c r="JF264"/>
      <c r="JG264"/>
      <c r="JH264"/>
      <c r="JI264"/>
      <c r="JJ264"/>
      <c r="JK264"/>
      <c r="JL264"/>
      <c r="JM264"/>
      <c r="JN264"/>
      <c r="JO264"/>
      <c r="JP264"/>
      <c r="JQ264"/>
      <c r="JR264"/>
      <c r="JS264"/>
      <c r="JT264"/>
      <c r="JU264"/>
      <c r="JV264"/>
      <c r="JW264"/>
      <c r="JX264"/>
      <c r="JY264"/>
      <c r="JZ264"/>
      <c r="KA264"/>
      <c r="KB264"/>
      <c r="KC264"/>
      <c r="KD264"/>
      <c r="KE264"/>
      <c r="KF264"/>
      <c r="KG264"/>
      <c r="KH264"/>
      <c r="KI264"/>
      <c r="KJ264"/>
      <c r="KK264"/>
      <c r="KL264"/>
      <c r="KM264"/>
      <c r="KN264"/>
      <c r="KO264"/>
      <c r="KP264"/>
      <c r="KQ264"/>
      <c r="KR264"/>
      <c r="KS264"/>
      <c r="KT264"/>
      <c r="KU264"/>
      <c r="KV264"/>
      <c r="KW264"/>
      <c r="KX264"/>
      <c r="KY264"/>
      <c r="KZ264"/>
      <c r="LA264"/>
      <c r="LB264"/>
      <c r="LC264"/>
      <c r="LD264"/>
      <c r="LE264"/>
      <c r="LF264"/>
      <c r="LG264"/>
      <c r="LH264"/>
      <c r="LI264"/>
      <c r="LJ264"/>
      <c r="LK264"/>
      <c r="LL264"/>
      <c r="LM264"/>
      <c r="LN264"/>
      <c r="LO264"/>
      <c r="LP264"/>
      <c r="LQ264"/>
      <c r="LR264"/>
      <c r="LS264"/>
      <c r="LT264"/>
      <c r="LU264"/>
      <c r="LV264"/>
      <c r="LW264"/>
      <c r="LX264"/>
      <c r="LY264"/>
      <c r="LZ264"/>
      <c r="MA264"/>
      <c r="MB264"/>
      <c r="MC264"/>
      <c r="MD264"/>
      <c r="ME264"/>
      <c r="MF264"/>
      <c r="MG264"/>
      <c r="MH264"/>
      <c r="MI264"/>
      <c r="MJ264"/>
      <c r="MK264"/>
      <c r="ML264"/>
      <c r="MM264"/>
      <c r="MN264"/>
      <c r="MO264"/>
      <c r="MP264"/>
      <c r="MQ264"/>
      <c r="MR264"/>
      <c r="MS264"/>
      <c r="MT264"/>
      <c r="MU264"/>
      <c r="MV264"/>
      <c r="MW264"/>
      <c r="MX264"/>
      <c r="MY264"/>
      <c r="MZ264"/>
      <c r="NA264"/>
      <c r="NB264"/>
      <c r="NC264"/>
      <c r="ND264"/>
      <c r="NE264"/>
      <c r="NF264"/>
      <c r="NG264"/>
      <c r="NH264"/>
      <c r="NI264"/>
      <c r="NJ264"/>
      <c r="NK264"/>
      <c r="NL264"/>
      <c r="NM264"/>
      <c r="NN264"/>
      <c r="NO264"/>
      <c r="NP264"/>
      <c r="NQ264"/>
      <c r="NR264"/>
      <c r="NS264"/>
      <c r="NT264"/>
      <c r="NU264"/>
      <c r="NV264"/>
      <c r="NW264"/>
      <c r="NX264"/>
      <c r="NY264"/>
      <c r="NZ264"/>
      <c r="OA264"/>
      <c r="OB264"/>
      <c r="OC264"/>
      <c r="OD264"/>
      <c r="OE264"/>
      <c r="OF264"/>
      <c r="OG264"/>
      <c r="OH264"/>
      <c r="OI264"/>
      <c r="OJ264"/>
      <c r="OK264"/>
      <c r="OL264"/>
      <c r="OM264"/>
      <c r="ON264"/>
      <c r="OO264"/>
      <c r="OP264"/>
      <c r="OQ264"/>
      <c r="OR264"/>
      <c r="OS264"/>
      <c r="OT264"/>
      <c r="OU264"/>
      <c r="OV264"/>
      <c r="OW264"/>
      <c r="OX264"/>
      <c r="OY264"/>
      <c r="OZ264"/>
      <c r="PA264"/>
      <c r="PB264"/>
      <c r="PC264"/>
      <c r="PD264"/>
      <c r="PE264"/>
      <c r="PF264"/>
      <c r="PG264"/>
      <c r="PH264"/>
      <c r="PI264"/>
      <c r="PJ264"/>
      <c r="PK264"/>
      <c r="PL264"/>
      <c r="PM264"/>
      <c r="PN264"/>
      <c r="PO264"/>
      <c r="PP264"/>
      <c r="PQ264"/>
      <c r="PR264"/>
      <c r="PS264"/>
      <c r="PT264"/>
      <c r="PU264"/>
      <c r="PV264"/>
      <c r="PW264"/>
      <c r="PX264"/>
      <c r="PY264"/>
      <c r="PZ264"/>
      <c r="QA264"/>
      <c r="QB264"/>
      <c r="QC264"/>
      <c r="QD264"/>
      <c r="QE264"/>
      <c r="QF264"/>
      <c r="QG264"/>
      <c r="QH264"/>
      <c r="QI264"/>
      <c r="QJ264"/>
      <c r="QK264"/>
      <c r="QL264"/>
      <c r="QM264"/>
      <c r="QN264"/>
      <c r="QO264"/>
      <c r="QP264"/>
      <c r="QQ264"/>
      <c r="QR264"/>
      <c r="QS264"/>
      <c r="QT264"/>
      <c r="QU264"/>
      <c r="QV264"/>
      <c r="QW264"/>
      <c r="QX264"/>
    </row>
    <row r="265" spans="1:466" x14ac:dyDescent="0.35">
      <c r="A265" s="53"/>
      <c r="B265" s="53"/>
      <c r="C265" s="55"/>
      <c r="D265" s="53"/>
      <c r="E265" s="53"/>
      <c r="F265" s="126" t="s">
        <v>461</v>
      </c>
      <c r="G265" s="125">
        <v>6.0625</v>
      </c>
      <c r="H265" s="125">
        <v>30.3125</v>
      </c>
      <c r="I265" s="133">
        <v>5</v>
      </c>
      <c r="J265" s="53"/>
      <c r="K265" s="53"/>
      <c r="L265" s="53"/>
      <c r="M265" s="53"/>
      <c r="N265" s="53"/>
      <c r="O265" s="53"/>
      <c r="P265" s="53"/>
      <c r="Q265" s="53"/>
      <c r="R265" s="53"/>
      <c r="S265" s="53"/>
      <c r="T265" s="53"/>
      <c r="U265" s="53"/>
      <c r="V265" s="53"/>
      <c r="W265" s="53"/>
      <c r="X265" s="53"/>
      <c r="Y265" s="53"/>
      <c r="Z265" s="53"/>
      <c r="AA265" s="53"/>
      <c r="AB265" s="53"/>
      <c r="AC265" s="53"/>
      <c r="AD265" s="53"/>
      <c r="AE265" s="53"/>
      <c r="AF265" s="63"/>
      <c r="AG265" s="64"/>
      <c r="AH265" s="65"/>
      <c r="AI265" s="65"/>
      <c r="AJ265" s="53"/>
      <c r="AK265" s="62"/>
      <c r="AL265" s="62"/>
      <c r="AM265" s="62"/>
      <c r="AN265" s="62"/>
      <c r="AO265" s="62"/>
      <c r="AP265" s="62"/>
      <c r="AQ265" s="62"/>
      <c r="AR265" s="62"/>
      <c r="AS265" s="62"/>
      <c r="AT265" s="62"/>
      <c r="AU265" s="62"/>
      <c r="AV265" s="62"/>
      <c r="AW265" s="62"/>
      <c r="AX265" s="62"/>
      <c r="AY265" s="62"/>
      <c r="AZ265" s="62"/>
      <c r="BA265" s="62"/>
      <c r="BB265" s="62"/>
      <c r="BC265" s="62"/>
      <c r="BD265" s="62"/>
      <c r="BE265" s="62"/>
      <c r="BF265" s="62"/>
      <c r="BG265" s="62"/>
      <c r="BH265" s="62"/>
      <c r="BI265" s="62"/>
      <c r="BJ265" s="62"/>
      <c r="BK265" s="62"/>
      <c r="BL265" s="62"/>
      <c r="BM265" s="62"/>
      <c r="BN265" s="62"/>
      <c r="BO265" s="62"/>
      <c r="BP265" s="62"/>
      <c r="BQ265" s="62"/>
      <c r="BR265" s="62"/>
      <c r="BS265" s="62"/>
      <c r="BT265" s="62"/>
      <c r="BU265" s="62"/>
      <c r="BV265" s="62"/>
      <c r="BW265" s="62"/>
      <c r="BX265" s="62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  <c r="HB265"/>
      <c r="HC265"/>
      <c r="HD265"/>
      <c r="HE265"/>
      <c r="HF265"/>
      <c r="HG265"/>
      <c r="HH265"/>
      <c r="HI265"/>
      <c r="HJ265"/>
      <c r="HK265"/>
      <c r="HL265"/>
      <c r="HM265"/>
      <c r="HN265"/>
      <c r="HO265"/>
      <c r="HP265"/>
      <c r="HQ265"/>
      <c r="HR265"/>
      <c r="HS265"/>
      <c r="HT265"/>
      <c r="HU265"/>
      <c r="HV265"/>
      <c r="HW265"/>
      <c r="HX265"/>
      <c r="HY265"/>
      <c r="HZ265"/>
      <c r="IA265"/>
      <c r="IB265"/>
      <c r="IC265"/>
      <c r="ID265"/>
      <c r="IE265"/>
      <c r="IF265"/>
      <c r="IG265"/>
      <c r="IH265"/>
      <c r="II265"/>
      <c r="IJ265"/>
      <c r="IK265"/>
      <c r="IL265"/>
      <c r="IM265"/>
      <c r="IN265"/>
      <c r="IO265"/>
      <c r="IP265"/>
      <c r="IQ265"/>
      <c r="IR265"/>
      <c r="IS265"/>
      <c r="IT265"/>
      <c r="IU265"/>
      <c r="IV265"/>
      <c r="IW265"/>
      <c r="IX265"/>
      <c r="IY265"/>
      <c r="IZ265"/>
      <c r="JA265"/>
      <c r="JB265"/>
      <c r="JC265"/>
      <c r="JD265"/>
      <c r="JE265"/>
      <c r="JF265"/>
      <c r="JG265"/>
      <c r="JH265"/>
      <c r="JI265"/>
      <c r="JJ265"/>
      <c r="JK265"/>
      <c r="JL265"/>
      <c r="JM265"/>
      <c r="JN265"/>
      <c r="JO265"/>
      <c r="JP265"/>
      <c r="JQ265"/>
      <c r="JR265"/>
      <c r="JS265"/>
      <c r="JT265"/>
      <c r="JU265"/>
      <c r="JV265"/>
      <c r="JW265"/>
      <c r="JX265"/>
      <c r="JY265"/>
      <c r="JZ265"/>
      <c r="KA265"/>
      <c r="KB265"/>
      <c r="KC265"/>
      <c r="KD265"/>
      <c r="KE265"/>
      <c r="KF265"/>
      <c r="KG265"/>
      <c r="KH265"/>
      <c r="KI265"/>
      <c r="KJ265"/>
      <c r="KK265"/>
      <c r="KL265"/>
      <c r="KM265"/>
      <c r="KN265"/>
      <c r="KO265"/>
      <c r="KP265"/>
      <c r="KQ265"/>
      <c r="KR265"/>
      <c r="KS265"/>
      <c r="KT265"/>
      <c r="KU265"/>
      <c r="KV265"/>
      <c r="KW265"/>
      <c r="KX265"/>
      <c r="KY265"/>
      <c r="KZ265"/>
      <c r="LA265"/>
      <c r="LB265"/>
      <c r="LC265"/>
      <c r="LD265"/>
      <c r="LE265"/>
      <c r="LF265"/>
      <c r="LG265"/>
      <c r="LH265"/>
      <c r="LI265"/>
      <c r="LJ265"/>
      <c r="LK265"/>
      <c r="LL265"/>
      <c r="LM265"/>
      <c r="LN265"/>
      <c r="LO265"/>
      <c r="LP265"/>
      <c r="LQ265"/>
      <c r="LR265"/>
      <c r="LS265"/>
      <c r="LT265"/>
      <c r="LU265"/>
      <c r="LV265"/>
      <c r="LW265"/>
      <c r="LX265"/>
      <c r="LY265"/>
      <c r="LZ265"/>
      <c r="MA265"/>
      <c r="MB265"/>
      <c r="MC265"/>
      <c r="MD265"/>
      <c r="ME265"/>
      <c r="MF265"/>
      <c r="MG265"/>
      <c r="MH265"/>
      <c r="MI265"/>
      <c r="MJ265"/>
      <c r="MK265"/>
      <c r="ML265"/>
      <c r="MM265"/>
      <c r="MN265"/>
      <c r="MO265"/>
      <c r="MP265"/>
      <c r="MQ265"/>
      <c r="MR265"/>
      <c r="MS265"/>
      <c r="MT265"/>
      <c r="MU265"/>
      <c r="MV265"/>
      <c r="MW265"/>
      <c r="MX265"/>
      <c r="MY265"/>
      <c r="MZ265"/>
      <c r="NA265"/>
      <c r="NB265"/>
      <c r="NC265"/>
      <c r="ND265"/>
      <c r="NE265"/>
      <c r="NF265"/>
      <c r="NG265"/>
      <c r="NH265"/>
      <c r="NI265"/>
      <c r="NJ265"/>
      <c r="NK265"/>
      <c r="NL265"/>
      <c r="NM265"/>
      <c r="NN265"/>
      <c r="NO265"/>
      <c r="NP265"/>
      <c r="NQ265"/>
      <c r="NR265"/>
      <c r="NS265"/>
      <c r="NT265"/>
      <c r="NU265"/>
      <c r="NV265"/>
      <c r="NW265"/>
      <c r="NX265"/>
      <c r="NY265"/>
      <c r="NZ265"/>
      <c r="OA265"/>
      <c r="OB265"/>
      <c r="OC265"/>
      <c r="OD265"/>
      <c r="OE265"/>
      <c r="OF265"/>
      <c r="OG265"/>
      <c r="OH265"/>
      <c r="OI265"/>
      <c r="OJ265"/>
      <c r="OK265"/>
      <c r="OL265"/>
      <c r="OM265"/>
      <c r="ON265"/>
      <c r="OO265"/>
      <c r="OP265"/>
      <c r="OQ265"/>
      <c r="OR265"/>
      <c r="OS265"/>
      <c r="OT265"/>
      <c r="OU265"/>
      <c r="OV265"/>
      <c r="OW265"/>
      <c r="OX265"/>
      <c r="OY265"/>
      <c r="OZ265"/>
      <c r="PA265"/>
      <c r="PB265"/>
      <c r="PC265"/>
      <c r="PD265"/>
      <c r="PE265"/>
      <c r="PF265"/>
      <c r="PG265"/>
      <c r="PH265"/>
      <c r="PI265"/>
      <c r="PJ265"/>
      <c r="PK265"/>
      <c r="PL265"/>
      <c r="PM265"/>
      <c r="PN265"/>
      <c r="PO265"/>
      <c r="PP265"/>
      <c r="PQ265"/>
      <c r="PR265"/>
      <c r="PS265"/>
      <c r="PT265"/>
      <c r="PU265"/>
      <c r="PV265"/>
      <c r="PW265"/>
      <c r="PX265"/>
      <c r="PY265"/>
      <c r="PZ265"/>
      <c r="QA265"/>
      <c r="QB265"/>
      <c r="QC265"/>
      <c r="QD265"/>
      <c r="QE265"/>
      <c r="QF265"/>
      <c r="QG265"/>
      <c r="QH265"/>
      <c r="QI265"/>
      <c r="QJ265"/>
      <c r="QK265"/>
      <c r="QL265"/>
      <c r="QM265"/>
      <c r="QN265"/>
      <c r="QO265"/>
      <c r="QP265"/>
      <c r="QQ265"/>
      <c r="QR265"/>
      <c r="QS265"/>
      <c r="QT265"/>
      <c r="QU265"/>
      <c r="QV265"/>
      <c r="QW265"/>
      <c r="QX265"/>
    </row>
    <row r="266" spans="1:466" x14ac:dyDescent="0.35">
      <c r="A266" s="53"/>
      <c r="B266" s="53"/>
      <c r="C266" s="55"/>
      <c r="D266" s="53"/>
      <c r="E266" s="53"/>
      <c r="F266" s="126" t="s">
        <v>463</v>
      </c>
      <c r="G266" s="125">
        <v>9.375</v>
      </c>
      <c r="H266" s="125">
        <v>0</v>
      </c>
      <c r="I266" s="133">
        <v>0</v>
      </c>
      <c r="J266" s="53"/>
      <c r="K266" s="53"/>
      <c r="L266" s="53"/>
      <c r="M266" s="53"/>
      <c r="N266" s="53"/>
      <c r="O266" s="53"/>
      <c r="P266" s="53"/>
      <c r="Q266" s="53"/>
      <c r="R266" s="53"/>
      <c r="S266" s="53"/>
      <c r="T266" s="53"/>
      <c r="U266" s="53"/>
      <c r="V266" s="53"/>
      <c r="W266" s="53"/>
      <c r="X266" s="53"/>
      <c r="Y266" s="53"/>
      <c r="Z266" s="53"/>
      <c r="AA266" s="53"/>
      <c r="AB266" s="53"/>
      <c r="AC266" s="53"/>
      <c r="AD266" s="53"/>
      <c r="AE266" s="53"/>
      <c r="AF266" s="63"/>
      <c r="AG266" s="64"/>
      <c r="AH266" s="65"/>
      <c r="AI266" s="65"/>
      <c r="AJ266" s="53"/>
      <c r="AK266" s="62"/>
      <c r="AL266" s="62"/>
      <c r="AM266" s="62"/>
      <c r="AN266" s="62"/>
      <c r="AO266" s="62"/>
      <c r="AP266" s="62"/>
      <c r="AQ266" s="62"/>
      <c r="AR266" s="62"/>
      <c r="AS266" s="62"/>
      <c r="AT266" s="62"/>
      <c r="AU266" s="62"/>
      <c r="AV266" s="62"/>
      <c r="AW266" s="62"/>
      <c r="AX266" s="62"/>
      <c r="AY266" s="62"/>
      <c r="AZ266" s="62"/>
      <c r="BA266" s="62"/>
      <c r="BB266" s="62"/>
      <c r="BC266" s="62"/>
      <c r="BD266" s="62"/>
      <c r="BE266" s="62"/>
      <c r="BF266" s="62"/>
      <c r="BG266" s="62"/>
      <c r="BH266" s="62"/>
      <c r="BI266" s="62"/>
      <c r="BJ266" s="62"/>
      <c r="BK266" s="62"/>
      <c r="BL266" s="62"/>
      <c r="BM266" s="62"/>
      <c r="BN266" s="62"/>
      <c r="BO266" s="62"/>
      <c r="BP266" s="62"/>
      <c r="BQ266" s="62"/>
      <c r="BR266" s="62"/>
      <c r="BS266" s="62"/>
      <c r="BT266" s="62"/>
      <c r="BU266" s="62"/>
      <c r="BV266" s="62"/>
      <c r="BW266" s="62"/>
      <c r="BX266" s="62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  <c r="HB266"/>
      <c r="HC266"/>
      <c r="HD266"/>
      <c r="HE266"/>
      <c r="HF266"/>
      <c r="HG266"/>
      <c r="HH266"/>
      <c r="HI266"/>
      <c r="HJ266"/>
      <c r="HK266"/>
      <c r="HL266"/>
      <c r="HM266"/>
      <c r="HN266"/>
      <c r="HO266"/>
      <c r="HP266"/>
      <c r="HQ266"/>
      <c r="HR266"/>
      <c r="HS266"/>
      <c r="HT266"/>
      <c r="HU266"/>
      <c r="HV266"/>
      <c r="HW266"/>
      <c r="HX266"/>
      <c r="HY266"/>
      <c r="HZ266"/>
      <c r="IA266"/>
      <c r="IB266"/>
      <c r="IC266"/>
      <c r="ID266"/>
      <c r="IE266"/>
      <c r="IF266"/>
      <c r="IG266"/>
      <c r="IH266"/>
      <c r="II266"/>
      <c r="IJ266"/>
      <c r="IK266"/>
      <c r="IL266"/>
      <c r="IM266"/>
      <c r="IN266"/>
      <c r="IO266"/>
      <c r="IP266"/>
      <c r="IQ266"/>
      <c r="IR266"/>
      <c r="IS266"/>
      <c r="IT266"/>
      <c r="IU266"/>
      <c r="IV266"/>
      <c r="IW266"/>
      <c r="IX266"/>
      <c r="IY266"/>
      <c r="IZ266"/>
      <c r="JA266"/>
      <c r="JB266"/>
      <c r="JC266"/>
      <c r="JD266"/>
      <c r="JE266"/>
      <c r="JF266"/>
      <c r="JG266"/>
      <c r="JH266"/>
      <c r="JI266"/>
      <c r="JJ266"/>
      <c r="JK266"/>
      <c r="JL266"/>
      <c r="JM266"/>
      <c r="JN266"/>
      <c r="JO266"/>
      <c r="JP266"/>
      <c r="JQ266"/>
      <c r="JR266"/>
      <c r="JS266"/>
      <c r="JT266"/>
      <c r="JU266"/>
      <c r="JV266"/>
      <c r="JW266"/>
      <c r="JX266"/>
      <c r="JY266"/>
      <c r="JZ266"/>
      <c r="KA266"/>
      <c r="KB266"/>
      <c r="KC266"/>
      <c r="KD266"/>
      <c r="KE266"/>
      <c r="KF266"/>
      <c r="KG266"/>
      <c r="KH266"/>
      <c r="KI266"/>
      <c r="KJ266"/>
      <c r="KK266"/>
      <c r="KL266"/>
      <c r="KM266"/>
      <c r="KN266"/>
      <c r="KO266"/>
      <c r="KP266"/>
      <c r="KQ266"/>
      <c r="KR266"/>
      <c r="KS266"/>
      <c r="KT266"/>
      <c r="KU266"/>
      <c r="KV266"/>
      <c r="KW266"/>
      <c r="KX266"/>
      <c r="KY266"/>
      <c r="KZ266"/>
      <c r="LA266"/>
      <c r="LB266"/>
      <c r="LC266"/>
      <c r="LD266"/>
      <c r="LE266"/>
      <c r="LF266"/>
      <c r="LG266"/>
      <c r="LH266"/>
      <c r="LI266"/>
      <c r="LJ266"/>
      <c r="LK266"/>
      <c r="LL266"/>
      <c r="LM266"/>
      <c r="LN266"/>
      <c r="LO266"/>
      <c r="LP266"/>
      <c r="LQ266"/>
      <c r="LR266"/>
      <c r="LS266"/>
      <c r="LT266"/>
      <c r="LU266"/>
      <c r="LV266"/>
      <c r="LW266"/>
      <c r="LX266"/>
      <c r="LY266"/>
      <c r="LZ266"/>
      <c r="MA266"/>
      <c r="MB266"/>
      <c r="MC266"/>
      <c r="MD266"/>
      <c r="ME266"/>
      <c r="MF266"/>
      <c r="MG266"/>
      <c r="MH266"/>
      <c r="MI266"/>
      <c r="MJ266"/>
      <c r="MK266"/>
      <c r="ML266"/>
      <c r="MM266"/>
      <c r="MN266"/>
      <c r="MO266"/>
      <c r="MP266"/>
      <c r="MQ266"/>
      <c r="MR266"/>
      <c r="MS266"/>
      <c r="MT266"/>
      <c r="MU266"/>
      <c r="MV266"/>
      <c r="MW266"/>
      <c r="MX266"/>
      <c r="MY266"/>
      <c r="MZ266"/>
      <c r="NA266"/>
      <c r="NB266"/>
      <c r="NC266"/>
      <c r="ND266"/>
      <c r="NE266"/>
      <c r="NF266"/>
      <c r="NG266"/>
      <c r="NH266"/>
      <c r="NI266"/>
      <c r="NJ266"/>
      <c r="NK266"/>
      <c r="NL266"/>
      <c r="NM266"/>
      <c r="NN266"/>
      <c r="NO266"/>
      <c r="NP266"/>
      <c r="NQ266"/>
      <c r="NR266"/>
      <c r="NS266"/>
      <c r="NT266"/>
      <c r="NU266"/>
      <c r="NV266"/>
      <c r="NW266"/>
      <c r="NX266"/>
      <c r="NY266"/>
      <c r="NZ266"/>
      <c r="OA266"/>
      <c r="OB266"/>
      <c r="OC266"/>
      <c r="OD266"/>
      <c r="OE266"/>
      <c r="OF266"/>
      <c r="OG266"/>
      <c r="OH266"/>
      <c r="OI266"/>
      <c r="OJ266"/>
      <c r="OK266"/>
      <c r="OL266"/>
      <c r="OM266"/>
      <c r="ON266"/>
      <c r="OO266"/>
      <c r="OP266"/>
      <c r="OQ266"/>
      <c r="OR266"/>
      <c r="OS266"/>
      <c r="OT266"/>
      <c r="OU266"/>
      <c r="OV266"/>
      <c r="OW266"/>
      <c r="OX266"/>
      <c r="OY266"/>
      <c r="OZ266"/>
      <c r="PA266"/>
      <c r="PB266"/>
      <c r="PC266"/>
      <c r="PD266"/>
      <c r="PE266"/>
      <c r="PF266"/>
      <c r="PG266"/>
      <c r="PH266"/>
      <c r="PI266"/>
      <c r="PJ266"/>
      <c r="PK266"/>
      <c r="PL266"/>
      <c r="PM266"/>
      <c r="PN266"/>
      <c r="PO266"/>
      <c r="PP266"/>
      <c r="PQ266"/>
      <c r="PR266"/>
      <c r="PS266"/>
      <c r="PT266"/>
      <c r="PU266"/>
      <c r="PV266"/>
      <c r="PW266"/>
      <c r="PX266"/>
      <c r="PY266"/>
      <c r="PZ266"/>
      <c r="QA266"/>
      <c r="QB266"/>
      <c r="QC266"/>
      <c r="QD266"/>
      <c r="QE266"/>
      <c r="QF266"/>
      <c r="QG266"/>
      <c r="QH266"/>
      <c r="QI266"/>
      <c r="QJ266"/>
      <c r="QK266"/>
      <c r="QL266"/>
      <c r="QM266"/>
      <c r="QN266"/>
      <c r="QO266"/>
      <c r="QP266"/>
      <c r="QQ266"/>
      <c r="QR266"/>
      <c r="QS266"/>
      <c r="QT266"/>
      <c r="QU266"/>
      <c r="QV266"/>
      <c r="QW266"/>
      <c r="QX266"/>
    </row>
    <row r="267" spans="1:466" x14ac:dyDescent="0.35">
      <c r="A267" s="53"/>
      <c r="B267" s="53"/>
      <c r="C267" s="55"/>
      <c r="D267" s="53"/>
      <c r="E267" s="53"/>
      <c r="F267" s="126" t="s">
        <v>420</v>
      </c>
      <c r="G267" s="125">
        <v>0.86399999999999999</v>
      </c>
      <c r="H267" s="125">
        <v>816.48</v>
      </c>
      <c r="I267" s="133">
        <v>945</v>
      </c>
      <c r="J267" s="53"/>
      <c r="K267" s="53"/>
      <c r="L267" s="53"/>
      <c r="M267" s="53"/>
      <c r="N267" s="53"/>
      <c r="O267" s="53"/>
      <c r="P267" s="53"/>
      <c r="Q267" s="53"/>
      <c r="R267" s="53"/>
      <c r="S267" s="53"/>
      <c r="T267" s="53"/>
      <c r="U267" s="53"/>
      <c r="V267" s="53"/>
      <c r="W267" s="53"/>
      <c r="X267" s="53"/>
      <c r="Y267" s="53"/>
      <c r="Z267" s="53"/>
      <c r="AA267" s="53"/>
      <c r="AB267" s="53"/>
      <c r="AC267" s="53"/>
      <c r="AD267" s="53"/>
      <c r="AE267" s="53"/>
      <c r="AF267" s="63"/>
      <c r="AG267" s="64"/>
      <c r="AH267" s="65"/>
      <c r="AI267" s="65"/>
      <c r="AJ267" s="53"/>
      <c r="AK267" s="62"/>
      <c r="AL267" s="62"/>
      <c r="AM267" s="62"/>
      <c r="AN267" s="62"/>
      <c r="AO267" s="62"/>
      <c r="AP267" s="62"/>
      <c r="AQ267" s="62"/>
      <c r="AR267" s="62"/>
      <c r="AS267" s="62"/>
      <c r="AT267" s="62"/>
      <c r="AU267" s="62"/>
      <c r="AV267" s="62"/>
      <c r="AW267" s="62"/>
      <c r="AX267" s="62"/>
      <c r="AY267" s="62"/>
      <c r="AZ267" s="62"/>
      <c r="BA267" s="62"/>
      <c r="BB267" s="62"/>
      <c r="BC267" s="62"/>
      <c r="BD267" s="62"/>
      <c r="BE267" s="62"/>
      <c r="BF267" s="62"/>
      <c r="BG267" s="62"/>
      <c r="BH267" s="62"/>
      <c r="BI267" s="62"/>
      <c r="BJ267" s="62"/>
      <c r="BK267" s="62"/>
      <c r="BL267" s="62"/>
      <c r="BM267" s="62"/>
      <c r="BN267" s="62"/>
      <c r="BO267" s="62"/>
      <c r="BP267" s="62"/>
      <c r="BQ267" s="62"/>
      <c r="BR267" s="62"/>
      <c r="BS267" s="62"/>
      <c r="BT267" s="62"/>
      <c r="BU267" s="62"/>
      <c r="BV267" s="62"/>
      <c r="BW267" s="62"/>
      <c r="BX267" s="62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  <c r="HB267"/>
      <c r="HC267"/>
      <c r="HD267"/>
      <c r="HE267"/>
      <c r="HF267"/>
      <c r="HG267"/>
      <c r="HH267"/>
      <c r="HI267"/>
      <c r="HJ267"/>
      <c r="HK267"/>
      <c r="HL267"/>
      <c r="HM267"/>
      <c r="HN267"/>
      <c r="HO267"/>
      <c r="HP267"/>
      <c r="HQ267"/>
      <c r="HR267"/>
      <c r="HS267"/>
      <c r="HT267"/>
      <c r="HU267"/>
      <c r="HV267"/>
      <c r="HW267"/>
      <c r="HX267"/>
      <c r="HY267"/>
      <c r="HZ267"/>
      <c r="IA267"/>
      <c r="IB267"/>
      <c r="IC267"/>
      <c r="ID267"/>
      <c r="IE267"/>
      <c r="IF267"/>
      <c r="IG267"/>
      <c r="IH267"/>
      <c r="II267"/>
      <c r="IJ267"/>
      <c r="IK267"/>
      <c r="IL267"/>
      <c r="IM267"/>
      <c r="IN267"/>
      <c r="IO267"/>
      <c r="IP267"/>
      <c r="IQ267"/>
      <c r="IR267"/>
      <c r="IS267"/>
      <c r="IT267"/>
      <c r="IU267"/>
      <c r="IV267"/>
      <c r="IW267"/>
      <c r="IX267"/>
      <c r="IY267"/>
      <c r="IZ267"/>
      <c r="JA267"/>
      <c r="JB267"/>
      <c r="JC267"/>
      <c r="JD267"/>
      <c r="JE267"/>
      <c r="JF267"/>
      <c r="JG267"/>
      <c r="JH267"/>
      <c r="JI267"/>
      <c r="JJ267"/>
      <c r="JK267"/>
      <c r="JL267"/>
      <c r="JM267"/>
      <c r="JN267"/>
      <c r="JO267"/>
      <c r="JP267"/>
      <c r="JQ267"/>
      <c r="JR267"/>
      <c r="JS267"/>
      <c r="JT267"/>
      <c r="JU267"/>
      <c r="JV267"/>
      <c r="JW267"/>
      <c r="JX267"/>
      <c r="JY267"/>
      <c r="JZ267"/>
      <c r="KA267"/>
      <c r="KB267"/>
      <c r="KC267"/>
      <c r="KD267"/>
      <c r="KE267"/>
      <c r="KF267"/>
      <c r="KG267"/>
      <c r="KH267"/>
      <c r="KI267"/>
      <c r="KJ267"/>
      <c r="KK267"/>
      <c r="KL267"/>
      <c r="KM267"/>
      <c r="KN267"/>
      <c r="KO267"/>
      <c r="KP267"/>
      <c r="KQ267"/>
      <c r="KR267"/>
      <c r="KS267"/>
      <c r="KT267"/>
      <c r="KU267"/>
      <c r="KV267"/>
      <c r="KW267"/>
      <c r="KX267"/>
      <c r="KY267"/>
      <c r="KZ267"/>
      <c r="LA267"/>
      <c r="LB267"/>
      <c r="LC267"/>
      <c r="LD267"/>
      <c r="LE267"/>
      <c r="LF267"/>
      <c r="LG267"/>
      <c r="LH267"/>
      <c r="LI267"/>
      <c r="LJ267"/>
      <c r="LK267"/>
      <c r="LL267"/>
      <c r="LM267"/>
      <c r="LN267"/>
      <c r="LO267"/>
      <c r="LP267"/>
      <c r="LQ267"/>
      <c r="LR267"/>
      <c r="LS267"/>
      <c r="LT267"/>
      <c r="LU267"/>
      <c r="LV267"/>
      <c r="LW267"/>
      <c r="LX267"/>
      <c r="LY267"/>
      <c r="LZ267"/>
      <c r="MA267"/>
      <c r="MB267"/>
      <c r="MC267"/>
      <c r="MD267"/>
      <c r="ME267"/>
      <c r="MF267"/>
      <c r="MG267"/>
      <c r="MH267"/>
      <c r="MI267"/>
      <c r="MJ267"/>
      <c r="MK267"/>
      <c r="ML267"/>
      <c r="MM267"/>
      <c r="MN267"/>
      <c r="MO267"/>
      <c r="MP267"/>
      <c r="MQ267"/>
      <c r="MR267"/>
      <c r="MS267"/>
      <c r="MT267"/>
      <c r="MU267"/>
      <c r="MV267"/>
      <c r="MW267"/>
      <c r="MX267"/>
      <c r="MY267"/>
      <c r="MZ267"/>
      <c r="NA267"/>
      <c r="NB267"/>
      <c r="NC267"/>
      <c r="ND267"/>
      <c r="NE267"/>
      <c r="NF267"/>
      <c r="NG267"/>
      <c r="NH267"/>
      <c r="NI267"/>
      <c r="NJ267"/>
      <c r="NK267"/>
      <c r="NL267"/>
      <c r="NM267"/>
      <c r="NN267"/>
      <c r="NO267"/>
      <c r="NP267"/>
      <c r="NQ267"/>
      <c r="NR267"/>
      <c r="NS267"/>
      <c r="NT267"/>
      <c r="NU267"/>
      <c r="NV267"/>
      <c r="NW267"/>
      <c r="NX267"/>
      <c r="NY267"/>
      <c r="NZ267"/>
      <c r="OA267"/>
      <c r="OB267"/>
      <c r="OC267"/>
      <c r="OD267"/>
      <c r="OE267"/>
      <c r="OF267"/>
      <c r="OG267"/>
      <c r="OH267"/>
      <c r="OI267"/>
      <c r="OJ267"/>
      <c r="OK267"/>
      <c r="OL267"/>
      <c r="OM267"/>
      <c r="ON267"/>
      <c r="OO267"/>
      <c r="OP267"/>
      <c r="OQ267"/>
      <c r="OR267"/>
      <c r="OS267"/>
      <c r="OT267"/>
      <c r="OU267"/>
      <c r="OV267"/>
      <c r="OW267"/>
      <c r="OX267"/>
      <c r="OY267"/>
      <c r="OZ267"/>
      <c r="PA267"/>
      <c r="PB267"/>
      <c r="PC267"/>
      <c r="PD267"/>
      <c r="PE267"/>
      <c r="PF267"/>
      <c r="PG267"/>
      <c r="PH267"/>
      <c r="PI267"/>
      <c r="PJ267"/>
      <c r="PK267"/>
      <c r="PL267"/>
      <c r="PM267"/>
      <c r="PN267"/>
      <c r="PO267"/>
      <c r="PP267"/>
      <c r="PQ267"/>
      <c r="PR267"/>
      <c r="PS267"/>
      <c r="PT267"/>
      <c r="PU267"/>
      <c r="PV267"/>
      <c r="PW267"/>
      <c r="PX267"/>
      <c r="PY267"/>
      <c r="PZ267"/>
      <c r="QA267"/>
      <c r="QB267"/>
      <c r="QC267"/>
      <c r="QD267"/>
      <c r="QE267"/>
      <c r="QF267"/>
      <c r="QG267"/>
      <c r="QH267"/>
      <c r="QI267"/>
      <c r="QJ267"/>
      <c r="QK267"/>
      <c r="QL267"/>
      <c r="QM267"/>
      <c r="QN267"/>
      <c r="QO267"/>
      <c r="QP267"/>
      <c r="QQ267"/>
      <c r="QR267"/>
      <c r="QS267"/>
      <c r="QT267"/>
      <c r="QU267"/>
      <c r="QV267"/>
      <c r="QW267"/>
      <c r="QX267"/>
    </row>
    <row r="268" spans="1:466" x14ac:dyDescent="0.35">
      <c r="A268" s="53"/>
      <c r="B268" s="53"/>
      <c r="C268" s="55"/>
      <c r="D268" s="53"/>
      <c r="E268" s="53"/>
      <c r="F268" s="126" t="s">
        <v>488</v>
      </c>
      <c r="G268" s="125">
        <v>19.8</v>
      </c>
      <c r="H268" s="125">
        <v>59.400000000000006</v>
      </c>
      <c r="I268" s="133">
        <v>3</v>
      </c>
      <c r="J268" s="53"/>
      <c r="K268" s="53"/>
      <c r="L268" s="53"/>
      <c r="M268" s="53"/>
      <c r="N268" s="53"/>
      <c r="O268" s="53"/>
      <c r="P268" s="53"/>
      <c r="Q268" s="53"/>
      <c r="R268" s="53"/>
      <c r="S268" s="53"/>
      <c r="T268" s="53"/>
      <c r="U268" s="53"/>
      <c r="V268" s="53"/>
      <c r="W268" s="53"/>
      <c r="X268" s="53"/>
      <c r="Y268" s="53"/>
      <c r="Z268" s="53"/>
      <c r="AA268" s="53"/>
      <c r="AB268" s="53"/>
      <c r="AC268" s="53"/>
      <c r="AD268" s="53"/>
      <c r="AE268" s="53"/>
      <c r="AF268" s="63"/>
      <c r="AG268" s="64"/>
      <c r="AH268" s="65"/>
      <c r="AI268" s="65"/>
      <c r="AJ268" s="53"/>
      <c r="AK268" s="62"/>
      <c r="AL268" s="62"/>
      <c r="AM268" s="62"/>
      <c r="AN268" s="62"/>
      <c r="AO268" s="62"/>
      <c r="AP268" s="62"/>
      <c r="AQ268" s="62"/>
      <c r="AR268" s="62"/>
      <c r="AS268" s="62"/>
      <c r="AT268" s="62"/>
      <c r="AU268" s="62"/>
      <c r="AV268" s="62"/>
      <c r="AW268" s="62"/>
      <c r="AX268" s="62"/>
      <c r="AY268" s="62"/>
      <c r="AZ268" s="62"/>
      <c r="BA268" s="62"/>
      <c r="BB268" s="62"/>
      <c r="BC268" s="62"/>
      <c r="BD268" s="62"/>
      <c r="BE268" s="62"/>
      <c r="BF268" s="62"/>
      <c r="BG268" s="62"/>
      <c r="BH268" s="62"/>
      <c r="BI268" s="62"/>
      <c r="BJ268" s="62"/>
      <c r="BK268" s="62"/>
      <c r="BL268" s="62"/>
      <c r="BM268" s="62"/>
      <c r="BN268" s="62"/>
      <c r="BO268" s="62"/>
      <c r="BP268" s="62"/>
      <c r="BQ268" s="62"/>
      <c r="BR268" s="62"/>
      <c r="BS268" s="62"/>
      <c r="BT268" s="62"/>
      <c r="BU268" s="62"/>
      <c r="BV268" s="62"/>
      <c r="BW268" s="62"/>
      <c r="BX268" s="62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  <c r="HB268"/>
      <c r="HC268"/>
      <c r="HD268"/>
      <c r="HE268"/>
      <c r="HF268"/>
      <c r="HG268"/>
      <c r="HH268"/>
      <c r="HI268"/>
      <c r="HJ268"/>
      <c r="HK268"/>
      <c r="HL268"/>
      <c r="HM268"/>
      <c r="HN268"/>
      <c r="HO268"/>
      <c r="HP268"/>
      <c r="HQ268"/>
      <c r="HR268"/>
      <c r="HS268"/>
      <c r="HT268"/>
      <c r="HU268"/>
      <c r="HV268"/>
      <c r="HW268"/>
      <c r="HX268"/>
      <c r="HY268"/>
      <c r="HZ268"/>
      <c r="IA268"/>
      <c r="IB268"/>
      <c r="IC268"/>
      <c r="ID268"/>
      <c r="IE268"/>
      <c r="IF268"/>
      <c r="IG268"/>
      <c r="IH268"/>
      <c r="II268"/>
      <c r="IJ268"/>
      <c r="IK268"/>
      <c r="IL268"/>
      <c r="IM268"/>
      <c r="IN268"/>
      <c r="IO268"/>
      <c r="IP268"/>
      <c r="IQ268"/>
      <c r="IR268"/>
      <c r="IS268"/>
      <c r="IT268"/>
      <c r="IU268"/>
      <c r="IV268"/>
      <c r="IW268"/>
      <c r="IX268"/>
      <c r="IY268"/>
      <c r="IZ268"/>
      <c r="JA268"/>
      <c r="JB268"/>
      <c r="JC268"/>
      <c r="JD268"/>
      <c r="JE268"/>
      <c r="JF268"/>
      <c r="JG268"/>
      <c r="JH268"/>
      <c r="JI268"/>
      <c r="JJ268"/>
      <c r="JK268"/>
      <c r="JL268"/>
      <c r="JM268"/>
      <c r="JN268"/>
      <c r="JO268"/>
      <c r="JP268"/>
      <c r="JQ268"/>
      <c r="JR268"/>
      <c r="JS268"/>
      <c r="JT268"/>
      <c r="JU268"/>
      <c r="JV268"/>
      <c r="JW268"/>
      <c r="JX268"/>
      <c r="JY268"/>
      <c r="JZ268"/>
      <c r="KA268"/>
      <c r="KB268"/>
      <c r="KC268"/>
      <c r="KD268"/>
      <c r="KE268"/>
      <c r="KF268"/>
      <c r="KG268"/>
      <c r="KH268"/>
      <c r="KI268"/>
      <c r="KJ268"/>
      <c r="KK268"/>
      <c r="KL268"/>
      <c r="KM268"/>
      <c r="KN268"/>
      <c r="KO268"/>
      <c r="KP268"/>
      <c r="KQ268"/>
      <c r="KR268"/>
      <c r="KS268"/>
      <c r="KT268"/>
      <c r="KU268"/>
      <c r="KV268"/>
      <c r="KW268"/>
      <c r="KX268"/>
      <c r="KY268"/>
      <c r="KZ268"/>
      <c r="LA268"/>
      <c r="LB268"/>
      <c r="LC268"/>
      <c r="LD268"/>
      <c r="LE268"/>
      <c r="LF268"/>
      <c r="LG268"/>
      <c r="LH268"/>
      <c r="LI268"/>
      <c r="LJ268"/>
      <c r="LK268"/>
      <c r="LL268"/>
      <c r="LM268"/>
      <c r="LN268"/>
      <c r="LO268"/>
      <c r="LP268"/>
      <c r="LQ268"/>
      <c r="LR268"/>
      <c r="LS268"/>
      <c r="LT268"/>
      <c r="LU268"/>
      <c r="LV268"/>
      <c r="LW268"/>
      <c r="LX268"/>
      <c r="LY268"/>
      <c r="LZ268"/>
      <c r="MA268"/>
      <c r="MB268"/>
      <c r="MC268"/>
      <c r="MD268"/>
      <c r="ME268"/>
      <c r="MF268"/>
      <c r="MG268"/>
      <c r="MH268"/>
      <c r="MI268"/>
      <c r="MJ268"/>
      <c r="MK268"/>
      <c r="ML268"/>
      <c r="MM268"/>
      <c r="MN268"/>
      <c r="MO268"/>
      <c r="MP268"/>
      <c r="MQ268"/>
      <c r="MR268"/>
      <c r="MS268"/>
      <c r="MT268"/>
      <c r="MU268"/>
      <c r="MV268"/>
      <c r="MW268"/>
      <c r="MX268"/>
      <c r="MY268"/>
      <c r="MZ268"/>
      <c r="NA268"/>
      <c r="NB268"/>
      <c r="NC268"/>
      <c r="ND268"/>
      <c r="NE268"/>
      <c r="NF268"/>
      <c r="NG268"/>
      <c r="NH268"/>
      <c r="NI268"/>
      <c r="NJ268"/>
      <c r="NK268"/>
      <c r="NL268"/>
      <c r="NM268"/>
      <c r="NN268"/>
      <c r="NO268"/>
      <c r="NP268"/>
      <c r="NQ268"/>
      <c r="NR268"/>
      <c r="NS268"/>
      <c r="NT268"/>
      <c r="NU268"/>
      <c r="NV268"/>
      <c r="NW268"/>
      <c r="NX268"/>
      <c r="NY268"/>
      <c r="NZ268"/>
      <c r="OA268"/>
      <c r="OB268"/>
      <c r="OC268"/>
      <c r="OD268"/>
      <c r="OE268"/>
      <c r="OF268"/>
      <c r="OG268"/>
      <c r="OH268"/>
      <c r="OI268"/>
      <c r="OJ268"/>
      <c r="OK268"/>
      <c r="OL268"/>
      <c r="OM268"/>
      <c r="ON268"/>
      <c r="OO268"/>
      <c r="OP268"/>
      <c r="OQ268"/>
      <c r="OR268"/>
      <c r="OS268"/>
      <c r="OT268"/>
      <c r="OU268"/>
      <c r="OV268"/>
      <c r="OW268"/>
      <c r="OX268"/>
      <c r="OY268"/>
      <c r="OZ268"/>
      <c r="PA268"/>
      <c r="PB268"/>
      <c r="PC268"/>
      <c r="PD268"/>
      <c r="PE268"/>
      <c r="PF268"/>
      <c r="PG268"/>
      <c r="PH268"/>
      <c r="PI268"/>
      <c r="PJ268"/>
      <c r="PK268"/>
      <c r="PL268"/>
      <c r="PM268"/>
      <c r="PN268"/>
      <c r="PO268"/>
      <c r="PP268"/>
      <c r="PQ268"/>
      <c r="PR268"/>
      <c r="PS268"/>
      <c r="PT268"/>
      <c r="PU268"/>
      <c r="PV268"/>
      <c r="PW268"/>
      <c r="PX268"/>
      <c r="PY268"/>
      <c r="PZ268"/>
      <c r="QA268"/>
      <c r="QB268"/>
      <c r="QC268"/>
      <c r="QD268"/>
      <c r="QE268"/>
      <c r="QF268"/>
      <c r="QG268"/>
      <c r="QH268"/>
      <c r="QI268"/>
      <c r="QJ268"/>
      <c r="QK268"/>
      <c r="QL268"/>
      <c r="QM268"/>
      <c r="QN268"/>
      <c r="QO268"/>
      <c r="QP268"/>
      <c r="QQ268"/>
      <c r="QR268"/>
      <c r="QS268"/>
      <c r="QT268"/>
      <c r="QU268"/>
      <c r="QV268"/>
      <c r="QW268"/>
      <c r="QX268"/>
    </row>
    <row r="269" spans="1:466" x14ac:dyDescent="0.35">
      <c r="A269" s="53"/>
      <c r="B269" s="53"/>
      <c r="C269" s="55"/>
      <c r="D269" s="53"/>
      <c r="E269" s="53"/>
      <c r="F269" s="126" t="s">
        <v>434</v>
      </c>
      <c r="G269" s="125">
        <v>8.75</v>
      </c>
      <c r="H269" s="125">
        <v>227.5</v>
      </c>
      <c r="I269" s="133">
        <v>26</v>
      </c>
      <c r="J269" s="53"/>
      <c r="K269" s="53"/>
      <c r="L269" s="53"/>
      <c r="M269" s="53"/>
      <c r="N269" s="53"/>
      <c r="O269" s="53"/>
      <c r="P269" s="53"/>
      <c r="Q269" s="53"/>
      <c r="R269" s="53"/>
      <c r="S269" s="53"/>
      <c r="T269" s="53"/>
      <c r="U269" s="53"/>
      <c r="V269" s="53"/>
      <c r="W269" s="53"/>
      <c r="X269" s="53"/>
      <c r="Y269" s="53"/>
      <c r="Z269" s="53"/>
      <c r="AA269" s="53"/>
      <c r="AB269" s="53"/>
      <c r="AC269" s="53"/>
      <c r="AD269" s="53"/>
      <c r="AE269" s="53"/>
      <c r="AF269" s="63"/>
      <c r="AG269" s="64"/>
      <c r="AH269" s="65"/>
      <c r="AI269" s="65"/>
      <c r="AJ269" s="53"/>
      <c r="AK269" s="62"/>
      <c r="AL269" s="62"/>
      <c r="AM269" s="62"/>
      <c r="AN269" s="62"/>
      <c r="AO269" s="62"/>
      <c r="AP269" s="62"/>
      <c r="AQ269" s="62"/>
      <c r="AR269" s="62"/>
      <c r="AS269" s="62"/>
      <c r="AT269" s="62"/>
      <c r="AU269" s="62"/>
      <c r="AV269" s="62"/>
      <c r="AW269" s="62"/>
      <c r="AX269" s="62"/>
      <c r="AY269" s="62"/>
      <c r="AZ269" s="62"/>
      <c r="BA269" s="62"/>
      <c r="BB269" s="62"/>
      <c r="BC269" s="62"/>
      <c r="BD269" s="62"/>
      <c r="BE269" s="62"/>
      <c r="BF269" s="62"/>
      <c r="BG269" s="62"/>
      <c r="BH269" s="62"/>
      <c r="BI269" s="62"/>
      <c r="BJ269" s="62"/>
      <c r="BK269" s="62"/>
      <c r="BL269" s="62"/>
      <c r="BM269" s="62"/>
      <c r="BN269" s="62"/>
      <c r="BO269" s="62"/>
      <c r="BP269" s="62"/>
      <c r="BQ269" s="62"/>
      <c r="BR269" s="62"/>
      <c r="BS269" s="62"/>
      <c r="BT269" s="62"/>
      <c r="BU269" s="62"/>
      <c r="BV269" s="62"/>
      <c r="BW269" s="62"/>
      <c r="BX269" s="62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  <c r="HB269"/>
      <c r="HC269"/>
      <c r="HD269"/>
      <c r="HE269"/>
      <c r="HF269"/>
      <c r="HG269"/>
      <c r="HH269"/>
      <c r="HI269"/>
      <c r="HJ269"/>
      <c r="HK269"/>
      <c r="HL269"/>
      <c r="HM269"/>
      <c r="HN269"/>
      <c r="HO269"/>
      <c r="HP269"/>
      <c r="HQ269"/>
      <c r="HR269"/>
      <c r="HS269"/>
      <c r="HT269"/>
      <c r="HU269"/>
      <c r="HV269"/>
      <c r="HW269"/>
      <c r="HX269"/>
      <c r="HY269"/>
      <c r="HZ269"/>
      <c r="IA269"/>
      <c r="IB269"/>
      <c r="IC269"/>
      <c r="ID269"/>
      <c r="IE269"/>
      <c r="IF269"/>
      <c r="IG269"/>
      <c r="IH269"/>
      <c r="II269"/>
      <c r="IJ269"/>
      <c r="IK269"/>
      <c r="IL269"/>
      <c r="IM269"/>
      <c r="IN269"/>
      <c r="IO269"/>
      <c r="IP269"/>
      <c r="IQ269"/>
      <c r="IR269"/>
      <c r="IS269"/>
      <c r="IT269"/>
      <c r="IU269"/>
      <c r="IV269"/>
      <c r="IW269"/>
      <c r="IX269"/>
      <c r="IY269"/>
      <c r="IZ269"/>
      <c r="JA269"/>
      <c r="JB269"/>
      <c r="JC269"/>
      <c r="JD269"/>
      <c r="JE269"/>
      <c r="JF269"/>
      <c r="JG269"/>
      <c r="JH269"/>
      <c r="JI269"/>
      <c r="JJ269"/>
      <c r="JK269"/>
      <c r="JL269"/>
      <c r="JM269"/>
      <c r="JN269"/>
      <c r="JO269"/>
      <c r="JP269"/>
      <c r="JQ269"/>
      <c r="JR269"/>
      <c r="JS269"/>
      <c r="JT269"/>
      <c r="JU269"/>
      <c r="JV269"/>
      <c r="JW269"/>
      <c r="JX269"/>
      <c r="JY269"/>
      <c r="JZ269"/>
      <c r="KA269"/>
      <c r="KB269"/>
      <c r="KC269"/>
      <c r="KD269"/>
      <c r="KE269"/>
      <c r="KF269"/>
      <c r="KG269"/>
      <c r="KH269"/>
      <c r="KI269"/>
      <c r="KJ269"/>
      <c r="KK269"/>
      <c r="KL269"/>
      <c r="KM269"/>
      <c r="KN269"/>
      <c r="KO269"/>
      <c r="KP269"/>
      <c r="KQ269"/>
      <c r="KR269"/>
      <c r="KS269"/>
      <c r="KT269"/>
      <c r="KU269"/>
      <c r="KV269"/>
      <c r="KW269"/>
      <c r="KX269"/>
      <c r="KY269"/>
      <c r="KZ269"/>
      <c r="LA269"/>
      <c r="LB269"/>
      <c r="LC269"/>
      <c r="LD269"/>
      <c r="LE269"/>
      <c r="LF269"/>
      <c r="LG269"/>
      <c r="LH269"/>
      <c r="LI269"/>
      <c r="LJ269"/>
      <c r="LK269"/>
      <c r="LL269"/>
      <c r="LM269"/>
      <c r="LN269"/>
      <c r="LO269"/>
      <c r="LP269"/>
      <c r="LQ269"/>
      <c r="LR269"/>
      <c r="LS269"/>
      <c r="LT269"/>
      <c r="LU269"/>
      <c r="LV269"/>
      <c r="LW269"/>
      <c r="LX269"/>
      <c r="LY269"/>
      <c r="LZ269"/>
      <c r="MA269"/>
      <c r="MB269"/>
      <c r="MC269"/>
      <c r="MD269"/>
      <c r="ME269"/>
      <c r="MF269"/>
      <c r="MG269"/>
      <c r="MH269"/>
      <c r="MI269"/>
      <c r="MJ269"/>
      <c r="MK269"/>
      <c r="ML269"/>
      <c r="MM269"/>
      <c r="MN269"/>
      <c r="MO269"/>
      <c r="MP269"/>
      <c r="MQ269"/>
      <c r="MR269"/>
      <c r="MS269"/>
      <c r="MT269"/>
      <c r="MU269"/>
      <c r="MV269"/>
      <c r="MW269"/>
      <c r="MX269"/>
      <c r="MY269"/>
      <c r="MZ269"/>
      <c r="NA269"/>
      <c r="NB269"/>
      <c r="NC269"/>
      <c r="ND269"/>
      <c r="NE269"/>
      <c r="NF269"/>
      <c r="NG269"/>
      <c r="NH269"/>
      <c r="NI269"/>
      <c r="NJ269"/>
      <c r="NK269"/>
      <c r="NL269"/>
      <c r="NM269"/>
      <c r="NN269"/>
      <c r="NO269"/>
      <c r="NP269"/>
      <c r="NQ269"/>
      <c r="NR269"/>
      <c r="NS269"/>
      <c r="NT269"/>
      <c r="NU269"/>
      <c r="NV269"/>
      <c r="NW269"/>
      <c r="NX269"/>
      <c r="NY269"/>
      <c r="NZ269"/>
      <c r="OA269"/>
      <c r="OB269"/>
      <c r="OC269"/>
      <c r="OD269"/>
      <c r="OE269"/>
      <c r="OF269"/>
      <c r="OG269"/>
      <c r="OH269"/>
      <c r="OI269"/>
      <c r="OJ269"/>
      <c r="OK269"/>
      <c r="OL269"/>
      <c r="OM269"/>
      <c r="ON269"/>
      <c r="OO269"/>
      <c r="OP269"/>
      <c r="OQ269"/>
      <c r="OR269"/>
      <c r="OS269"/>
      <c r="OT269"/>
      <c r="OU269"/>
      <c r="OV269"/>
      <c r="OW269"/>
      <c r="OX269"/>
      <c r="OY269"/>
      <c r="OZ269"/>
      <c r="PA269"/>
      <c r="PB269"/>
      <c r="PC269"/>
      <c r="PD269"/>
      <c r="PE269"/>
      <c r="PF269"/>
      <c r="PG269"/>
      <c r="PH269"/>
      <c r="PI269"/>
      <c r="PJ269"/>
      <c r="PK269"/>
      <c r="PL269"/>
      <c r="PM269"/>
      <c r="PN269"/>
      <c r="PO269"/>
      <c r="PP269"/>
      <c r="PQ269"/>
      <c r="PR269"/>
      <c r="PS269"/>
      <c r="PT269"/>
      <c r="PU269"/>
      <c r="PV269"/>
      <c r="PW269"/>
      <c r="PX269"/>
      <c r="PY269"/>
      <c r="PZ269"/>
      <c r="QA269"/>
      <c r="QB269"/>
      <c r="QC269"/>
      <c r="QD269"/>
      <c r="QE269"/>
      <c r="QF269"/>
      <c r="QG269"/>
      <c r="QH269"/>
      <c r="QI269"/>
      <c r="QJ269"/>
      <c r="QK269"/>
      <c r="QL269"/>
      <c r="QM269"/>
      <c r="QN269"/>
      <c r="QO269"/>
      <c r="QP269"/>
      <c r="QQ269"/>
      <c r="QR269"/>
      <c r="QS269"/>
      <c r="QT269"/>
      <c r="QU269"/>
      <c r="QV269"/>
      <c r="QW269"/>
      <c r="QX269"/>
    </row>
    <row r="270" spans="1:466" x14ac:dyDescent="0.35">
      <c r="A270" s="53"/>
      <c r="B270" s="53"/>
      <c r="C270" s="55"/>
      <c r="D270" s="53"/>
      <c r="E270" s="53"/>
      <c r="F270" s="126" t="s">
        <v>436</v>
      </c>
      <c r="G270" s="125">
        <v>15.625</v>
      </c>
      <c r="H270" s="125">
        <v>156.25</v>
      </c>
      <c r="I270" s="133">
        <v>10</v>
      </c>
      <c r="J270" s="53"/>
      <c r="K270" s="53"/>
      <c r="L270" s="53"/>
      <c r="M270" s="53"/>
      <c r="N270" s="53"/>
      <c r="O270" s="53"/>
      <c r="P270" s="53"/>
      <c r="Q270" s="53"/>
      <c r="R270" s="53"/>
      <c r="S270" s="53"/>
      <c r="T270" s="53"/>
      <c r="U270" s="53"/>
      <c r="V270" s="53"/>
      <c r="W270" s="53"/>
      <c r="X270" s="53"/>
      <c r="Y270" s="53"/>
      <c r="Z270" s="53"/>
      <c r="AA270" s="53"/>
      <c r="AB270" s="53"/>
      <c r="AC270" s="53"/>
      <c r="AD270" s="53"/>
      <c r="AE270" s="53"/>
      <c r="AF270" s="63"/>
      <c r="AG270" s="64"/>
      <c r="AH270" s="65"/>
      <c r="AI270" s="65"/>
      <c r="AJ270" s="53"/>
      <c r="AK270" s="62"/>
      <c r="AL270" s="62"/>
      <c r="AM270" s="62"/>
      <c r="AN270" s="62"/>
      <c r="AO270" s="62"/>
      <c r="AP270" s="62"/>
      <c r="AQ270" s="62"/>
      <c r="AR270" s="62"/>
      <c r="AS270" s="62"/>
      <c r="AT270" s="62"/>
      <c r="AU270" s="62"/>
      <c r="AV270" s="62"/>
      <c r="AW270" s="62"/>
      <c r="AX270" s="62"/>
      <c r="AY270" s="62"/>
      <c r="AZ270" s="62"/>
      <c r="BA270" s="62"/>
      <c r="BB270" s="62"/>
      <c r="BC270" s="62"/>
      <c r="BD270" s="62"/>
      <c r="BE270" s="62"/>
      <c r="BF270" s="62"/>
      <c r="BG270" s="62"/>
      <c r="BH270" s="62"/>
      <c r="BI270" s="62"/>
      <c r="BJ270" s="62"/>
      <c r="BK270" s="62"/>
      <c r="BL270" s="62"/>
      <c r="BM270" s="62"/>
      <c r="BN270" s="62"/>
      <c r="BO270" s="62"/>
      <c r="BP270" s="62"/>
      <c r="BQ270" s="62"/>
      <c r="BR270" s="62"/>
      <c r="BS270" s="62"/>
      <c r="BT270" s="62"/>
      <c r="BU270" s="62"/>
      <c r="BV270" s="62"/>
      <c r="BW270" s="62"/>
      <c r="BX270" s="62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  <c r="HB270"/>
      <c r="HC270"/>
      <c r="HD270"/>
      <c r="HE270"/>
      <c r="HF270"/>
      <c r="HG270"/>
      <c r="HH270"/>
      <c r="HI270"/>
      <c r="HJ270"/>
      <c r="HK270"/>
      <c r="HL270"/>
      <c r="HM270"/>
      <c r="HN270"/>
      <c r="HO270"/>
      <c r="HP270"/>
      <c r="HQ270"/>
      <c r="HR270"/>
      <c r="HS270"/>
      <c r="HT270"/>
      <c r="HU270"/>
      <c r="HV270"/>
      <c r="HW270"/>
      <c r="HX270"/>
      <c r="HY270"/>
      <c r="HZ270"/>
      <c r="IA270"/>
      <c r="IB270"/>
      <c r="IC270"/>
      <c r="ID270"/>
      <c r="IE270"/>
      <c r="IF270"/>
      <c r="IG270"/>
      <c r="IH270"/>
      <c r="II270"/>
      <c r="IJ270"/>
      <c r="IK270"/>
      <c r="IL270"/>
      <c r="IM270"/>
      <c r="IN270"/>
      <c r="IO270"/>
      <c r="IP270"/>
      <c r="IQ270"/>
      <c r="IR270"/>
      <c r="IS270"/>
      <c r="IT270"/>
      <c r="IU270"/>
      <c r="IV270"/>
      <c r="IW270"/>
      <c r="IX270"/>
      <c r="IY270"/>
      <c r="IZ270"/>
      <c r="JA270"/>
      <c r="JB270"/>
      <c r="JC270"/>
      <c r="JD270"/>
      <c r="JE270"/>
      <c r="JF270"/>
      <c r="JG270"/>
      <c r="JH270"/>
      <c r="JI270"/>
      <c r="JJ270"/>
      <c r="JK270"/>
      <c r="JL270"/>
      <c r="JM270"/>
      <c r="JN270"/>
      <c r="JO270"/>
      <c r="JP270"/>
      <c r="JQ270"/>
      <c r="JR270"/>
      <c r="JS270"/>
      <c r="JT270"/>
      <c r="JU270"/>
      <c r="JV270"/>
      <c r="JW270"/>
      <c r="JX270"/>
      <c r="JY270"/>
      <c r="JZ270"/>
      <c r="KA270"/>
      <c r="KB270"/>
      <c r="KC270"/>
      <c r="KD270"/>
      <c r="KE270"/>
      <c r="KF270"/>
      <c r="KG270"/>
      <c r="KH270"/>
      <c r="KI270"/>
      <c r="KJ270"/>
      <c r="KK270"/>
      <c r="KL270"/>
      <c r="KM270"/>
      <c r="KN270"/>
      <c r="KO270"/>
      <c r="KP270"/>
      <c r="KQ270"/>
      <c r="KR270"/>
      <c r="KS270"/>
      <c r="KT270"/>
      <c r="KU270"/>
      <c r="KV270"/>
      <c r="KW270"/>
      <c r="KX270"/>
      <c r="KY270"/>
      <c r="KZ270"/>
      <c r="LA270"/>
      <c r="LB270"/>
      <c r="LC270"/>
      <c r="LD270"/>
      <c r="LE270"/>
      <c r="LF270"/>
      <c r="LG270"/>
      <c r="LH270"/>
      <c r="LI270"/>
      <c r="LJ270"/>
      <c r="LK270"/>
      <c r="LL270"/>
      <c r="LM270"/>
      <c r="LN270"/>
      <c r="LO270"/>
      <c r="LP270"/>
      <c r="LQ270"/>
      <c r="LR270"/>
      <c r="LS270"/>
      <c r="LT270"/>
      <c r="LU270"/>
      <c r="LV270"/>
      <c r="LW270"/>
      <c r="LX270"/>
      <c r="LY270"/>
      <c r="LZ270"/>
      <c r="MA270"/>
      <c r="MB270"/>
      <c r="MC270"/>
      <c r="MD270"/>
      <c r="ME270"/>
      <c r="MF270"/>
      <c r="MG270"/>
      <c r="MH270"/>
      <c r="MI270"/>
      <c r="MJ270"/>
      <c r="MK270"/>
      <c r="ML270"/>
      <c r="MM270"/>
      <c r="MN270"/>
      <c r="MO270"/>
      <c r="MP270"/>
      <c r="MQ270"/>
      <c r="MR270"/>
      <c r="MS270"/>
      <c r="MT270"/>
      <c r="MU270"/>
      <c r="MV270"/>
      <c r="MW270"/>
      <c r="MX270"/>
      <c r="MY270"/>
      <c r="MZ270"/>
      <c r="NA270"/>
      <c r="NB270"/>
      <c r="NC270"/>
      <c r="ND270"/>
      <c r="NE270"/>
      <c r="NF270"/>
      <c r="NG270"/>
      <c r="NH270"/>
      <c r="NI270"/>
      <c r="NJ270"/>
      <c r="NK270"/>
      <c r="NL270"/>
      <c r="NM270"/>
      <c r="NN270"/>
      <c r="NO270"/>
      <c r="NP270"/>
      <c r="NQ270"/>
      <c r="NR270"/>
      <c r="NS270"/>
      <c r="NT270"/>
      <c r="NU270"/>
      <c r="NV270"/>
      <c r="NW270"/>
      <c r="NX270"/>
      <c r="NY270"/>
      <c r="NZ270"/>
      <c r="OA270"/>
      <c r="OB270"/>
      <c r="OC270"/>
      <c r="OD270"/>
      <c r="OE270"/>
      <c r="OF270"/>
      <c r="OG270"/>
      <c r="OH270"/>
      <c r="OI270"/>
      <c r="OJ270"/>
      <c r="OK270"/>
      <c r="OL270"/>
      <c r="OM270"/>
      <c r="ON270"/>
      <c r="OO270"/>
      <c r="OP270"/>
      <c r="OQ270"/>
      <c r="OR270"/>
      <c r="OS270"/>
      <c r="OT270"/>
      <c r="OU270"/>
      <c r="OV270"/>
      <c r="OW270"/>
      <c r="OX270"/>
      <c r="OY270"/>
      <c r="OZ270"/>
      <c r="PA270"/>
      <c r="PB270"/>
      <c r="PC270"/>
      <c r="PD270"/>
      <c r="PE270"/>
      <c r="PF270"/>
      <c r="PG270"/>
      <c r="PH270"/>
      <c r="PI270"/>
      <c r="PJ270"/>
      <c r="PK270"/>
      <c r="PL270"/>
      <c r="PM270"/>
      <c r="PN270"/>
      <c r="PO270"/>
      <c r="PP270"/>
      <c r="PQ270"/>
      <c r="PR270"/>
      <c r="PS270"/>
      <c r="PT270"/>
      <c r="PU270"/>
      <c r="PV270"/>
      <c r="PW270"/>
      <c r="PX270"/>
      <c r="PY270"/>
      <c r="PZ270"/>
      <c r="QA270"/>
      <c r="QB270"/>
      <c r="QC270"/>
      <c r="QD270"/>
      <c r="QE270"/>
      <c r="QF270"/>
      <c r="QG270"/>
      <c r="QH270"/>
      <c r="QI270"/>
      <c r="QJ270"/>
      <c r="QK270"/>
      <c r="QL270"/>
      <c r="QM270"/>
      <c r="QN270"/>
      <c r="QO270"/>
      <c r="QP270"/>
      <c r="QQ270"/>
      <c r="QR270"/>
      <c r="QS270"/>
      <c r="QT270"/>
      <c r="QU270"/>
      <c r="QV270"/>
      <c r="QW270"/>
      <c r="QX270"/>
    </row>
    <row r="271" spans="1:466" x14ac:dyDescent="0.35">
      <c r="A271" s="53"/>
      <c r="B271" s="53"/>
      <c r="C271" s="55"/>
      <c r="D271" s="53"/>
      <c r="E271" s="53"/>
      <c r="F271" s="126" t="s">
        <v>347</v>
      </c>
      <c r="G271" s="125">
        <v>3</v>
      </c>
      <c r="H271" s="125">
        <v>261</v>
      </c>
      <c r="I271" s="133">
        <v>87</v>
      </c>
      <c r="J271" s="53"/>
      <c r="K271" s="53"/>
      <c r="L271" s="53"/>
      <c r="M271" s="53"/>
      <c r="N271" s="53"/>
      <c r="O271" s="53"/>
      <c r="P271" s="53"/>
      <c r="Q271" s="53"/>
      <c r="R271" s="53"/>
      <c r="S271" s="53"/>
      <c r="T271" s="53"/>
      <c r="U271" s="53"/>
      <c r="V271" s="53"/>
      <c r="W271" s="53"/>
      <c r="X271" s="53"/>
      <c r="Y271" s="53"/>
      <c r="Z271" s="53"/>
      <c r="AA271" s="53"/>
      <c r="AB271" s="53"/>
      <c r="AC271" s="53"/>
      <c r="AD271" s="53"/>
      <c r="AE271" s="53"/>
      <c r="AF271" s="63"/>
      <c r="AG271" s="64"/>
      <c r="AH271" s="65"/>
      <c r="AI271" s="65"/>
      <c r="AJ271" s="53"/>
      <c r="AK271" s="62"/>
      <c r="AL271" s="62"/>
      <c r="AM271" s="62"/>
      <c r="AN271" s="62"/>
      <c r="AO271" s="62"/>
      <c r="AP271" s="62"/>
      <c r="AQ271" s="62"/>
      <c r="AR271" s="62"/>
      <c r="AS271" s="62"/>
      <c r="AT271" s="62"/>
      <c r="AU271" s="62"/>
      <c r="AV271" s="62"/>
      <c r="AW271" s="62"/>
      <c r="AX271" s="62"/>
      <c r="AY271" s="62"/>
      <c r="AZ271" s="62"/>
      <c r="BA271" s="62"/>
      <c r="BB271" s="62"/>
      <c r="BC271" s="62"/>
      <c r="BD271" s="62"/>
      <c r="BE271" s="62"/>
      <c r="BF271" s="62"/>
      <c r="BG271" s="62"/>
      <c r="BH271" s="62"/>
      <c r="BI271" s="62"/>
      <c r="BJ271" s="62"/>
      <c r="BK271" s="62"/>
      <c r="BL271" s="62"/>
      <c r="BM271" s="62"/>
      <c r="BN271" s="62"/>
      <c r="BO271" s="62"/>
      <c r="BP271" s="62"/>
      <c r="BQ271" s="62"/>
      <c r="BR271" s="62"/>
      <c r="BS271" s="62"/>
      <c r="BT271" s="62"/>
      <c r="BU271" s="62"/>
      <c r="BV271" s="62"/>
      <c r="BW271" s="62"/>
      <c r="BX271" s="62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  <c r="HB271"/>
      <c r="HC271"/>
      <c r="HD271"/>
      <c r="HE271"/>
      <c r="HF271"/>
      <c r="HG271"/>
      <c r="HH271"/>
      <c r="HI271"/>
      <c r="HJ271"/>
      <c r="HK271"/>
      <c r="HL271"/>
      <c r="HM271"/>
      <c r="HN271"/>
      <c r="HO271"/>
      <c r="HP271"/>
      <c r="HQ271"/>
      <c r="HR271"/>
      <c r="HS271"/>
      <c r="HT271"/>
      <c r="HU271"/>
      <c r="HV271"/>
      <c r="HW271"/>
      <c r="HX271"/>
      <c r="HY271"/>
      <c r="HZ271"/>
      <c r="IA271"/>
      <c r="IB271"/>
      <c r="IC271"/>
      <c r="ID271"/>
      <c r="IE271"/>
      <c r="IF271"/>
      <c r="IG271"/>
      <c r="IH271"/>
      <c r="II271"/>
      <c r="IJ271"/>
      <c r="IK271"/>
      <c r="IL271"/>
      <c r="IM271"/>
      <c r="IN271"/>
      <c r="IO271"/>
      <c r="IP271"/>
      <c r="IQ271"/>
      <c r="IR271"/>
      <c r="IS271"/>
      <c r="IT271"/>
      <c r="IU271"/>
      <c r="IV271"/>
      <c r="IW271"/>
      <c r="IX271"/>
      <c r="IY271"/>
      <c r="IZ271"/>
      <c r="JA271"/>
      <c r="JB271"/>
      <c r="JC271"/>
      <c r="JD271"/>
      <c r="JE271"/>
      <c r="JF271"/>
      <c r="JG271"/>
      <c r="JH271"/>
      <c r="JI271"/>
      <c r="JJ271"/>
      <c r="JK271"/>
      <c r="JL271"/>
      <c r="JM271"/>
      <c r="JN271"/>
      <c r="JO271"/>
      <c r="JP271"/>
      <c r="JQ271"/>
      <c r="JR271"/>
      <c r="JS271"/>
      <c r="JT271"/>
      <c r="JU271"/>
      <c r="JV271"/>
      <c r="JW271"/>
      <c r="JX271"/>
      <c r="JY271"/>
      <c r="JZ271"/>
      <c r="KA271"/>
      <c r="KB271"/>
      <c r="KC271"/>
      <c r="KD271"/>
      <c r="KE271"/>
      <c r="KF271"/>
      <c r="KG271"/>
      <c r="KH271"/>
      <c r="KI271"/>
      <c r="KJ271"/>
      <c r="KK271"/>
      <c r="KL271"/>
      <c r="KM271"/>
      <c r="KN271"/>
      <c r="KO271"/>
      <c r="KP271"/>
      <c r="KQ271"/>
      <c r="KR271"/>
      <c r="KS271"/>
      <c r="KT271"/>
      <c r="KU271"/>
      <c r="KV271"/>
      <c r="KW271"/>
      <c r="KX271"/>
      <c r="KY271"/>
      <c r="KZ271"/>
      <c r="LA271"/>
      <c r="LB271"/>
      <c r="LC271"/>
      <c r="LD271"/>
      <c r="LE271"/>
      <c r="LF271"/>
      <c r="LG271"/>
      <c r="LH271"/>
      <c r="LI271"/>
      <c r="LJ271"/>
      <c r="LK271"/>
      <c r="LL271"/>
      <c r="LM271"/>
      <c r="LN271"/>
      <c r="LO271"/>
      <c r="LP271"/>
      <c r="LQ271"/>
      <c r="LR271"/>
      <c r="LS271"/>
      <c r="LT271"/>
      <c r="LU271"/>
      <c r="LV271"/>
      <c r="LW271"/>
      <c r="LX271"/>
      <c r="LY271"/>
      <c r="LZ271"/>
      <c r="MA271"/>
      <c r="MB271"/>
      <c r="MC271"/>
      <c r="MD271"/>
      <c r="ME271"/>
      <c r="MF271"/>
      <c r="MG271"/>
      <c r="MH271"/>
      <c r="MI271"/>
      <c r="MJ271"/>
      <c r="MK271"/>
      <c r="ML271"/>
      <c r="MM271"/>
      <c r="MN271"/>
      <c r="MO271"/>
      <c r="MP271"/>
      <c r="MQ271"/>
      <c r="MR271"/>
      <c r="MS271"/>
      <c r="MT271"/>
      <c r="MU271"/>
      <c r="MV271"/>
      <c r="MW271"/>
      <c r="MX271"/>
      <c r="MY271"/>
      <c r="MZ271"/>
      <c r="NA271"/>
      <c r="NB271"/>
      <c r="NC271"/>
      <c r="ND271"/>
      <c r="NE271"/>
      <c r="NF271"/>
      <c r="NG271"/>
      <c r="NH271"/>
      <c r="NI271"/>
      <c r="NJ271"/>
      <c r="NK271"/>
      <c r="NL271"/>
      <c r="NM271"/>
      <c r="NN271"/>
      <c r="NO271"/>
      <c r="NP271"/>
      <c r="NQ271"/>
      <c r="NR271"/>
      <c r="NS271"/>
      <c r="NT271"/>
      <c r="NU271"/>
      <c r="NV271"/>
      <c r="NW271"/>
      <c r="NX271"/>
      <c r="NY271"/>
      <c r="NZ271"/>
      <c r="OA271"/>
      <c r="OB271"/>
      <c r="OC271"/>
      <c r="OD271"/>
      <c r="OE271"/>
      <c r="OF271"/>
      <c r="OG271"/>
      <c r="OH271"/>
      <c r="OI271"/>
      <c r="OJ271"/>
      <c r="OK271"/>
      <c r="OL271"/>
      <c r="OM271"/>
      <c r="ON271"/>
      <c r="OO271"/>
      <c r="OP271"/>
      <c r="OQ271"/>
      <c r="OR271"/>
      <c r="OS271"/>
      <c r="OT271"/>
      <c r="OU271"/>
      <c r="OV271"/>
      <c r="OW271"/>
      <c r="OX271"/>
      <c r="OY271"/>
      <c r="OZ271"/>
      <c r="PA271"/>
      <c r="PB271"/>
      <c r="PC271"/>
      <c r="PD271"/>
      <c r="PE271"/>
      <c r="PF271"/>
      <c r="PG271"/>
      <c r="PH271"/>
      <c r="PI271"/>
      <c r="PJ271"/>
      <c r="PK271"/>
      <c r="PL271"/>
      <c r="PM271"/>
      <c r="PN271"/>
      <c r="PO271"/>
      <c r="PP271"/>
      <c r="PQ271"/>
      <c r="PR271"/>
      <c r="PS271"/>
      <c r="PT271"/>
      <c r="PU271"/>
      <c r="PV271"/>
      <c r="PW271"/>
      <c r="PX271"/>
      <c r="PY271"/>
      <c r="PZ271"/>
      <c r="QA271"/>
      <c r="QB271"/>
      <c r="QC271"/>
      <c r="QD271"/>
      <c r="QE271"/>
      <c r="QF271"/>
      <c r="QG271"/>
      <c r="QH271"/>
      <c r="QI271"/>
      <c r="QJ271"/>
      <c r="QK271"/>
      <c r="QL271"/>
      <c r="QM271"/>
      <c r="QN271"/>
      <c r="QO271"/>
      <c r="QP271"/>
      <c r="QQ271"/>
      <c r="QR271"/>
      <c r="QS271"/>
      <c r="QT271"/>
      <c r="QU271"/>
      <c r="QV271"/>
      <c r="QW271"/>
      <c r="QX271"/>
    </row>
    <row r="272" spans="1:466" x14ac:dyDescent="0.35">
      <c r="A272" s="53"/>
      <c r="B272" s="53"/>
      <c r="C272" s="55"/>
      <c r="D272" s="53"/>
      <c r="E272" s="53"/>
      <c r="F272" s="126" t="s">
        <v>422</v>
      </c>
      <c r="G272" s="125">
        <v>4.8125</v>
      </c>
      <c r="H272" s="125">
        <v>3306.1875</v>
      </c>
      <c r="I272" s="133">
        <v>687</v>
      </c>
      <c r="J272" s="53"/>
      <c r="K272" s="53"/>
      <c r="L272" s="53"/>
      <c r="M272" s="53"/>
      <c r="N272" s="53"/>
      <c r="O272" s="53"/>
      <c r="P272" s="53"/>
      <c r="Q272" s="53"/>
      <c r="R272" s="53"/>
      <c r="S272" s="53"/>
      <c r="T272" s="53"/>
      <c r="U272" s="53"/>
      <c r="V272" s="53"/>
      <c r="W272" s="53"/>
      <c r="X272" s="53"/>
      <c r="Y272" s="53"/>
      <c r="Z272" s="53"/>
      <c r="AA272" s="53"/>
      <c r="AB272" s="53"/>
      <c r="AC272" s="53"/>
      <c r="AD272" s="53"/>
      <c r="AE272" s="53"/>
      <c r="AF272" s="63"/>
      <c r="AG272" s="64"/>
      <c r="AH272" s="65"/>
      <c r="AI272" s="65"/>
      <c r="AJ272" s="53"/>
      <c r="AK272" s="62"/>
      <c r="AL272" s="62"/>
      <c r="AM272" s="62"/>
      <c r="AN272" s="62"/>
      <c r="AO272" s="62"/>
      <c r="AP272" s="62"/>
      <c r="AQ272" s="62"/>
      <c r="AR272" s="62"/>
      <c r="AS272" s="62"/>
      <c r="AT272" s="62"/>
      <c r="AU272" s="62"/>
      <c r="AV272" s="62"/>
      <c r="AW272" s="62"/>
      <c r="AX272" s="62"/>
      <c r="AY272" s="62"/>
      <c r="AZ272" s="62"/>
      <c r="BA272" s="62"/>
      <c r="BB272" s="62"/>
      <c r="BC272" s="62"/>
      <c r="BD272" s="62"/>
      <c r="BE272" s="62"/>
      <c r="BF272" s="62"/>
      <c r="BG272" s="62"/>
      <c r="BH272" s="62"/>
      <c r="BI272" s="62"/>
      <c r="BJ272" s="62"/>
      <c r="BK272" s="62"/>
      <c r="BL272" s="62"/>
      <c r="BM272" s="62"/>
      <c r="BN272" s="62"/>
      <c r="BO272" s="62"/>
      <c r="BP272" s="62"/>
      <c r="BQ272" s="62"/>
      <c r="BR272" s="62"/>
      <c r="BS272" s="62"/>
      <c r="BT272" s="62"/>
      <c r="BU272" s="62"/>
      <c r="BV272" s="62"/>
      <c r="BW272" s="62"/>
      <c r="BX272" s="6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  <c r="HB272"/>
      <c r="HC272"/>
      <c r="HD272"/>
      <c r="HE272"/>
      <c r="HF272"/>
      <c r="HG272"/>
      <c r="HH272"/>
      <c r="HI272"/>
      <c r="HJ272"/>
      <c r="HK272"/>
      <c r="HL272"/>
      <c r="HM272"/>
      <c r="HN272"/>
      <c r="HO272"/>
      <c r="HP272"/>
      <c r="HQ272"/>
      <c r="HR272"/>
      <c r="HS272"/>
      <c r="HT272"/>
      <c r="HU272"/>
      <c r="HV272"/>
      <c r="HW272"/>
      <c r="HX272"/>
      <c r="HY272"/>
      <c r="HZ272"/>
      <c r="IA272"/>
      <c r="IB272"/>
      <c r="IC272"/>
      <c r="ID272"/>
      <c r="IE272"/>
      <c r="IF272"/>
      <c r="IG272"/>
      <c r="IH272"/>
      <c r="II272"/>
      <c r="IJ272"/>
      <c r="IK272"/>
      <c r="IL272"/>
      <c r="IM272"/>
      <c r="IN272"/>
      <c r="IO272"/>
      <c r="IP272"/>
      <c r="IQ272"/>
      <c r="IR272"/>
      <c r="IS272"/>
      <c r="IT272"/>
      <c r="IU272"/>
      <c r="IV272"/>
      <c r="IW272"/>
      <c r="IX272"/>
      <c r="IY272"/>
      <c r="IZ272"/>
      <c r="JA272"/>
      <c r="JB272"/>
      <c r="JC272"/>
      <c r="JD272"/>
      <c r="JE272"/>
      <c r="JF272"/>
      <c r="JG272"/>
      <c r="JH272"/>
      <c r="JI272"/>
      <c r="JJ272"/>
      <c r="JK272"/>
      <c r="JL272"/>
      <c r="JM272"/>
      <c r="JN272"/>
      <c r="JO272"/>
      <c r="JP272"/>
      <c r="JQ272"/>
      <c r="JR272"/>
      <c r="JS272"/>
      <c r="JT272"/>
      <c r="JU272"/>
      <c r="JV272"/>
      <c r="JW272"/>
      <c r="JX272"/>
      <c r="JY272"/>
      <c r="JZ272"/>
      <c r="KA272"/>
      <c r="KB272"/>
      <c r="KC272"/>
      <c r="KD272"/>
      <c r="KE272"/>
      <c r="KF272"/>
      <c r="KG272"/>
      <c r="KH272"/>
      <c r="KI272"/>
      <c r="KJ272"/>
      <c r="KK272"/>
      <c r="KL272"/>
      <c r="KM272"/>
      <c r="KN272"/>
      <c r="KO272"/>
      <c r="KP272"/>
      <c r="KQ272"/>
      <c r="KR272"/>
      <c r="KS272"/>
      <c r="KT272"/>
      <c r="KU272"/>
      <c r="KV272"/>
      <c r="KW272"/>
      <c r="KX272"/>
      <c r="KY272"/>
      <c r="KZ272"/>
      <c r="LA272"/>
      <c r="LB272"/>
      <c r="LC272"/>
      <c r="LD272"/>
      <c r="LE272"/>
      <c r="LF272"/>
      <c r="LG272"/>
      <c r="LH272"/>
      <c r="LI272"/>
      <c r="LJ272"/>
      <c r="LK272"/>
      <c r="LL272"/>
      <c r="LM272"/>
      <c r="LN272"/>
      <c r="LO272"/>
      <c r="LP272"/>
      <c r="LQ272"/>
      <c r="LR272"/>
      <c r="LS272"/>
      <c r="LT272"/>
      <c r="LU272"/>
      <c r="LV272"/>
      <c r="LW272"/>
      <c r="LX272"/>
      <c r="LY272"/>
      <c r="LZ272"/>
      <c r="MA272"/>
      <c r="MB272"/>
      <c r="MC272"/>
      <c r="MD272"/>
      <c r="ME272"/>
      <c r="MF272"/>
      <c r="MG272"/>
      <c r="MH272"/>
      <c r="MI272"/>
      <c r="MJ272"/>
      <c r="MK272"/>
      <c r="ML272"/>
      <c r="MM272"/>
      <c r="MN272"/>
      <c r="MO272"/>
      <c r="MP272"/>
      <c r="MQ272"/>
      <c r="MR272"/>
      <c r="MS272"/>
      <c r="MT272"/>
      <c r="MU272"/>
      <c r="MV272"/>
      <c r="MW272"/>
      <c r="MX272"/>
      <c r="MY272"/>
      <c r="MZ272"/>
      <c r="NA272"/>
      <c r="NB272"/>
      <c r="NC272"/>
      <c r="ND272"/>
      <c r="NE272"/>
      <c r="NF272"/>
      <c r="NG272"/>
      <c r="NH272"/>
      <c r="NI272"/>
      <c r="NJ272"/>
      <c r="NK272"/>
      <c r="NL272"/>
      <c r="NM272"/>
      <c r="NN272"/>
      <c r="NO272"/>
      <c r="NP272"/>
      <c r="NQ272"/>
      <c r="NR272"/>
      <c r="NS272"/>
      <c r="NT272"/>
      <c r="NU272"/>
      <c r="NV272"/>
      <c r="NW272"/>
      <c r="NX272"/>
      <c r="NY272"/>
      <c r="NZ272"/>
      <c r="OA272"/>
      <c r="OB272"/>
      <c r="OC272"/>
      <c r="OD272"/>
      <c r="OE272"/>
      <c r="OF272"/>
      <c r="OG272"/>
      <c r="OH272"/>
      <c r="OI272"/>
      <c r="OJ272"/>
      <c r="OK272"/>
      <c r="OL272"/>
      <c r="OM272"/>
      <c r="ON272"/>
      <c r="OO272"/>
      <c r="OP272"/>
      <c r="OQ272"/>
      <c r="OR272"/>
      <c r="OS272"/>
      <c r="OT272"/>
      <c r="OU272"/>
      <c r="OV272"/>
      <c r="OW272"/>
      <c r="OX272"/>
      <c r="OY272"/>
      <c r="OZ272"/>
      <c r="PA272"/>
      <c r="PB272"/>
      <c r="PC272"/>
      <c r="PD272"/>
      <c r="PE272"/>
      <c r="PF272"/>
      <c r="PG272"/>
      <c r="PH272"/>
      <c r="PI272"/>
      <c r="PJ272"/>
      <c r="PK272"/>
      <c r="PL272"/>
      <c r="PM272"/>
      <c r="PN272"/>
      <c r="PO272"/>
      <c r="PP272"/>
      <c r="PQ272"/>
      <c r="PR272"/>
      <c r="PS272"/>
      <c r="PT272"/>
      <c r="PU272"/>
      <c r="PV272"/>
      <c r="PW272"/>
      <c r="PX272"/>
      <c r="PY272"/>
      <c r="PZ272"/>
      <c r="QA272"/>
      <c r="QB272"/>
      <c r="QC272"/>
      <c r="QD272"/>
      <c r="QE272"/>
      <c r="QF272"/>
      <c r="QG272"/>
      <c r="QH272"/>
      <c r="QI272"/>
      <c r="QJ272"/>
      <c r="QK272"/>
      <c r="QL272"/>
      <c r="QM272"/>
      <c r="QN272"/>
      <c r="QO272"/>
      <c r="QP272"/>
      <c r="QQ272"/>
      <c r="QR272"/>
      <c r="QS272"/>
      <c r="QT272"/>
      <c r="QU272"/>
      <c r="QV272"/>
      <c r="QW272"/>
      <c r="QX272"/>
    </row>
    <row r="273" spans="1:466" x14ac:dyDescent="0.35">
      <c r="A273" s="53"/>
      <c r="B273" s="53"/>
      <c r="C273" s="55"/>
      <c r="D273" s="53"/>
      <c r="E273" s="53"/>
      <c r="F273" s="126" t="s">
        <v>423</v>
      </c>
      <c r="G273" s="125">
        <v>4.8125</v>
      </c>
      <c r="H273" s="125">
        <v>486.0625</v>
      </c>
      <c r="I273" s="133">
        <v>101</v>
      </c>
      <c r="J273" s="53"/>
      <c r="K273" s="53"/>
      <c r="L273" s="53"/>
      <c r="M273" s="53"/>
      <c r="N273" s="53"/>
      <c r="O273" s="53"/>
      <c r="P273" s="53"/>
      <c r="Q273" s="53"/>
      <c r="R273" s="53"/>
      <c r="S273" s="53"/>
      <c r="T273" s="53"/>
      <c r="U273" s="53"/>
      <c r="V273" s="53"/>
      <c r="W273" s="53"/>
      <c r="X273" s="53"/>
      <c r="Y273" s="53"/>
      <c r="Z273" s="53"/>
      <c r="AA273" s="53"/>
      <c r="AB273" s="53"/>
      <c r="AC273" s="53"/>
      <c r="AD273" s="53"/>
      <c r="AE273" s="53"/>
      <c r="AF273" s="63"/>
      <c r="AG273" s="64"/>
      <c r="AH273" s="65"/>
      <c r="AI273" s="65"/>
      <c r="AJ273" s="53"/>
      <c r="AK273" s="62"/>
      <c r="AL273" s="62"/>
      <c r="AM273" s="62"/>
      <c r="AN273" s="62"/>
      <c r="AO273" s="62"/>
      <c r="AP273" s="62"/>
      <c r="AQ273" s="62"/>
      <c r="AR273" s="62"/>
      <c r="AS273" s="62"/>
      <c r="AT273" s="62"/>
      <c r="AU273" s="62"/>
      <c r="AV273" s="62"/>
      <c r="AW273" s="62"/>
      <c r="AX273" s="62"/>
      <c r="AY273" s="62"/>
      <c r="AZ273" s="62"/>
      <c r="BA273" s="62"/>
      <c r="BB273" s="62"/>
      <c r="BC273" s="62"/>
      <c r="BD273" s="62"/>
      <c r="BE273" s="62"/>
      <c r="BF273" s="62"/>
      <c r="BG273" s="62"/>
      <c r="BH273" s="62"/>
      <c r="BI273" s="62"/>
      <c r="BJ273" s="62"/>
      <c r="BK273" s="62"/>
      <c r="BL273" s="62"/>
      <c r="BM273" s="62"/>
      <c r="BN273" s="62"/>
      <c r="BO273" s="62"/>
      <c r="BP273" s="62"/>
      <c r="BQ273" s="62"/>
      <c r="BR273" s="62"/>
      <c r="BS273" s="62"/>
      <c r="BT273" s="62"/>
      <c r="BU273" s="62"/>
      <c r="BV273" s="62"/>
      <c r="BW273" s="62"/>
      <c r="BX273" s="62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  <c r="HB273"/>
      <c r="HC273"/>
      <c r="HD273"/>
      <c r="HE273"/>
      <c r="HF273"/>
      <c r="HG273"/>
      <c r="HH273"/>
      <c r="HI273"/>
      <c r="HJ273"/>
      <c r="HK273"/>
      <c r="HL273"/>
      <c r="HM273"/>
      <c r="HN273"/>
      <c r="HO273"/>
      <c r="HP273"/>
      <c r="HQ273"/>
      <c r="HR273"/>
      <c r="HS273"/>
      <c r="HT273"/>
      <c r="HU273"/>
      <c r="HV273"/>
      <c r="HW273"/>
      <c r="HX273"/>
      <c r="HY273"/>
      <c r="HZ273"/>
      <c r="IA273"/>
      <c r="IB273"/>
      <c r="IC273"/>
      <c r="ID273"/>
      <c r="IE273"/>
      <c r="IF273"/>
      <c r="IG273"/>
      <c r="IH273"/>
      <c r="II273"/>
      <c r="IJ273"/>
      <c r="IK273"/>
      <c r="IL273"/>
      <c r="IM273"/>
      <c r="IN273"/>
      <c r="IO273"/>
      <c r="IP273"/>
      <c r="IQ273"/>
      <c r="IR273"/>
      <c r="IS273"/>
      <c r="IT273"/>
      <c r="IU273"/>
      <c r="IV273"/>
      <c r="IW273"/>
      <c r="IX273"/>
      <c r="IY273"/>
      <c r="IZ273"/>
      <c r="JA273"/>
      <c r="JB273"/>
      <c r="JC273"/>
      <c r="JD273"/>
      <c r="JE273"/>
      <c r="JF273"/>
      <c r="JG273"/>
      <c r="JH273"/>
      <c r="JI273"/>
      <c r="JJ273"/>
      <c r="JK273"/>
      <c r="JL273"/>
      <c r="JM273"/>
      <c r="JN273"/>
      <c r="JO273"/>
      <c r="JP273"/>
      <c r="JQ273"/>
      <c r="JR273"/>
      <c r="JS273"/>
      <c r="JT273"/>
      <c r="JU273"/>
      <c r="JV273"/>
      <c r="JW273"/>
      <c r="JX273"/>
      <c r="JY273"/>
      <c r="JZ273"/>
      <c r="KA273"/>
      <c r="KB273"/>
      <c r="KC273"/>
      <c r="KD273"/>
      <c r="KE273"/>
      <c r="KF273"/>
      <c r="KG273"/>
      <c r="KH273"/>
      <c r="KI273"/>
      <c r="KJ273"/>
      <c r="KK273"/>
      <c r="KL273"/>
      <c r="KM273"/>
      <c r="KN273"/>
      <c r="KO273"/>
      <c r="KP273"/>
      <c r="KQ273"/>
      <c r="KR273"/>
      <c r="KS273"/>
      <c r="KT273"/>
      <c r="KU273"/>
      <c r="KV273"/>
      <c r="KW273"/>
      <c r="KX273"/>
      <c r="KY273"/>
      <c r="KZ273"/>
      <c r="LA273"/>
      <c r="LB273"/>
      <c r="LC273"/>
      <c r="LD273"/>
      <c r="LE273"/>
      <c r="LF273"/>
      <c r="LG273"/>
      <c r="LH273"/>
      <c r="LI273"/>
      <c r="LJ273"/>
      <c r="LK273"/>
      <c r="LL273"/>
      <c r="LM273"/>
      <c r="LN273"/>
      <c r="LO273"/>
      <c r="LP273"/>
      <c r="LQ273"/>
      <c r="LR273"/>
      <c r="LS273"/>
      <c r="LT273"/>
      <c r="LU273"/>
      <c r="LV273"/>
      <c r="LW273"/>
      <c r="LX273"/>
      <c r="LY273"/>
      <c r="LZ273"/>
      <c r="MA273"/>
      <c r="MB273"/>
      <c r="MC273"/>
      <c r="MD273"/>
      <c r="ME273"/>
      <c r="MF273"/>
      <c r="MG273"/>
      <c r="MH273"/>
      <c r="MI273"/>
      <c r="MJ273"/>
      <c r="MK273"/>
      <c r="ML273"/>
      <c r="MM273"/>
      <c r="MN273"/>
      <c r="MO273"/>
      <c r="MP273"/>
      <c r="MQ273"/>
      <c r="MR273"/>
      <c r="MS273"/>
      <c r="MT273"/>
      <c r="MU273"/>
      <c r="MV273"/>
      <c r="MW273"/>
      <c r="MX273"/>
      <c r="MY273"/>
      <c r="MZ273"/>
      <c r="NA273"/>
      <c r="NB273"/>
      <c r="NC273"/>
      <c r="ND273"/>
      <c r="NE273"/>
      <c r="NF273"/>
      <c r="NG273"/>
      <c r="NH273"/>
      <c r="NI273"/>
      <c r="NJ273"/>
      <c r="NK273"/>
      <c r="NL273"/>
      <c r="NM273"/>
      <c r="NN273"/>
      <c r="NO273"/>
      <c r="NP273"/>
      <c r="NQ273"/>
      <c r="NR273"/>
      <c r="NS273"/>
      <c r="NT273"/>
      <c r="NU273"/>
      <c r="NV273"/>
      <c r="NW273"/>
      <c r="NX273"/>
      <c r="NY273"/>
      <c r="NZ273"/>
      <c r="OA273"/>
      <c r="OB273"/>
      <c r="OC273"/>
      <c r="OD273"/>
      <c r="OE273"/>
      <c r="OF273"/>
      <c r="OG273"/>
      <c r="OH273"/>
      <c r="OI273"/>
      <c r="OJ273"/>
      <c r="OK273"/>
      <c r="OL273"/>
      <c r="OM273"/>
      <c r="ON273"/>
      <c r="OO273"/>
      <c r="OP273"/>
      <c r="OQ273"/>
      <c r="OR273"/>
      <c r="OS273"/>
      <c r="OT273"/>
      <c r="OU273"/>
      <c r="OV273"/>
      <c r="OW273"/>
      <c r="OX273"/>
      <c r="OY273"/>
      <c r="OZ273"/>
      <c r="PA273"/>
      <c r="PB273"/>
      <c r="PC273"/>
      <c r="PD273"/>
      <c r="PE273"/>
      <c r="PF273"/>
      <c r="PG273"/>
      <c r="PH273"/>
      <c r="PI273"/>
      <c r="PJ273"/>
      <c r="PK273"/>
      <c r="PL273"/>
      <c r="PM273"/>
      <c r="PN273"/>
      <c r="PO273"/>
      <c r="PP273"/>
      <c r="PQ273"/>
      <c r="PR273"/>
      <c r="PS273"/>
      <c r="PT273"/>
      <c r="PU273"/>
      <c r="PV273"/>
      <c r="PW273"/>
      <c r="PX273"/>
      <c r="PY273"/>
      <c r="PZ273"/>
      <c r="QA273"/>
      <c r="QB273"/>
      <c r="QC273"/>
      <c r="QD273"/>
      <c r="QE273"/>
      <c r="QF273"/>
      <c r="QG273"/>
      <c r="QH273"/>
      <c r="QI273"/>
      <c r="QJ273"/>
      <c r="QK273"/>
      <c r="QL273"/>
      <c r="QM273"/>
      <c r="QN273"/>
      <c r="QO273"/>
      <c r="QP273"/>
      <c r="QQ273"/>
      <c r="QR273"/>
      <c r="QS273"/>
      <c r="QT273"/>
      <c r="QU273"/>
      <c r="QV273"/>
      <c r="QW273"/>
      <c r="QX273"/>
    </row>
    <row r="274" spans="1:466" x14ac:dyDescent="0.35">
      <c r="A274" s="53"/>
      <c r="B274" s="53"/>
      <c r="C274" s="55"/>
      <c r="D274" s="53"/>
      <c r="E274" s="53"/>
      <c r="F274" s="126" t="s">
        <v>192</v>
      </c>
      <c r="G274" s="125">
        <v>0.31900000000000001</v>
      </c>
      <c r="H274" s="125">
        <v>0</v>
      </c>
      <c r="I274" s="133">
        <v>0</v>
      </c>
      <c r="J274" s="53"/>
      <c r="K274" s="53"/>
      <c r="L274" s="53"/>
      <c r="M274" s="53"/>
      <c r="N274" s="53"/>
      <c r="O274" s="53"/>
      <c r="P274" s="53"/>
      <c r="Q274" s="53"/>
      <c r="R274" s="53"/>
      <c r="S274" s="53"/>
      <c r="T274" s="53"/>
      <c r="U274" s="53"/>
      <c r="V274" s="53"/>
      <c r="W274" s="53"/>
      <c r="X274" s="53"/>
      <c r="Y274" s="53"/>
      <c r="Z274" s="53"/>
      <c r="AA274" s="53"/>
      <c r="AB274" s="53"/>
      <c r="AC274" s="53"/>
      <c r="AD274" s="53"/>
      <c r="AE274" s="53"/>
      <c r="AF274" s="63"/>
      <c r="AG274" s="64"/>
      <c r="AH274" s="65"/>
      <c r="AI274" s="65"/>
      <c r="AJ274" s="53"/>
      <c r="AK274" s="62"/>
      <c r="AL274" s="62"/>
      <c r="AM274" s="62"/>
      <c r="AN274" s="62"/>
      <c r="AO274" s="62"/>
      <c r="AP274" s="62"/>
      <c r="AQ274" s="62"/>
      <c r="AR274" s="62"/>
      <c r="AS274" s="62"/>
      <c r="AT274" s="62"/>
      <c r="AU274" s="62"/>
      <c r="AV274" s="62"/>
      <c r="AW274" s="62"/>
      <c r="AX274" s="62"/>
      <c r="AY274" s="62"/>
      <c r="AZ274" s="62"/>
      <c r="BA274" s="62"/>
      <c r="BB274" s="62"/>
      <c r="BC274" s="62"/>
      <c r="BD274" s="62"/>
      <c r="BE274" s="62"/>
      <c r="BF274" s="62"/>
      <c r="BG274" s="62"/>
      <c r="BH274" s="62"/>
      <c r="BI274" s="62"/>
      <c r="BJ274" s="62"/>
      <c r="BK274" s="62"/>
      <c r="BL274" s="62"/>
      <c r="BM274" s="62"/>
      <c r="BN274" s="62"/>
      <c r="BO274" s="62"/>
      <c r="BP274" s="62"/>
      <c r="BQ274" s="62"/>
      <c r="BR274" s="62"/>
      <c r="BS274" s="62"/>
      <c r="BT274" s="62"/>
      <c r="BU274" s="62"/>
      <c r="BV274" s="62"/>
      <c r="BW274" s="62"/>
      <c r="BX274" s="62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  <c r="HB274"/>
      <c r="HC274"/>
      <c r="HD274"/>
      <c r="HE274"/>
      <c r="HF274"/>
      <c r="HG274"/>
      <c r="HH274"/>
      <c r="HI274"/>
      <c r="HJ274"/>
      <c r="HK274"/>
      <c r="HL274"/>
      <c r="HM274"/>
      <c r="HN274"/>
      <c r="HO274"/>
      <c r="HP274"/>
      <c r="HQ274"/>
      <c r="HR274"/>
      <c r="HS274"/>
      <c r="HT274"/>
      <c r="HU274"/>
      <c r="HV274"/>
      <c r="HW274"/>
      <c r="HX274"/>
      <c r="HY274"/>
      <c r="HZ274"/>
      <c r="IA274"/>
      <c r="IB274"/>
      <c r="IC274"/>
      <c r="ID274"/>
      <c r="IE274"/>
      <c r="IF274"/>
      <c r="IG274"/>
      <c r="IH274"/>
      <c r="II274"/>
      <c r="IJ274"/>
      <c r="IK274"/>
      <c r="IL274"/>
      <c r="IM274"/>
      <c r="IN274"/>
      <c r="IO274"/>
      <c r="IP274"/>
      <c r="IQ274"/>
      <c r="IR274"/>
      <c r="IS274"/>
      <c r="IT274"/>
      <c r="IU274"/>
      <c r="IV274"/>
      <c r="IW274"/>
      <c r="IX274"/>
      <c r="IY274"/>
      <c r="IZ274"/>
      <c r="JA274"/>
      <c r="JB274"/>
      <c r="JC274"/>
      <c r="JD274"/>
      <c r="JE274"/>
      <c r="JF274"/>
      <c r="JG274"/>
      <c r="JH274"/>
      <c r="JI274"/>
      <c r="JJ274"/>
      <c r="JK274"/>
      <c r="JL274"/>
      <c r="JM274"/>
      <c r="JN274"/>
      <c r="JO274"/>
      <c r="JP274"/>
      <c r="JQ274"/>
      <c r="JR274"/>
      <c r="JS274"/>
      <c r="JT274"/>
      <c r="JU274"/>
      <c r="JV274"/>
      <c r="JW274"/>
      <c r="JX274"/>
      <c r="JY274"/>
      <c r="JZ274"/>
      <c r="KA274"/>
      <c r="KB274"/>
      <c r="KC274"/>
      <c r="KD274"/>
      <c r="KE274"/>
      <c r="KF274"/>
      <c r="KG274"/>
      <c r="KH274"/>
      <c r="KI274"/>
      <c r="KJ274"/>
      <c r="KK274"/>
      <c r="KL274"/>
      <c r="KM274"/>
      <c r="KN274"/>
      <c r="KO274"/>
      <c r="KP274"/>
      <c r="KQ274"/>
      <c r="KR274"/>
      <c r="KS274"/>
      <c r="KT274"/>
      <c r="KU274"/>
      <c r="KV274"/>
      <c r="KW274"/>
      <c r="KX274"/>
      <c r="KY274"/>
      <c r="KZ274"/>
      <c r="LA274"/>
      <c r="LB274"/>
      <c r="LC274"/>
      <c r="LD274"/>
      <c r="LE274"/>
      <c r="LF274"/>
      <c r="LG274"/>
      <c r="LH274"/>
      <c r="LI274"/>
      <c r="LJ274"/>
      <c r="LK274"/>
      <c r="LL274"/>
      <c r="LM274"/>
      <c r="LN274"/>
      <c r="LO274"/>
      <c r="LP274"/>
      <c r="LQ274"/>
      <c r="LR274"/>
      <c r="LS274"/>
      <c r="LT274"/>
      <c r="LU274"/>
      <c r="LV274"/>
      <c r="LW274"/>
      <c r="LX274"/>
      <c r="LY274"/>
      <c r="LZ274"/>
      <c r="MA274"/>
      <c r="MB274"/>
      <c r="MC274"/>
      <c r="MD274"/>
      <c r="ME274"/>
      <c r="MF274"/>
      <c r="MG274"/>
      <c r="MH274"/>
      <c r="MI274"/>
      <c r="MJ274"/>
      <c r="MK274"/>
      <c r="ML274"/>
      <c r="MM274"/>
      <c r="MN274"/>
      <c r="MO274"/>
      <c r="MP274"/>
      <c r="MQ274"/>
      <c r="MR274"/>
      <c r="MS274"/>
      <c r="MT274"/>
      <c r="MU274"/>
      <c r="MV274"/>
      <c r="MW274"/>
      <c r="MX274"/>
      <c r="MY274"/>
      <c r="MZ274"/>
      <c r="NA274"/>
      <c r="NB274"/>
      <c r="NC274"/>
      <c r="ND274"/>
      <c r="NE274"/>
      <c r="NF274"/>
      <c r="NG274"/>
      <c r="NH274"/>
      <c r="NI274"/>
      <c r="NJ274"/>
      <c r="NK274"/>
      <c r="NL274"/>
      <c r="NM274"/>
      <c r="NN274"/>
      <c r="NO274"/>
      <c r="NP274"/>
      <c r="NQ274"/>
      <c r="NR274"/>
      <c r="NS274"/>
      <c r="NT274"/>
      <c r="NU274"/>
      <c r="NV274"/>
      <c r="NW274"/>
      <c r="NX274"/>
      <c r="NY274"/>
      <c r="NZ274"/>
      <c r="OA274"/>
      <c r="OB274"/>
      <c r="OC274"/>
      <c r="OD274"/>
      <c r="OE274"/>
      <c r="OF274"/>
      <c r="OG274"/>
      <c r="OH274"/>
      <c r="OI274"/>
      <c r="OJ274"/>
      <c r="OK274"/>
      <c r="OL274"/>
      <c r="OM274"/>
      <c r="ON274"/>
      <c r="OO274"/>
      <c r="OP274"/>
      <c r="OQ274"/>
      <c r="OR274"/>
      <c r="OS274"/>
      <c r="OT274"/>
      <c r="OU274"/>
      <c r="OV274"/>
      <c r="OW274"/>
      <c r="OX274"/>
      <c r="OY274"/>
      <c r="OZ274"/>
      <c r="PA274"/>
      <c r="PB274"/>
      <c r="PC274"/>
      <c r="PD274"/>
      <c r="PE274"/>
      <c r="PF274"/>
      <c r="PG274"/>
      <c r="PH274"/>
      <c r="PI274"/>
      <c r="PJ274"/>
      <c r="PK274"/>
      <c r="PL274"/>
      <c r="PM274"/>
      <c r="PN274"/>
      <c r="PO274"/>
      <c r="PP274"/>
      <c r="PQ274"/>
      <c r="PR274"/>
      <c r="PS274"/>
      <c r="PT274"/>
      <c r="PU274"/>
      <c r="PV274"/>
      <c r="PW274"/>
      <c r="PX274"/>
      <c r="PY274"/>
      <c r="PZ274"/>
      <c r="QA274"/>
      <c r="QB274"/>
      <c r="QC274"/>
      <c r="QD274"/>
      <c r="QE274"/>
      <c r="QF274"/>
      <c r="QG274"/>
      <c r="QH274"/>
      <c r="QI274"/>
      <c r="QJ274"/>
      <c r="QK274"/>
      <c r="QL274"/>
      <c r="QM274"/>
      <c r="QN274"/>
      <c r="QO274"/>
      <c r="QP274"/>
      <c r="QQ274"/>
      <c r="QR274"/>
      <c r="QS274"/>
      <c r="QT274"/>
      <c r="QU274"/>
      <c r="QV274"/>
      <c r="QW274"/>
      <c r="QX274"/>
    </row>
    <row r="275" spans="1:466" x14ac:dyDescent="0.35">
      <c r="A275" s="53"/>
      <c r="B275" s="53"/>
      <c r="C275" s="55"/>
      <c r="D275" s="53"/>
      <c r="E275" s="53"/>
      <c r="F275" s="126" t="s">
        <v>1361</v>
      </c>
      <c r="G275" s="125">
        <v>16.34</v>
      </c>
      <c r="H275" s="125">
        <v>7712.48</v>
      </c>
      <c r="I275" s="133">
        <v>472</v>
      </c>
      <c r="J275" s="53"/>
      <c r="K275" s="53"/>
      <c r="L275" s="53"/>
      <c r="M275" s="53"/>
      <c r="N275" s="53"/>
      <c r="O275" s="53"/>
      <c r="P275" s="53"/>
      <c r="Q275" s="53"/>
      <c r="R275" s="53"/>
      <c r="S275" s="53"/>
      <c r="T275" s="53"/>
      <c r="U275" s="53"/>
      <c r="V275" s="53"/>
      <c r="W275" s="53"/>
      <c r="X275" s="53"/>
      <c r="Y275" s="53"/>
      <c r="Z275" s="53"/>
      <c r="AA275" s="53"/>
      <c r="AB275" s="53"/>
      <c r="AC275" s="53"/>
      <c r="AD275" s="53"/>
      <c r="AE275" s="53"/>
      <c r="AF275" s="63"/>
      <c r="AG275" s="64"/>
      <c r="AH275" s="65"/>
      <c r="AI275" s="65"/>
      <c r="AJ275" s="53"/>
      <c r="AK275" s="62"/>
      <c r="AL275" s="62"/>
      <c r="AM275" s="62"/>
      <c r="AN275" s="62"/>
      <c r="AO275" s="62"/>
      <c r="AP275" s="62"/>
      <c r="AQ275" s="62"/>
      <c r="AR275" s="62"/>
      <c r="AS275" s="62"/>
      <c r="AT275" s="62"/>
      <c r="AU275" s="62"/>
      <c r="AV275" s="62"/>
      <c r="AW275" s="62"/>
      <c r="AX275" s="62"/>
      <c r="AY275" s="62"/>
      <c r="AZ275" s="62"/>
      <c r="BA275" s="62"/>
      <c r="BB275" s="62"/>
      <c r="BC275" s="62"/>
      <c r="BD275" s="62"/>
      <c r="BE275" s="62"/>
      <c r="BF275" s="62"/>
      <c r="BG275" s="62"/>
      <c r="BH275" s="62"/>
      <c r="BI275" s="62"/>
      <c r="BJ275" s="62"/>
      <c r="BK275" s="62"/>
      <c r="BL275" s="62"/>
      <c r="BM275" s="62"/>
      <c r="BN275" s="62"/>
      <c r="BO275" s="62"/>
      <c r="BP275" s="62"/>
      <c r="BQ275" s="62"/>
      <c r="BR275" s="62"/>
      <c r="BS275" s="62"/>
      <c r="BT275" s="62"/>
      <c r="BU275" s="62"/>
      <c r="BV275" s="62"/>
      <c r="BW275" s="62"/>
      <c r="BX275" s="62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  <c r="HB275"/>
      <c r="HC275"/>
      <c r="HD275"/>
      <c r="HE275"/>
      <c r="HF275"/>
      <c r="HG275"/>
      <c r="HH275"/>
      <c r="HI275"/>
      <c r="HJ275"/>
      <c r="HK275"/>
      <c r="HL275"/>
      <c r="HM275"/>
      <c r="HN275"/>
      <c r="HO275"/>
      <c r="HP275"/>
      <c r="HQ275"/>
      <c r="HR275"/>
      <c r="HS275"/>
      <c r="HT275"/>
      <c r="HU275"/>
      <c r="HV275"/>
      <c r="HW275"/>
      <c r="HX275"/>
      <c r="HY275"/>
      <c r="HZ275"/>
      <c r="IA275"/>
      <c r="IB275"/>
      <c r="IC275"/>
      <c r="ID275"/>
      <c r="IE275"/>
      <c r="IF275"/>
      <c r="IG275"/>
      <c r="IH275"/>
      <c r="II275"/>
      <c r="IJ275"/>
      <c r="IK275"/>
      <c r="IL275"/>
      <c r="IM275"/>
      <c r="IN275"/>
      <c r="IO275"/>
      <c r="IP275"/>
      <c r="IQ275"/>
      <c r="IR275"/>
      <c r="IS275"/>
      <c r="IT275"/>
      <c r="IU275"/>
      <c r="IV275"/>
      <c r="IW275"/>
      <c r="IX275"/>
      <c r="IY275"/>
      <c r="IZ275"/>
      <c r="JA275"/>
      <c r="JB275"/>
      <c r="JC275"/>
      <c r="JD275"/>
      <c r="JE275"/>
      <c r="JF275"/>
      <c r="JG275"/>
      <c r="JH275"/>
      <c r="JI275"/>
      <c r="JJ275"/>
      <c r="JK275"/>
      <c r="JL275"/>
      <c r="JM275"/>
      <c r="JN275"/>
      <c r="JO275"/>
      <c r="JP275"/>
      <c r="JQ275"/>
      <c r="JR275"/>
      <c r="JS275"/>
      <c r="JT275"/>
      <c r="JU275"/>
      <c r="JV275"/>
      <c r="JW275"/>
      <c r="JX275"/>
      <c r="JY275"/>
      <c r="JZ275"/>
      <c r="KA275"/>
      <c r="KB275"/>
      <c r="KC275"/>
      <c r="KD275"/>
      <c r="KE275"/>
      <c r="KF275"/>
      <c r="KG275"/>
      <c r="KH275"/>
      <c r="KI275"/>
      <c r="KJ275"/>
      <c r="KK275"/>
      <c r="KL275"/>
      <c r="KM275"/>
      <c r="KN275"/>
      <c r="KO275"/>
      <c r="KP275"/>
      <c r="KQ275"/>
      <c r="KR275"/>
      <c r="KS275"/>
      <c r="KT275"/>
      <c r="KU275"/>
      <c r="KV275"/>
      <c r="KW275"/>
      <c r="KX275"/>
      <c r="KY275"/>
      <c r="KZ275"/>
      <c r="LA275"/>
      <c r="LB275"/>
      <c r="LC275"/>
      <c r="LD275"/>
      <c r="LE275"/>
      <c r="LF275"/>
      <c r="LG275"/>
      <c r="LH275"/>
      <c r="LI275"/>
      <c r="LJ275"/>
      <c r="LK275"/>
      <c r="LL275"/>
      <c r="LM275"/>
      <c r="LN275"/>
      <c r="LO275"/>
      <c r="LP275"/>
      <c r="LQ275"/>
      <c r="LR275"/>
      <c r="LS275"/>
      <c r="LT275"/>
      <c r="LU275"/>
      <c r="LV275"/>
      <c r="LW275"/>
      <c r="LX275"/>
      <c r="LY275"/>
      <c r="LZ275"/>
      <c r="MA275"/>
      <c r="MB275"/>
      <c r="MC275"/>
      <c r="MD275"/>
      <c r="ME275"/>
      <c r="MF275"/>
      <c r="MG275"/>
      <c r="MH275"/>
      <c r="MI275"/>
      <c r="MJ275"/>
      <c r="MK275"/>
      <c r="ML275"/>
      <c r="MM275"/>
      <c r="MN275"/>
      <c r="MO275"/>
      <c r="MP275"/>
      <c r="MQ275"/>
      <c r="MR275"/>
      <c r="MS275"/>
      <c r="MT275"/>
      <c r="MU275"/>
      <c r="MV275"/>
      <c r="MW275"/>
      <c r="MX275"/>
      <c r="MY275"/>
      <c r="MZ275"/>
      <c r="NA275"/>
      <c r="NB275"/>
      <c r="NC275"/>
      <c r="ND275"/>
      <c r="NE275"/>
      <c r="NF275"/>
      <c r="NG275"/>
      <c r="NH275"/>
      <c r="NI275"/>
      <c r="NJ275"/>
      <c r="NK275"/>
      <c r="NL275"/>
      <c r="NM275"/>
      <c r="NN275"/>
      <c r="NO275"/>
      <c r="NP275"/>
      <c r="NQ275"/>
      <c r="NR275"/>
      <c r="NS275"/>
      <c r="NT275"/>
      <c r="NU275"/>
      <c r="NV275"/>
      <c r="NW275"/>
      <c r="NX275"/>
      <c r="NY275"/>
      <c r="NZ275"/>
      <c r="OA275"/>
      <c r="OB275"/>
      <c r="OC275"/>
      <c r="OD275"/>
      <c r="OE275"/>
      <c r="OF275"/>
      <c r="OG275"/>
      <c r="OH275"/>
      <c r="OI275"/>
      <c r="OJ275"/>
      <c r="OK275"/>
      <c r="OL275"/>
      <c r="OM275"/>
      <c r="ON275"/>
      <c r="OO275"/>
      <c r="OP275"/>
      <c r="OQ275"/>
      <c r="OR275"/>
      <c r="OS275"/>
      <c r="OT275"/>
      <c r="OU275"/>
      <c r="OV275"/>
      <c r="OW275"/>
      <c r="OX275"/>
      <c r="OY275"/>
      <c r="OZ275"/>
      <c r="PA275"/>
      <c r="PB275"/>
      <c r="PC275"/>
      <c r="PD275"/>
      <c r="PE275"/>
      <c r="PF275"/>
      <c r="PG275"/>
      <c r="PH275"/>
      <c r="PI275"/>
      <c r="PJ275"/>
      <c r="PK275"/>
      <c r="PL275"/>
      <c r="PM275"/>
      <c r="PN275"/>
      <c r="PO275"/>
      <c r="PP275"/>
      <c r="PQ275"/>
      <c r="PR275"/>
      <c r="PS275"/>
      <c r="PT275"/>
      <c r="PU275"/>
      <c r="PV275"/>
      <c r="PW275"/>
      <c r="PX275"/>
      <c r="PY275"/>
      <c r="PZ275"/>
      <c r="QA275"/>
      <c r="QB275"/>
      <c r="QC275"/>
      <c r="QD275"/>
      <c r="QE275"/>
      <c r="QF275"/>
      <c r="QG275"/>
      <c r="QH275"/>
      <c r="QI275"/>
      <c r="QJ275"/>
      <c r="QK275"/>
      <c r="QL275"/>
      <c r="QM275"/>
      <c r="QN275"/>
      <c r="QO275"/>
      <c r="QP275"/>
      <c r="QQ275"/>
      <c r="QR275"/>
      <c r="QS275"/>
      <c r="QT275"/>
      <c r="QU275"/>
      <c r="QV275"/>
      <c r="QW275"/>
      <c r="QX275"/>
    </row>
    <row r="276" spans="1:466" x14ac:dyDescent="0.35">
      <c r="A276" s="53"/>
      <c r="B276" s="53"/>
      <c r="C276" s="55"/>
      <c r="D276" s="53"/>
      <c r="E276" s="53"/>
      <c r="F276" s="126" t="s">
        <v>1397</v>
      </c>
      <c r="G276" s="125">
        <v>5.6280000000000001</v>
      </c>
      <c r="H276" s="125">
        <v>11.256</v>
      </c>
      <c r="I276" s="133">
        <v>2</v>
      </c>
      <c r="J276" s="53"/>
      <c r="K276" s="53"/>
      <c r="L276" s="53"/>
      <c r="M276" s="53"/>
      <c r="N276" s="53"/>
      <c r="O276" s="53"/>
      <c r="P276" s="53"/>
      <c r="Q276" s="53"/>
      <c r="R276" s="53"/>
      <c r="S276" s="53"/>
      <c r="T276" s="53"/>
      <c r="U276" s="53"/>
      <c r="V276" s="53"/>
      <c r="W276" s="53"/>
      <c r="X276" s="53"/>
      <c r="Y276" s="53"/>
      <c r="Z276" s="53"/>
      <c r="AA276" s="53"/>
      <c r="AB276" s="53"/>
      <c r="AC276" s="53"/>
      <c r="AD276" s="53"/>
      <c r="AE276" s="53"/>
      <c r="AF276" s="63"/>
      <c r="AG276" s="64"/>
      <c r="AH276" s="65"/>
      <c r="AI276" s="65"/>
      <c r="AJ276" s="53"/>
      <c r="AK276" s="62"/>
      <c r="AL276" s="62"/>
      <c r="AM276" s="62"/>
      <c r="AN276" s="62"/>
      <c r="AO276" s="62"/>
      <c r="AP276" s="62"/>
      <c r="AQ276" s="62"/>
      <c r="AR276" s="62"/>
      <c r="AS276" s="62"/>
      <c r="AT276" s="62"/>
      <c r="AU276" s="62"/>
      <c r="AV276" s="62"/>
      <c r="AW276" s="62"/>
      <c r="AX276" s="62"/>
      <c r="AY276" s="62"/>
      <c r="AZ276" s="62"/>
      <c r="BA276" s="62"/>
      <c r="BB276" s="62"/>
      <c r="BC276" s="62"/>
      <c r="BD276" s="62"/>
      <c r="BE276" s="62"/>
      <c r="BF276" s="62"/>
      <c r="BG276" s="62"/>
      <c r="BH276" s="62"/>
      <c r="BI276" s="62"/>
      <c r="BJ276" s="62"/>
      <c r="BK276" s="62"/>
      <c r="BL276" s="62"/>
      <c r="BM276" s="62"/>
      <c r="BN276" s="62"/>
      <c r="BO276" s="62"/>
      <c r="BP276" s="62"/>
      <c r="BQ276" s="62"/>
      <c r="BR276" s="62"/>
      <c r="BS276" s="62"/>
      <c r="BT276" s="62"/>
      <c r="BU276" s="62"/>
      <c r="BV276" s="62"/>
      <c r="BW276" s="62"/>
      <c r="BX276" s="62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  <c r="HB276"/>
      <c r="HC276"/>
      <c r="HD276"/>
      <c r="HE276"/>
      <c r="HF276"/>
      <c r="HG276"/>
      <c r="HH276"/>
      <c r="HI276"/>
      <c r="HJ276"/>
      <c r="HK276"/>
      <c r="HL276"/>
      <c r="HM276"/>
      <c r="HN276"/>
      <c r="HO276"/>
      <c r="HP276"/>
      <c r="HQ276"/>
      <c r="HR276"/>
      <c r="HS276"/>
      <c r="HT276"/>
      <c r="HU276"/>
      <c r="HV276"/>
      <c r="HW276"/>
      <c r="HX276"/>
      <c r="HY276"/>
      <c r="HZ276"/>
      <c r="IA276"/>
      <c r="IB276"/>
      <c r="IC276"/>
      <c r="ID276"/>
      <c r="IE276"/>
      <c r="IF276"/>
      <c r="IG276"/>
      <c r="IH276"/>
      <c r="II276"/>
      <c r="IJ276"/>
      <c r="IK276"/>
      <c r="IL276"/>
      <c r="IM276"/>
      <c r="IN276"/>
      <c r="IO276"/>
      <c r="IP276"/>
      <c r="IQ276"/>
      <c r="IR276"/>
      <c r="IS276"/>
      <c r="IT276"/>
      <c r="IU276"/>
      <c r="IV276"/>
      <c r="IW276"/>
      <c r="IX276"/>
      <c r="IY276"/>
      <c r="IZ276"/>
      <c r="JA276"/>
      <c r="JB276"/>
      <c r="JC276"/>
      <c r="JD276"/>
      <c r="JE276"/>
      <c r="JF276"/>
      <c r="JG276"/>
      <c r="JH276"/>
      <c r="JI276"/>
      <c r="JJ276"/>
      <c r="JK276"/>
      <c r="JL276"/>
      <c r="JM276"/>
      <c r="JN276"/>
      <c r="JO276"/>
      <c r="JP276"/>
      <c r="JQ276"/>
      <c r="JR276"/>
      <c r="JS276"/>
      <c r="JT276"/>
      <c r="JU276"/>
      <c r="JV276"/>
      <c r="JW276"/>
      <c r="JX276"/>
      <c r="JY276"/>
      <c r="JZ276"/>
      <c r="KA276"/>
      <c r="KB276"/>
      <c r="KC276"/>
      <c r="KD276"/>
      <c r="KE276"/>
      <c r="KF276"/>
      <c r="KG276"/>
      <c r="KH276"/>
      <c r="KI276"/>
      <c r="KJ276"/>
      <c r="KK276"/>
      <c r="KL276"/>
      <c r="KM276"/>
      <c r="KN276"/>
      <c r="KO276"/>
      <c r="KP276"/>
      <c r="KQ276"/>
      <c r="KR276"/>
      <c r="KS276"/>
      <c r="KT276"/>
      <c r="KU276"/>
      <c r="KV276"/>
      <c r="KW276"/>
      <c r="KX276"/>
      <c r="KY276"/>
      <c r="KZ276"/>
      <c r="LA276"/>
      <c r="LB276"/>
      <c r="LC276"/>
      <c r="LD276"/>
      <c r="LE276"/>
      <c r="LF276"/>
      <c r="LG276"/>
      <c r="LH276"/>
      <c r="LI276"/>
      <c r="LJ276"/>
      <c r="LK276"/>
      <c r="LL276"/>
      <c r="LM276"/>
      <c r="LN276"/>
      <c r="LO276"/>
      <c r="LP276"/>
      <c r="LQ276"/>
      <c r="LR276"/>
      <c r="LS276"/>
      <c r="LT276"/>
      <c r="LU276"/>
      <c r="LV276"/>
      <c r="LW276"/>
      <c r="LX276"/>
      <c r="LY276"/>
      <c r="LZ276"/>
      <c r="MA276"/>
      <c r="MB276"/>
      <c r="MC276"/>
      <c r="MD276"/>
      <c r="ME276"/>
      <c r="MF276"/>
      <c r="MG276"/>
      <c r="MH276"/>
      <c r="MI276"/>
      <c r="MJ276"/>
      <c r="MK276"/>
      <c r="ML276"/>
      <c r="MM276"/>
      <c r="MN276"/>
      <c r="MO276"/>
      <c r="MP276"/>
      <c r="MQ276"/>
      <c r="MR276"/>
      <c r="MS276"/>
      <c r="MT276"/>
      <c r="MU276"/>
      <c r="MV276"/>
      <c r="MW276"/>
      <c r="MX276"/>
      <c r="MY276"/>
      <c r="MZ276"/>
      <c r="NA276"/>
      <c r="NB276"/>
      <c r="NC276"/>
      <c r="ND276"/>
      <c r="NE276"/>
      <c r="NF276"/>
      <c r="NG276"/>
      <c r="NH276"/>
      <c r="NI276"/>
      <c r="NJ276"/>
      <c r="NK276"/>
      <c r="NL276"/>
      <c r="NM276"/>
      <c r="NN276"/>
      <c r="NO276"/>
      <c r="NP276"/>
      <c r="NQ276"/>
      <c r="NR276"/>
      <c r="NS276"/>
      <c r="NT276"/>
      <c r="NU276"/>
      <c r="NV276"/>
      <c r="NW276"/>
      <c r="NX276"/>
      <c r="NY276"/>
      <c r="NZ276"/>
      <c r="OA276"/>
      <c r="OB276"/>
      <c r="OC276"/>
      <c r="OD276"/>
      <c r="OE276"/>
      <c r="OF276"/>
      <c r="OG276"/>
      <c r="OH276"/>
      <c r="OI276"/>
      <c r="OJ276"/>
      <c r="OK276"/>
      <c r="OL276"/>
      <c r="OM276"/>
      <c r="ON276"/>
      <c r="OO276"/>
      <c r="OP276"/>
      <c r="OQ276"/>
      <c r="OR276"/>
      <c r="OS276"/>
      <c r="OT276"/>
      <c r="OU276"/>
      <c r="OV276"/>
      <c r="OW276"/>
      <c r="OX276"/>
      <c r="OY276"/>
      <c r="OZ276"/>
      <c r="PA276"/>
      <c r="PB276"/>
      <c r="PC276"/>
      <c r="PD276"/>
      <c r="PE276"/>
      <c r="PF276"/>
      <c r="PG276"/>
      <c r="PH276"/>
      <c r="PI276"/>
      <c r="PJ276"/>
      <c r="PK276"/>
      <c r="PL276"/>
      <c r="PM276"/>
      <c r="PN276"/>
      <c r="PO276"/>
      <c r="PP276"/>
      <c r="PQ276"/>
      <c r="PR276"/>
      <c r="PS276"/>
      <c r="PT276"/>
      <c r="PU276"/>
      <c r="PV276"/>
      <c r="PW276"/>
      <c r="PX276"/>
      <c r="PY276"/>
      <c r="PZ276"/>
      <c r="QA276"/>
      <c r="QB276"/>
      <c r="QC276"/>
      <c r="QD276"/>
      <c r="QE276"/>
      <c r="QF276"/>
      <c r="QG276"/>
      <c r="QH276"/>
      <c r="QI276"/>
      <c r="QJ276"/>
      <c r="QK276"/>
      <c r="QL276"/>
      <c r="QM276"/>
      <c r="QN276"/>
      <c r="QO276"/>
      <c r="QP276"/>
      <c r="QQ276"/>
      <c r="QR276"/>
      <c r="QS276"/>
      <c r="QT276"/>
      <c r="QU276"/>
      <c r="QV276"/>
      <c r="QW276"/>
      <c r="QX276"/>
    </row>
    <row r="277" spans="1:466" x14ac:dyDescent="0.35">
      <c r="A277" s="53"/>
      <c r="B277" s="53"/>
      <c r="C277" s="55"/>
      <c r="D277" s="53"/>
      <c r="E277" s="53"/>
      <c r="F277" s="126" t="s">
        <v>1398</v>
      </c>
      <c r="G277" s="125">
        <v>0.51600000000000001</v>
      </c>
      <c r="H277" s="125">
        <v>4.1280000000000001</v>
      </c>
      <c r="I277" s="133">
        <v>8</v>
      </c>
      <c r="J277" s="53"/>
      <c r="K277" s="53"/>
      <c r="L277" s="53"/>
      <c r="M277" s="53"/>
      <c r="N277" s="53"/>
      <c r="O277" s="53"/>
      <c r="P277" s="53"/>
      <c r="Q277" s="53"/>
      <c r="R277" s="53"/>
      <c r="S277" s="53"/>
      <c r="T277" s="53"/>
      <c r="U277" s="53"/>
      <c r="V277" s="53"/>
      <c r="W277" s="53"/>
      <c r="X277" s="53"/>
      <c r="Y277" s="53"/>
      <c r="Z277" s="53"/>
      <c r="AA277" s="53"/>
      <c r="AB277" s="53"/>
      <c r="AC277" s="53"/>
      <c r="AD277" s="53"/>
      <c r="AE277" s="53"/>
      <c r="AF277" s="63"/>
      <c r="AG277" s="64"/>
      <c r="AH277" s="65"/>
      <c r="AI277" s="65"/>
      <c r="AJ277" s="53"/>
      <c r="AK277" s="62"/>
      <c r="AL277" s="62"/>
      <c r="AM277" s="62"/>
      <c r="AN277" s="62"/>
      <c r="AO277" s="62"/>
      <c r="AP277" s="62"/>
      <c r="AQ277" s="62"/>
      <c r="AR277" s="62"/>
      <c r="AS277" s="62"/>
      <c r="AT277" s="62"/>
      <c r="AU277" s="62"/>
      <c r="AV277" s="62"/>
      <c r="AW277" s="62"/>
      <c r="AX277" s="62"/>
      <c r="AY277" s="62"/>
      <c r="AZ277" s="62"/>
      <c r="BA277" s="62"/>
      <c r="BB277" s="62"/>
      <c r="BC277" s="62"/>
      <c r="BD277" s="62"/>
      <c r="BE277" s="62"/>
      <c r="BF277" s="62"/>
      <c r="BG277" s="62"/>
      <c r="BH277" s="62"/>
      <c r="BI277" s="62"/>
      <c r="BJ277" s="62"/>
      <c r="BK277" s="62"/>
      <c r="BL277" s="62"/>
      <c r="BM277" s="62"/>
      <c r="BN277" s="62"/>
      <c r="BO277" s="62"/>
      <c r="BP277" s="62"/>
      <c r="BQ277" s="62"/>
      <c r="BR277" s="62"/>
      <c r="BS277" s="62"/>
      <c r="BT277" s="62"/>
      <c r="BU277" s="62"/>
      <c r="BV277" s="62"/>
      <c r="BW277" s="62"/>
      <c r="BX277" s="62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  <c r="HB277"/>
      <c r="HC277"/>
      <c r="HD277"/>
      <c r="HE277"/>
      <c r="HF277"/>
      <c r="HG277"/>
      <c r="HH277"/>
      <c r="HI277"/>
      <c r="HJ277"/>
      <c r="HK277"/>
      <c r="HL277"/>
      <c r="HM277"/>
      <c r="HN277"/>
      <c r="HO277"/>
      <c r="HP277"/>
      <c r="HQ277"/>
      <c r="HR277"/>
      <c r="HS277"/>
      <c r="HT277"/>
      <c r="HU277"/>
      <c r="HV277"/>
      <c r="HW277"/>
      <c r="HX277"/>
      <c r="HY277"/>
      <c r="HZ277"/>
      <c r="IA277"/>
      <c r="IB277"/>
      <c r="IC277"/>
      <c r="ID277"/>
      <c r="IE277"/>
      <c r="IF277"/>
      <c r="IG277"/>
      <c r="IH277"/>
      <c r="II277"/>
      <c r="IJ277"/>
      <c r="IK277"/>
      <c r="IL277"/>
      <c r="IM277"/>
      <c r="IN277"/>
      <c r="IO277"/>
      <c r="IP277"/>
      <c r="IQ277"/>
      <c r="IR277"/>
      <c r="IS277"/>
      <c r="IT277"/>
      <c r="IU277"/>
      <c r="IV277"/>
      <c r="IW277"/>
      <c r="IX277"/>
      <c r="IY277"/>
      <c r="IZ277"/>
      <c r="JA277"/>
      <c r="JB277"/>
      <c r="JC277"/>
      <c r="JD277"/>
      <c r="JE277"/>
      <c r="JF277"/>
      <c r="JG277"/>
      <c r="JH277"/>
      <c r="JI277"/>
      <c r="JJ277"/>
      <c r="JK277"/>
      <c r="JL277"/>
      <c r="JM277"/>
      <c r="JN277"/>
      <c r="JO277"/>
      <c r="JP277"/>
      <c r="JQ277"/>
      <c r="JR277"/>
      <c r="JS277"/>
      <c r="JT277"/>
      <c r="JU277"/>
      <c r="JV277"/>
      <c r="JW277"/>
      <c r="JX277"/>
      <c r="JY277"/>
      <c r="JZ277"/>
      <c r="KA277"/>
      <c r="KB277"/>
      <c r="KC277"/>
      <c r="KD277"/>
      <c r="KE277"/>
      <c r="KF277"/>
      <c r="KG277"/>
      <c r="KH277"/>
      <c r="KI277"/>
      <c r="KJ277"/>
      <c r="KK277"/>
      <c r="KL277"/>
      <c r="KM277"/>
      <c r="KN277"/>
      <c r="KO277"/>
      <c r="KP277"/>
      <c r="KQ277"/>
      <c r="KR277"/>
      <c r="KS277"/>
      <c r="KT277"/>
      <c r="KU277"/>
      <c r="KV277"/>
      <c r="KW277"/>
      <c r="KX277"/>
      <c r="KY277"/>
      <c r="KZ277"/>
      <c r="LA277"/>
      <c r="LB277"/>
      <c r="LC277"/>
      <c r="LD277"/>
      <c r="LE277"/>
      <c r="LF277"/>
      <c r="LG277"/>
      <c r="LH277"/>
      <c r="LI277"/>
      <c r="LJ277"/>
      <c r="LK277"/>
      <c r="LL277"/>
      <c r="LM277"/>
      <c r="LN277"/>
      <c r="LO277"/>
      <c r="LP277"/>
      <c r="LQ277"/>
      <c r="LR277"/>
      <c r="LS277"/>
      <c r="LT277"/>
      <c r="LU277"/>
      <c r="LV277"/>
      <c r="LW277"/>
      <c r="LX277"/>
      <c r="LY277"/>
      <c r="LZ277"/>
      <c r="MA277"/>
      <c r="MB277"/>
      <c r="MC277"/>
      <c r="MD277"/>
      <c r="ME277"/>
      <c r="MF277"/>
      <c r="MG277"/>
      <c r="MH277"/>
      <c r="MI277"/>
      <c r="MJ277"/>
      <c r="MK277"/>
      <c r="ML277"/>
      <c r="MM277"/>
      <c r="MN277"/>
      <c r="MO277"/>
      <c r="MP277"/>
      <c r="MQ277"/>
      <c r="MR277"/>
      <c r="MS277"/>
      <c r="MT277"/>
      <c r="MU277"/>
      <c r="MV277"/>
      <c r="MW277"/>
      <c r="MX277"/>
      <c r="MY277"/>
      <c r="MZ277"/>
      <c r="NA277"/>
      <c r="NB277"/>
      <c r="NC277"/>
      <c r="ND277"/>
      <c r="NE277"/>
      <c r="NF277"/>
      <c r="NG277"/>
      <c r="NH277"/>
      <c r="NI277"/>
      <c r="NJ277"/>
      <c r="NK277"/>
      <c r="NL277"/>
      <c r="NM277"/>
      <c r="NN277"/>
      <c r="NO277"/>
      <c r="NP277"/>
      <c r="NQ277"/>
      <c r="NR277"/>
      <c r="NS277"/>
      <c r="NT277"/>
      <c r="NU277"/>
      <c r="NV277"/>
      <c r="NW277"/>
      <c r="NX277"/>
      <c r="NY277"/>
      <c r="NZ277"/>
      <c r="OA277"/>
      <c r="OB277"/>
      <c r="OC277"/>
      <c r="OD277"/>
      <c r="OE277"/>
      <c r="OF277"/>
      <c r="OG277"/>
      <c r="OH277"/>
      <c r="OI277"/>
      <c r="OJ277"/>
      <c r="OK277"/>
      <c r="OL277"/>
      <c r="OM277"/>
      <c r="ON277"/>
      <c r="OO277"/>
      <c r="OP277"/>
      <c r="OQ277"/>
      <c r="OR277"/>
      <c r="OS277"/>
      <c r="OT277"/>
      <c r="OU277"/>
      <c r="OV277"/>
      <c r="OW277"/>
      <c r="OX277"/>
      <c r="OY277"/>
      <c r="OZ277"/>
      <c r="PA277"/>
      <c r="PB277"/>
      <c r="PC277"/>
      <c r="PD277"/>
      <c r="PE277"/>
      <c r="PF277"/>
      <c r="PG277"/>
      <c r="PH277"/>
      <c r="PI277"/>
      <c r="PJ277"/>
      <c r="PK277"/>
      <c r="PL277"/>
      <c r="PM277"/>
      <c r="PN277"/>
      <c r="PO277"/>
      <c r="PP277"/>
      <c r="PQ277"/>
      <c r="PR277"/>
      <c r="PS277"/>
      <c r="PT277"/>
      <c r="PU277"/>
      <c r="PV277"/>
      <c r="PW277"/>
      <c r="PX277"/>
      <c r="PY277"/>
      <c r="PZ277"/>
      <c r="QA277"/>
      <c r="QB277"/>
      <c r="QC277"/>
      <c r="QD277"/>
      <c r="QE277"/>
      <c r="QF277"/>
      <c r="QG277"/>
      <c r="QH277"/>
      <c r="QI277"/>
      <c r="QJ277"/>
      <c r="QK277"/>
      <c r="QL277"/>
      <c r="QM277"/>
      <c r="QN277"/>
      <c r="QO277"/>
      <c r="QP277"/>
      <c r="QQ277"/>
      <c r="QR277"/>
      <c r="QS277"/>
      <c r="QT277"/>
      <c r="QU277"/>
      <c r="QV277"/>
      <c r="QW277"/>
      <c r="QX277"/>
    </row>
    <row r="278" spans="1:466" x14ac:dyDescent="0.35">
      <c r="A278" s="53"/>
      <c r="B278" s="53"/>
      <c r="C278" s="55"/>
      <c r="D278" s="53"/>
      <c r="E278" s="53"/>
      <c r="F278" s="126" t="s">
        <v>1399</v>
      </c>
      <c r="G278" s="125">
        <v>2.48</v>
      </c>
      <c r="H278" s="125">
        <v>2.48</v>
      </c>
      <c r="I278" s="133">
        <v>1</v>
      </c>
      <c r="J278" s="53"/>
      <c r="K278" s="53"/>
      <c r="L278" s="53"/>
      <c r="M278" s="53"/>
      <c r="N278" s="53"/>
      <c r="O278" s="53"/>
      <c r="P278" s="53"/>
      <c r="Q278" s="53"/>
      <c r="R278" s="53"/>
      <c r="S278" s="53"/>
      <c r="T278" s="53"/>
      <c r="U278" s="53"/>
      <c r="V278" s="53"/>
      <c r="W278" s="53"/>
      <c r="X278" s="53"/>
      <c r="Y278" s="53"/>
      <c r="Z278" s="53"/>
      <c r="AA278" s="53"/>
      <c r="AB278" s="53"/>
      <c r="AC278" s="53"/>
      <c r="AD278" s="53"/>
      <c r="AE278" s="53"/>
      <c r="AF278" s="63"/>
      <c r="AG278" s="64"/>
      <c r="AH278" s="65"/>
      <c r="AI278" s="65"/>
      <c r="AJ278" s="53"/>
      <c r="AK278" s="62"/>
      <c r="AL278" s="62"/>
      <c r="AM278" s="62"/>
      <c r="AN278" s="62"/>
      <c r="AO278" s="62"/>
      <c r="AP278" s="62"/>
      <c r="AQ278" s="62"/>
      <c r="AR278" s="62"/>
      <c r="AS278" s="62"/>
      <c r="AT278" s="62"/>
      <c r="AU278" s="62"/>
      <c r="AV278" s="62"/>
      <c r="AW278" s="62"/>
      <c r="AX278" s="62"/>
      <c r="AY278" s="62"/>
      <c r="AZ278" s="62"/>
      <c r="BA278" s="62"/>
      <c r="BB278" s="62"/>
      <c r="BC278" s="62"/>
      <c r="BD278" s="62"/>
      <c r="BE278" s="62"/>
      <c r="BF278" s="62"/>
      <c r="BG278" s="62"/>
      <c r="BH278" s="62"/>
      <c r="BI278" s="62"/>
      <c r="BJ278" s="62"/>
      <c r="BK278" s="62"/>
      <c r="BL278" s="62"/>
      <c r="BM278" s="62"/>
      <c r="BN278" s="62"/>
      <c r="BO278" s="62"/>
      <c r="BP278" s="62"/>
      <c r="BQ278" s="62"/>
      <c r="BR278" s="62"/>
      <c r="BS278" s="62"/>
      <c r="BT278" s="62"/>
      <c r="BU278" s="62"/>
      <c r="BV278" s="62"/>
      <c r="BW278" s="62"/>
      <c r="BX278" s="62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  <c r="HB278"/>
      <c r="HC278"/>
      <c r="HD278"/>
      <c r="HE278"/>
      <c r="HF278"/>
      <c r="HG278"/>
      <c r="HH278"/>
      <c r="HI278"/>
      <c r="HJ278"/>
      <c r="HK278"/>
      <c r="HL278"/>
      <c r="HM278"/>
      <c r="HN278"/>
      <c r="HO278"/>
      <c r="HP278"/>
      <c r="HQ278"/>
      <c r="HR278"/>
      <c r="HS278"/>
      <c r="HT278"/>
      <c r="HU278"/>
      <c r="HV278"/>
      <c r="HW278"/>
      <c r="HX278"/>
      <c r="HY278"/>
      <c r="HZ278"/>
      <c r="IA278"/>
      <c r="IB278"/>
      <c r="IC278"/>
      <c r="ID278"/>
      <c r="IE278"/>
      <c r="IF278"/>
      <c r="IG278"/>
      <c r="IH278"/>
      <c r="II278"/>
      <c r="IJ278"/>
      <c r="IK278"/>
      <c r="IL278"/>
      <c r="IM278"/>
      <c r="IN278"/>
      <c r="IO278"/>
      <c r="IP278"/>
      <c r="IQ278"/>
      <c r="IR278"/>
      <c r="IS278"/>
      <c r="IT278"/>
      <c r="IU278"/>
      <c r="IV278"/>
      <c r="IW278"/>
      <c r="IX278"/>
      <c r="IY278"/>
      <c r="IZ278"/>
      <c r="JA278"/>
      <c r="JB278"/>
      <c r="JC278"/>
      <c r="JD278"/>
      <c r="JE278"/>
      <c r="JF278"/>
      <c r="JG278"/>
      <c r="JH278"/>
      <c r="JI278"/>
      <c r="JJ278"/>
      <c r="JK278"/>
      <c r="JL278"/>
      <c r="JM278"/>
      <c r="JN278"/>
      <c r="JO278"/>
      <c r="JP278"/>
      <c r="JQ278"/>
      <c r="JR278"/>
      <c r="JS278"/>
      <c r="JT278"/>
      <c r="JU278"/>
      <c r="JV278"/>
      <c r="JW278"/>
      <c r="JX278"/>
      <c r="JY278"/>
      <c r="JZ278"/>
      <c r="KA278"/>
      <c r="KB278"/>
      <c r="KC278"/>
      <c r="KD278"/>
      <c r="KE278"/>
      <c r="KF278"/>
      <c r="KG278"/>
      <c r="KH278"/>
      <c r="KI278"/>
      <c r="KJ278"/>
      <c r="KK278"/>
      <c r="KL278"/>
      <c r="KM278"/>
      <c r="KN278"/>
      <c r="KO278"/>
      <c r="KP278"/>
      <c r="KQ278"/>
      <c r="KR278"/>
      <c r="KS278"/>
      <c r="KT278"/>
      <c r="KU278"/>
      <c r="KV278"/>
      <c r="KW278"/>
      <c r="KX278"/>
      <c r="KY278"/>
      <c r="KZ278"/>
      <c r="LA278"/>
      <c r="LB278"/>
      <c r="LC278"/>
      <c r="LD278"/>
      <c r="LE278"/>
      <c r="LF278"/>
      <c r="LG278"/>
      <c r="LH278"/>
      <c r="LI278"/>
      <c r="LJ278"/>
      <c r="LK278"/>
      <c r="LL278"/>
      <c r="LM278"/>
      <c r="LN278"/>
      <c r="LO278"/>
      <c r="LP278"/>
      <c r="LQ278"/>
      <c r="LR278"/>
      <c r="LS278"/>
      <c r="LT278"/>
      <c r="LU278"/>
      <c r="LV278"/>
      <c r="LW278"/>
      <c r="LX278"/>
      <c r="LY278"/>
      <c r="LZ278"/>
      <c r="MA278"/>
      <c r="MB278"/>
      <c r="MC278"/>
      <c r="MD278"/>
      <c r="ME278"/>
      <c r="MF278"/>
      <c r="MG278"/>
      <c r="MH278"/>
      <c r="MI278"/>
      <c r="MJ278"/>
      <c r="MK278"/>
      <c r="ML278"/>
      <c r="MM278"/>
      <c r="MN278"/>
      <c r="MO278"/>
      <c r="MP278"/>
      <c r="MQ278"/>
      <c r="MR278"/>
      <c r="MS278"/>
      <c r="MT278"/>
      <c r="MU278"/>
      <c r="MV278"/>
      <c r="MW278"/>
      <c r="MX278"/>
      <c r="MY278"/>
      <c r="MZ278"/>
      <c r="NA278"/>
      <c r="NB278"/>
      <c r="NC278"/>
      <c r="ND278"/>
      <c r="NE278"/>
      <c r="NF278"/>
      <c r="NG278"/>
      <c r="NH278"/>
      <c r="NI278"/>
      <c r="NJ278"/>
      <c r="NK278"/>
      <c r="NL278"/>
      <c r="NM278"/>
      <c r="NN278"/>
      <c r="NO278"/>
      <c r="NP278"/>
      <c r="NQ278"/>
      <c r="NR278"/>
      <c r="NS278"/>
      <c r="NT278"/>
      <c r="NU278"/>
      <c r="NV278"/>
      <c r="NW278"/>
      <c r="NX278"/>
      <c r="NY278"/>
      <c r="NZ278"/>
      <c r="OA278"/>
      <c r="OB278"/>
      <c r="OC278"/>
      <c r="OD278"/>
      <c r="OE278"/>
      <c r="OF278"/>
      <c r="OG278"/>
      <c r="OH278"/>
      <c r="OI278"/>
      <c r="OJ278"/>
      <c r="OK278"/>
      <c r="OL278"/>
      <c r="OM278"/>
      <c r="ON278"/>
      <c r="OO278"/>
      <c r="OP278"/>
      <c r="OQ278"/>
      <c r="OR278"/>
      <c r="OS278"/>
      <c r="OT278"/>
      <c r="OU278"/>
      <c r="OV278"/>
      <c r="OW278"/>
      <c r="OX278"/>
      <c r="OY278"/>
      <c r="OZ278"/>
      <c r="PA278"/>
      <c r="PB278"/>
      <c r="PC278"/>
      <c r="PD278"/>
      <c r="PE278"/>
      <c r="PF278"/>
      <c r="PG278"/>
      <c r="PH278"/>
      <c r="PI278"/>
      <c r="PJ278"/>
      <c r="PK278"/>
      <c r="PL278"/>
      <c r="PM278"/>
      <c r="PN278"/>
      <c r="PO278"/>
      <c r="PP278"/>
      <c r="PQ278"/>
      <c r="PR278"/>
      <c r="PS278"/>
      <c r="PT278"/>
      <c r="PU278"/>
      <c r="PV278"/>
      <c r="PW278"/>
      <c r="PX278"/>
      <c r="PY278"/>
      <c r="PZ278"/>
      <c r="QA278"/>
      <c r="QB278"/>
      <c r="QC278"/>
      <c r="QD278"/>
      <c r="QE278"/>
      <c r="QF278"/>
      <c r="QG278"/>
      <c r="QH278"/>
      <c r="QI278"/>
      <c r="QJ278"/>
      <c r="QK278"/>
      <c r="QL278"/>
      <c r="QM278"/>
      <c r="QN278"/>
      <c r="QO278"/>
      <c r="QP278"/>
      <c r="QQ278"/>
      <c r="QR278"/>
      <c r="QS278"/>
      <c r="QT278"/>
      <c r="QU278"/>
      <c r="QV278"/>
      <c r="QW278"/>
      <c r="QX278"/>
    </row>
    <row r="279" spans="1:466" x14ac:dyDescent="0.35">
      <c r="A279" s="53"/>
      <c r="B279" s="53"/>
      <c r="C279" s="55"/>
      <c r="D279" s="53"/>
      <c r="E279" s="53"/>
      <c r="F279" s="126" t="s">
        <v>1400</v>
      </c>
      <c r="G279" s="125">
        <v>2.97</v>
      </c>
      <c r="H279" s="125">
        <v>2.97</v>
      </c>
      <c r="I279" s="133">
        <v>1</v>
      </c>
      <c r="J279" s="53"/>
      <c r="K279" s="53"/>
      <c r="L279" s="53"/>
      <c r="M279" s="53"/>
      <c r="N279" s="53"/>
      <c r="O279" s="53"/>
      <c r="P279" s="53"/>
      <c r="Q279" s="53"/>
      <c r="R279" s="53"/>
      <c r="S279" s="53"/>
      <c r="T279" s="53"/>
      <c r="U279" s="53"/>
      <c r="V279" s="53"/>
      <c r="W279" s="53"/>
      <c r="X279" s="53"/>
      <c r="Y279" s="53"/>
      <c r="Z279" s="53"/>
      <c r="AA279" s="53"/>
      <c r="AB279" s="53"/>
      <c r="AC279" s="53"/>
      <c r="AD279" s="53"/>
      <c r="AE279" s="53"/>
      <c r="AF279" s="63"/>
      <c r="AG279" s="64"/>
      <c r="AH279" s="65"/>
      <c r="AI279" s="65"/>
      <c r="AJ279" s="53"/>
      <c r="AK279" s="62"/>
      <c r="AL279" s="62"/>
      <c r="AM279" s="62"/>
      <c r="AN279" s="62"/>
      <c r="AO279" s="62"/>
      <c r="AP279" s="62"/>
      <c r="AQ279" s="62"/>
      <c r="AR279" s="62"/>
      <c r="AS279" s="62"/>
      <c r="AT279" s="62"/>
      <c r="AU279" s="62"/>
      <c r="AV279" s="62"/>
      <c r="AW279" s="62"/>
      <c r="AX279" s="62"/>
      <c r="AY279" s="62"/>
      <c r="AZ279" s="62"/>
      <c r="BA279" s="62"/>
      <c r="BB279" s="62"/>
      <c r="BC279" s="62"/>
      <c r="BD279" s="62"/>
      <c r="BE279" s="62"/>
      <c r="BF279" s="62"/>
      <c r="BG279" s="62"/>
      <c r="BH279" s="62"/>
      <c r="BI279" s="62"/>
      <c r="BJ279" s="62"/>
      <c r="BK279" s="62"/>
      <c r="BL279" s="62"/>
      <c r="BM279" s="62"/>
      <c r="BN279" s="62"/>
      <c r="BO279" s="62"/>
      <c r="BP279" s="62"/>
      <c r="BQ279" s="62"/>
      <c r="BR279" s="62"/>
      <c r="BS279" s="62"/>
      <c r="BT279" s="62"/>
      <c r="BU279" s="62"/>
      <c r="BV279" s="62"/>
      <c r="BW279" s="62"/>
      <c r="BX279" s="62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  <c r="HB279"/>
      <c r="HC279"/>
      <c r="HD279"/>
      <c r="HE279"/>
      <c r="HF279"/>
      <c r="HG279"/>
      <c r="HH279"/>
      <c r="HI279"/>
      <c r="HJ279"/>
      <c r="HK279"/>
      <c r="HL279"/>
      <c r="HM279"/>
      <c r="HN279"/>
      <c r="HO279"/>
      <c r="HP279"/>
      <c r="HQ279"/>
      <c r="HR279"/>
      <c r="HS279"/>
      <c r="HT279"/>
      <c r="HU279"/>
      <c r="HV279"/>
      <c r="HW279"/>
      <c r="HX279"/>
      <c r="HY279"/>
      <c r="HZ279"/>
      <c r="IA279"/>
      <c r="IB279"/>
      <c r="IC279"/>
      <c r="ID279"/>
      <c r="IE279"/>
      <c r="IF279"/>
      <c r="IG279"/>
      <c r="IH279"/>
      <c r="II279"/>
      <c r="IJ279"/>
      <c r="IK279"/>
      <c r="IL279"/>
      <c r="IM279"/>
      <c r="IN279"/>
      <c r="IO279"/>
      <c r="IP279"/>
      <c r="IQ279"/>
      <c r="IR279"/>
      <c r="IS279"/>
      <c r="IT279"/>
      <c r="IU279"/>
      <c r="IV279"/>
      <c r="IW279"/>
      <c r="IX279"/>
      <c r="IY279"/>
      <c r="IZ279"/>
      <c r="JA279"/>
      <c r="JB279"/>
      <c r="JC279"/>
      <c r="JD279"/>
      <c r="JE279"/>
      <c r="JF279"/>
      <c r="JG279"/>
      <c r="JH279"/>
      <c r="JI279"/>
      <c r="JJ279"/>
      <c r="JK279"/>
      <c r="JL279"/>
      <c r="JM279"/>
      <c r="JN279"/>
      <c r="JO279"/>
      <c r="JP279"/>
      <c r="JQ279"/>
      <c r="JR279"/>
      <c r="JS279"/>
      <c r="JT279"/>
      <c r="JU279"/>
      <c r="JV279"/>
      <c r="JW279"/>
      <c r="JX279"/>
      <c r="JY279"/>
      <c r="JZ279"/>
      <c r="KA279"/>
      <c r="KB279"/>
      <c r="KC279"/>
      <c r="KD279"/>
      <c r="KE279"/>
      <c r="KF279"/>
      <c r="KG279"/>
      <c r="KH279"/>
      <c r="KI279"/>
      <c r="KJ279"/>
      <c r="KK279"/>
      <c r="KL279"/>
      <c r="KM279"/>
      <c r="KN279"/>
      <c r="KO279"/>
      <c r="KP279"/>
      <c r="KQ279"/>
      <c r="KR279"/>
      <c r="KS279"/>
      <c r="KT279"/>
      <c r="KU279"/>
      <c r="KV279"/>
      <c r="KW279"/>
      <c r="KX279"/>
      <c r="KY279"/>
      <c r="KZ279"/>
      <c r="LA279"/>
      <c r="LB279"/>
      <c r="LC279"/>
      <c r="LD279"/>
      <c r="LE279"/>
      <c r="LF279"/>
      <c r="LG279"/>
      <c r="LH279"/>
      <c r="LI279"/>
      <c r="LJ279"/>
      <c r="LK279"/>
      <c r="LL279"/>
      <c r="LM279"/>
      <c r="LN279"/>
      <c r="LO279"/>
      <c r="LP279"/>
      <c r="LQ279"/>
      <c r="LR279"/>
      <c r="LS279"/>
      <c r="LT279"/>
      <c r="LU279"/>
      <c r="LV279"/>
      <c r="LW279"/>
      <c r="LX279"/>
      <c r="LY279"/>
      <c r="LZ279"/>
      <c r="MA279"/>
      <c r="MB279"/>
      <c r="MC279"/>
      <c r="MD279"/>
      <c r="ME279"/>
      <c r="MF279"/>
      <c r="MG279"/>
      <c r="MH279"/>
      <c r="MI279"/>
      <c r="MJ279"/>
      <c r="MK279"/>
      <c r="ML279"/>
      <c r="MM279"/>
      <c r="MN279"/>
      <c r="MO279"/>
      <c r="MP279"/>
      <c r="MQ279"/>
      <c r="MR279"/>
      <c r="MS279"/>
      <c r="MT279"/>
      <c r="MU279"/>
      <c r="MV279"/>
      <c r="MW279"/>
      <c r="MX279"/>
      <c r="MY279"/>
      <c r="MZ279"/>
      <c r="NA279"/>
      <c r="NB279"/>
      <c r="NC279"/>
      <c r="ND279"/>
      <c r="NE279"/>
      <c r="NF279"/>
      <c r="NG279"/>
      <c r="NH279"/>
      <c r="NI279"/>
      <c r="NJ279"/>
      <c r="NK279"/>
      <c r="NL279"/>
      <c r="NM279"/>
      <c r="NN279"/>
      <c r="NO279"/>
      <c r="NP279"/>
      <c r="NQ279"/>
      <c r="NR279"/>
      <c r="NS279"/>
      <c r="NT279"/>
      <c r="NU279"/>
      <c r="NV279"/>
      <c r="NW279"/>
      <c r="NX279"/>
      <c r="NY279"/>
      <c r="NZ279"/>
      <c r="OA279"/>
      <c r="OB279"/>
      <c r="OC279"/>
      <c r="OD279"/>
      <c r="OE279"/>
      <c r="OF279"/>
      <c r="OG279"/>
      <c r="OH279"/>
      <c r="OI279"/>
      <c r="OJ279"/>
      <c r="OK279"/>
      <c r="OL279"/>
      <c r="OM279"/>
      <c r="ON279"/>
      <c r="OO279"/>
      <c r="OP279"/>
      <c r="OQ279"/>
      <c r="OR279"/>
      <c r="OS279"/>
      <c r="OT279"/>
      <c r="OU279"/>
      <c r="OV279"/>
      <c r="OW279"/>
      <c r="OX279"/>
      <c r="OY279"/>
      <c r="OZ279"/>
      <c r="PA279"/>
      <c r="PB279"/>
      <c r="PC279"/>
      <c r="PD279"/>
      <c r="PE279"/>
      <c r="PF279"/>
      <c r="PG279"/>
      <c r="PH279"/>
      <c r="PI279"/>
      <c r="PJ279"/>
      <c r="PK279"/>
      <c r="PL279"/>
      <c r="PM279"/>
      <c r="PN279"/>
      <c r="PO279"/>
      <c r="PP279"/>
      <c r="PQ279"/>
      <c r="PR279"/>
      <c r="PS279"/>
      <c r="PT279"/>
      <c r="PU279"/>
      <c r="PV279"/>
      <c r="PW279"/>
      <c r="PX279"/>
      <c r="PY279"/>
      <c r="PZ279"/>
      <c r="QA279"/>
      <c r="QB279"/>
      <c r="QC279"/>
      <c r="QD279"/>
      <c r="QE279"/>
      <c r="QF279"/>
      <c r="QG279"/>
      <c r="QH279"/>
      <c r="QI279"/>
      <c r="QJ279"/>
      <c r="QK279"/>
      <c r="QL279"/>
      <c r="QM279"/>
      <c r="QN279"/>
      <c r="QO279"/>
      <c r="QP279"/>
      <c r="QQ279"/>
      <c r="QR279"/>
      <c r="QS279"/>
      <c r="QT279"/>
      <c r="QU279"/>
      <c r="QV279"/>
      <c r="QW279"/>
      <c r="QX279"/>
    </row>
    <row r="280" spans="1:466" x14ac:dyDescent="0.35">
      <c r="A280" s="53"/>
      <c r="B280" s="53"/>
      <c r="C280" s="55"/>
      <c r="D280" s="53"/>
      <c r="E280" s="53"/>
      <c r="F280" s="126" t="s">
        <v>1321</v>
      </c>
      <c r="G280" s="125">
        <v>0.31900000000000001</v>
      </c>
      <c r="H280" s="125">
        <v>0</v>
      </c>
      <c r="I280" s="133">
        <v>0</v>
      </c>
      <c r="J280" s="53"/>
      <c r="K280" s="53"/>
      <c r="L280" s="53"/>
      <c r="M280" s="53"/>
      <c r="N280" s="53"/>
      <c r="O280" s="53"/>
      <c r="P280" s="53"/>
      <c r="Q280" s="53"/>
      <c r="R280" s="53"/>
      <c r="S280" s="53"/>
      <c r="T280" s="53"/>
      <c r="U280" s="53"/>
      <c r="V280" s="53"/>
      <c r="W280" s="53"/>
      <c r="X280" s="53"/>
      <c r="Y280" s="53"/>
      <c r="Z280" s="53"/>
      <c r="AA280" s="53"/>
      <c r="AB280" s="53"/>
      <c r="AC280" s="53"/>
      <c r="AD280" s="53"/>
      <c r="AE280" s="53"/>
      <c r="AF280" s="63"/>
      <c r="AG280" s="64"/>
      <c r="AH280" s="65"/>
      <c r="AI280" s="65"/>
      <c r="AJ280" s="53"/>
      <c r="AK280" s="62"/>
      <c r="AL280" s="62"/>
      <c r="AM280" s="62"/>
      <c r="AN280" s="62"/>
      <c r="AO280" s="62"/>
      <c r="AP280" s="62"/>
      <c r="AQ280" s="62"/>
      <c r="AR280" s="62"/>
      <c r="AS280" s="62"/>
      <c r="AT280" s="62"/>
      <c r="AU280" s="62"/>
      <c r="AV280" s="62"/>
      <c r="AW280" s="62"/>
      <c r="AX280" s="62"/>
      <c r="AY280" s="62"/>
      <c r="AZ280" s="62"/>
      <c r="BA280" s="62"/>
      <c r="BB280" s="62"/>
      <c r="BC280" s="62"/>
      <c r="BD280" s="62"/>
      <c r="BE280" s="62"/>
      <c r="BF280" s="62"/>
      <c r="BG280" s="62"/>
      <c r="BH280" s="62"/>
      <c r="BI280" s="62"/>
      <c r="BJ280" s="62"/>
      <c r="BK280" s="62"/>
      <c r="BL280" s="62"/>
      <c r="BM280" s="62"/>
      <c r="BN280" s="62"/>
      <c r="BO280" s="62"/>
      <c r="BP280" s="62"/>
      <c r="BQ280" s="62"/>
      <c r="BR280" s="62"/>
      <c r="BS280" s="62"/>
      <c r="BT280" s="62"/>
      <c r="BU280" s="62"/>
      <c r="BV280" s="62"/>
      <c r="BW280" s="62"/>
      <c r="BX280" s="62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  <c r="HB280"/>
      <c r="HC280"/>
      <c r="HD280"/>
      <c r="HE280"/>
      <c r="HF280"/>
      <c r="HG280"/>
      <c r="HH280"/>
      <c r="HI280"/>
      <c r="HJ280"/>
      <c r="HK280"/>
      <c r="HL280"/>
      <c r="HM280"/>
      <c r="HN280"/>
      <c r="HO280"/>
      <c r="HP280"/>
      <c r="HQ280"/>
      <c r="HR280"/>
      <c r="HS280"/>
      <c r="HT280"/>
      <c r="HU280"/>
      <c r="HV280"/>
      <c r="HW280"/>
      <c r="HX280"/>
      <c r="HY280"/>
      <c r="HZ280"/>
      <c r="IA280"/>
      <c r="IB280"/>
      <c r="IC280"/>
      <c r="ID280"/>
      <c r="IE280"/>
      <c r="IF280"/>
      <c r="IG280"/>
      <c r="IH280"/>
      <c r="II280"/>
      <c r="IJ280"/>
      <c r="IK280"/>
      <c r="IL280"/>
      <c r="IM280"/>
      <c r="IN280"/>
      <c r="IO280"/>
      <c r="IP280"/>
      <c r="IQ280"/>
      <c r="IR280"/>
      <c r="IS280"/>
      <c r="IT280"/>
      <c r="IU280"/>
      <c r="IV280"/>
      <c r="IW280"/>
      <c r="IX280"/>
      <c r="IY280"/>
      <c r="IZ280"/>
      <c r="JA280"/>
      <c r="JB280"/>
      <c r="JC280"/>
      <c r="JD280"/>
      <c r="JE280"/>
      <c r="JF280"/>
      <c r="JG280"/>
      <c r="JH280"/>
      <c r="JI280"/>
      <c r="JJ280"/>
      <c r="JK280"/>
      <c r="JL280"/>
      <c r="JM280"/>
      <c r="JN280"/>
      <c r="JO280"/>
      <c r="JP280"/>
      <c r="JQ280"/>
      <c r="JR280"/>
      <c r="JS280"/>
      <c r="JT280"/>
      <c r="JU280"/>
      <c r="JV280"/>
      <c r="JW280"/>
      <c r="JX280"/>
      <c r="JY280"/>
      <c r="JZ280"/>
      <c r="KA280"/>
      <c r="KB280"/>
      <c r="KC280"/>
      <c r="KD280"/>
      <c r="KE280"/>
      <c r="KF280"/>
      <c r="KG280"/>
      <c r="KH280"/>
      <c r="KI280"/>
      <c r="KJ280"/>
      <c r="KK280"/>
      <c r="KL280"/>
      <c r="KM280"/>
      <c r="KN280"/>
      <c r="KO280"/>
      <c r="KP280"/>
      <c r="KQ280"/>
      <c r="KR280"/>
      <c r="KS280"/>
      <c r="KT280"/>
      <c r="KU280"/>
      <c r="KV280"/>
      <c r="KW280"/>
      <c r="KX280"/>
      <c r="KY280"/>
      <c r="KZ280"/>
      <c r="LA280"/>
      <c r="LB280"/>
      <c r="LC280"/>
      <c r="LD280"/>
      <c r="LE280"/>
      <c r="LF280"/>
      <c r="LG280"/>
      <c r="LH280"/>
      <c r="LI280"/>
      <c r="LJ280"/>
      <c r="LK280"/>
      <c r="LL280"/>
      <c r="LM280"/>
      <c r="LN280"/>
      <c r="LO280"/>
      <c r="LP280"/>
      <c r="LQ280"/>
      <c r="LR280"/>
      <c r="LS280"/>
      <c r="LT280"/>
      <c r="LU280"/>
      <c r="LV280"/>
      <c r="LW280"/>
      <c r="LX280"/>
      <c r="LY280"/>
      <c r="LZ280"/>
      <c r="MA280"/>
      <c r="MB280"/>
      <c r="MC280"/>
      <c r="MD280"/>
      <c r="ME280"/>
      <c r="MF280"/>
      <c r="MG280"/>
      <c r="MH280"/>
      <c r="MI280"/>
      <c r="MJ280"/>
      <c r="MK280"/>
      <c r="ML280"/>
      <c r="MM280"/>
      <c r="MN280"/>
      <c r="MO280"/>
      <c r="MP280"/>
      <c r="MQ280"/>
      <c r="MR280"/>
      <c r="MS280"/>
      <c r="MT280"/>
      <c r="MU280"/>
      <c r="MV280"/>
      <c r="MW280"/>
      <c r="MX280"/>
      <c r="MY280"/>
      <c r="MZ280"/>
      <c r="NA280"/>
      <c r="NB280"/>
      <c r="NC280"/>
      <c r="ND280"/>
      <c r="NE280"/>
      <c r="NF280"/>
      <c r="NG280"/>
      <c r="NH280"/>
      <c r="NI280"/>
      <c r="NJ280"/>
      <c r="NK280"/>
      <c r="NL280"/>
      <c r="NM280"/>
      <c r="NN280"/>
      <c r="NO280"/>
      <c r="NP280"/>
      <c r="NQ280"/>
      <c r="NR280"/>
      <c r="NS280"/>
      <c r="NT280"/>
      <c r="NU280"/>
      <c r="NV280"/>
      <c r="NW280"/>
      <c r="NX280"/>
      <c r="NY280"/>
      <c r="NZ280"/>
      <c r="OA280"/>
      <c r="OB280"/>
      <c r="OC280"/>
      <c r="OD280"/>
      <c r="OE280"/>
      <c r="OF280"/>
      <c r="OG280"/>
      <c r="OH280"/>
      <c r="OI280"/>
      <c r="OJ280"/>
      <c r="OK280"/>
      <c r="OL280"/>
      <c r="OM280"/>
      <c r="ON280"/>
      <c r="OO280"/>
      <c r="OP280"/>
      <c r="OQ280"/>
      <c r="OR280"/>
      <c r="OS280"/>
      <c r="OT280"/>
      <c r="OU280"/>
      <c r="OV280"/>
      <c r="OW280"/>
      <c r="OX280"/>
      <c r="OY280"/>
      <c r="OZ280"/>
      <c r="PA280"/>
      <c r="PB280"/>
      <c r="PC280"/>
      <c r="PD280"/>
      <c r="PE280"/>
      <c r="PF280"/>
      <c r="PG280"/>
      <c r="PH280"/>
      <c r="PI280"/>
      <c r="PJ280"/>
      <c r="PK280"/>
      <c r="PL280"/>
      <c r="PM280"/>
      <c r="PN280"/>
      <c r="PO280"/>
      <c r="PP280"/>
      <c r="PQ280"/>
      <c r="PR280"/>
      <c r="PS280"/>
      <c r="PT280"/>
      <c r="PU280"/>
      <c r="PV280"/>
      <c r="PW280"/>
      <c r="PX280"/>
      <c r="PY280"/>
      <c r="PZ280"/>
      <c r="QA280"/>
      <c r="QB280"/>
      <c r="QC280"/>
      <c r="QD280"/>
      <c r="QE280"/>
      <c r="QF280"/>
      <c r="QG280"/>
      <c r="QH280"/>
      <c r="QI280"/>
      <c r="QJ280"/>
      <c r="QK280"/>
      <c r="QL280"/>
      <c r="QM280"/>
      <c r="QN280"/>
      <c r="QO280"/>
      <c r="QP280"/>
      <c r="QQ280"/>
      <c r="QR280"/>
      <c r="QS280"/>
      <c r="QT280"/>
      <c r="QU280"/>
      <c r="QV280"/>
      <c r="QW280"/>
      <c r="QX280"/>
    </row>
    <row r="281" spans="1:466" x14ac:dyDescent="0.35">
      <c r="A281" s="53"/>
      <c r="B281" s="53"/>
      <c r="C281" s="55"/>
      <c r="D281" s="53"/>
      <c r="E281" s="53"/>
      <c r="F281" s="124" t="s">
        <v>492</v>
      </c>
      <c r="G281" s="125">
        <v>152.46</v>
      </c>
      <c r="H281" s="125">
        <v>152.46</v>
      </c>
      <c r="I281" s="133">
        <v>3</v>
      </c>
      <c r="J281" s="53"/>
      <c r="K281" s="53"/>
      <c r="L281" s="53"/>
      <c r="M281" s="53"/>
      <c r="N281" s="53"/>
      <c r="O281" s="53"/>
      <c r="P281" s="53"/>
      <c r="Q281" s="53"/>
      <c r="R281" s="53"/>
      <c r="S281" s="53"/>
      <c r="T281" s="53"/>
      <c r="U281" s="53"/>
      <c r="V281" s="53"/>
      <c r="W281" s="53"/>
      <c r="X281" s="53"/>
      <c r="Y281" s="53"/>
      <c r="Z281" s="53"/>
      <c r="AA281" s="53"/>
      <c r="AB281" s="53"/>
      <c r="AC281" s="53"/>
      <c r="AD281" s="53"/>
      <c r="AE281" s="53"/>
      <c r="AF281" s="63"/>
      <c r="AG281" s="64"/>
      <c r="AH281" s="65"/>
      <c r="AI281" s="65"/>
      <c r="AJ281" s="53"/>
      <c r="AK281" s="62"/>
      <c r="AL281" s="62"/>
      <c r="AM281" s="62"/>
      <c r="AN281" s="62"/>
      <c r="AO281" s="62"/>
      <c r="AP281" s="62"/>
      <c r="AQ281" s="62"/>
      <c r="AR281" s="62"/>
      <c r="AS281" s="62"/>
      <c r="AT281" s="62"/>
      <c r="AU281" s="62"/>
      <c r="AV281" s="62"/>
      <c r="AW281" s="62"/>
      <c r="AX281" s="62"/>
      <c r="AY281" s="62"/>
      <c r="AZ281" s="62"/>
      <c r="BA281" s="62"/>
      <c r="BB281" s="62"/>
      <c r="BC281" s="62"/>
      <c r="BD281" s="62"/>
      <c r="BE281" s="62"/>
      <c r="BF281" s="62"/>
      <c r="BG281" s="62"/>
      <c r="BH281" s="62"/>
      <c r="BI281" s="62"/>
      <c r="BJ281" s="62"/>
      <c r="BK281" s="62"/>
      <c r="BL281" s="62"/>
      <c r="BM281" s="62"/>
      <c r="BN281" s="62"/>
      <c r="BO281" s="62"/>
      <c r="BP281" s="62"/>
      <c r="BQ281" s="62"/>
      <c r="BR281" s="62"/>
      <c r="BS281" s="62"/>
      <c r="BT281" s="62"/>
      <c r="BU281" s="62"/>
      <c r="BV281" s="62"/>
      <c r="BW281" s="62"/>
      <c r="BX281" s="62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  <c r="HB281"/>
      <c r="HC281"/>
      <c r="HD281"/>
      <c r="HE281"/>
      <c r="HF281"/>
      <c r="HG281"/>
      <c r="HH281"/>
      <c r="HI281"/>
      <c r="HJ281"/>
      <c r="HK281"/>
      <c r="HL281"/>
      <c r="HM281"/>
      <c r="HN281"/>
      <c r="HO281"/>
      <c r="HP281"/>
      <c r="HQ281"/>
      <c r="HR281"/>
      <c r="HS281"/>
      <c r="HT281"/>
      <c r="HU281"/>
      <c r="HV281"/>
      <c r="HW281"/>
      <c r="HX281"/>
      <c r="HY281"/>
      <c r="HZ281"/>
      <c r="IA281"/>
      <c r="IB281"/>
      <c r="IC281"/>
      <c r="ID281"/>
      <c r="IE281"/>
      <c r="IF281"/>
      <c r="IG281"/>
      <c r="IH281"/>
      <c r="II281"/>
      <c r="IJ281"/>
      <c r="IK281"/>
      <c r="IL281"/>
      <c r="IM281"/>
      <c r="IN281"/>
      <c r="IO281"/>
      <c r="IP281"/>
      <c r="IQ281"/>
      <c r="IR281"/>
      <c r="IS281"/>
      <c r="IT281"/>
      <c r="IU281"/>
      <c r="IV281"/>
      <c r="IW281"/>
      <c r="IX281"/>
      <c r="IY281"/>
      <c r="IZ281"/>
      <c r="JA281"/>
      <c r="JB281"/>
      <c r="JC281"/>
      <c r="JD281"/>
      <c r="JE281"/>
      <c r="JF281"/>
      <c r="JG281"/>
      <c r="JH281"/>
      <c r="JI281"/>
      <c r="JJ281"/>
      <c r="JK281"/>
      <c r="JL281"/>
      <c r="JM281"/>
      <c r="JN281"/>
      <c r="JO281"/>
      <c r="JP281"/>
      <c r="JQ281"/>
      <c r="JR281"/>
      <c r="JS281"/>
      <c r="JT281"/>
      <c r="JU281"/>
      <c r="JV281"/>
      <c r="JW281"/>
      <c r="JX281"/>
      <c r="JY281"/>
      <c r="JZ281"/>
      <c r="KA281"/>
      <c r="KB281"/>
      <c r="KC281"/>
      <c r="KD281"/>
      <c r="KE281"/>
      <c r="KF281"/>
      <c r="KG281"/>
      <c r="KH281"/>
      <c r="KI281"/>
      <c r="KJ281"/>
      <c r="KK281"/>
      <c r="KL281"/>
      <c r="KM281"/>
      <c r="KN281"/>
      <c r="KO281"/>
      <c r="KP281"/>
      <c r="KQ281"/>
      <c r="KR281"/>
      <c r="KS281"/>
      <c r="KT281"/>
      <c r="KU281"/>
      <c r="KV281"/>
      <c r="KW281"/>
      <c r="KX281"/>
      <c r="KY281"/>
      <c r="KZ281"/>
      <c r="LA281"/>
      <c r="LB281"/>
      <c r="LC281"/>
      <c r="LD281"/>
      <c r="LE281"/>
      <c r="LF281"/>
      <c r="LG281"/>
      <c r="LH281"/>
      <c r="LI281"/>
      <c r="LJ281"/>
      <c r="LK281"/>
      <c r="LL281"/>
      <c r="LM281"/>
      <c r="LN281"/>
      <c r="LO281"/>
      <c r="LP281"/>
      <c r="LQ281"/>
      <c r="LR281"/>
      <c r="LS281"/>
      <c r="LT281"/>
      <c r="LU281"/>
      <c r="LV281"/>
      <c r="LW281"/>
      <c r="LX281"/>
      <c r="LY281"/>
      <c r="LZ281"/>
      <c r="MA281"/>
      <c r="MB281"/>
      <c r="MC281"/>
      <c r="MD281"/>
      <c r="ME281"/>
      <c r="MF281"/>
      <c r="MG281"/>
      <c r="MH281"/>
      <c r="MI281"/>
      <c r="MJ281"/>
      <c r="MK281"/>
      <c r="ML281"/>
      <c r="MM281"/>
      <c r="MN281"/>
      <c r="MO281"/>
      <c r="MP281"/>
      <c r="MQ281"/>
      <c r="MR281"/>
      <c r="MS281"/>
      <c r="MT281"/>
      <c r="MU281"/>
      <c r="MV281"/>
      <c r="MW281"/>
      <c r="MX281"/>
      <c r="MY281"/>
      <c r="MZ281"/>
      <c r="NA281"/>
      <c r="NB281"/>
      <c r="NC281"/>
      <c r="ND281"/>
      <c r="NE281"/>
      <c r="NF281"/>
      <c r="NG281"/>
      <c r="NH281"/>
      <c r="NI281"/>
      <c r="NJ281"/>
      <c r="NK281"/>
      <c r="NL281"/>
      <c r="NM281"/>
      <c r="NN281"/>
      <c r="NO281"/>
      <c r="NP281"/>
      <c r="NQ281"/>
      <c r="NR281"/>
      <c r="NS281"/>
      <c r="NT281"/>
      <c r="NU281"/>
      <c r="NV281"/>
      <c r="NW281"/>
      <c r="NX281"/>
      <c r="NY281"/>
      <c r="NZ281"/>
      <c r="OA281"/>
      <c r="OB281"/>
      <c r="OC281"/>
      <c r="OD281"/>
      <c r="OE281"/>
      <c r="OF281"/>
      <c r="OG281"/>
      <c r="OH281"/>
      <c r="OI281"/>
      <c r="OJ281"/>
      <c r="OK281"/>
      <c r="OL281"/>
      <c r="OM281"/>
      <c r="ON281"/>
      <c r="OO281"/>
      <c r="OP281"/>
      <c r="OQ281"/>
      <c r="OR281"/>
      <c r="OS281"/>
      <c r="OT281"/>
      <c r="OU281"/>
      <c r="OV281"/>
      <c r="OW281"/>
      <c r="OX281"/>
      <c r="OY281"/>
      <c r="OZ281"/>
      <c r="PA281"/>
      <c r="PB281"/>
      <c r="PC281"/>
      <c r="PD281"/>
      <c r="PE281"/>
      <c r="PF281"/>
      <c r="PG281"/>
      <c r="PH281"/>
      <c r="PI281"/>
      <c r="PJ281"/>
      <c r="PK281"/>
      <c r="PL281"/>
      <c r="PM281"/>
      <c r="PN281"/>
      <c r="PO281"/>
      <c r="PP281"/>
      <c r="PQ281"/>
      <c r="PR281"/>
      <c r="PS281"/>
      <c r="PT281"/>
      <c r="PU281"/>
      <c r="PV281"/>
      <c r="PW281"/>
      <c r="PX281"/>
      <c r="PY281"/>
      <c r="PZ281"/>
      <c r="QA281"/>
      <c r="QB281"/>
      <c r="QC281"/>
      <c r="QD281"/>
      <c r="QE281"/>
      <c r="QF281"/>
      <c r="QG281"/>
      <c r="QH281"/>
      <c r="QI281"/>
      <c r="QJ281"/>
      <c r="QK281"/>
      <c r="QL281"/>
      <c r="QM281"/>
      <c r="QN281"/>
      <c r="QO281"/>
      <c r="QP281"/>
      <c r="QQ281"/>
      <c r="QR281"/>
      <c r="QS281"/>
      <c r="QT281"/>
      <c r="QU281"/>
      <c r="QV281"/>
      <c r="QW281"/>
      <c r="QX281"/>
    </row>
    <row r="282" spans="1:466" x14ac:dyDescent="0.35">
      <c r="A282" s="53"/>
      <c r="B282" s="53"/>
      <c r="C282" s="55"/>
      <c r="D282" s="53"/>
      <c r="E282" s="53"/>
      <c r="F282" s="126" t="s">
        <v>493</v>
      </c>
      <c r="G282" s="125">
        <v>30.195000000000004</v>
      </c>
      <c r="H282" s="125">
        <v>30.195000000000004</v>
      </c>
      <c r="I282" s="133">
        <v>1</v>
      </c>
      <c r="J282" s="53"/>
      <c r="K282" s="53"/>
      <c r="L282" s="53"/>
      <c r="M282" s="53"/>
      <c r="N282" s="53"/>
      <c r="O282" s="53"/>
      <c r="P282" s="53"/>
      <c r="Q282" s="53"/>
      <c r="R282" s="53"/>
      <c r="S282" s="53"/>
      <c r="T282" s="53"/>
      <c r="U282" s="53"/>
      <c r="V282" s="53"/>
      <c r="W282" s="53"/>
      <c r="X282" s="53"/>
      <c r="Y282" s="53"/>
      <c r="Z282" s="53"/>
      <c r="AA282" s="53"/>
      <c r="AB282" s="53"/>
      <c r="AC282" s="53"/>
      <c r="AD282" s="53"/>
      <c r="AE282" s="53"/>
      <c r="AF282" s="63"/>
      <c r="AG282" s="64"/>
      <c r="AH282" s="65"/>
      <c r="AI282" s="65"/>
      <c r="AJ282" s="53"/>
      <c r="AK282" s="62"/>
      <c r="AL282" s="62"/>
      <c r="AM282" s="62"/>
      <c r="AN282" s="62"/>
      <c r="AO282" s="62"/>
      <c r="AP282" s="62"/>
      <c r="AQ282" s="62"/>
      <c r="AR282" s="62"/>
      <c r="AS282" s="62"/>
      <c r="AT282" s="62"/>
      <c r="AU282" s="62"/>
      <c r="AV282" s="62"/>
      <c r="AW282" s="62"/>
      <c r="AX282" s="62"/>
      <c r="AY282" s="62"/>
      <c r="AZ282" s="62"/>
      <c r="BA282" s="62"/>
      <c r="BB282" s="62"/>
      <c r="BC282" s="62"/>
      <c r="BD282" s="62"/>
      <c r="BE282" s="62"/>
      <c r="BF282" s="62"/>
      <c r="BG282" s="62"/>
      <c r="BH282" s="62"/>
      <c r="BI282" s="62"/>
      <c r="BJ282" s="62"/>
      <c r="BK282" s="62"/>
      <c r="BL282" s="62"/>
      <c r="BM282" s="62"/>
      <c r="BN282" s="62"/>
      <c r="BO282" s="62"/>
      <c r="BP282" s="62"/>
      <c r="BQ282" s="62"/>
      <c r="BR282" s="62"/>
      <c r="BS282" s="62"/>
      <c r="BT282" s="62"/>
      <c r="BU282" s="62"/>
      <c r="BV282" s="62"/>
      <c r="BW282" s="62"/>
      <c r="BX282" s="6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  <c r="HB282"/>
      <c r="HC282"/>
      <c r="HD282"/>
      <c r="HE282"/>
      <c r="HF282"/>
      <c r="HG282"/>
      <c r="HH282"/>
      <c r="HI282"/>
      <c r="HJ282"/>
      <c r="HK282"/>
      <c r="HL282"/>
      <c r="HM282"/>
      <c r="HN282"/>
      <c r="HO282"/>
      <c r="HP282"/>
      <c r="HQ282"/>
      <c r="HR282"/>
      <c r="HS282"/>
      <c r="HT282"/>
      <c r="HU282"/>
      <c r="HV282"/>
      <c r="HW282"/>
      <c r="HX282"/>
      <c r="HY282"/>
      <c r="HZ282"/>
      <c r="IA282"/>
      <c r="IB282"/>
      <c r="IC282"/>
      <c r="ID282"/>
      <c r="IE282"/>
      <c r="IF282"/>
      <c r="IG282"/>
      <c r="IH282"/>
      <c r="II282"/>
      <c r="IJ282"/>
      <c r="IK282"/>
      <c r="IL282"/>
      <c r="IM282"/>
      <c r="IN282"/>
      <c r="IO282"/>
      <c r="IP282"/>
      <c r="IQ282"/>
      <c r="IR282"/>
      <c r="IS282"/>
      <c r="IT282"/>
      <c r="IU282"/>
      <c r="IV282"/>
      <c r="IW282"/>
      <c r="IX282"/>
      <c r="IY282"/>
      <c r="IZ282"/>
      <c r="JA282"/>
      <c r="JB282"/>
      <c r="JC282"/>
      <c r="JD282"/>
      <c r="JE282"/>
      <c r="JF282"/>
      <c r="JG282"/>
      <c r="JH282"/>
      <c r="JI282"/>
      <c r="JJ282"/>
      <c r="JK282"/>
      <c r="JL282"/>
      <c r="JM282"/>
      <c r="JN282"/>
      <c r="JO282"/>
      <c r="JP282"/>
      <c r="JQ282"/>
      <c r="JR282"/>
      <c r="JS282"/>
      <c r="JT282"/>
      <c r="JU282"/>
      <c r="JV282"/>
      <c r="JW282"/>
      <c r="JX282"/>
      <c r="JY282"/>
      <c r="JZ282"/>
      <c r="KA282"/>
      <c r="KB282"/>
      <c r="KC282"/>
      <c r="KD282"/>
      <c r="KE282"/>
      <c r="KF282"/>
      <c r="KG282"/>
      <c r="KH282"/>
      <c r="KI282"/>
      <c r="KJ282"/>
      <c r="KK282"/>
      <c r="KL282"/>
      <c r="KM282"/>
      <c r="KN282"/>
      <c r="KO282"/>
      <c r="KP282"/>
      <c r="KQ282"/>
      <c r="KR282"/>
      <c r="KS282"/>
      <c r="KT282"/>
      <c r="KU282"/>
      <c r="KV282"/>
      <c r="KW282"/>
      <c r="KX282"/>
      <c r="KY282"/>
      <c r="KZ282"/>
      <c r="LA282"/>
      <c r="LB282"/>
      <c r="LC282"/>
      <c r="LD282"/>
      <c r="LE282"/>
      <c r="LF282"/>
      <c r="LG282"/>
      <c r="LH282"/>
      <c r="LI282"/>
      <c r="LJ282"/>
      <c r="LK282"/>
      <c r="LL282"/>
      <c r="LM282"/>
      <c r="LN282"/>
      <c r="LO282"/>
      <c r="LP282"/>
      <c r="LQ282"/>
      <c r="LR282"/>
      <c r="LS282"/>
      <c r="LT282"/>
      <c r="LU282"/>
      <c r="LV282"/>
      <c r="LW282"/>
      <c r="LX282"/>
      <c r="LY282"/>
      <c r="LZ282"/>
      <c r="MA282"/>
      <c r="MB282"/>
      <c r="MC282"/>
      <c r="MD282"/>
      <c r="ME282"/>
      <c r="MF282"/>
      <c r="MG282"/>
      <c r="MH282"/>
      <c r="MI282"/>
      <c r="MJ282"/>
      <c r="MK282"/>
      <c r="ML282"/>
      <c r="MM282"/>
      <c r="MN282"/>
      <c r="MO282"/>
      <c r="MP282"/>
      <c r="MQ282"/>
      <c r="MR282"/>
      <c r="MS282"/>
      <c r="MT282"/>
      <c r="MU282"/>
      <c r="MV282"/>
      <c r="MW282"/>
      <c r="MX282"/>
      <c r="MY282"/>
      <c r="MZ282"/>
      <c r="NA282"/>
      <c r="NB282"/>
      <c r="NC282"/>
      <c r="ND282"/>
      <c r="NE282"/>
      <c r="NF282"/>
      <c r="NG282"/>
      <c r="NH282"/>
      <c r="NI282"/>
      <c r="NJ282"/>
      <c r="NK282"/>
      <c r="NL282"/>
      <c r="NM282"/>
      <c r="NN282"/>
      <c r="NO282"/>
      <c r="NP282"/>
      <c r="NQ282"/>
      <c r="NR282"/>
      <c r="NS282"/>
      <c r="NT282"/>
      <c r="NU282"/>
      <c r="NV282"/>
      <c r="NW282"/>
      <c r="NX282"/>
      <c r="NY282"/>
      <c r="NZ282"/>
      <c r="OA282"/>
      <c r="OB282"/>
      <c r="OC282"/>
      <c r="OD282"/>
      <c r="OE282"/>
      <c r="OF282"/>
      <c r="OG282"/>
      <c r="OH282"/>
      <c r="OI282"/>
      <c r="OJ282"/>
      <c r="OK282"/>
      <c r="OL282"/>
      <c r="OM282"/>
      <c r="ON282"/>
      <c r="OO282"/>
      <c r="OP282"/>
      <c r="OQ282"/>
      <c r="OR282"/>
      <c r="OS282"/>
      <c r="OT282"/>
      <c r="OU282"/>
      <c r="OV282"/>
      <c r="OW282"/>
      <c r="OX282"/>
      <c r="OY282"/>
      <c r="OZ282"/>
      <c r="PA282"/>
      <c r="PB282"/>
      <c r="PC282"/>
      <c r="PD282"/>
      <c r="PE282"/>
      <c r="PF282"/>
      <c r="PG282"/>
      <c r="PH282"/>
      <c r="PI282"/>
      <c r="PJ282"/>
      <c r="PK282"/>
      <c r="PL282"/>
      <c r="PM282"/>
      <c r="PN282"/>
      <c r="PO282"/>
      <c r="PP282"/>
      <c r="PQ282"/>
      <c r="PR282"/>
      <c r="PS282"/>
      <c r="PT282"/>
      <c r="PU282"/>
      <c r="PV282"/>
      <c r="PW282"/>
      <c r="PX282"/>
      <c r="PY282"/>
      <c r="PZ282"/>
      <c r="QA282"/>
      <c r="QB282"/>
      <c r="QC282"/>
      <c r="QD282"/>
      <c r="QE282"/>
      <c r="QF282"/>
      <c r="QG282"/>
      <c r="QH282"/>
      <c r="QI282"/>
      <c r="QJ282"/>
      <c r="QK282"/>
      <c r="QL282"/>
      <c r="QM282"/>
      <c r="QN282"/>
      <c r="QO282"/>
      <c r="QP282"/>
      <c r="QQ282"/>
      <c r="QR282"/>
      <c r="QS282"/>
      <c r="QT282"/>
      <c r="QU282"/>
      <c r="QV282"/>
      <c r="QW282"/>
      <c r="QX282"/>
    </row>
    <row r="283" spans="1:466" x14ac:dyDescent="0.35">
      <c r="A283" s="53"/>
      <c r="B283" s="53"/>
      <c r="C283" s="55"/>
      <c r="D283" s="53"/>
      <c r="E283" s="53"/>
      <c r="F283" s="126" t="s">
        <v>495</v>
      </c>
      <c r="G283" s="125">
        <v>23.76</v>
      </c>
      <c r="H283" s="125">
        <v>23.76</v>
      </c>
      <c r="I283" s="133">
        <v>1</v>
      </c>
      <c r="J283" s="53"/>
      <c r="K283" s="53"/>
      <c r="L283" s="53"/>
      <c r="M283" s="53"/>
      <c r="N283" s="53"/>
      <c r="O283" s="53"/>
      <c r="P283" s="53"/>
      <c r="Q283" s="53"/>
      <c r="R283" s="53"/>
      <c r="S283" s="53"/>
      <c r="T283" s="53"/>
      <c r="U283" s="53"/>
      <c r="V283" s="53"/>
      <c r="W283" s="53"/>
      <c r="X283" s="53"/>
      <c r="Y283" s="53"/>
      <c r="Z283" s="53"/>
      <c r="AA283" s="53"/>
      <c r="AB283" s="53"/>
      <c r="AC283" s="53"/>
      <c r="AD283" s="53"/>
      <c r="AE283" s="53"/>
      <c r="AF283" s="63"/>
      <c r="AG283" s="64"/>
      <c r="AH283" s="65"/>
      <c r="AI283" s="65"/>
      <c r="AJ283" s="53"/>
      <c r="AK283" s="62"/>
      <c r="AL283" s="62"/>
      <c r="AM283" s="62"/>
      <c r="AN283" s="62"/>
      <c r="AO283" s="62"/>
      <c r="AP283" s="62"/>
      <c r="AQ283" s="62"/>
      <c r="AR283" s="62"/>
      <c r="AS283" s="62"/>
      <c r="AT283" s="62"/>
      <c r="AU283" s="62"/>
      <c r="AV283" s="62"/>
      <c r="AW283" s="62"/>
      <c r="AX283" s="62"/>
      <c r="AY283" s="62"/>
      <c r="AZ283" s="62"/>
      <c r="BA283" s="62"/>
      <c r="BB283" s="62"/>
      <c r="BC283" s="62"/>
      <c r="BD283" s="62"/>
      <c r="BE283" s="62"/>
      <c r="BF283" s="62"/>
      <c r="BG283" s="62"/>
      <c r="BH283" s="62"/>
      <c r="BI283" s="62"/>
      <c r="BJ283" s="62"/>
      <c r="BK283" s="62"/>
      <c r="BL283" s="62"/>
      <c r="BM283" s="62"/>
      <c r="BN283" s="62"/>
      <c r="BO283" s="62"/>
      <c r="BP283" s="62"/>
      <c r="BQ283" s="62"/>
      <c r="BR283" s="62"/>
      <c r="BS283" s="62"/>
      <c r="BT283" s="62"/>
      <c r="BU283" s="62"/>
      <c r="BV283" s="62"/>
      <c r="BW283" s="62"/>
      <c r="BX283" s="62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  <c r="HB283"/>
      <c r="HC283"/>
      <c r="HD283"/>
      <c r="HE283"/>
      <c r="HF283"/>
      <c r="HG283"/>
      <c r="HH283"/>
      <c r="HI283"/>
      <c r="HJ283"/>
      <c r="HK283"/>
      <c r="HL283"/>
      <c r="HM283"/>
      <c r="HN283"/>
      <c r="HO283"/>
      <c r="HP283"/>
      <c r="HQ283"/>
      <c r="HR283"/>
      <c r="HS283"/>
      <c r="HT283"/>
      <c r="HU283"/>
      <c r="HV283"/>
      <c r="HW283"/>
      <c r="HX283"/>
      <c r="HY283"/>
      <c r="HZ283"/>
      <c r="IA283"/>
      <c r="IB283"/>
      <c r="IC283"/>
      <c r="ID283"/>
      <c r="IE283"/>
      <c r="IF283"/>
      <c r="IG283"/>
      <c r="IH283"/>
      <c r="II283"/>
      <c r="IJ283"/>
      <c r="IK283"/>
      <c r="IL283"/>
      <c r="IM283"/>
      <c r="IN283"/>
      <c r="IO283"/>
      <c r="IP283"/>
      <c r="IQ283"/>
      <c r="IR283"/>
      <c r="IS283"/>
      <c r="IT283"/>
      <c r="IU283"/>
      <c r="IV283"/>
      <c r="IW283"/>
      <c r="IX283"/>
      <c r="IY283"/>
      <c r="IZ283"/>
      <c r="JA283"/>
      <c r="JB283"/>
      <c r="JC283"/>
      <c r="JD283"/>
      <c r="JE283"/>
      <c r="JF283"/>
      <c r="JG283"/>
      <c r="JH283"/>
      <c r="JI283"/>
      <c r="JJ283"/>
      <c r="JK283"/>
      <c r="JL283"/>
      <c r="JM283"/>
      <c r="JN283"/>
      <c r="JO283"/>
      <c r="JP283"/>
      <c r="JQ283"/>
      <c r="JR283"/>
      <c r="JS283"/>
      <c r="JT283"/>
      <c r="JU283"/>
      <c r="JV283"/>
      <c r="JW283"/>
      <c r="JX283"/>
      <c r="JY283"/>
      <c r="JZ283"/>
      <c r="KA283"/>
      <c r="KB283"/>
      <c r="KC283"/>
      <c r="KD283"/>
      <c r="KE283"/>
      <c r="KF283"/>
      <c r="KG283"/>
      <c r="KH283"/>
      <c r="KI283"/>
      <c r="KJ283"/>
      <c r="KK283"/>
      <c r="KL283"/>
      <c r="KM283"/>
      <c r="KN283"/>
      <c r="KO283"/>
      <c r="KP283"/>
      <c r="KQ283"/>
      <c r="KR283"/>
      <c r="KS283"/>
      <c r="KT283"/>
      <c r="KU283"/>
      <c r="KV283"/>
      <c r="KW283"/>
      <c r="KX283"/>
      <c r="KY283"/>
      <c r="KZ283"/>
      <c r="LA283"/>
      <c r="LB283"/>
      <c r="LC283"/>
      <c r="LD283"/>
      <c r="LE283"/>
      <c r="LF283"/>
      <c r="LG283"/>
      <c r="LH283"/>
      <c r="LI283"/>
      <c r="LJ283"/>
      <c r="LK283"/>
      <c r="LL283"/>
      <c r="LM283"/>
      <c r="LN283"/>
      <c r="LO283"/>
      <c r="LP283"/>
      <c r="LQ283"/>
      <c r="LR283"/>
      <c r="LS283"/>
      <c r="LT283"/>
      <c r="LU283"/>
      <c r="LV283"/>
      <c r="LW283"/>
      <c r="LX283"/>
      <c r="LY283"/>
      <c r="LZ283"/>
      <c r="MA283"/>
      <c r="MB283"/>
      <c r="MC283"/>
      <c r="MD283"/>
      <c r="ME283"/>
      <c r="MF283"/>
      <c r="MG283"/>
      <c r="MH283"/>
      <c r="MI283"/>
      <c r="MJ283"/>
      <c r="MK283"/>
      <c r="ML283"/>
      <c r="MM283"/>
      <c r="MN283"/>
      <c r="MO283"/>
      <c r="MP283"/>
      <c r="MQ283"/>
      <c r="MR283"/>
      <c r="MS283"/>
      <c r="MT283"/>
      <c r="MU283"/>
      <c r="MV283"/>
      <c r="MW283"/>
      <c r="MX283"/>
      <c r="MY283"/>
      <c r="MZ283"/>
      <c r="NA283"/>
      <c r="NB283"/>
      <c r="NC283"/>
      <c r="ND283"/>
      <c r="NE283"/>
      <c r="NF283"/>
      <c r="NG283"/>
      <c r="NH283"/>
      <c r="NI283"/>
      <c r="NJ283"/>
      <c r="NK283"/>
      <c r="NL283"/>
      <c r="NM283"/>
      <c r="NN283"/>
      <c r="NO283"/>
      <c r="NP283"/>
      <c r="NQ283"/>
      <c r="NR283"/>
      <c r="NS283"/>
      <c r="NT283"/>
      <c r="NU283"/>
      <c r="NV283"/>
      <c r="NW283"/>
      <c r="NX283"/>
      <c r="NY283"/>
      <c r="NZ283"/>
      <c r="OA283"/>
      <c r="OB283"/>
      <c r="OC283"/>
      <c r="OD283"/>
      <c r="OE283"/>
      <c r="OF283"/>
      <c r="OG283"/>
      <c r="OH283"/>
      <c r="OI283"/>
      <c r="OJ283"/>
      <c r="OK283"/>
      <c r="OL283"/>
      <c r="OM283"/>
      <c r="ON283"/>
      <c r="OO283"/>
      <c r="OP283"/>
      <c r="OQ283"/>
      <c r="OR283"/>
      <c r="OS283"/>
      <c r="OT283"/>
      <c r="OU283"/>
      <c r="OV283"/>
      <c r="OW283"/>
      <c r="OX283"/>
      <c r="OY283"/>
      <c r="OZ283"/>
      <c r="PA283"/>
      <c r="PB283"/>
      <c r="PC283"/>
      <c r="PD283"/>
      <c r="PE283"/>
      <c r="PF283"/>
      <c r="PG283"/>
      <c r="PH283"/>
      <c r="PI283"/>
      <c r="PJ283"/>
      <c r="PK283"/>
      <c r="PL283"/>
      <c r="PM283"/>
      <c r="PN283"/>
      <c r="PO283"/>
      <c r="PP283"/>
      <c r="PQ283"/>
      <c r="PR283"/>
      <c r="PS283"/>
      <c r="PT283"/>
      <c r="PU283"/>
      <c r="PV283"/>
      <c r="PW283"/>
      <c r="PX283"/>
      <c r="PY283"/>
      <c r="PZ283"/>
      <c r="QA283"/>
      <c r="QB283"/>
      <c r="QC283"/>
      <c r="QD283"/>
      <c r="QE283"/>
      <c r="QF283"/>
      <c r="QG283"/>
      <c r="QH283"/>
      <c r="QI283"/>
      <c r="QJ283"/>
      <c r="QK283"/>
      <c r="QL283"/>
      <c r="QM283"/>
      <c r="QN283"/>
      <c r="QO283"/>
      <c r="QP283"/>
      <c r="QQ283"/>
      <c r="QR283"/>
      <c r="QS283"/>
      <c r="QT283"/>
      <c r="QU283"/>
      <c r="QV283"/>
      <c r="QW283"/>
      <c r="QX283"/>
    </row>
    <row r="284" spans="1:466" x14ac:dyDescent="0.35">
      <c r="A284" s="53"/>
      <c r="B284" s="53"/>
      <c r="C284" s="55"/>
      <c r="D284" s="53"/>
      <c r="E284" s="53"/>
      <c r="F284" s="126" t="s">
        <v>490</v>
      </c>
      <c r="G284" s="125">
        <v>98.50500000000001</v>
      </c>
      <c r="H284" s="125">
        <v>98.50500000000001</v>
      </c>
      <c r="I284" s="133">
        <v>1</v>
      </c>
      <c r="J284" s="53"/>
      <c r="K284" s="53"/>
      <c r="L284" s="53"/>
      <c r="M284" s="53"/>
      <c r="N284" s="53"/>
      <c r="O284" s="53"/>
      <c r="P284" s="53"/>
      <c r="Q284" s="53"/>
      <c r="R284" s="53"/>
      <c r="S284" s="53"/>
      <c r="T284" s="53"/>
      <c r="U284" s="53"/>
      <c r="V284" s="53"/>
      <c r="W284" s="53"/>
      <c r="X284" s="53"/>
      <c r="Y284" s="53"/>
      <c r="Z284" s="53"/>
      <c r="AA284" s="53"/>
      <c r="AB284" s="53"/>
      <c r="AC284" s="53"/>
      <c r="AD284" s="53"/>
      <c r="AE284" s="53"/>
      <c r="AF284" s="63"/>
      <c r="AG284" s="64"/>
      <c r="AH284" s="65"/>
      <c r="AI284" s="65"/>
      <c r="AJ284" s="53"/>
      <c r="AK284" s="62"/>
      <c r="AL284" s="62"/>
      <c r="AM284" s="62"/>
      <c r="AN284" s="62"/>
      <c r="AO284" s="62"/>
      <c r="AP284" s="62"/>
      <c r="AQ284" s="62"/>
      <c r="AR284" s="62"/>
      <c r="AS284" s="62"/>
      <c r="AT284" s="62"/>
      <c r="AU284" s="62"/>
      <c r="AV284" s="62"/>
      <c r="AW284" s="62"/>
      <c r="AX284" s="62"/>
      <c r="AY284" s="62"/>
      <c r="AZ284" s="62"/>
      <c r="BA284" s="62"/>
      <c r="BB284" s="62"/>
      <c r="BC284" s="62"/>
      <c r="BD284" s="62"/>
      <c r="BE284" s="62"/>
      <c r="BF284" s="62"/>
      <c r="BG284" s="62"/>
      <c r="BH284" s="62"/>
      <c r="BI284" s="62"/>
      <c r="BJ284" s="62"/>
      <c r="BK284" s="62"/>
      <c r="BL284" s="62"/>
      <c r="BM284" s="62"/>
      <c r="BN284" s="62"/>
      <c r="BO284" s="62"/>
      <c r="BP284" s="62"/>
      <c r="BQ284" s="62"/>
      <c r="BR284" s="62"/>
      <c r="BS284" s="62"/>
      <c r="BT284" s="62"/>
      <c r="BU284" s="62"/>
      <c r="BV284" s="62"/>
      <c r="BW284" s="62"/>
      <c r="BX284" s="62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  <c r="HB284"/>
      <c r="HC284"/>
      <c r="HD284"/>
      <c r="HE284"/>
      <c r="HF284"/>
      <c r="HG284"/>
      <c r="HH284"/>
      <c r="HI284"/>
      <c r="HJ284"/>
      <c r="HK284"/>
      <c r="HL284"/>
      <c r="HM284"/>
      <c r="HN284"/>
      <c r="HO284"/>
      <c r="HP284"/>
      <c r="HQ284"/>
      <c r="HR284"/>
      <c r="HS284"/>
      <c r="HT284"/>
      <c r="HU284"/>
      <c r="HV284"/>
      <c r="HW284"/>
      <c r="HX284"/>
      <c r="HY284"/>
      <c r="HZ284"/>
      <c r="IA284"/>
      <c r="IB284"/>
      <c r="IC284"/>
      <c r="ID284"/>
      <c r="IE284"/>
      <c r="IF284"/>
      <c r="IG284"/>
      <c r="IH284"/>
      <c r="II284"/>
      <c r="IJ284"/>
      <c r="IK284"/>
      <c r="IL284"/>
      <c r="IM284"/>
      <c r="IN284"/>
      <c r="IO284"/>
      <c r="IP284"/>
      <c r="IQ284"/>
      <c r="IR284"/>
      <c r="IS284"/>
      <c r="IT284"/>
      <c r="IU284"/>
      <c r="IV284"/>
      <c r="IW284"/>
      <c r="IX284"/>
      <c r="IY284"/>
      <c r="IZ284"/>
      <c r="JA284"/>
      <c r="JB284"/>
      <c r="JC284"/>
      <c r="JD284"/>
      <c r="JE284"/>
      <c r="JF284"/>
      <c r="JG284"/>
      <c r="JH284"/>
      <c r="JI284"/>
      <c r="JJ284"/>
      <c r="JK284"/>
      <c r="JL284"/>
      <c r="JM284"/>
      <c r="JN284"/>
      <c r="JO284"/>
      <c r="JP284"/>
      <c r="JQ284"/>
      <c r="JR284"/>
      <c r="JS284"/>
      <c r="JT284"/>
      <c r="JU284"/>
      <c r="JV284"/>
      <c r="JW284"/>
      <c r="JX284"/>
      <c r="JY284"/>
      <c r="JZ284"/>
      <c r="KA284"/>
      <c r="KB284"/>
      <c r="KC284"/>
      <c r="KD284"/>
      <c r="KE284"/>
      <c r="KF284"/>
      <c r="KG284"/>
      <c r="KH284"/>
      <c r="KI284"/>
      <c r="KJ284"/>
      <c r="KK284"/>
      <c r="KL284"/>
      <c r="KM284"/>
      <c r="KN284"/>
      <c r="KO284"/>
      <c r="KP284"/>
      <c r="KQ284"/>
      <c r="KR284"/>
      <c r="KS284"/>
      <c r="KT284"/>
      <c r="KU284"/>
      <c r="KV284"/>
      <c r="KW284"/>
      <c r="KX284"/>
      <c r="KY284"/>
      <c r="KZ284"/>
      <c r="LA284"/>
      <c r="LB284"/>
      <c r="LC284"/>
      <c r="LD284"/>
      <c r="LE284"/>
      <c r="LF284"/>
      <c r="LG284"/>
      <c r="LH284"/>
      <c r="LI284"/>
      <c r="LJ284"/>
      <c r="LK284"/>
      <c r="LL284"/>
      <c r="LM284"/>
      <c r="LN284"/>
      <c r="LO284"/>
      <c r="LP284"/>
      <c r="LQ284"/>
      <c r="LR284"/>
      <c r="LS284"/>
      <c r="LT284"/>
      <c r="LU284"/>
      <c r="LV284"/>
      <c r="LW284"/>
      <c r="LX284"/>
      <c r="LY284"/>
      <c r="LZ284"/>
      <c r="MA284"/>
      <c r="MB284"/>
      <c r="MC284"/>
      <c r="MD284"/>
      <c r="ME284"/>
      <c r="MF284"/>
      <c r="MG284"/>
      <c r="MH284"/>
      <c r="MI284"/>
      <c r="MJ284"/>
      <c r="MK284"/>
      <c r="ML284"/>
      <c r="MM284"/>
      <c r="MN284"/>
      <c r="MO284"/>
      <c r="MP284"/>
      <c r="MQ284"/>
      <c r="MR284"/>
      <c r="MS284"/>
      <c r="MT284"/>
      <c r="MU284"/>
      <c r="MV284"/>
      <c r="MW284"/>
      <c r="MX284"/>
      <c r="MY284"/>
      <c r="MZ284"/>
      <c r="NA284"/>
      <c r="NB284"/>
      <c r="NC284"/>
      <c r="ND284"/>
      <c r="NE284"/>
      <c r="NF284"/>
      <c r="NG284"/>
      <c r="NH284"/>
      <c r="NI284"/>
      <c r="NJ284"/>
      <c r="NK284"/>
      <c r="NL284"/>
      <c r="NM284"/>
      <c r="NN284"/>
      <c r="NO284"/>
      <c r="NP284"/>
      <c r="NQ284"/>
      <c r="NR284"/>
      <c r="NS284"/>
      <c r="NT284"/>
      <c r="NU284"/>
      <c r="NV284"/>
      <c r="NW284"/>
      <c r="NX284"/>
      <c r="NY284"/>
      <c r="NZ284"/>
      <c r="OA284"/>
      <c r="OB284"/>
      <c r="OC284"/>
      <c r="OD284"/>
      <c r="OE284"/>
      <c r="OF284"/>
      <c r="OG284"/>
      <c r="OH284"/>
      <c r="OI284"/>
      <c r="OJ284"/>
      <c r="OK284"/>
      <c r="OL284"/>
      <c r="OM284"/>
      <c r="ON284"/>
      <c r="OO284"/>
      <c r="OP284"/>
      <c r="OQ284"/>
      <c r="OR284"/>
      <c r="OS284"/>
      <c r="OT284"/>
      <c r="OU284"/>
      <c r="OV284"/>
      <c r="OW284"/>
      <c r="OX284"/>
      <c r="OY284"/>
      <c r="OZ284"/>
      <c r="PA284"/>
      <c r="PB284"/>
      <c r="PC284"/>
      <c r="PD284"/>
      <c r="PE284"/>
      <c r="PF284"/>
      <c r="PG284"/>
      <c r="PH284"/>
      <c r="PI284"/>
      <c r="PJ284"/>
      <c r="PK284"/>
      <c r="PL284"/>
      <c r="PM284"/>
      <c r="PN284"/>
      <c r="PO284"/>
      <c r="PP284"/>
      <c r="PQ284"/>
      <c r="PR284"/>
      <c r="PS284"/>
      <c r="PT284"/>
      <c r="PU284"/>
      <c r="PV284"/>
      <c r="PW284"/>
      <c r="PX284"/>
      <c r="PY284"/>
      <c r="PZ284"/>
      <c r="QA284"/>
      <c r="QB284"/>
      <c r="QC284"/>
      <c r="QD284"/>
      <c r="QE284"/>
      <c r="QF284"/>
      <c r="QG284"/>
      <c r="QH284"/>
      <c r="QI284"/>
      <c r="QJ284"/>
      <c r="QK284"/>
      <c r="QL284"/>
      <c r="QM284"/>
      <c r="QN284"/>
      <c r="QO284"/>
      <c r="QP284"/>
      <c r="QQ284"/>
      <c r="QR284"/>
      <c r="QS284"/>
      <c r="QT284"/>
      <c r="QU284"/>
      <c r="QV284"/>
      <c r="QW284"/>
      <c r="QX284"/>
    </row>
    <row r="285" spans="1:466" x14ac:dyDescent="0.35">
      <c r="A285" s="53"/>
      <c r="B285" s="53"/>
      <c r="C285" s="55"/>
      <c r="D285" s="53"/>
      <c r="E285" s="53"/>
      <c r="F285" s="124" t="s">
        <v>499</v>
      </c>
      <c r="G285" s="125">
        <v>9645.94</v>
      </c>
      <c r="H285" s="125">
        <v>281.25</v>
      </c>
      <c r="I285" s="133">
        <v>2</v>
      </c>
      <c r="J285" s="53"/>
      <c r="K285" s="53"/>
      <c r="L285" s="53"/>
      <c r="M285" s="53"/>
      <c r="N285" s="53"/>
      <c r="O285" s="53"/>
      <c r="P285" s="53"/>
      <c r="Q285" s="53"/>
      <c r="R285" s="53"/>
      <c r="S285" s="53"/>
      <c r="T285" s="53"/>
      <c r="U285" s="53"/>
      <c r="V285" s="53"/>
      <c r="W285" s="53"/>
      <c r="X285" s="53"/>
      <c r="Y285" s="53"/>
      <c r="Z285" s="53"/>
      <c r="AA285" s="53"/>
      <c r="AB285" s="53"/>
      <c r="AC285" s="53"/>
      <c r="AD285" s="53"/>
      <c r="AE285" s="53"/>
      <c r="AF285" s="63"/>
      <c r="AG285" s="64"/>
      <c r="AH285" s="65"/>
      <c r="AI285" s="65"/>
      <c r="AJ285" s="53"/>
      <c r="AK285" s="62"/>
      <c r="AL285" s="62"/>
      <c r="AM285" s="62"/>
      <c r="AN285" s="62"/>
      <c r="AO285" s="62"/>
      <c r="AP285" s="62"/>
      <c r="AQ285" s="62"/>
      <c r="AR285" s="62"/>
      <c r="AS285" s="62"/>
      <c r="AT285" s="62"/>
      <c r="AU285" s="62"/>
      <c r="AV285" s="62"/>
      <c r="AW285" s="62"/>
      <c r="AX285" s="62"/>
      <c r="AY285" s="62"/>
      <c r="AZ285" s="62"/>
      <c r="BA285" s="62"/>
      <c r="BB285" s="62"/>
      <c r="BC285" s="62"/>
      <c r="BD285" s="62"/>
      <c r="BE285" s="62"/>
      <c r="BF285" s="62"/>
      <c r="BG285" s="62"/>
      <c r="BH285" s="62"/>
      <c r="BI285" s="62"/>
      <c r="BJ285" s="62"/>
      <c r="BK285" s="62"/>
      <c r="BL285" s="62"/>
      <c r="BM285" s="62"/>
      <c r="BN285" s="62"/>
      <c r="BO285" s="62"/>
      <c r="BP285" s="62"/>
      <c r="BQ285" s="62"/>
      <c r="BR285" s="62"/>
      <c r="BS285" s="62"/>
      <c r="BT285" s="62"/>
      <c r="BU285" s="62"/>
      <c r="BV285" s="62"/>
      <c r="BW285" s="62"/>
      <c r="BX285" s="62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  <c r="HB285"/>
      <c r="HC285"/>
      <c r="HD285"/>
      <c r="HE285"/>
      <c r="HF285"/>
      <c r="HG285"/>
      <c r="HH285"/>
      <c r="HI285"/>
      <c r="HJ285"/>
      <c r="HK285"/>
      <c r="HL285"/>
      <c r="HM285"/>
      <c r="HN285"/>
      <c r="HO285"/>
      <c r="HP285"/>
      <c r="HQ285"/>
      <c r="HR285"/>
      <c r="HS285"/>
      <c r="HT285"/>
      <c r="HU285"/>
      <c r="HV285"/>
      <c r="HW285"/>
      <c r="HX285"/>
      <c r="HY285"/>
      <c r="HZ285"/>
      <c r="IA285"/>
      <c r="IB285"/>
      <c r="IC285"/>
      <c r="ID285"/>
      <c r="IE285"/>
      <c r="IF285"/>
      <c r="IG285"/>
      <c r="IH285"/>
      <c r="II285"/>
      <c r="IJ285"/>
      <c r="IK285"/>
      <c r="IL285"/>
      <c r="IM285"/>
      <c r="IN285"/>
      <c r="IO285"/>
      <c r="IP285"/>
      <c r="IQ285"/>
      <c r="IR285"/>
      <c r="IS285"/>
      <c r="IT285"/>
      <c r="IU285"/>
      <c r="IV285"/>
      <c r="IW285"/>
      <c r="IX285"/>
      <c r="IY285"/>
      <c r="IZ285"/>
      <c r="JA285"/>
      <c r="JB285"/>
      <c r="JC285"/>
      <c r="JD285"/>
      <c r="JE285"/>
      <c r="JF285"/>
      <c r="JG285"/>
      <c r="JH285"/>
      <c r="JI285"/>
      <c r="JJ285"/>
      <c r="JK285"/>
      <c r="JL285"/>
      <c r="JM285"/>
      <c r="JN285"/>
      <c r="JO285"/>
      <c r="JP285"/>
      <c r="JQ285"/>
      <c r="JR285"/>
      <c r="JS285"/>
      <c r="JT285"/>
      <c r="JU285"/>
      <c r="JV285"/>
      <c r="JW285"/>
      <c r="JX285"/>
      <c r="JY285"/>
      <c r="JZ285"/>
      <c r="KA285"/>
      <c r="KB285"/>
      <c r="KC285"/>
      <c r="KD285"/>
      <c r="KE285"/>
      <c r="KF285"/>
      <c r="KG285"/>
      <c r="KH285"/>
      <c r="KI285"/>
      <c r="KJ285"/>
      <c r="KK285"/>
      <c r="KL285"/>
      <c r="KM285"/>
      <c r="KN285"/>
      <c r="KO285"/>
      <c r="KP285"/>
      <c r="KQ285"/>
      <c r="KR285"/>
      <c r="KS285"/>
      <c r="KT285"/>
      <c r="KU285"/>
      <c r="KV285"/>
      <c r="KW285"/>
      <c r="KX285"/>
      <c r="KY285"/>
      <c r="KZ285"/>
      <c r="LA285"/>
      <c r="LB285"/>
      <c r="LC285"/>
      <c r="LD285"/>
      <c r="LE285"/>
      <c r="LF285"/>
      <c r="LG285"/>
      <c r="LH285"/>
      <c r="LI285"/>
      <c r="LJ285"/>
      <c r="LK285"/>
      <c r="LL285"/>
      <c r="LM285"/>
      <c r="LN285"/>
      <c r="LO285"/>
      <c r="LP285"/>
      <c r="LQ285"/>
      <c r="LR285"/>
      <c r="LS285"/>
      <c r="LT285"/>
      <c r="LU285"/>
      <c r="LV285"/>
      <c r="LW285"/>
      <c r="LX285"/>
      <c r="LY285"/>
      <c r="LZ285"/>
      <c r="MA285"/>
      <c r="MB285"/>
      <c r="MC285"/>
      <c r="MD285"/>
      <c r="ME285"/>
      <c r="MF285"/>
      <c r="MG285"/>
      <c r="MH285"/>
      <c r="MI285"/>
      <c r="MJ285"/>
      <c r="MK285"/>
      <c r="ML285"/>
      <c r="MM285"/>
      <c r="MN285"/>
      <c r="MO285"/>
      <c r="MP285"/>
      <c r="MQ285"/>
      <c r="MR285"/>
      <c r="MS285"/>
      <c r="MT285"/>
      <c r="MU285"/>
      <c r="MV285"/>
      <c r="MW285"/>
      <c r="MX285"/>
      <c r="MY285"/>
      <c r="MZ285"/>
      <c r="NA285"/>
      <c r="NB285"/>
      <c r="NC285"/>
      <c r="ND285"/>
      <c r="NE285"/>
      <c r="NF285"/>
      <c r="NG285"/>
      <c r="NH285"/>
      <c r="NI285"/>
      <c r="NJ285"/>
      <c r="NK285"/>
      <c r="NL285"/>
      <c r="NM285"/>
      <c r="NN285"/>
      <c r="NO285"/>
      <c r="NP285"/>
      <c r="NQ285"/>
      <c r="NR285"/>
      <c r="NS285"/>
      <c r="NT285"/>
      <c r="NU285"/>
      <c r="NV285"/>
      <c r="NW285"/>
      <c r="NX285"/>
      <c r="NY285"/>
      <c r="NZ285"/>
      <c r="OA285"/>
      <c r="OB285"/>
      <c r="OC285"/>
      <c r="OD285"/>
      <c r="OE285"/>
      <c r="OF285"/>
      <c r="OG285"/>
      <c r="OH285"/>
      <c r="OI285"/>
      <c r="OJ285"/>
      <c r="OK285"/>
      <c r="OL285"/>
      <c r="OM285"/>
      <c r="ON285"/>
      <c r="OO285"/>
      <c r="OP285"/>
      <c r="OQ285"/>
      <c r="OR285"/>
      <c r="OS285"/>
      <c r="OT285"/>
      <c r="OU285"/>
      <c r="OV285"/>
      <c r="OW285"/>
      <c r="OX285"/>
      <c r="OY285"/>
      <c r="OZ285"/>
      <c r="PA285"/>
      <c r="PB285"/>
      <c r="PC285"/>
      <c r="PD285"/>
      <c r="PE285"/>
      <c r="PF285"/>
      <c r="PG285"/>
      <c r="PH285"/>
      <c r="PI285"/>
      <c r="PJ285"/>
      <c r="PK285"/>
      <c r="PL285"/>
      <c r="PM285"/>
      <c r="PN285"/>
      <c r="PO285"/>
      <c r="PP285"/>
      <c r="PQ285"/>
      <c r="PR285"/>
      <c r="PS285"/>
      <c r="PT285"/>
      <c r="PU285"/>
      <c r="PV285"/>
      <c r="PW285"/>
      <c r="PX285"/>
      <c r="PY285"/>
      <c r="PZ285"/>
      <c r="QA285"/>
      <c r="QB285"/>
      <c r="QC285"/>
      <c r="QD285"/>
      <c r="QE285"/>
      <c r="QF285"/>
      <c r="QG285"/>
      <c r="QH285"/>
      <c r="QI285"/>
      <c r="QJ285"/>
      <c r="QK285"/>
      <c r="QL285"/>
      <c r="QM285"/>
      <c r="QN285"/>
      <c r="QO285"/>
      <c r="QP285"/>
      <c r="QQ285"/>
      <c r="QR285"/>
      <c r="QS285"/>
      <c r="QT285"/>
      <c r="QU285"/>
      <c r="QV285"/>
      <c r="QW285"/>
      <c r="QX285"/>
    </row>
    <row r="286" spans="1:466" x14ac:dyDescent="0.35">
      <c r="A286" s="53"/>
      <c r="B286" s="53"/>
      <c r="C286" s="55"/>
      <c r="D286" s="53"/>
      <c r="E286" s="53"/>
      <c r="F286" s="126" t="s">
        <v>506</v>
      </c>
      <c r="G286" s="125">
        <v>1350</v>
      </c>
      <c r="H286" s="125">
        <v>0</v>
      </c>
      <c r="I286" s="133">
        <v>0</v>
      </c>
      <c r="J286" s="53"/>
      <c r="K286" s="53"/>
      <c r="L286" s="53"/>
      <c r="M286" s="53"/>
      <c r="N286" s="53"/>
      <c r="O286" s="53"/>
      <c r="P286" s="53"/>
      <c r="Q286" s="53"/>
      <c r="R286" s="53"/>
      <c r="S286" s="53"/>
      <c r="T286" s="53"/>
      <c r="U286" s="53"/>
      <c r="V286" s="53"/>
      <c r="W286" s="53"/>
      <c r="X286" s="53"/>
      <c r="Y286" s="53"/>
      <c r="Z286" s="53"/>
      <c r="AA286" s="53"/>
      <c r="AB286" s="53"/>
      <c r="AC286" s="53"/>
      <c r="AD286" s="53"/>
      <c r="AE286" s="53"/>
      <c r="AF286" s="63"/>
      <c r="AG286" s="64"/>
      <c r="AH286" s="65"/>
      <c r="AI286" s="65"/>
      <c r="AJ286" s="53"/>
      <c r="AK286" s="62"/>
      <c r="AL286" s="62"/>
      <c r="AM286" s="62"/>
      <c r="AN286" s="62"/>
      <c r="AO286" s="62"/>
      <c r="AP286" s="62"/>
      <c r="AQ286" s="62"/>
      <c r="AR286" s="62"/>
      <c r="AS286" s="62"/>
      <c r="AT286" s="62"/>
      <c r="AU286" s="62"/>
      <c r="AV286" s="62"/>
      <c r="AW286" s="62"/>
      <c r="AX286" s="62"/>
      <c r="AY286" s="62"/>
      <c r="AZ286" s="62"/>
      <c r="BA286" s="62"/>
      <c r="BB286" s="62"/>
      <c r="BC286" s="62"/>
      <c r="BD286" s="62"/>
      <c r="BE286" s="62"/>
      <c r="BF286" s="62"/>
      <c r="BG286" s="62"/>
      <c r="BH286" s="62"/>
      <c r="BI286" s="62"/>
      <c r="BJ286" s="62"/>
      <c r="BK286" s="62"/>
      <c r="BL286" s="62"/>
      <c r="BM286" s="62"/>
      <c r="BN286" s="62"/>
      <c r="BO286" s="62"/>
      <c r="BP286" s="62"/>
      <c r="BQ286" s="62"/>
      <c r="BR286" s="62"/>
      <c r="BS286" s="62"/>
      <c r="BT286" s="62"/>
      <c r="BU286" s="62"/>
      <c r="BV286" s="62"/>
      <c r="BW286" s="62"/>
      <c r="BX286" s="62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  <c r="HB286"/>
      <c r="HC286"/>
      <c r="HD286"/>
      <c r="HE286"/>
      <c r="HF286"/>
      <c r="HG286"/>
      <c r="HH286"/>
      <c r="HI286"/>
      <c r="HJ286"/>
      <c r="HK286"/>
      <c r="HL286"/>
      <c r="HM286"/>
      <c r="HN286"/>
      <c r="HO286"/>
      <c r="HP286"/>
      <c r="HQ286"/>
      <c r="HR286"/>
      <c r="HS286"/>
      <c r="HT286"/>
      <c r="HU286"/>
      <c r="HV286"/>
      <c r="HW286"/>
      <c r="HX286"/>
      <c r="HY286"/>
      <c r="HZ286"/>
      <c r="IA286"/>
      <c r="IB286"/>
      <c r="IC286"/>
      <c r="ID286"/>
      <c r="IE286"/>
      <c r="IF286"/>
      <c r="IG286"/>
      <c r="IH286"/>
      <c r="II286"/>
      <c r="IJ286"/>
      <c r="IK286"/>
      <c r="IL286"/>
      <c r="IM286"/>
      <c r="IN286"/>
      <c r="IO286"/>
      <c r="IP286"/>
      <c r="IQ286"/>
      <c r="IR286"/>
      <c r="IS286"/>
      <c r="IT286"/>
      <c r="IU286"/>
      <c r="IV286"/>
      <c r="IW286"/>
      <c r="IX286"/>
      <c r="IY286"/>
      <c r="IZ286"/>
      <c r="JA286"/>
      <c r="JB286"/>
      <c r="JC286"/>
      <c r="JD286"/>
      <c r="JE286"/>
      <c r="JF286"/>
      <c r="JG286"/>
      <c r="JH286"/>
      <c r="JI286"/>
      <c r="JJ286"/>
      <c r="JK286"/>
      <c r="JL286"/>
      <c r="JM286"/>
      <c r="JN286"/>
      <c r="JO286"/>
      <c r="JP286"/>
      <c r="JQ286"/>
      <c r="JR286"/>
      <c r="JS286"/>
      <c r="JT286"/>
      <c r="JU286"/>
      <c r="JV286"/>
      <c r="JW286"/>
      <c r="JX286"/>
      <c r="JY286"/>
      <c r="JZ286"/>
      <c r="KA286"/>
      <c r="KB286"/>
      <c r="KC286"/>
      <c r="KD286"/>
      <c r="KE286"/>
      <c r="KF286"/>
      <c r="KG286"/>
      <c r="KH286"/>
      <c r="KI286"/>
      <c r="KJ286"/>
      <c r="KK286"/>
      <c r="KL286"/>
      <c r="KM286"/>
      <c r="KN286"/>
      <c r="KO286"/>
      <c r="KP286"/>
      <c r="KQ286"/>
      <c r="KR286"/>
      <c r="KS286"/>
      <c r="KT286"/>
      <c r="KU286"/>
      <c r="KV286"/>
      <c r="KW286"/>
      <c r="KX286"/>
      <c r="KY286"/>
      <c r="KZ286"/>
      <c r="LA286"/>
      <c r="LB286"/>
      <c r="LC286"/>
      <c r="LD286"/>
      <c r="LE286"/>
      <c r="LF286"/>
      <c r="LG286"/>
      <c r="LH286"/>
      <c r="LI286"/>
      <c r="LJ286"/>
      <c r="LK286"/>
      <c r="LL286"/>
      <c r="LM286"/>
      <c r="LN286"/>
      <c r="LO286"/>
      <c r="LP286"/>
      <c r="LQ286"/>
      <c r="LR286"/>
      <c r="LS286"/>
      <c r="LT286"/>
      <c r="LU286"/>
      <c r="LV286"/>
      <c r="LW286"/>
      <c r="LX286"/>
      <c r="LY286"/>
      <c r="LZ286"/>
      <c r="MA286"/>
      <c r="MB286"/>
      <c r="MC286"/>
      <c r="MD286"/>
      <c r="ME286"/>
      <c r="MF286"/>
      <c r="MG286"/>
      <c r="MH286"/>
      <c r="MI286"/>
      <c r="MJ286"/>
      <c r="MK286"/>
      <c r="ML286"/>
      <c r="MM286"/>
      <c r="MN286"/>
      <c r="MO286"/>
      <c r="MP286"/>
      <c r="MQ286"/>
      <c r="MR286"/>
      <c r="MS286"/>
      <c r="MT286"/>
      <c r="MU286"/>
      <c r="MV286"/>
      <c r="MW286"/>
      <c r="MX286"/>
      <c r="MY286"/>
      <c r="MZ286"/>
      <c r="NA286"/>
      <c r="NB286"/>
      <c r="NC286"/>
      <c r="ND286"/>
      <c r="NE286"/>
      <c r="NF286"/>
      <c r="NG286"/>
      <c r="NH286"/>
      <c r="NI286"/>
      <c r="NJ286"/>
      <c r="NK286"/>
      <c r="NL286"/>
      <c r="NM286"/>
      <c r="NN286"/>
      <c r="NO286"/>
      <c r="NP286"/>
      <c r="NQ286"/>
      <c r="NR286"/>
      <c r="NS286"/>
      <c r="NT286"/>
      <c r="NU286"/>
      <c r="NV286"/>
      <c r="NW286"/>
      <c r="NX286"/>
      <c r="NY286"/>
      <c r="NZ286"/>
      <c r="OA286"/>
      <c r="OB286"/>
      <c r="OC286"/>
      <c r="OD286"/>
      <c r="OE286"/>
      <c r="OF286"/>
      <c r="OG286"/>
      <c r="OH286"/>
      <c r="OI286"/>
      <c r="OJ286"/>
      <c r="OK286"/>
      <c r="OL286"/>
      <c r="OM286"/>
      <c r="ON286"/>
      <c r="OO286"/>
      <c r="OP286"/>
      <c r="OQ286"/>
      <c r="OR286"/>
      <c r="OS286"/>
      <c r="OT286"/>
      <c r="OU286"/>
      <c r="OV286"/>
      <c r="OW286"/>
      <c r="OX286"/>
      <c r="OY286"/>
      <c r="OZ286"/>
      <c r="PA286"/>
      <c r="PB286"/>
      <c r="PC286"/>
      <c r="PD286"/>
      <c r="PE286"/>
      <c r="PF286"/>
      <c r="PG286"/>
      <c r="PH286"/>
      <c r="PI286"/>
      <c r="PJ286"/>
      <c r="PK286"/>
      <c r="PL286"/>
      <c r="PM286"/>
      <c r="PN286"/>
      <c r="PO286"/>
      <c r="PP286"/>
      <c r="PQ286"/>
      <c r="PR286"/>
      <c r="PS286"/>
      <c r="PT286"/>
      <c r="PU286"/>
      <c r="PV286"/>
      <c r="PW286"/>
      <c r="PX286"/>
      <c r="PY286"/>
      <c r="PZ286"/>
      <c r="QA286"/>
      <c r="QB286"/>
      <c r="QC286"/>
      <c r="QD286"/>
      <c r="QE286"/>
      <c r="QF286"/>
      <c r="QG286"/>
      <c r="QH286"/>
      <c r="QI286"/>
      <c r="QJ286"/>
      <c r="QK286"/>
      <c r="QL286"/>
      <c r="QM286"/>
      <c r="QN286"/>
      <c r="QO286"/>
      <c r="QP286"/>
      <c r="QQ286"/>
      <c r="QR286"/>
      <c r="QS286"/>
      <c r="QT286"/>
      <c r="QU286"/>
      <c r="QV286"/>
      <c r="QW286"/>
      <c r="QX286"/>
    </row>
    <row r="287" spans="1:466" x14ac:dyDescent="0.35">
      <c r="A287" s="53"/>
      <c r="B287" s="53"/>
      <c r="C287" s="55"/>
      <c r="D287" s="53"/>
      <c r="E287" s="53"/>
      <c r="F287" s="126" t="s">
        <v>508</v>
      </c>
      <c r="G287" s="125"/>
      <c r="H287" s="125">
        <v>0</v>
      </c>
      <c r="I287" s="133">
        <v>0</v>
      </c>
      <c r="J287" s="53"/>
      <c r="K287" s="53"/>
      <c r="L287" s="53"/>
      <c r="M287" s="53"/>
      <c r="N287" s="53"/>
      <c r="O287" s="53"/>
      <c r="P287" s="53"/>
      <c r="Q287" s="53"/>
      <c r="R287" s="53"/>
      <c r="S287" s="53"/>
      <c r="T287" s="53"/>
      <c r="U287" s="53"/>
      <c r="V287" s="53"/>
      <c r="W287" s="53"/>
      <c r="X287" s="53"/>
      <c r="Y287" s="53"/>
      <c r="Z287" s="53"/>
      <c r="AA287" s="53"/>
      <c r="AB287" s="53"/>
      <c r="AC287" s="53"/>
      <c r="AD287" s="53"/>
      <c r="AE287" s="53"/>
      <c r="AF287" s="63"/>
      <c r="AG287" s="64"/>
      <c r="AH287" s="65"/>
      <c r="AI287" s="65"/>
      <c r="AJ287" s="53"/>
      <c r="AK287" s="62"/>
      <c r="AL287" s="62"/>
      <c r="AM287" s="62"/>
      <c r="AN287" s="62"/>
      <c r="AO287" s="62"/>
      <c r="AP287" s="62"/>
      <c r="AQ287" s="62"/>
      <c r="AR287" s="62"/>
      <c r="AS287" s="62"/>
      <c r="AT287" s="62"/>
      <c r="AU287" s="62"/>
      <c r="AV287" s="62"/>
      <c r="AW287" s="62"/>
      <c r="AX287" s="62"/>
      <c r="AY287" s="62"/>
      <c r="AZ287" s="62"/>
      <c r="BA287" s="62"/>
      <c r="BB287" s="62"/>
      <c r="BC287" s="62"/>
      <c r="BD287" s="62"/>
      <c r="BE287" s="62"/>
      <c r="BF287" s="62"/>
      <c r="BG287" s="62"/>
      <c r="BH287" s="62"/>
      <c r="BI287" s="62"/>
      <c r="BJ287" s="62"/>
      <c r="BK287" s="62"/>
      <c r="BL287" s="62"/>
      <c r="BM287" s="62"/>
      <c r="BN287" s="62"/>
      <c r="BO287" s="62"/>
      <c r="BP287" s="62"/>
      <c r="BQ287" s="62"/>
      <c r="BR287" s="62"/>
      <c r="BS287" s="62"/>
      <c r="BT287" s="62"/>
      <c r="BU287" s="62"/>
      <c r="BV287" s="62"/>
      <c r="BW287" s="62"/>
      <c r="BX287" s="62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  <c r="HB287"/>
      <c r="HC287"/>
      <c r="HD287"/>
      <c r="HE287"/>
      <c r="HF287"/>
      <c r="HG287"/>
      <c r="HH287"/>
      <c r="HI287"/>
      <c r="HJ287"/>
      <c r="HK287"/>
      <c r="HL287"/>
      <c r="HM287"/>
      <c r="HN287"/>
      <c r="HO287"/>
      <c r="HP287"/>
      <c r="HQ287"/>
      <c r="HR287"/>
      <c r="HS287"/>
      <c r="HT287"/>
      <c r="HU287"/>
      <c r="HV287"/>
      <c r="HW287"/>
      <c r="HX287"/>
      <c r="HY287"/>
      <c r="HZ287"/>
      <c r="IA287"/>
      <c r="IB287"/>
      <c r="IC287"/>
      <c r="ID287"/>
      <c r="IE287"/>
      <c r="IF287"/>
      <c r="IG287"/>
      <c r="IH287"/>
      <c r="II287"/>
      <c r="IJ287"/>
      <c r="IK287"/>
      <c r="IL287"/>
      <c r="IM287"/>
      <c r="IN287"/>
      <c r="IO287"/>
      <c r="IP287"/>
      <c r="IQ287"/>
      <c r="IR287"/>
      <c r="IS287"/>
      <c r="IT287"/>
      <c r="IU287"/>
      <c r="IV287"/>
      <c r="IW287"/>
      <c r="IX287"/>
      <c r="IY287"/>
      <c r="IZ287"/>
      <c r="JA287"/>
      <c r="JB287"/>
      <c r="JC287"/>
      <c r="JD287"/>
      <c r="JE287"/>
      <c r="JF287"/>
      <c r="JG287"/>
      <c r="JH287"/>
      <c r="JI287"/>
      <c r="JJ287"/>
      <c r="JK287"/>
      <c r="JL287"/>
      <c r="JM287"/>
      <c r="JN287"/>
      <c r="JO287"/>
      <c r="JP287"/>
      <c r="JQ287"/>
      <c r="JR287"/>
      <c r="JS287"/>
      <c r="JT287"/>
      <c r="JU287"/>
      <c r="JV287"/>
      <c r="JW287"/>
      <c r="JX287"/>
      <c r="JY287"/>
      <c r="JZ287"/>
      <c r="KA287"/>
      <c r="KB287"/>
      <c r="KC287"/>
      <c r="KD287"/>
      <c r="KE287"/>
      <c r="KF287"/>
      <c r="KG287"/>
      <c r="KH287"/>
      <c r="KI287"/>
      <c r="KJ287"/>
      <c r="KK287"/>
      <c r="KL287"/>
      <c r="KM287"/>
      <c r="KN287"/>
      <c r="KO287"/>
      <c r="KP287"/>
      <c r="KQ287"/>
      <c r="KR287"/>
      <c r="KS287"/>
      <c r="KT287"/>
      <c r="KU287"/>
      <c r="KV287"/>
      <c r="KW287"/>
      <c r="KX287"/>
      <c r="KY287"/>
      <c r="KZ287"/>
      <c r="LA287"/>
      <c r="LB287"/>
      <c r="LC287"/>
      <c r="LD287"/>
      <c r="LE287"/>
      <c r="LF287"/>
      <c r="LG287"/>
      <c r="LH287"/>
      <c r="LI287"/>
      <c r="LJ287"/>
      <c r="LK287"/>
      <c r="LL287"/>
      <c r="LM287"/>
      <c r="LN287"/>
      <c r="LO287"/>
      <c r="LP287"/>
      <c r="LQ287"/>
      <c r="LR287"/>
      <c r="LS287"/>
      <c r="LT287"/>
      <c r="LU287"/>
      <c r="LV287"/>
      <c r="LW287"/>
      <c r="LX287"/>
      <c r="LY287"/>
      <c r="LZ287"/>
      <c r="MA287"/>
      <c r="MB287"/>
      <c r="MC287"/>
      <c r="MD287"/>
      <c r="ME287"/>
      <c r="MF287"/>
      <c r="MG287"/>
      <c r="MH287"/>
      <c r="MI287"/>
      <c r="MJ287"/>
      <c r="MK287"/>
      <c r="ML287"/>
      <c r="MM287"/>
      <c r="MN287"/>
      <c r="MO287"/>
      <c r="MP287"/>
      <c r="MQ287"/>
      <c r="MR287"/>
      <c r="MS287"/>
      <c r="MT287"/>
      <c r="MU287"/>
      <c r="MV287"/>
      <c r="MW287"/>
      <c r="MX287"/>
      <c r="MY287"/>
      <c r="MZ287"/>
      <c r="NA287"/>
      <c r="NB287"/>
      <c r="NC287"/>
      <c r="ND287"/>
      <c r="NE287"/>
      <c r="NF287"/>
      <c r="NG287"/>
      <c r="NH287"/>
      <c r="NI287"/>
      <c r="NJ287"/>
      <c r="NK287"/>
      <c r="NL287"/>
      <c r="NM287"/>
      <c r="NN287"/>
      <c r="NO287"/>
      <c r="NP287"/>
      <c r="NQ287"/>
      <c r="NR287"/>
      <c r="NS287"/>
      <c r="NT287"/>
      <c r="NU287"/>
      <c r="NV287"/>
      <c r="NW287"/>
      <c r="NX287"/>
      <c r="NY287"/>
      <c r="NZ287"/>
      <c r="OA287"/>
      <c r="OB287"/>
      <c r="OC287"/>
      <c r="OD287"/>
      <c r="OE287"/>
      <c r="OF287"/>
      <c r="OG287"/>
      <c r="OH287"/>
      <c r="OI287"/>
      <c r="OJ287"/>
      <c r="OK287"/>
      <c r="OL287"/>
      <c r="OM287"/>
      <c r="ON287"/>
      <c r="OO287"/>
      <c r="OP287"/>
      <c r="OQ287"/>
      <c r="OR287"/>
      <c r="OS287"/>
      <c r="OT287"/>
      <c r="OU287"/>
      <c r="OV287"/>
      <c r="OW287"/>
      <c r="OX287"/>
      <c r="OY287"/>
      <c r="OZ287"/>
      <c r="PA287"/>
      <c r="PB287"/>
      <c r="PC287"/>
      <c r="PD287"/>
      <c r="PE287"/>
      <c r="PF287"/>
      <c r="PG287"/>
      <c r="PH287"/>
      <c r="PI287"/>
      <c r="PJ287"/>
      <c r="PK287"/>
      <c r="PL287"/>
      <c r="PM287"/>
      <c r="PN287"/>
      <c r="PO287"/>
      <c r="PP287"/>
      <c r="PQ287"/>
      <c r="PR287"/>
      <c r="PS287"/>
      <c r="PT287"/>
      <c r="PU287"/>
      <c r="PV287"/>
      <c r="PW287"/>
      <c r="PX287"/>
      <c r="PY287"/>
      <c r="PZ287"/>
      <c r="QA287"/>
      <c r="QB287"/>
      <c r="QC287"/>
      <c r="QD287"/>
      <c r="QE287"/>
      <c r="QF287"/>
      <c r="QG287"/>
      <c r="QH287"/>
      <c r="QI287"/>
      <c r="QJ287"/>
      <c r="QK287"/>
      <c r="QL287"/>
      <c r="QM287"/>
      <c r="QN287"/>
      <c r="QO287"/>
      <c r="QP287"/>
      <c r="QQ287"/>
      <c r="QR287"/>
      <c r="QS287"/>
      <c r="QT287"/>
      <c r="QU287"/>
      <c r="QV287"/>
      <c r="QW287"/>
      <c r="QX287"/>
    </row>
    <row r="288" spans="1:466" x14ac:dyDescent="0.35">
      <c r="A288" s="53"/>
      <c r="B288" s="53"/>
      <c r="C288" s="55"/>
      <c r="D288" s="53"/>
      <c r="E288" s="53"/>
      <c r="F288" s="126" t="s">
        <v>1254</v>
      </c>
      <c r="G288" s="125">
        <v>7609.76</v>
      </c>
      <c r="H288" s="125">
        <v>0</v>
      </c>
      <c r="I288" s="133">
        <v>0</v>
      </c>
      <c r="J288" s="53"/>
      <c r="K288" s="53"/>
      <c r="L288" s="53"/>
      <c r="M288" s="53"/>
      <c r="N288" s="53"/>
      <c r="O288" s="53"/>
      <c r="P288" s="53"/>
      <c r="Q288" s="53"/>
      <c r="R288" s="53"/>
      <c r="S288" s="53"/>
      <c r="T288" s="53"/>
      <c r="U288" s="53"/>
      <c r="V288" s="53"/>
      <c r="W288" s="53"/>
      <c r="X288" s="53"/>
      <c r="Y288" s="53"/>
      <c r="Z288" s="53"/>
      <c r="AA288" s="53"/>
      <c r="AB288" s="53"/>
      <c r="AC288" s="53"/>
      <c r="AD288" s="53"/>
      <c r="AE288" s="53"/>
      <c r="AF288" s="63"/>
      <c r="AG288" s="64"/>
      <c r="AH288" s="65"/>
      <c r="AI288" s="65"/>
      <c r="AJ288" s="53"/>
      <c r="AK288" s="62"/>
      <c r="AL288" s="62"/>
      <c r="AM288" s="62"/>
      <c r="AN288" s="62"/>
      <c r="AO288" s="62"/>
      <c r="AP288" s="62"/>
      <c r="AQ288" s="62"/>
      <c r="AR288" s="62"/>
      <c r="AS288" s="62"/>
      <c r="AT288" s="62"/>
      <c r="AU288" s="62"/>
      <c r="AV288" s="62"/>
      <c r="AW288" s="62"/>
      <c r="AX288" s="62"/>
      <c r="AY288" s="62"/>
      <c r="AZ288" s="62"/>
      <c r="BA288" s="62"/>
      <c r="BB288" s="62"/>
      <c r="BC288" s="62"/>
      <c r="BD288" s="62"/>
      <c r="BE288" s="62"/>
      <c r="BF288" s="62"/>
      <c r="BG288" s="62"/>
      <c r="BH288" s="62"/>
      <c r="BI288" s="62"/>
      <c r="BJ288" s="62"/>
      <c r="BK288" s="62"/>
      <c r="BL288" s="62"/>
      <c r="BM288" s="62"/>
      <c r="BN288" s="62"/>
      <c r="BO288" s="62"/>
      <c r="BP288" s="62"/>
      <c r="BQ288" s="62"/>
      <c r="BR288" s="62"/>
      <c r="BS288" s="62"/>
      <c r="BT288" s="62"/>
      <c r="BU288" s="62"/>
      <c r="BV288" s="62"/>
      <c r="BW288" s="62"/>
      <c r="BX288" s="62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  <c r="HB288"/>
      <c r="HC288"/>
      <c r="HD288"/>
      <c r="HE288"/>
      <c r="HF288"/>
      <c r="HG288"/>
      <c r="HH288"/>
      <c r="HI288"/>
      <c r="HJ288"/>
      <c r="HK288"/>
      <c r="HL288"/>
      <c r="HM288"/>
      <c r="HN288"/>
      <c r="HO288"/>
      <c r="HP288"/>
      <c r="HQ288"/>
      <c r="HR288"/>
      <c r="HS288"/>
      <c r="HT288"/>
      <c r="HU288"/>
      <c r="HV288"/>
      <c r="HW288"/>
      <c r="HX288"/>
      <c r="HY288"/>
      <c r="HZ288"/>
      <c r="IA288"/>
      <c r="IB288"/>
      <c r="IC288"/>
      <c r="ID288"/>
      <c r="IE288"/>
      <c r="IF288"/>
      <c r="IG288"/>
      <c r="IH288"/>
      <c r="II288"/>
      <c r="IJ288"/>
      <c r="IK288"/>
      <c r="IL288"/>
      <c r="IM288"/>
      <c r="IN288"/>
      <c r="IO288"/>
      <c r="IP288"/>
      <c r="IQ288"/>
      <c r="IR288"/>
      <c r="IS288"/>
      <c r="IT288"/>
      <c r="IU288"/>
      <c r="IV288"/>
      <c r="IW288"/>
      <c r="IX288"/>
      <c r="IY288"/>
      <c r="IZ288"/>
      <c r="JA288"/>
      <c r="JB288"/>
      <c r="JC288"/>
      <c r="JD288"/>
      <c r="JE288"/>
      <c r="JF288"/>
      <c r="JG288"/>
      <c r="JH288"/>
      <c r="JI288"/>
      <c r="JJ288"/>
      <c r="JK288"/>
      <c r="JL288"/>
      <c r="JM288"/>
      <c r="JN288"/>
      <c r="JO288"/>
      <c r="JP288"/>
      <c r="JQ288"/>
      <c r="JR288"/>
      <c r="JS288"/>
      <c r="JT288"/>
      <c r="JU288"/>
      <c r="JV288"/>
      <c r="JW288"/>
      <c r="JX288"/>
      <c r="JY288"/>
      <c r="JZ288"/>
      <c r="KA288"/>
      <c r="KB288"/>
      <c r="KC288"/>
      <c r="KD288"/>
      <c r="KE288"/>
      <c r="KF288"/>
      <c r="KG288"/>
      <c r="KH288"/>
      <c r="KI288"/>
      <c r="KJ288"/>
      <c r="KK288"/>
      <c r="KL288"/>
      <c r="KM288"/>
      <c r="KN288"/>
      <c r="KO288"/>
      <c r="KP288"/>
      <c r="KQ288"/>
      <c r="KR288"/>
      <c r="KS288"/>
      <c r="KT288"/>
      <c r="KU288"/>
      <c r="KV288"/>
      <c r="KW288"/>
      <c r="KX288"/>
      <c r="KY288"/>
      <c r="KZ288"/>
      <c r="LA288"/>
      <c r="LB288"/>
      <c r="LC288"/>
      <c r="LD288"/>
      <c r="LE288"/>
      <c r="LF288"/>
      <c r="LG288"/>
      <c r="LH288"/>
      <c r="LI288"/>
      <c r="LJ288"/>
      <c r="LK288"/>
      <c r="LL288"/>
      <c r="LM288"/>
      <c r="LN288"/>
      <c r="LO288"/>
      <c r="LP288"/>
      <c r="LQ288"/>
      <c r="LR288"/>
      <c r="LS288"/>
      <c r="LT288"/>
      <c r="LU288"/>
      <c r="LV288"/>
      <c r="LW288"/>
      <c r="LX288"/>
      <c r="LY288"/>
      <c r="LZ288"/>
      <c r="MA288"/>
      <c r="MB288"/>
      <c r="MC288"/>
      <c r="MD288"/>
      <c r="ME288"/>
      <c r="MF288"/>
      <c r="MG288"/>
      <c r="MH288"/>
      <c r="MI288"/>
      <c r="MJ288"/>
      <c r="MK288"/>
      <c r="ML288"/>
      <c r="MM288"/>
      <c r="MN288"/>
      <c r="MO288"/>
      <c r="MP288"/>
      <c r="MQ288"/>
      <c r="MR288"/>
      <c r="MS288"/>
      <c r="MT288"/>
      <c r="MU288"/>
      <c r="MV288"/>
      <c r="MW288"/>
      <c r="MX288"/>
      <c r="MY288"/>
      <c r="MZ288"/>
      <c r="NA288"/>
      <c r="NB288"/>
      <c r="NC288"/>
      <c r="ND288"/>
      <c r="NE288"/>
      <c r="NF288"/>
      <c r="NG288"/>
      <c r="NH288"/>
      <c r="NI288"/>
      <c r="NJ288"/>
      <c r="NK288"/>
      <c r="NL288"/>
      <c r="NM288"/>
      <c r="NN288"/>
      <c r="NO288"/>
      <c r="NP288"/>
      <c r="NQ288"/>
      <c r="NR288"/>
      <c r="NS288"/>
      <c r="NT288"/>
      <c r="NU288"/>
      <c r="NV288"/>
      <c r="NW288"/>
      <c r="NX288"/>
      <c r="NY288"/>
      <c r="NZ288"/>
      <c r="OA288"/>
      <c r="OB288"/>
      <c r="OC288"/>
      <c r="OD288"/>
      <c r="OE288"/>
      <c r="OF288"/>
      <c r="OG288"/>
      <c r="OH288"/>
      <c r="OI288"/>
      <c r="OJ288"/>
      <c r="OK288"/>
      <c r="OL288"/>
      <c r="OM288"/>
      <c r="ON288"/>
      <c r="OO288"/>
      <c r="OP288"/>
      <c r="OQ288"/>
      <c r="OR288"/>
      <c r="OS288"/>
      <c r="OT288"/>
      <c r="OU288"/>
      <c r="OV288"/>
      <c r="OW288"/>
      <c r="OX288"/>
      <c r="OY288"/>
      <c r="OZ288"/>
      <c r="PA288"/>
      <c r="PB288"/>
      <c r="PC288"/>
      <c r="PD288"/>
      <c r="PE288"/>
      <c r="PF288"/>
      <c r="PG288"/>
      <c r="PH288"/>
      <c r="PI288"/>
      <c r="PJ288"/>
      <c r="PK288"/>
      <c r="PL288"/>
      <c r="PM288"/>
      <c r="PN288"/>
      <c r="PO288"/>
      <c r="PP288"/>
      <c r="PQ288"/>
      <c r="PR288"/>
      <c r="PS288"/>
      <c r="PT288"/>
      <c r="PU288"/>
      <c r="PV288"/>
      <c r="PW288"/>
      <c r="PX288"/>
      <c r="PY288"/>
      <c r="PZ288"/>
      <c r="QA288"/>
      <c r="QB288"/>
      <c r="QC288"/>
      <c r="QD288"/>
      <c r="QE288"/>
      <c r="QF288"/>
      <c r="QG288"/>
      <c r="QH288"/>
      <c r="QI288"/>
      <c r="QJ288"/>
      <c r="QK288"/>
      <c r="QL288"/>
      <c r="QM288"/>
      <c r="QN288"/>
      <c r="QO288"/>
      <c r="QP288"/>
      <c r="QQ288"/>
      <c r="QR288"/>
      <c r="QS288"/>
      <c r="QT288"/>
      <c r="QU288"/>
      <c r="QV288"/>
      <c r="QW288"/>
      <c r="QX288"/>
    </row>
    <row r="289" spans="1:466" x14ac:dyDescent="0.35">
      <c r="A289" s="53"/>
      <c r="B289" s="53"/>
      <c r="C289" s="55"/>
      <c r="D289" s="53"/>
      <c r="E289" s="53"/>
      <c r="F289" s="126" t="s">
        <v>497</v>
      </c>
      <c r="G289" s="125">
        <v>281.25</v>
      </c>
      <c r="H289" s="125">
        <v>281.25</v>
      </c>
      <c r="I289" s="133">
        <v>1</v>
      </c>
      <c r="J289" s="53"/>
      <c r="K289" s="53"/>
      <c r="L289" s="53"/>
      <c r="M289" s="53"/>
      <c r="N289" s="53"/>
      <c r="O289" s="53"/>
      <c r="P289" s="53"/>
      <c r="Q289" s="53"/>
      <c r="R289" s="53"/>
      <c r="S289" s="53"/>
      <c r="T289" s="53"/>
      <c r="U289" s="53"/>
      <c r="V289" s="53"/>
      <c r="W289" s="53"/>
      <c r="X289" s="53"/>
      <c r="Y289" s="53"/>
      <c r="Z289" s="53"/>
      <c r="AA289" s="53"/>
      <c r="AB289" s="53"/>
      <c r="AC289" s="53"/>
      <c r="AD289" s="53"/>
      <c r="AE289" s="53"/>
      <c r="AF289" s="63"/>
      <c r="AG289" s="64"/>
      <c r="AH289" s="65"/>
      <c r="AI289" s="65"/>
      <c r="AJ289" s="53"/>
      <c r="AK289" s="62"/>
      <c r="AL289" s="62"/>
      <c r="AM289" s="62"/>
      <c r="AN289" s="62"/>
      <c r="AO289" s="62"/>
      <c r="AP289" s="62"/>
      <c r="AQ289" s="62"/>
      <c r="AR289" s="62"/>
      <c r="AS289" s="62"/>
      <c r="AT289" s="62"/>
      <c r="AU289" s="62"/>
      <c r="AV289" s="62"/>
      <c r="AW289" s="62"/>
      <c r="AX289" s="62"/>
      <c r="AY289" s="62"/>
      <c r="AZ289" s="62"/>
      <c r="BA289" s="62"/>
      <c r="BB289" s="62"/>
      <c r="BC289" s="62"/>
      <c r="BD289" s="62"/>
      <c r="BE289" s="62"/>
      <c r="BF289" s="62"/>
      <c r="BG289" s="62"/>
      <c r="BH289" s="62"/>
      <c r="BI289" s="62"/>
      <c r="BJ289" s="62"/>
      <c r="BK289" s="62"/>
      <c r="BL289" s="62"/>
      <c r="BM289" s="62"/>
      <c r="BN289" s="62"/>
      <c r="BO289" s="62"/>
      <c r="BP289" s="62"/>
      <c r="BQ289" s="62"/>
      <c r="BR289" s="62"/>
      <c r="BS289" s="62"/>
      <c r="BT289" s="62"/>
      <c r="BU289" s="62"/>
      <c r="BV289" s="62"/>
      <c r="BW289" s="62"/>
      <c r="BX289" s="62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  <c r="HB289"/>
      <c r="HC289"/>
      <c r="HD289"/>
      <c r="HE289"/>
      <c r="HF289"/>
      <c r="HG289"/>
      <c r="HH289"/>
      <c r="HI289"/>
      <c r="HJ289"/>
      <c r="HK289"/>
      <c r="HL289"/>
      <c r="HM289"/>
      <c r="HN289"/>
      <c r="HO289"/>
      <c r="HP289"/>
      <c r="HQ289"/>
      <c r="HR289"/>
      <c r="HS289"/>
      <c r="HT289"/>
      <c r="HU289"/>
      <c r="HV289"/>
      <c r="HW289"/>
      <c r="HX289"/>
      <c r="HY289"/>
      <c r="HZ289"/>
      <c r="IA289"/>
      <c r="IB289"/>
      <c r="IC289"/>
      <c r="ID289"/>
      <c r="IE289"/>
      <c r="IF289"/>
      <c r="IG289"/>
      <c r="IH289"/>
      <c r="II289"/>
      <c r="IJ289"/>
      <c r="IK289"/>
      <c r="IL289"/>
      <c r="IM289"/>
      <c r="IN289"/>
      <c r="IO289"/>
      <c r="IP289"/>
      <c r="IQ289"/>
      <c r="IR289"/>
      <c r="IS289"/>
      <c r="IT289"/>
      <c r="IU289"/>
      <c r="IV289"/>
      <c r="IW289"/>
      <c r="IX289"/>
      <c r="IY289"/>
      <c r="IZ289"/>
      <c r="JA289"/>
      <c r="JB289"/>
      <c r="JC289"/>
      <c r="JD289"/>
      <c r="JE289"/>
      <c r="JF289"/>
      <c r="JG289"/>
      <c r="JH289"/>
      <c r="JI289"/>
      <c r="JJ289"/>
      <c r="JK289"/>
      <c r="JL289"/>
      <c r="JM289"/>
      <c r="JN289"/>
      <c r="JO289"/>
      <c r="JP289"/>
      <c r="JQ289"/>
      <c r="JR289"/>
      <c r="JS289"/>
      <c r="JT289"/>
      <c r="JU289"/>
      <c r="JV289"/>
      <c r="JW289"/>
      <c r="JX289"/>
      <c r="JY289"/>
      <c r="JZ289"/>
      <c r="KA289"/>
      <c r="KB289"/>
      <c r="KC289"/>
      <c r="KD289"/>
      <c r="KE289"/>
      <c r="KF289"/>
      <c r="KG289"/>
      <c r="KH289"/>
      <c r="KI289"/>
      <c r="KJ289"/>
      <c r="KK289"/>
      <c r="KL289"/>
      <c r="KM289"/>
      <c r="KN289"/>
      <c r="KO289"/>
      <c r="KP289"/>
      <c r="KQ289"/>
      <c r="KR289"/>
      <c r="KS289"/>
      <c r="KT289"/>
      <c r="KU289"/>
      <c r="KV289"/>
      <c r="KW289"/>
      <c r="KX289"/>
      <c r="KY289"/>
      <c r="KZ289"/>
      <c r="LA289"/>
      <c r="LB289"/>
      <c r="LC289"/>
      <c r="LD289"/>
      <c r="LE289"/>
      <c r="LF289"/>
      <c r="LG289"/>
      <c r="LH289"/>
      <c r="LI289"/>
      <c r="LJ289"/>
      <c r="LK289"/>
      <c r="LL289"/>
      <c r="LM289"/>
      <c r="LN289"/>
      <c r="LO289"/>
      <c r="LP289"/>
      <c r="LQ289"/>
      <c r="LR289"/>
      <c r="LS289"/>
      <c r="LT289"/>
      <c r="LU289"/>
      <c r="LV289"/>
      <c r="LW289"/>
      <c r="LX289"/>
      <c r="LY289"/>
      <c r="LZ289"/>
      <c r="MA289"/>
      <c r="MB289"/>
      <c r="MC289"/>
      <c r="MD289"/>
      <c r="ME289"/>
      <c r="MF289"/>
      <c r="MG289"/>
      <c r="MH289"/>
      <c r="MI289"/>
      <c r="MJ289"/>
      <c r="MK289"/>
      <c r="ML289"/>
      <c r="MM289"/>
      <c r="MN289"/>
      <c r="MO289"/>
      <c r="MP289"/>
      <c r="MQ289"/>
      <c r="MR289"/>
      <c r="MS289"/>
      <c r="MT289"/>
      <c r="MU289"/>
      <c r="MV289"/>
      <c r="MW289"/>
      <c r="MX289"/>
      <c r="MY289"/>
      <c r="MZ289"/>
      <c r="NA289"/>
      <c r="NB289"/>
      <c r="NC289"/>
      <c r="ND289"/>
      <c r="NE289"/>
      <c r="NF289"/>
      <c r="NG289"/>
      <c r="NH289"/>
      <c r="NI289"/>
      <c r="NJ289"/>
      <c r="NK289"/>
      <c r="NL289"/>
      <c r="NM289"/>
      <c r="NN289"/>
      <c r="NO289"/>
      <c r="NP289"/>
      <c r="NQ289"/>
      <c r="NR289"/>
      <c r="NS289"/>
      <c r="NT289"/>
      <c r="NU289"/>
      <c r="NV289"/>
      <c r="NW289"/>
      <c r="NX289"/>
      <c r="NY289"/>
      <c r="NZ289"/>
      <c r="OA289"/>
      <c r="OB289"/>
      <c r="OC289"/>
      <c r="OD289"/>
      <c r="OE289"/>
      <c r="OF289"/>
      <c r="OG289"/>
      <c r="OH289"/>
      <c r="OI289"/>
      <c r="OJ289"/>
      <c r="OK289"/>
      <c r="OL289"/>
      <c r="OM289"/>
      <c r="ON289"/>
      <c r="OO289"/>
      <c r="OP289"/>
      <c r="OQ289"/>
      <c r="OR289"/>
      <c r="OS289"/>
      <c r="OT289"/>
      <c r="OU289"/>
      <c r="OV289"/>
      <c r="OW289"/>
      <c r="OX289"/>
      <c r="OY289"/>
      <c r="OZ289"/>
      <c r="PA289"/>
      <c r="PB289"/>
      <c r="PC289"/>
      <c r="PD289"/>
      <c r="PE289"/>
      <c r="PF289"/>
      <c r="PG289"/>
      <c r="PH289"/>
      <c r="PI289"/>
      <c r="PJ289"/>
      <c r="PK289"/>
      <c r="PL289"/>
      <c r="PM289"/>
      <c r="PN289"/>
      <c r="PO289"/>
      <c r="PP289"/>
      <c r="PQ289"/>
      <c r="PR289"/>
      <c r="PS289"/>
      <c r="PT289"/>
      <c r="PU289"/>
      <c r="PV289"/>
      <c r="PW289"/>
      <c r="PX289"/>
      <c r="PY289"/>
      <c r="PZ289"/>
      <c r="QA289"/>
      <c r="QB289"/>
      <c r="QC289"/>
      <c r="QD289"/>
      <c r="QE289"/>
      <c r="QF289"/>
      <c r="QG289"/>
      <c r="QH289"/>
      <c r="QI289"/>
      <c r="QJ289"/>
      <c r="QK289"/>
      <c r="QL289"/>
      <c r="QM289"/>
      <c r="QN289"/>
      <c r="QO289"/>
      <c r="QP289"/>
      <c r="QQ289"/>
      <c r="QR289"/>
      <c r="QS289"/>
      <c r="QT289"/>
      <c r="QU289"/>
      <c r="QV289"/>
      <c r="QW289"/>
      <c r="QX289"/>
    </row>
    <row r="290" spans="1:466" x14ac:dyDescent="0.35">
      <c r="A290" s="53"/>
      <c r="B290" s="53"/>
      <c r="C290" s="55"/>
      <c r="D290" s="53"/>
      <c r="E290" s="53"/>
      <c r="F290" s="126" t="s">
        <v>504</v>
      </c>
      <c r="G290" s="125"/>
      <c r="H290" s="125">
        <v>0</v>
      </c>
      <c r="I290" s="133">
        <v>0</v>
      </c>
      <c r="J290" s="53"/>
      <c r="K290" s="53"/>
      <c r="L290" s="53"/>
      <c r="M290" s="53"/>
      <c r="N290" s="53"/>
      <c r="O290" s="53"/>
      <c r="P290" s="53"/>
      <c r="Q290" s="53"/>
      <c r="R290" s="53"/>
      <c r="S290" s="53"/>
      <c r="T290" s="53"/>
      <c r="U290" s="53"/>
      <c r="V290" s="53"/>
      <c r="W290" s="53"/>
      <c r="X290" s="53"/>
      <c r="Y290" s="53"/>
      <c r="Z290" s="53"/>
      <c r="AA290" s="53"/>
      <c r="AB290" s="53"/>
      <c r="AC290" s="53"/>
      <c r="AD290" s="53"/>
      <c r="AE290" s="53"/>
      <c r="AF290" s="63"/>
      <c r="AG290" s="64"/>
      <c r="AH290" s="65"/>
      <c r="AI290" s="65"/>
      <c r="AJ290" s="53"/>
      <c r="AK290" s="62"/>
      <c r="AL290" s="62"/>
      <c r="AM290" s="62"/>
      <c r="AN290" s="62"/>
      <c r="AO290" s="62"/>
      <c r="AP290" s="62"/>
      <c r="AQ290" s="62"/>
      <c r="AR290" s="62"/>
      <c r="AS290" s="62"/>
      <c r="AT290" s="62"/>
      <c r="AU290" s="62"/>
      <c r="AV290" s="62"/>
      <c r="AW290" s="62"/>
      <c r="AX290" s="62"/>
      <c r="AY290" s="62"/>
      <c r="AZ290" s="62"/>
      <c r="BA290" s="62"/>
      <c r="BB290" s="62"/>
      <c r="BC290" s="62"/>
      <c r="BD290" s="62"/>
      <c r="BE290" s="62"/>
      <c r="BF290" s="62"/>
      <c r="BG290" s="62"/>
      <c r="BH290" s="62"/>
      <c r="BI290" s="62"/>
      <c r="BJ290" s="62"/>
      <c r="BK290" s="62"/>
      <c r="BL290" s="62"/>
      <c r="BM290" s="62"/>
      <c r="BN290" s="62"/>
      <c r="BO290" s="62"/>
      <c r="BP290" s="62"/>
      <c r="BQ290" s="62"/>
      <c r="BR290" s="62"/>
      <c r="BS290" s="62"/>
      <c r="BT290" s="62"/>
      <c r="BU290" s="62"/>
      <c r="BV290" s="62"/>
      <c r="BW290" s="62"/>
      <c r="BX290" s="62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  <c r="HB290"/>
      <c r="HC290"/>
      <c r="HD290"/>
      <c r="HE290"/>
      <c r="HF290"/>
      <c r="HG290"/>
      <c r="HH290"/>
      <c r="HI290"/>
      <c r="HJ290"/>
      <c r="HK290"/>
      <c r="HL290"/>
      <c r="HM290"/>
      <c r="HN290"/>
      <c r="HO290"/>
      <c r="HP290"/>
      <c r="HQ290"/>
      <c r="HR290"/>
      <c r="HS290"/>
      <c r="HT290"/>
      <c r="HU290"/>
      <c r="HV290"/>
      <c r="HW290"/>
      <c r="HX290"/>
      <c r="HY290"/>
      <c r="HZ290"/>
      <c r="IA290"/>
      <c r="IB290"/>
      <c r="IC290"/>
      <c r="ID290"/>
      <c r="IE290"/>
      <c r="IF290"/>
      <c r="IG290"/>
      <c r="IH290"/>
      <c r="II290"/>
      <c r="IJ290"/>
      <c r="IK290"/>
      <c r="IL290"/>
      <c r="IM290"/>
      <c r="IN290"/>
      <c r="IO290"/>
      <c r="IP290"/>
      <c r="IQ290"/>
      <c r="IR290"/>
      <c r="IS290"/>
      <c r="IT290"/>
      <c r="IU290"/>
      <c r="IV290"/>
      <c r="IW290"/>
      <c r="IX290"/>
      <c r="IY290"/>
      <c r="IZ290"/>
      <c r="JA290"/>
      <c r="JB290"/>
      <c r="JC290"/>
      <c r="JD290"/>
      <c r="JE290"/>
      <c r="JF290"/>
      <c r="JG290"/>
      <c r="JH290"/>
      <c r="JI290"/>
      <c r="JJ290"/>
      <c r="JK290"/>
      <c r="JL290"/>
      <c r="JM290"/>
      <c r="JN290"/>
      <c r="JO290"/>
      <c r="JP290"/>
      <c r="JQ290"/>
      <c r="JR290"/>
      <c r="JS290"/>
      <c r="JT290"/>
      <c r="JU290"/>
      <c r="JV290"/>
      <c r="JW290"/>
      <c r="JX290"/>
      <c r="JY290"/>
      <c r="JZ290"/>
      <c r="KA290"/>
      <c r="KB290"/>
      <c r="KC290"/>
      <c r="KD290"/>
      <c r="KE290"/>
      <c r="KF290"/>
      <c r="KG290"/>
      <c r="KH290"/>
      <c r="KI290"/>
      <c r="KJ290"/>
      <c r="KK290"/>
      <c r="KL290"/>
      <c r="KM290"/>
      <c r="KN290"/>
      <c r="KO290"/>
      <c r="KP290"/>
      <c r="KQ290"/>
      <c r="KR290"/>
      <c r="KS290"/>
      <c r="KT290"/>
      <c r="KU290"/>
      <c r="KV290"/>
      <c r="KW290"/>
      <c r="KX290"/>
      <c r="KY290"/>
      <c r="KZ290"/>
      <c r="LA290"/>
      <c r="LB290"/>
      <c r="LC290"/>
      <c r="LD290"/>
      <c r="LE290"/>
      <c r="LF290"/>
      <c r="LG290"/>
      <c r="LH290"/>
      <c r="LI290"/>
      <c r="LJ290"/>
      <c r="LK290"/>
      <c r="LL290"/>
      <c r="LM290"/>
      <c r="LN290"/>
      <c r="LO290"/>
      <c r="LP290"/>
      <c r="LQ290"/>
      <c r="LR290"/>
      <c r="LS290"/>
      <c r="LT290"/>
      <c r="LU290"/>
      <c r="LV290"/>
      <c r="LW290"/>
      <c r="LX290"/>
      <c r="LY290"/>
      <c r="LZ290"/>
      <c r="MA290"/>
      <c r="MB290"/>
      <c r="MC290"/>
      <c r="MD290"/>
      <c r="ME290"/>
      <c r="MF290"/>
      <c r="MG290"/>
      <c r="MH290"/>
      <c r="MI290"/>
      <c r="MJ290"/>
      <c r="MK290"/>
      <c r="ML290"/>
      <c r="MM290"/>
      <c r="MN290"/>
      <c r="MO290"/>
      <c r="MP290"/>
      <c r="MQ290"/>
      <c r="MR290"/>
      <c r="MS290"/>
      <c r="MT290"/>
      <c r="MU290"/>
      <c r="MV290"/>
      <c r="MW290"/>
      <c r="MX290"/>
      <c r="MY290"/>
      <c r="MZ290"/>
      <c r="NA290"/>
      <c r="NB290"/>
      <c r="NC290"/>
      <c r="ND290"/>
      <c r="NE290"/>
      <c r="NF290"/>
      <c r="NG290"/>
      <c r="NH290"/>
      <c r="NI290"/>
      <c r="NJ290"/>
      <c r="NK290"/>
      <c r="NL290"/>
      <c r="NM290"/>
      <c r="NN290"/>
      <c r="NO290"/>
      <c r="NP290"/>
      <c r="NQ290"/>
      <c r="NR290"/>
      <c r="NS290"/>
      <c r="NT290"/>
      <c r="NU290"/>
      <c r="NV290"/>
      <c r="NW290"/>
      <c r="NX290"/>
      <c r="NY290"/>
      <c r="NZ290"/>
      <c r="OA290"/>
      <c r="OB290"/>
      <c r="OC290"/>
      <c r="OD290"/>
      <c r="OE290"/>
      <c r="OF290"/>
      <c r="OG290"/>
      <c r="OH290"/>
      <c r="OI290"/>
      <c r="OJ290"/>
      <c r="OK290"/>
      <c r="OL290"/>
      <c r="OM290"/>
      <c r="ON290"/>
      <c r="OO290"/>
      <c r="OP290"/>
      <c r="OQ290"/>
      <c r="OR290"/>
      <c r="OS290"/>
      <c r="OT290"/>
      <c r="OU290"/>
      <c r="OV290"/>
      <c r="OW290"/>
      <c r="OX290"/>
      <c r="OY290"/>
      <c r="OZ290"/>
      <c r="PA290"/>
      <c r="PB290"/>
      <c r="PC290"/>
      <c r="PD290"/>
      <c r="PE290"/>
      <c r="PF290"/>
      <c r="PG290"/>
      <c r="PH290"/>
      <c r="PI290"/>
      <c r="PJ290"/>
      <c r="PK290"/>
      <c r="PL290"/>
      <c r="PM290"/>
      <c r="PN290"/>
      <c r="PO290"/>
      <c r="PP290"/>
      <c r="PQ290"/>
      <c r="PR290"/>
      <c r="PS290"/>
      <c r="PT290"/>
      <c r="PU290"/>
      <c r="PV290"/>
      <c r="PW290"/>
      <c r="PX290"/>
      <c r="PY290"/>
      <c r="PZ290"/>
      <c r="QA290"/>
      <c r="QB290"/>
      <c r="QC290"/>
      <c r="QD290"/>
      <c r="QE290"/>
      <c r="QF290"/>
      <c r="QG290"/>
      <c r="QH290"/>
      <c r="QI290"/>
      <c r="QJ290"/>
      <c r="QK290"/>
      <c r="QL290"/>
      <c r="QM290"/>
      <c r="QN290"/>
      <c r="QO290"/>
      <c r="QP290"/>
      <c r="QQ290"/>
      <c r="QR290"/>
      <c r="QS290"/>
      <c r="QT290"/>
      <c r="QU290"/>
      <c r="QV290"/>
      <c r="QW290"/>
      <c r="QX290"/>
    </row>
    <row r="291" spans="1:466" x14ac:dyDescent="0.35">
      <c r="A291" s="53"/>
      <c r="B291" s="53"/>
      <c r="C291" s="55"/>
      <c r="D291" s="53"/>
      <c r="E291" s="53"/>
      <c r="F291" s="126" t="s">
        <v>501</v>
      </c>
      <c r="G291" s="125">
        <v>404.93</v>
      </c>
      <c r="H291" s="125">
        <v>0</v>
      </c>
      <c r="I291" s="133">
        <v>0</v>
      </c>
      <c r="J291" s="53"/>
      <c r="K291" s="53"/>
      <c r="L291" s="53"/>
      <c r="M291" s="53"/>
      <c r="N291" s="53"/>
      <c r="O291" s="53"/>
      <c r="P291" s="53"/>
      <c r="Q291" s="53"/>
      <c r="R291" s="53"/>
      <c r="S291" s="53"/>
      <c r="T291" s="53"/>
      <c r="U291" s="53"/>
      <c r="V291" s="53"/>
      <c r="W291" s="53"/>
      <c r="X291" s="53"/>
      <c r="Y291" s="53"/>
      <c r="Z291" s="53"/>
      <c r="AA291" s="53"/>
      <c r="AB291" s="53"/>
      <c r="AC291" s="53"/>
      <c r="AD291" s="53"/>
      <c r="AE291" s="53"/>
      <c r="AF291" s="63"/>
      <c r="AG291" s="64"/>
      <c r="AH291" s="65"/>
      <c r="AI291" s="65"/>
      <c r="AJ291" s="53"/>
      <c r="AK291" s="62"/>
      <c r="AL291" s="62"/>
      <c r="AM291" s="62"/>
      <c r="AN291" s="62"/>
      <c r="AO291" s="62"/>
      <c r="AP291" s="62"/>
      <c r="AQ291" s="62"/>
      <c r="AR291" s="62"/>
      <c r="AS291" s="62"/>
      <c r="AT291" s="62"/>
      <c r="AU291" s="62"/>
      <c r="AV291" s="62"/>
      <c r="AW291" s="62"/>
      <c r="AX291" s="62"/>
      <c r="AY291" s="62"/>
      <c r="AZ291" s="62"/>
      <c r="BA291" s="62"/>
      <c r="BB291" s="62"/>
      <c r="BC291" s="62"/>
      <c r="BD291" s="62"/>
      <c r="BE291" s="62"/>
      <c r="BF291" s="62"/>
      <c r="BG291" s="62"/>
      <c r="BH291" s="62"/>
      <c r="BI291" s="62"/>
      <c r="BJ291" s="62"/>
      <c r="BK291" s="62"/>
      <c r="BL291" s="62"/>
      <c r="BM291" s="62"/>
      <c r="BN291" s="62"/>
      <c r="BO291" s="62"/>
      <c r="BP291" s="62"/>
      <c r="BQ291" s="62"/>
      <c r="BR291" s="62"/>
      <c r="BS291" s="62"/>
      <c r="BT291" s="62"/>
      <c r="BU291" s="62"/>
      <c r="BV291" s="62"/>
      <c r="BW291" s="62"/>
      <c r="BX291" s="62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  <c r="HB291"/>
      <c r="HC291"/>
      <c r="HD291"/>
      <c r="HE291"/>
      <c r="HF291"/>
      <c r="HG291"/>
      <c r="HH291"/>
      <c r="HI291"/>
      <c r="HJ291"/>
      <c r="HK291"/>
      <c r="HL291"/>
      <c r="HM291"/>
      <c r="HN291"/>
      <c r="HO291"/>
      <c r="HP291"/>
      <c r="HQ291"/>
      <c r="HR291"/>
      <c r="HS291"/>
      <c r="HT291"/>
      <c r="HU291"/>
      <c r="HV291"/>
      <c r="HW291"/>
      <c r="HX291"/>
      <c r="HY291"/>
      <c r="HZ291"/>
      <c r="IA291"/>
      <c r="IB291"/>
      <c r="IC291"/>
      <c r="ID291"/>
      <c r="IE291"/>
      <c r="IF291"/>
      <c r="IG291"/>
      <c r="IH291"/>
      <c r="II291"/>
      <c r="IJ291"/>
      <c r="IK291"/>
      <c r="IL291"/>
      <c r="IM291"/>
      <c r="IN291"/>
      <c r="IO291"/>
      <c r="IP291"/>
      <c r="IQ291"/>
      <c r="IR291"/>
      <c r="IS291"/>
      <c r="IT291"/>
      <c r="IU291"/>
      <c r="IV291"/>
      <c r="IW291"/>
      <c r="IX291"/>
      <c r="IY291"/>
      <c r="IZ291"/>
      <c r="JA291"/>
      <c r="JB291"/>
      <c r="JC291"/>
      <c r="JD291"/>
      <c r="JE291"/>
      <c r="JF291"/>
      <c r="JG291"/>
      <c r="JH291"/>
      <c r="JI291"/>
      <c r="JJ291"/>
      <c r="JK291"/>
      <c r="JL291"/>
      <c r="JM291"/>
      <c r="JN291"/>
      <c r="JO291"/>
      <c r="JP291"/>
      <c r="JQ291"/>
      <c r="JR291"/>
      <c r="JS291"/>
      <c r="JT291"/>
      <c r="JU291"/>
      <c r="JV291"/>
      <c r="JW291"/>
      <c r="JX291"/>
      <c r="JY291"/>
      <c r="JZ291"/>
      <c r="KA291"/>
      <c r="KB291"/>
      <c r="KC291"/>
      <c r="KD291"/>
      <c r="KE291"/>
      <c r="KF291"/>
      <c r="KG291"/>
      <c r="KH291"/>
      <c r="KI291"/>
      <c r="KJ291"/>
      <c r="KK291"/>
      <c r="KL291"/>
      <c r="KM291"/>
      <c r="KN291"/>
      <c r="KO291"/>
      <c r="KP291"/>
      <c r="KQ291"/>
      <c r="KR291"/>
      <c r="KS291"/>
      <c r="KT291"/>
      <c r="KU291"/>
      <c r="KV291"/>
      <c r="KW291"/>
      <c r="KX291"/>
      <c r="KY291"/>
      <c r="KZ291"/>
      <c r="LA291"/>
      <c r="LB291"/>
      <c r="LC291"/>
      <c r="LD291"/>
      <c r="LE291"/>
      <c r="LF291"/>
      <c r="LG291"/>
      <c r="LH291"/>
      <c r="LI291"/>
      <c r="LJ291"/>
      <c r="LK291"/>
      <c r="LL291"/>
      <c r="LM291"/>
      <c r="LN291"/>
      <c r="LO291"/>
      <c r="LP291"/>
      <c r="LQ291"/>
      <c r="LR291"/>
      <c r="LS291"/>
      <c r="LT291"/>
      <c r="LU291"/>
      <c r="LV291"/>
      <c r="LW291"/>
      <c r="LX291"/>
      <c r="LY291"/>
      <c r="LZ291"/>
      <c r="MA291"/>
      <c r="MB291"/>
      <c r="MC291"/>
      <c r="MD291"/>
      <c r="ME291"/>
      <c r="MF291"/>
      <c r="MG291"/>
      <c r="MH291"/>
      <c r="MI291"/>
      <c r="MJ291"/>
      <c r="MK291"/>
      <c r="ML291"/>
      <c r="MM291"/>
      <c r="MN291"/>
      <c r="MO291"/>
      <c r="MP291"/>
      <c r="MQ291"/>
      <c r="MR291"/>
      <c r="MS291"/>
      <c r="MT291"/>
      <c r="MU291"/>
      <c r="MV291"/>
      <c r="MW291"/>
      <c r="MX291"/>
      <c r="MY291"/>
      <c r="MZ291"/>
      <c r="NA291"/>
      <c r="NB291"/>
      <c r="NC291"/>
      <c r="ND291"/>
      <c r="NE291"/>
      <c r="NF291"/>
      <c r="NG291"/>
      <c r="NH291"/>
      <c r="NI291"/>
      <c r="NJ291"/>
      <c r="NK291"/>
      <c r="NL291"/>
      <c r="NM291"/>
      <c r="NN291"/>
      <c r="NO291"/>
      <c r="NP291"/>
      <c r="NQ291"/>
      <c r="NR291"/>
      <c r="NS291"/>
      <c r="NT291"/>
      <c r="NU291"/>
      <c r="NV291"/>
      <c r="NW291"/>
      <c r="NX291"/>
      <c r="NY291"/>
      <c r="NZ291"/>
      <c r="OA291"/>
      <c r="OB291"/>
      <c r="OC291"/>
      <c r="OD291"/>
      <c r="OE291"/>
      <c r="OF291"/>
      <c r="OG291"/>
      <c r="OH291"/>
      <c r="OI291"/>
      <c r="OJ291"/>
      <c r="OK291"/>
      <c r="OL291"/>
      <c r="OM291"/>
      <c r="ON291"/>
      <c r="OO291"/>
      <c r="OP291"/>
      <c r="OQ291"/>
      <c r="OR291"/>
      <c r="OS291"/>
      <c r="OT291"/>
      <c r="OU291"/>
      <c r="OV291"/>
      <c r="OW291"/>
      <c r="OX291"/>
      <c r="OY291"/>
      <c r="OZ291"/>
      <c r="PA291"/>
      <c r="PB291"/>
      <c r="PC291"/>
      <c r="PD291"/>
      <c r="PE291"/>
      <c r="PF291"/>
      <c r="PG291"/>
      <c r="PH291"/>
      <c r="PI291"/>
      <c r="PJ291"/>
      <c r="PK291"/>
      <c r="PL291"/>
      <c r="PM291"/>
      <c r="PN291"/>
      <c r="PO291"/>
      <c r="PP291"/>
      <c r="PQ291"/>
      <c r="PR291"/>
      <c r="PS291"/>
      <c r="PT291"/>
      <c r="PU291"/>
      <c r="PV291"/>
      <c r="PW291"/>
      <c r="PX291"/>
      <c r="PY291"/>
      <c r="PZ291"/>
      <c r="QA291"/>
      <c r="QB291"/>
      <c r="QC291"/>
      <c r="QD291"/>
      <c r="QE291"/>
      <c r="QF291"/>
      <c r="QG291"/>
      <c r="QH291"/>
      <c r="QI291"/>
      <c r="QJ291"/>
      <c r="QK291"/>
      <c r="QL291"/>
      <c r="QM291"/>
      <c r="QN291"/>
      <c r="QO291"/>
      <c r="QP291"/>
      <c r="QQ291"/>
      <c r="QR291"/>
      <c r="QS291"/>
      <c r="QT291"/>
      <c r="QU291"/>
      <c r="QV291"/>
      <c r="QW291"/>
      <c r="QX291"/>
    </row>
    <row r="292" spans="1:466" x14ac:dyDescent="0.35">
      <c r="A292" s="53"/>
      <c r="B292" s="53"/>
      <c r="C292" s="55"/>
      <c r="D292" s="53"/>
      <c r="E292" s="53"/>
      <c r="F292" s="126" t="s">
        <v>510</v>
      </c>
      <c r="G292" s="125"/>
      <c r="H292" s="125">
        <v>0</v>
      </c>
      <c r="I292" s="133">
        <v>1</v>
      </c>
      <c r="J292" s="53"/>
      <c r="K292" s="53"/>
      <c r="L292" s="53"/>
      <c r="M292" s="53"/>
      <c r="N292" s="53"/>
      <c r="O292" s="53"/>
      <c r="P292" s="53"/>
      <c r="Q292" s="53"/>
      <c r="R292" s="53"/>
      <c r="S292" s="53"/>
      <c r="T292" s="53"/>
      <c r="U292" s="53"/>
      <c r="V292" s="53"/>
      <c r="W292" s="53"/>
      <c r="X292" s="53"/>
      <c r="Y292" s="53"/>
      <c r="Z292" s="53"/>
      <c r="AA292" s="53"/>
      <c r="AB292" s="53"/>
      <c r="AC292" s="53"/>
      <c r="AD292" s="53"/>
      <c r="AE292" s="53"/>
      <c r="AF292" s="63"/>
      <c r="AG292" s="64"/>
      <c r="AH292" s="65"/>
      <c r="AI292" s="65"/>
      <c r="AJ292" s="53"/>
      <c r="AK292" s="62"/>
      <c r="AL292" s="62"/>
      <c r="AM292" s="62"/>
      <c r="AN292" s="62"/>
      <c r="AO292" s="62"/>
      <c r="AP292" s="62"/>
      <c r="AQ292" s="62"/>
      <c r="AR292" s="62"/>
      <c r="AS292" s="62"/>
      <c r="AT292" s="62"/>
      <c r="AU292" s="62"/>
      <c r="AV292" s="62"/>
      <c r="AW292" s="62"/>
      <c r="AX292" s="62"/>
      <c r="AY292" s="62"/>
      <c r="AZ292" s="62"/>
      <c r="BA292" s="62"/>
      <c r="BB292" s="62"/>
      <c r="BC292" s="62"/>
      <c r="BD292" s="62"/>
      <c r="BE292" s="62"/>
      <c r="BF292" s="62"/>
      <c r="BG292" s="62"/>
      <c r="BH292" s="62"/>
      <c r="BI292" s="62"/>
      <c r="BJ292" s="62"/>
      <c r="BK292" s="62"/>
      <c r="BL292" s="62"/>
      <c r="BM292" s="62"/>
      <c r="BN292" s="62"/>
      <c r="BO292" s="62"/>
      <c r="BP292" s="62"/>
      <c r="BQ292" s="62"/>
      <c r="BR292" s="62"/>
      <c r="BS292" s="62"/>
      <c r="BT292" s="62"/>
      <c r="BU292" s="62"/>
      <c r="BV292" s="62"/>
      <c r="BW292" s="62"/>
      <c r="BX292" s="6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  <c r="HB292"/>
      <c r="HC292"/>
      <c r="HD292"/>
      <c r="HE292"/>
      <c r="HF292"/>
      <c r="HG292"/>
      <c r="HH292"/>
      <c r="HI292"/>
      <c r="HJ292"/>
      <c r="HK292"/>
      <c r="HL292"/>
      <c r="HM292"/>
      <c r="HN292"/>
      <c r="HO292"/>
      <c r="HP292"/>
      <c r="HQ292"/>
      <c r="HR292"/>
      <c r="HS292"/>
      <c r="HT292"/>
      <c r="HU292"/>
      <c r="HV292"/>
      <c r="HW292"/>
      <c r="HX292"/>
      <c r="HY292"/>
      <c r="HZ292"/>
      <c r="IA292"/>
      <c r="IB292"/>
      <c r="IC292"/>
      <c r="ID292"/>
      <c r="IE292"/>
      <c r="IF292"/>
      <c r="IG292"/>
      <c r="IH292"/>
      <c r="II292"/>
      <c r="IJ292"/>
      <c r="IK292"/>
      <c r="IL292"/>
      <c r="IM292"/>
      <c r="IN292"/>
      <c r="IO292"/>
      <c r="IP292"/>
      <c r="IQ292"/>
      <c r="IR292"/>
      <c r="IS292"/>
      <c r="IT292"/>
      <c r="IU292"/>
      <c r="IV292"/>
      <c r="IW292"/>
      <c r="IX292"/>
      <c r="IY292"/>
      <c r="IZ292"/>
      <c r="JA292"/>
      <c r="JB292"/>
      <c r="JC292"/>
      <c r="JD292"/>
      <c r="JE292"/>
      <c r="JF292"/>
      <c r="JG292"/>
      <c r="JH292"/>
      <c r="JI292"/>
      <c r="JJ292"/>
      <c r="JK292"/>
      <c r="JL292"/>
      <c r="JM292"/>
      <c r="JN292"/>
      <c r="JO292"/>
      <c r="JP292"/>
      <c r="JQ292"/>
      <c r="JR292"/>
      <c r="JS292"/>
      <c r="JT292"/>
      <c r="JU292"/>
      <c r="JV292"/>
      <c r="JW292"/>
      <c r="JX292"/>
      <c r="JY292"/>
      <c r="JZ292"/>
      <c r="KA292"/>
      <c r="KB292"/>
      <c r="KC292"/>
      <c r="KD292"/>
      <c r="KE292"/>
      <c r="KF292"/>
      <c r="KG292"/>
      <c r="KH292"/>
      <c r="KI292"/>
      <c r="KJ292"/>
      <c r="KK292"/>
      <c r="KL292"/>
      <c r="KM292"/>
      <c r="KN292"/>
      <c r="KO292"/>
      <c r="KP292"/>
      <c r="KQ292"/>
      <c r="KR292"/>
      <c r="KS292"/>
      <c r="KT292"/>
      <c r="KU292"/>
      <c r="KV292"/>
      <c r="KW292"/>
      <c r="KX292"/>
      <c r="KY292"/>
      <c r="KZ292"/>
      <c r="LA292"/>
      <c r="LB292"/>
      <c r="LC292"/>
      <c r="LD292"/>
      <c r="LE292"/>
      <c r="LF292"/>
      <c r="LG292"/>
      <c r="LH292"/>
      <c r="LI292"/>
      <c r="LJ292"/>
      <c r="LK292"/>
      <c r="LL292"/>
      <c r="LM292"/>
      <c r="LN292"/>
      <c r="LO292"/>
      <c r="LP292"/>
      <c r="LQ292"/>
      <c r="LR292"/>
      <c r="LS292"/>
      <c r="LT292"/>
      <c r="LU292"/>
      <c r="LV292"/>
      <c r="LW292"/>
      <c r="LX292"/>
      <c r="LY292"/>
      <c r="LZ292"/>
      <c r="MA292"/>
      <c r="MB292"/>
      <c r="MC292"/>
      <c r="MD292"/>
      <c r="ME292"/>
      <c r="MF292"/>
      <c r="MG292"/>
      <c r="MH292"/>
      <c r="MI292"/>
      <c r="MJ292"/>
      <c r="MK292"/>
      <c r="ML292"/>
      <c r="MM292"/>
      <c r="MN292"/>
      <c r="MO292"/>
      <c r="MP292"/>
      <c r="MQ292"/>
      <c r="MR292"/>
      <c r="MS292"/>
      <c r="MT292"/>
      <c r="MU292"/>
      <c r="MV292"/>
      <c r="MW292"/>
      <c r="MX292"/>
      <c r="MY292"/>
      <c r="MZ292"/>
      <c r="NA292"/>
      <c r="NB292"/>
      <c r="NC292"/>
      <c r="ND292"/>
      <c r="NE292"/>
      <c r="NF292"/>
      <c r="NG292"/>
      <c r="NH292"/>
      <c r="NI292"/>
      <c r="NJ292"/>
      <c r="NK292"/>
      <c r="NL292"/>
      <c r="NM292"/>
      <c r="NN292"/>
      <c r="NO292"/>
      <c r="NP292"/>
      <c r="NQ292"/>
      <c r="NR292"/>
      <c r="NS292"/>
      <c r="NT292"/>
      <c r="NU292"/>
      <c r="NV292"/>
      <c r="NW292"/>
      <c r="NX292"/>
      <c r="NY292"/>
      <c r="NZ292"/>
      <c r="OA292"/>
      <c r="OB292"/>
      <c r="OC292"/>
      <c r="OD292"/>
      <c r="OE292"/>
      <c r="OF292"/>
      <c r="OG292"/>
      <c r="OH292"/>
      <c r="OI292"/>
      <c r="OJ292"/>
      <c r="OK292"/>
      <c r="OL292"/>
      <c r="OM292"/>
      <c r="ON292"/>
      <c r="OO292"/>
      <c r="OP292"/>
      <c r="OQ292"/>
      <c r="OR292"/>
      <c r="OS292"/>
      <c r="OT292"/>
      <c r="OU292"/>
      <c r="OV292"/>
      <c r="OW292"/>
      <c r="OX292"/>
      <c r="OY292"/>
      <c r="OZ292"/>
      <c r="PA292"/>
      <c r="PB292"/>
      <c r="PC292"/>
      <c r="PD292"/>
      <c r="PE292"/>
      <c r="PF292"/>
      <c r="PG292"/>
      <c r="PH292"/>
      <c r="PI292"/>
      <c r="PJ292"/>
      <c r="PK292"/>
      <c r="PL292"/>
      <c r="PM292"/>
      <c r="PN292"/>
      <c r="PO292"/>
      <c r="PP292"/>
      <c r="PQ292"/>
      <c r="PR292"/>
      <c r="PS292"/>
      <c r="PT292"/>
      <c r="PU292"/>
      <c r="PV292"/>
      <c r="PW292"/>
      <c r="PX292"/>
      <c r="PY292"/>
      <c r="PZ292"/>
      <c r="QA292"/>
      <c r="QB292"/>
      <c r="QC292"/>
      <c r="QD292"/>
      <c r="QE292"/>
      <c r="QF292"/>
      <c r="QG292"/>
      <c r="QH292"/>
      <c r="QI292"/>
      <c r="QJ292"/>
      <c r="QK292"/>
      <c r="QL292"/>
      <c r="QM292"/>
      <c r="QN292"/>
      <c r="QO292"/>
      <c r="QP292"/>
      <c r="QQ292"/>
      <c r="QR292"/>
      <c r="QS292"/>
      <c r="QT292"/>
      <c r="QU292"/>
      <c r="QV292"/>
      <c r="QW292"/>
      <c r="QX292"/>
    </row>
    <row r="293" spans="1:466" x14ac:dyDescent="0.35">
      <c r="A293" s="53"/>
      <c r="B293" s="53"/>
      <c r="C293" s="55"/>
      <c r="D293" s="53"/>
      <c r="E293" s="53"/>
      <c r="F293" s="124" t="s">
        <v>513</v>
      </c>
      <c r="G293" s="125">
        <v>1300</v>
      </c>
      <c r="H293" s="125">
        <v>2600</v>
      </c>
      <c r="I293" s="133">
        <v>2</v>
      </c>
      <c r="J293" s="53"/>
      <c r="K293" s="53"/>
      <c r="L293" s="53"/>
      <c r="M293" s="53"/>
      <c r="N293" s="53"/>
      <c r="O293" s="53"/>
      <c r="P293" s="53"/>
      <c r="Q293" s="53"/>
      <c r="R293" s="53"/>
      <c r="S293" s="53"/>
      <c r="T293" s="53"/>
      <c r="U293" s="53"/>
      <c r="V293" s="53"/>
      <c r="W293" s="53"/>
      <c r="X293" s="53"/>
      <c r="Y293" s="53"/>
      <c r="Z293" s="53"/>
      <c r="AA293" s="53"/>
      <c r="AB293" s="53"/>
      <c r="AC293" s="53"/>
      <c r="AD293" s="53"/>
      <c r="AE293" s="53"/>
      <c r="AF293" s="63"/>
      <c r="AG293" s="64"/>
      <c r="AH293" s="65"/>
      <c r="AI293" s="65"/>
      <c r="AJ293" s="53"/>
      <c r="AK293" s="62"/>
      <c r="AL293" s="62"/>
      <c r="AM293" s="62"/>
      <c r="AN293" s="62"/>
      <c r="AO293" s="62"/>
      <c r="AP293" s="62"/>
      <c r="AQ293" s="62"/>
      <c r="AR293" s="62"/>
      <c r="AS293" s="62"/>
      <c r="AT293" s="62"/>
      <c r="AU293" s="62"/>
      <c r="AV293" s="62"/>
      <c r="AW293" s="62"/>
      <c r="AX293" s="62"/>
      <c r="AY293" s="62"/>
      <c r="AZ293" s="62"/>
      <c r="BA293" s="62"/>
      <c r="BB293" s="62"/>
      <c r="BC293" s="62"/>
      <c r="BD293" s="62"/>
      <c r="BE293" s="62"/>
      <c r="BF293" s="62"/>
      <c r="BG293" s="62"/>
      <c r="BH293" s="62"/>
      <c r="BI293" s="62"/>
      <c r="BJ293" s="62"/>
      <c r="BK293" s="62"/>
      <c r="BL293" s="62"/>
      <c r="BM293" s="62"/>
      <c r="BN293" s="62"/>
      <c r="BO293" s="62"/>
      <c r="BP293" s="62"/>
      <c r="BQ293" s="62"/>
      <c r="BR293" s="62"/>
      <c r="BS293" s="62"/>
      <c r="BT293" s="62"/>
      <c r="BU293" s="62"/>
      <c r="BV293" s="62"/>
      <c r="BW293" s="62"/>
      <c r="BX293" s="62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  <c r="HB293"/>
      <c r="HC293"/>
      <c r="HD293"/>
      <c r="HE293"/>
      <c r="HF293"/>
      <c r="HG293"/>
      <c r="HH293"/>
      <c r="HI293"/>
      <c r="HJ293"/>
      <c r="HK293"/>
      <c r="HL293"/>
      <c r="HM293"/>
      <c r="HN293"/>
      <c r="HO293"/>
      <c r="HP293"/>
      <c r="HQ293"/>
      <c r="HR293"/>
      <c r="HS293"/>
      <c r="HT293"/>
      <c r="HU293"/>
      <c r="HV293"/>
      <c r="HW293"/>
      <c r="HX293"/>
      <c r="HY293"/>
      <c r="HZ293"/>
      <c r="IA293"/>
      <c r="IB293"/>
      <c r="IC293"/>
      <c r="ID293"/>
      <c r="IE293"/>
      <c r="IF293"/>
      <c r="IG293"/>
      <c r="IH293"/>
      <c r="II293"/>
      <c r="IJ293"/>
      <c r="IK293"/>
      <c r="IL293"/>
      <c r="IM293"/>
      <c r="IN293"/>
      <c r="IO293"/>
      <c r="IP293"/>
      <c r="IQ293"/>
      <c r="IR293"/>
      <c r="IS293"/>
      <c r="IT293"/>
      <c r="IU293"/>
      <c r="IV293"/>
      <c r="IW293"/>
      <c r="IX293"/>
      <c r="IY293"/>
      <c r="IZ293"/>
      <c r="JA293"/>
      <c r="JB293"/>
      <c r="JC293"/>
      <c r="JD293"/>
      <c r="JE293"/>
      <c r="JF293"/>
      <c r="JG293"/>
      <c r="JH293"/>
      <c r="JI293"/>
      <c r="JJ293"/>
      <c r="JK293"/>
      <c r="JL293"/>
      <c r="JM293"/>
      <c r="JN293"/>
      <c r="JO293"/>
      <c r="JP293"/>
      <c r="JQ293"/>
      <c r="JR293"/>
      <c r="JS293"/>
      <c r="JT293"/>
      <c r="JU293"/>
      <c r="JV293"/>
      <c r="JW293"/>
      <c r="JX293"/>
      <c r="JY293"/>
      <c r="JZ293"/>
      <c r="KA293"/>
      <c r="KB293"/>
      <c r="KC293"/>
      <c r="KD293"/>
      <c r="KE293"/>
      <c r="KF293"/>
      <c r="KG293"/>
      <c r="KH293"/>
      <c r="KI293"/>
      <c r="KJ293"/>
      <c r="KK293"/>
      <c r="KL293"/>
      <c r="KM293"/>
      <c r="KN293"/>
      <c r="KO293"/>
      <c r="KP293"/>
      <c r="KQ293"/>
      <c r="KR293"/>
      <c r="KS293"/>
      <c r="KT293"/>
      <c r="KU293"/>
      <c r="KV293"/>
      <c r="KW293"/>
      <c r="KX293"/>
      <c r="KY293"/>
      <c r="KZ293"/>
      <c r="LA293"/>
      <c r="LB293"/>
      <c r="LC293"/>
      <c r="LD293"/>
      <c r="LE293"/>
      <c r="LF293"/>
      <c r="LG293"/>
      <c r="LH293"/>
      <c r="LI293"/>
      <c r="LJ293"/>
      <c r="LK293"/>
      <c r="LL293"/>
      <c r="LM293"/>
      <c r="LN293"/>
      <c r="LO293"/>
      <c r="LP293"/>
      <c r="LQ293"/>
      <c r="LR293"/>
      <c r="LS293"/>
      <c r="LT293"/>
      <c r="LU293"/>
      <c r="LV293"/>
      <c r="LW293"/>
      <c r="LX293"/>
      <c r="LY293"/>
      <c r="LZ293"/>
      <c r="MA293"/>
      <c r="MB293"/>
      <c r="MC293"/>
      <c r="MD293"/>
      <c r="ME293"/>
      <c r="MF293"/>
      <c r="MG293"/>
      <c r="MH293"/>
      <c r="MI293"/>
      <c r="MJ293"/>
      <c r="MK293"/>
      <c r="ML293"/>
      <c r="MM293"/>
      <c r="MN293"/>
      <c r="MO293"/>
      <c r="MP293"/>
      <c r="MQ293"/>
      <c r="MR293"/>
      <c r="MS293"/>
      <c r="MT293"/>
      <c r="MU293"/>
      <c r="MV293"/>
      <c r="MW293"/>
      <c r="MX293"/>
      <c r="MY293"/>
      <c r="MZ293"/>
      <c r="NA293"/>
      <c r="NB293"/>
      <c r="NC293"/>
      <c r="ND293"/>
      <c r="NE293"/>
      <c r="NF293"/>
      <c r="NG293"/>
      <c r="NH293"/>
      <c r="NI293"/>
      <c r="NJ293"/>
      <c r="NK293"/>
      <c r="NL293"/>
      <c r="NM293"/>
      <c r="NN293"/>
      <c r="NO293"/>
      <c r="NP293"/>
      <c r="NQ293"/>
      <c r="NR293"/>
      <c r="NS293"/>
      <c r="NT293"/>
      <c r="NU293"/>
      <c r="NV293"/>
      <c r="NW293"/>
      <c r="NX293"/>
      <c r="NY293"/>
      <c r="NZ293"/>
      <c r="OA293"/>
      <c r="OB293"/>
      <c r="OC293"/>
      <c r="OD293"/>
      <c r="OE293"/>
      <c r="OF293"/>
      <c r="OG293"/>
      <c r="OH293"/>
      <c r="OI293"/>
      <c r="OJ293"/>
      <c r="OK293"/>
      <c r="OL293"/>
      <c r="OM293"/>
      <c r="ON293"/>
      <c r="OO293"/>
      <c r="OP293"/>
      <c r="OQ293"/>
      <c r="OR293"/>
      <c r="OS293"/>
      <c r="OT293"/>
      <c r="OU293"/>
      <c r="OV293"/>
      <c r="OW293"/>
      <c r="OX293"/>
      <c r="OY293"/>
      <c r="OZ293"/>
      <c r="PA293"/>
      <c r="PB293"/>
      <c r="PC293"/>
      <c r="PD293"/>
      <c r="PE293"/>
      <c r="PF293"/>
      <c r="PG293"/>
      <c r="PH293"/>
      <c r="PI293"/>
      <c r="PJ293"/>
      <c r="PK293"/>
      <c r="PL293"/>
      <c r="PM293"/>
      <c r="PN293"/>
      <c r="PO293"/>
      <c r="PP293"/>
      <c r="PQ293"/>
      <c r="PR293"/>
      <c r="PS293"/>
      <c r="PT293"/>
      <c r="PU293"/>
      <c r="PV293"/>
      <c r="PW293"/>
      <c r="PX293"/>
      <c r="PY293"/>
      <c r="PZ293"/>
      <c r="QA293"/>
      <c r="QB293"/>
      <c r="QC293"/>
      <c r="QD293"/>
      <c r="QE293"/>
      <c r="QF293"/>
      <c r="QG293"/>
      <c r="QH293"/>
      <c r="QI293"/>
      <c r="QJ293"/>
      <c r="QK293"/>
      <c r="QL293"/>
      <c r="QM293"/>
      <c r="QN293"/>
      <c r="QO293"/>
      <c r="QP293"/>
      <c r="QQ293"/>
      <c r="QR293"/>
      <c r="QS293"/>
      <c r="QT293"/>
      <c r="QU293"/>
      <c r="QV293"/>
      <c r="QW293"/>
      <c r="QX293"/>
    </row>
    <row r="294" spans="1:466" x14ac:dyDescent="0.35">
      <c r="A294" s="53"/>
      <c r="B294" s="53"/>
      <c r="C294" s="55"/>
      <c r="D294" s="53"/>
      <c r="E294" s="53"/>
      <c r="F294" s="126" t="s">
        <v>518</v>
      </c>
      <c r="G294" s="125"/>
      <c r="H294" s="125">
        <v>0</v>
      </c>
      <c r="I294" s="133">
        <v>0</v>
      </c>
      <c r="J294" s="53"/>
      <c r="K294" s="53"/>
      <c r="L294" s="53"/>
      <c r="M294" s="53"/>
      <c r="N294" s="53"/>
      <c r="O294" s="53"/>
      <c r="P294" s="53"/>
      <c r="Q294" s="53"/>
      <c r="R294" s="53"/>
      <c r="S294" s="53"/>
      <c r="T294" s="53"/>
      <c r="U294" s="53"/>
      <c r="V294" s="53"/>
      <c r="W294" s="53"/>
      <c r="X294" s="53"/>
      <c r="Y294" s="53"/>
      <c r="Z294" s="53"/>
      <c r="AA294" s="53"/>
      <c r="AB294" s="53"/>
      <c r="AC294" s="53"/>
      <c r="AD294" s="53"/>
      <c r="AE294" s="53"/>
      <c r="AF294" s="63"/>
      <c r="AG294" s="64"/>
      <c r="AH294" s="65"/>
      <c r="AI294" s="65"/>
      <c r="AJ294" s="53"/>
      <c r="AK294" s="62"/>
      <c r="AL294" s="62"/>
      <c r="AM294" s="62"/>
      <c r="AN294" s="62"/>
      <c r="AO294" s="62"/>
      <c r="AP294" s="62"/>
      <c r="AQ294" s="62"/>
      <c r="AR294" s="62"/>
      <c r="AS294" s="62"/>
      <c r="AT294" s="62"/>
      <c r="AU294" s="62"/>
      <c r="AV294" s="62"/>
      <c r="AW294" s="62"/>
      <c r="AX294" s="62"/>
      <c r="AY294" s="62"/>
      <c r="AZ294" s="62"/>
      <c r="BA294" s="62"/>
      <c r="BB294" s="62"/>
      <c r="BC294" s="62"/>
      <c r="BD294" s="62"/>
      <c r="BE294" s="62"/>
      <c r="BF294" s="62"/>
      <c r="BG294" s="62"/>
      <c r="BH294" s="62"/>
      <c r="BI294" s="62"/>
      <c r="BJ294" s="62"/>
      <c r="BK294" s="62"/>
      <c r="BL294" s="62"/>
      <c r="BM294" s="62"/>
      <c r="BN294" s="62"/>
      <c r="BO294" s="62"/>
      <c r="BP294" s="62"/>
      <c r="BQ294" s="62"/>
      <c r="BR294" s="62"/>
      <c r="BS294" s="62"/>
      <c r="BT294" s="62"/>
      <c r="BU294" s="62"/>
      <c r="BV294" s="62"/>
      <c r="BW294" s="62"/>
      <c r="BX294" s="62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  <c r="HB294"/>
      <c r="HC294"/>
      <c r="HD294"/>
      <c r="HE294"/>
      <c r="HF294"/>
      <c r="HG294"/>
      <c r="HH294"/>
      <c r="HI294"/>
      <c r="HJ294"/>
      <c r="HK294"/>
      <c r="HL294"/>
      <c r="HM294"/>
      <c r="HN294"/>
      <c r="HO294"/>
      <c r="HP294"/>
      <c r="HQ294"/>
      <c r="HR294"/>
      <c r="HS294"/>
      <c r="HT294"/>
      <c r="HU294"/>
      <c r="HV294"/>
      <c r="HW294"/>
      <c r="HX294"/>
      <c r="HY294"/>
      <c r="HZ294"/>
      <c r="IA294"/>
      <c r="IB294"/>
      <c r="IC294"/>
      <c r="ID294"/>
      <c r="IE294"/>
      <c r="IF294"/>
      <c r="IG294"/>
      <c r="IH294"/>
      <c r="II294"/>
      <c r="IJ294"/>
      <c r="IK294"/>
      <c r="IL294"/>
      <c r="IM294"/>
      <c r="IN294"/>
      <c r="IO294"/>
      <c r="IP294"/>
      <c r="IQ294"/>
      <c r="IR294"/>
      <c r="IS294"/>
      <c r="IT294"/>
      <c r="IU294"/>
      <c r="IV294"/>
      <c r="IW294"/>
      <c r="IX294"/>
      <c r="IY294"/>
      <c r="IZ294"/>
      <c r="JA294"/>
      <c r="JB294"/>
      <c r="JC294"/>
      <c r="JD294"/>
      <c r="JE294"/>
      <c r="JF294"/>
      <c r="JG294"/>
      <c r="JH294"/>
      <c r="JI294"/>
      <c r="JJ294"/>
      <c r="JK294"/>
      <c r="JL294"/>
      <c r="JM294"/>
      <c r="JN294"/>
      <c r="JO294"/>
      <c r="JP294"/>
      <c r="JQ294"/>
      <c r="JR294"/>
      <c r="JS294"/>
      <c r="JT294"/>
      <c r="JU294"/>
      <c r="JV294"/>
      <c r="JW294"/>
      <c r="JX294"/>
      <c r="JY294"/>
      <c r="JZ294"/>
      <c r="KA294"/>
      <c r="KB294"/>
      <c r="KC294"/>
      <c r="KD294"/>
      <c r="KE294"/>
      <c r="KF294"/>
      <c r="KG294"/>
      <c r="KH294"/>
      <c r="KI294"/>
      <c r="KJ294"/>
      <c r="KK294"/>
      <c r="KL294"/>
      <c r="KM294"/>
      <c r="KN294"/>
      <c r="KO294"/>
      <c r="KP294"/>
      <c r="KQ294"/>
      <c r="KR294"/>
      <c r="KS294"/>
      <c r="KT294"/>
      <c r="KU294"/>
      <c r="KV294"/>
      <c r="KW294"/>
      <c r="KX294"/>
      <c r="KY294"/>
      <c r="KZ294"/>
      <c r="LA294"/>
      <c r="LB294"/>
      <c r="LC294"/>
      <c r="LD294"/>
      <c r="LE294"/>
      <c r="LF294"/>
      <c r="LG294"/>
      <c r="LH294"/>
      <c r="LI294"/>
      <c r="LJ294"/>
      <c r="LK294"/>
      <c r="LL294"/>
      <c r="LM294"/>
      <c r="LN294"/>
      <c r="LO294"/>
      <c r="LP294"/>
      <c r="LQ294"/>
      <c r="LR294"/>
      <c r="LS294"/>
      <c r="LT294"/>
      <c r="LU294"/>
      <c r="LV294"/>
      <c r="LW294"/>
      <c r="LX294"/>
      <c r="LY294"/>
      <c r="LZ294"/>
      <c r="MA294"/>
      <c r="MB294"/>
      <c r="MC294"/>
      <c r="MD294"/>
      <c r="ME294"/>
      <c r="MF294"/>
      <c r="MG294"/>
      <c r="MH294"/>
      <c r="MI294"/>
      <c r="MJ294"/>
      <c r="MK294"/>
      <c r="ML294"/>
      <c r="MM294"/>
      <c r="MN294"/>
      <c r="MO294"/>
      <c r="MP294"/>
      <c r="MQ294"/>
      <c r="MR294"/>
      <c r="MS294"/>
      <c r="MT294"/>
      <c r="MU294"/>
      <c r="MV294"/>
      <c r="MW294"/>
      <c r="MX294"/>
      <c r="MY294"/>
      <c r="MZ294"/>
      <c r="NA294"/>
      <c r="NB294"/>
      <c r="NC294"/>
      <c r="ND294"/>
      <c r="NE294"/>
      <c r="NF294"/>
      <c r="NG294"/>
      <c r="NH294"/>
      <c r="NI294"/>
      <c r="NJ294"/>
      <c r="NK294"/>
      <c r="NL294"/>
      <c r="NM294"/>
      <c r="NN294"/>
      <c r="NO294"/>
      <c r="NP294"/>
      <c r="NQ294"/>
      <c r="NR294"/>
      <c r="NS294"/>
      <c r="NT294"/>
      <c r="NU294"/>
      <c r="NV294"/>
      <c r="NW294"/>
      <c r="NX294"/>
      <c r="NY294"/>
      <c r="NZ294"/>
      <c r="OA294"/>
      <c r="OB294"/>
      <c r="OC294"/>
      <c r="OD294"/>
      <c r="OE294"/>
      <c r="OF294"/>
      <c r="OG294"/>
      <c r="OH294"/>
      <c r="OI294"/>
      <c r="OJ294"/>
      <c r="OK294"/>
      <c r="OL294"/>
      <c r="OM294"/>
      <c r="ON294"/>
      <c r="OO294"/>
      <c r="OP294"/>
      <c r="OQ294"/>
      <c r="OR294"/>
      <c r="OS294"/>
      <c r="OT294"/>
      <c r="OU294"/>
      <c r="OV294"/>
      <c r="OW294"/>
      <c r="OX294"/>
      <c r="OY294"/>
      <c r="OZ294"/>
      <c r="PA294"/>
      <c r="PB294"/>
      <c r="PC294"/>
      <c r="PD294"/>
      <c r="PE294"/>
      <c r="PF294"/>
      <c r="PG294"/>
      <c r="PH294"/>
      <c r="PI294"/>
      <c r="PJ294"/>
      <c r="PK294"/>
      <c r="PL294"/>
      <c r="PM294"/>
      <c r="PN294"/>
      <c r="PO294"/>
      <c r="PP294"/>
      <c r="PQ294"/>
      <c r="PR294"/>
      <c r="PS294"/>
      <c r="PT294"/>
      <c r="PU294"/>
      <c r="PV294"/>
      <c r="PW294"/>
      <c r="PX294"/>
      <c r="PY294"/>
      <c r="PZ294"/>
      <c r="QA294"/>
      <c r="QB294"/>
      <c r="QC294"/>
      <c r="QD294"/>
      <c r="QE294"/>
      <c r="QF294"/>
      <c r="QG294"/>
      <c r="QH294"/>
      <c r="QI294"/>
      <c r="QJ294"/>
      <c r="QK294"/>
      <c r="QL294"/>
      <c r="QM294"/>
      <c r="QN294"/>
      <c r="QO294"/>
      <c r="QP294"/>
      <c r="QQ294"/>
      <c r="QR294"/>
      <c r="QS294"/>
      <c r="QT294"/>
      <c r="QU294"/>
      <c r="QV294"/>
      <c r="QW294"/>
      <c r="QX294"/>
    </row>
    <row r="295" spans="1:466" x14ac:dyDescent="0.35">
      <c r="A295" s="53"/>
      <c r="B295" s="53"/>
      <c r="C295" s="55"/>
      <c r="D295" s="53"/>
      <c r="E295" s="53"/>
      <c r="F295" s="126" t="s">
        <v>521</v>
      </c>
      <c r="G295" s="125"/>
      <c r="H295" s="125">
        <v>0</v>
      </c>
      <c r="I295" s="133">
        <v>0</v>
      </c>
      <c r="J295" s="53"/>
      <c r="K295" s="53"/>
      <c r="L295" s="53"/>
      <c r="M295" s="53"/>
      <c r="N295" s="53"/>
      <c r="O295" s="53"/>
      <c r="P295" s="53"/>
      <c r="Q295" s="53"/>
      <c r="R295" s="53"/>
      <c r="S295" s="53"/>
      <c r="T295" s="53"/>
      <c r="U295" s="53"/>
      <c r="V295" s="53"/>
      <c r="W295" s="53"/>
      <c r="X295" s="53"/>
      <c r="Y295" s="53"/>
      <c r="Z295" s="53"/>
      <c r="AA295" s="53"/>
      <c r="AB295" s="53"/>
      <c r="AC295" s="53"/>
      <c r="AD295" s="53"/>
      <c r="AE295" s="53"/>
      <c r="AF295" s="63"/>
      <c r="AG295" s="64"/>
      <c r="AH295" s="65"/>
      <c r="AI295" s="65"/>
      <c r="AJ295" s="53"/>
      <c r="AK295" s="62"/>
      <c r="AL295" s="62"/>
      <c r="AM295" s="62"/>
      <c r="AN295" s="62"/>
      <c r="AO295" s="62"/>
      <c r="AP295" s="62"/>
      <c r="AQ295" s="62"/>
      <c r="AR295" s="62"/>
      <c r="AS295" s="62"/>
      <c r="AT295" s="62"/>
      <c r="AU295" s="62"/>
      <c r="AV295" s="62"/>
      <c r="AW295" s="62"/>
      <c r="AX295" s="62"/>
      <c r="AY295" s="62"/>
      <c r="AZ295" s="62"/>
      <c r="BA295" s="62"/>
      <c r="BB295" s="62"/>
      <c r="BC295" s="62"/>
      <c r="BD295" s="62"/>
      <c r="BE295" s="62"/>
      <c r="BF295" s="62"/>
      <c r="BG295" s="62"/>
      <c r="BH295" s="62"/>
      <c r="BI295" s="62"/>
      <c r="BJ295" s="62"/>
      <c r="BK295" s="62"/>
      <c r="BL295" s="62"/>
      <c r="BM295" s="62"/>
      <c r="BN295" s="62"/>
      <c r="BO295" s="62"/>
      <c r="BP295" s="62"/>
      <c r="BQ295" s="62"/>
      <c r="BR295" s="62"/>
      <c r="BS295" s="62"/>
      <c r="BT295" s="62"/>
      <c r="BU295" s="62"/>
      <c r="BV295" s="62"/>
      <c r="BW295" s="62"/>
      <c r="BX295" s="62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  <c r="HB295"/>
      <c r="HC295"/>
      <c r="HD295"/>
      <c r="HE295"/>
      <c r="HF295"/>
      <c r="HG295"/>
      <c r="HH295"/>
      <c r="HI295"/>
      <c r="HJ295"/>
      <c r="HK295"/>
      <c r="HL295"/>
      <c r="HM295"/>
      <c r="HN295"/>
      <c r="HO295"/>
      <c r="HP295"/>
      <c r="HQ295"/>
      <c r="HR295"/>
      <c r="HS295"/>
      <c r="HT295"/>
      <c r="HU295"/>
      <c r="HV295"/>
      <c r="HW295"/>
      <c r="HX295"/>
      <c r="HY295"/>
      <c r="HZ295"/>
      <c r="IA295"/>
      <c r="IB295"/>
      <c r="IC295"/>
      <c r="ID295"/>
      <c r="IE295"/>
      <c r="IF295"/>
      <c r="IG295"/>
      <c r="IH295"/>
      <c r="II295"/>
      <c r="IJ295"/>
      <c r="IK295"/>
      <c r="IL295"/>
      <c r="IM295"/>
      <c r="IN295"/>
      <c r="IO295"/>
      <c r="IP295"/>
      <c r="IQ295"/>
      <c r="IR295"/>
      <c r="IS295"/>
      <c r="IT295"/>
      <c r="IU295"/>
      <c r="IV295"/>
      <c r="IW295"/>
      <c r="IX295"/>
      <c r="IY295"/>
      <c r="IZ295"/>
      <c r="JA295"/>
      <c r="JB295"/>
      <c r="JC295"/>
      <c r="JD295"/>
      <c r="JE295"/>
      <c r="JF295"/>
      <c r="JG295"/>
      <c r="JH295"/>
      <c r="JI295"/>
      <c r="JJ295"/>
      <c r="JK295"/>
      <c r="JL295"/>
      <c r="JM295"/>
      <c r="JN295"/>
      <c r="JO295"/>
      <c r="JP295"/>
      <c r="JQ295"/>
      <c r="JR295"/>
      <c r="JS295"/>
      <c r="JT295"/>
      <c r="JU295"/>
      <c r="JV295"/>
      <c r="JW295"/>
      <c r="JX295"/>
      <c r="JY295"/>
      <c r="JZ295"/>
      <c r="KA295"/>
      <c r="KB295"/>
      <c r="KC295"/>
      <c r="KD295"/>
      <c r="KE295"/>
      <c r="KF295"/>
      <c r="KG295"/>
      <c r="KH295"/>
      <c r="KI295"/>
      <c r="KJ295"/>
      <c r="KK295"/>
      <c r="KL295"/>
      <c r="KM295"/>
      <c r="KN295"/>
      <c r="KO295"/>
      <c r="KP295"/>
      <c r="KQ295"/>
      <c r="KR295"/>
      <c r="KS295"/>
      <c r="KT295"/>
      <c r="KU295"/>
      <c r="KV295"/>
      <c r="KW295"/>
      <c r="KX295"/>
      <c r="KY295"/>
      <c r="KZ295"/>
      <c r="LA295"/>
      <c r="LB295"/>
      <c r="LC295"/>
      <c r="LD295"/>
      <c r="LE295"/>
      <c r="LF295"/>
      <c r="LG295"/>
      <c r="LH295"/>
      <c r="LI295"/>
      <c r="LJ295"/>
      <c r="LK295"/>
      <c r="LL295"/>
      <c r="LM295"/>
      <c r="LN295"/>
      <c r="LO295"/>
      <c r="LP295"/>
      <c r="LQ295"/>
      <c r="LR295"/>
      <c r="LS295"/>
      <c r="LT295"/>
      <c r="LU295"/>
      <c r="LV295"/>
      <c r="LW295"/>
      <c r="LX295"/>
      <c r="LY295"/>
      <c r="LZ295"/>
      <c r="MA295"/>
      <c r="MB295"/>
      <c r="MC295"/>
      <c r="MD295"/>
      <c r="ME295"/>
      <c r="MF295"/>
      <c r="MG295"/>
      <c r="MH295"/>
      <c r="MI295"/>
      <c r="MJ295"/>
      <c r="MK295"/>
      <c r="ML295"/>
      <c r="MM295"/>
      <c r="MN295"/>
      <c r="MO295"/>
      <c r="MP295"/>
      <c r="MQ295"/>
      <c r="MR295"/>
      <c r="MS295"/>
      <c r="MT295"/>
      <c r="MU295"/>
      <c r="MV295"/>
      <c r="MW295"/>
      <c r="MX295"/>
      <c r="MY295"/>
      <c r="MZ295"/>
      <c r="NA295"/>
      <c r="NB295"/>
      <c r="NC295"/>
      <c r="ND295"/>
      <c r="NE295"/>
      <c r="NF295"/>
      <c r="NG295"/>
      <c r="NH295"/>
      <c r="NI295"/>
      <c r="NJ295"/>
      <c r="NK295"/>
      <c r="NL295"/>
      <c r="NM295"/>
      <c r="NN295"/>
      <c r="NO295"/>
      <c r="NP295"/>
      <c r="NQ295"/>
      <c r="NR295"/>
      <c r="NS295"/>
      <c r="NT295"/>
      <c r="NU295"/>
      <c r="NV295"/>
      <c r="NW295"/>
      <c r="NX295"/>
      <c r="NY295"/>
      <c r="NZ295"/>
      <c r="OA295"/>
      <c r="OB295"/>
      <c r="OC295"/>
      <c r="OD295"/>
      <c r="OE295"/>
      <c r="OF295"/>
      <c r="OG295"/>
      <c r="OH295"/>
      <c r="OI295"/>
      <c r="OJ295"/>
      <c r="OK295"/>
      <c r="OL295"/>
      <c r="OM295"/>
      <c r="ON295"/>
      <c r="OO295"/>
      <c r="OP295"/>
      <c r="OQ295"/>
      <c r="OR295"/>
      <c r="OS295"/>
      <c r="OT295"/>
      <c r="OU295"/>
      <c r="OV295"/>
      <c r="OW295"/>
      <c r="OX295"/>
      <c r="OY295"/>
      <c r="OZ295"/>
      <c r="PA295"/>
      <c r="PB295"/>
      <c r="PC295"/>
      <c r="PD295"/>
      <c r="PE295"/>
      <c r="PF295"/>
      <c r="PG295"/>
      <c r="PH295"/>
      <c r="PI295"/>
      <c r="PJ295"/>
      <c r="PK295"/>
      <c r="PL295"/>
      <c r="PM295"/>
      <c r="PN295"/>
      <c r="PO295"/>
      <c r="PP295"/>
      <c r="PQ295"/>
      <c r="PR295"/>
      <c r="PS295"/>
      <c r="PT295"/>
      <c r="PU295"/>
      <c r="PV295"/>
      <c r="PW295"/>
      <c r="PX295"/>
      <c r="PY295"/>
      <c r="PZ295"/>
      <c r="QA295"/>
      <c r="QB295"/>
      <c r="QC295"/>
      <c r="QD295"/>
      <c r="QE295"/>
      <c r="QF295"/>
      <c r="QG295"/>
      <c r="QH295"/>
      <c r="QI295"/>
      <c r="QJ295"/>
      <c r="QK295"/>
      <c r="QL295"/>
      <c r="QM295"/>
      <c r="QN295"/>
      <c r="QO295"/>
      <c r="QP295"/>
      <c r="QQ295"/>
      <c r="QR295"/>
      <c r="QS295"/>
      <c r="QT295"/>
      <c r="QU295"/>
      <c r="QV295"/>
      <c r="QW295"/>
      <c r="QX295"/>
    </row>
    <row r="296" spans="1:466" x14ac:dyDescent="0.35">
      <c r="A296" s="53"/>
      <c r="B296" s="53"/>
      <c r="C296" s="55"/>
      <c r="D296" s="53"/>
      <c r="E296" s="53"/>
      <c r="F296" s="126" t="s">
        <v>512</v>
      </c>
      <c r="G296" s="125"/>
      <c r="H296" s="125">
        <v>0</v>
      </c>
      <c r="I296" s="133">
        <v>0</v>
      </c>
      <c r="J296" s="53"/>
      <c r="K296" s="53"/>
      <c r="L296" s="53"/>
      <c r="M296" s="53"/>
      <c r="N296" s="53"/>
      <c r="O296" s="53"/>
      <c r="P296" s="53"/>
      <c r="Q296" s="53"/>
      <c r="R296" s="53"/>
      <c r="S296" s="53"/>
      <c r="T296" s="53"/>
      <c r="U296" s="53"/>
      <c r="V296" s="53"/>
      <c r="W296" s="53"/>
      <c r="X296" s="53"/>
      <c r="Y296" s="53"/>
      <c r="Z296" s="53"/>
      <c r="AA296" s="53"/>
      <c r="AB296" s="53"/>
      <c r="AC296" s="53"/>
      <c r="AD296" s="53"/>
      <c r="AE296" s="53"/>
      <c r="AF296" s="63"/>
      <c r="AG296" s="64"/>
      <c r="AH296" s="65"/>
      <c r="AI296" s="65"/>
      <c r="AJ296" s="53"/>
      <c r="AK296" s="62"/>
      <c r="AL296" s="62"/>
      <c r="AM296" s="62"/>
      <c r="AN296" s="62"/>
      <c r="AO296" s="62"/>
      <c r="AP296" s="62"/>
      <c r="AQ296" s="62"/>
      <c r="AR296" s="62"/>
      <c r="AS296" s="62"/>
      <c r="AT296" s="62"/>
      <c r="AU296" s="62"/>
      <c r="AV296" s="62"/>
      <c r="AW296" s="62"/>
      <c r="AX296" s="62"/>
      <c r="AY296" s="62"/>
      <c r="AZ296" s="62"/>
      <c r="BA296" s="62"/>
      <c r="BB296" s="62"/>
      <c r="BC296" s="62"/>
      <c r="BD296" s="62"/>
      <c r="BE296" s="62"/>
      <c r="BF296" s="62"/>
      <c r="BG296" s="62"/>
      <c r="BH296" s="62"/>
      <c r="BI296" s="62"/>
      <c r="BJ296" s="62"/>
      <c r="BK296" s="62"/>
      <c r="BL296" s="62"/>
      <c r="BM296" s="62"/>
      <c r="BN296" s="62"/>
      <c r="BO296" s="62"/>
      <c r="BP296" s="62"/>
      <c r="BQ296" s="62"/>
      <c r="BR296" s="62"/>
      <c r="BS296" s="62"/>
      <c r="BT296" s="62"/>
      <c r="BU296" s="62"/>
      <c r="BV296" s="62"/>
      <c r="BW296" s="62"/>
      <c r="BX296" s="62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  <c r="HB296"/>
      <c r="HC296"/>
      <c r="HD296"/>
      <c r="HE296"/>
      <c r="HF296"/>
      <c r="HG296"/>
      <c r="HH296"/>
      <c r="HI296"/>
      <c r="HJ296"/>
      <c r="HK296"/>
      <c r="HL296"/>
      <c r="HM296"/>
      <c r="HN296"/>
      <c r="HO296"/>
      <c r="HP296"/>
      <c r="HQ296"/>
      <c r="HR296"/>
      <c r="HS296"/>
      <c r="HT296"/>
      <c r="HU296"/>
      <c r="HV296"/>
      <c r="HW296"/>
      <c r="HX296"/>
      <c r="HY296"/>
      <c r="HZ296"/>
      <c r="IA296"/>
      <c r="IB296"/>
      <c r="IC296"/>
      <c r="ID296"/>
      <c r="IE296"/>
      <c r="IF296"/>
      <c r="IG296"/>
      <c r="IH296"/>
      <c r="II296"/>
      <c r="IJ296"/>
      <c r="IK296"/>
      <c r="IL296"/>
      <c r="IM296"/>
      <c r="IN296"/>
      <c r="IO296"/>
      <c r="IP296"/>
      <c r="IQ296"/>
      <c r="IR296"/>
      <c r="IS296"/>
      <c r="IT296"/>
      <c r="IU296"/>
      <c r="IV296"/>
      <c r="IW296"/>
      <c r="IX296"/>
      <c r="IY296"/>
      <c r="IZ296"/>
      <c r="JA296"/>
      <c r="JB296"/>
      <c r="JC296"/>
      <c r="JD296"/>
      <c r="JE296"/>
      <c r="JF296"/>
      <c r="JG296"/>
      <c r="JH296"/>
      <c r="JI296"/>
      <c r="JJ296"/>
      <c r="JK296"/>
      <c r="JL296"/>
      <c r="JM296"/>
      <c r="JN296"/>
      <c r="JO296"/>
      <c r="JP296"/>
      <c r="JQ296"/>
      <c r="JR296"/>
      <c r="JS296"/>
      <c r="JT296"/>
      <c r="JU296"/>
      <c r="JV296"/>
      <c r="JW296"/>
      <c r="JX296"/>
      <c r="JY296"/>
      <c r="JZ296"/>
      <c r="KA296"/>
      <c r="KB296"/>
      <c r="KC296"/>
      <c r="KD296"/>
      <c r="KE296"/>
      <c r="KF296"/>
      <c r="KG296"/>
      <c r="KH296"/>
      <c r="KI296"/>
      <c r="KJ296"/>
      <c r="KK296"/>
      <c r="KL296"/>
      <c r="KM296"/>
      <c r="KN296"/>
      <c r="KO296"/>
      <c r="KP296"/>
      <c r="KQ296"/>
      <c r="KR296"/>
      <c r="KS296"/>
      <c r="KT296"/>
      <c r="KU296"/>
      <c r="KV296"/>
      <c r="KW296"/>
      <c r="KX296"/>
      <c r="KY296"/>
      <c r="KZ296"/>
      <c r="LA296"/>
      <c r="LB296"/>
      <c r="LC296"/>
      <c r="LD296"/>
      <c r="LE296"/>
      <c r="LF296"/>
      <c r="LG296"/>
      <c r="LH296"/>
      <c r="LI296"/>
      <c r="LJ296"/>
      <c r="LK296"/>
      <c r="LL296"/>
      <c r="LM296"/>
      <c r="LN296"/>
      <c r="LO296"/>
      <c r="LP296"/>
      <c r="LQ296"/>
      <c r="LR296"/>
      <c r="LS296"/>
      <c r="LT296"/>
      <c r="LU296"/>
      <c r="LV296"/>
      <c r="LW296"/>
      <c r="LX296"/>
      <c r="LY296"/>
      <c r="LZ296"/>
      <c r="MA296"/>
      <c r="MB296"/>
      <c r="MC296"/>
      <c r="MD296"/>
      <c r="ME296"/>
      <c r="MF296"/>
      <c r="MG296"/>
      <c r="MH296"/>
      <c r="MI296"/>
      <c r="MJ296"/>
      <c r="MK296"/>
      <c r="ML296"/>
      <c r="MM296"/>
      <c r="MN296"/>
      <c r="MO296"/>
      <c r="MP296"/>
      <c r="MQ296"/>
      <c r="MR296"/>
      <c r="MS296"/>
      <c r="MT296"/>
      <c r="MU296"/>
      <c r="MV296"/>
      <c r="MW296"/>
      <c r="MX296"/>
      <c r="MY296"/>
      <c r="MZ296"/>
      <c r="NA296"/>
      <c r="NB296"/>
      <c r="NC296"/>
      <c r="ND296"/>
      <c r="NE296"/>
      <c r="NF296"/>
      <c r="NG296"/>
      <c r="NH296"/>
      <c r="NI296"/>
      <c r="NJ296"/>
      <c r="NK296"/>
      <c r="NL296"/>
      <c r="NM296"/>
      <c r="NN296"/>
      <c r="NO296"/>
      <c r="NP296"/>
      <c r="NQ296"/>
      <c r="NR296"/>
      <c r="NS296"/>
      <c r="NT296"/>
      <c r="NU296"/>
      <c r="NV296"/>
      <c r="NW296"/>
      <c r="NX296"/>
      <c r="NY296"/>
      <c r="NZ296"/>
      <c r="OA296"/>
      <c r="OB296"/>
      <c r="OC296"/>
      <c r="OD296"/>
      <c r="OE296"/>
      <c r="OF296"/>
      <c r="OG296"/>
      <c r="OH296"/>
      <c r="OI296"/>
      <c r="OJ296"/>
      <c r="OK296"/>
      <c r="OL296"/>
      <c r="OM296"/>
      <c r="ON296"/>
      <c r="OO296"/>
      <c r="OP296"/>
      <c r="OQ296"/>
      <c r="OR296"/>
      <c r="OS296"/>
      <c r="OT296"/>
      <c r="OU296"/>
      <c r="OV296"/>
      <c r="OW296"/>
      <c r="OX296"/>
      <c r="OY296"/>
      <c r="OZ296"/>
      <c r="PA296"/>
      <c r="PB296"/>
      <c r="PC296"/>
      <c r="PD296"/>
      <c r="PE296"/>
      <c r="PF296"/>
      <c r="PG296"/>
      <c r="PH296"/>
      <c r="PI296"/>
      <c r="PJ296"/>
      <c r="PK296"/>
      <c r="PL296"/>
      <c r="PM296"/>
      <c r="PN296"/>
      <c r="PO296"/>
      <c r="PP296"/>
      <c r="PQ296"/>
      <c r="PR296"/>
      <c r="PS296"/>
      <c r="PT296"/>
      <c r="PU296"/>
      <c r="PV296"/>
      <c r="PW296"/>
      <c r="PX296"/>
      <c r="PY296"/>
      <c r="PZ296"/>
      <c r="QA296"/>
      <c r="QB296"/>
      <c r="QC296"/>
      <c r="QD296"/>
      <c r="QE296"/>
      <c r="QF296"/>
      <c r="QG296"/>
      <c r="QH296"/>
      <c r="QI296"/>
      <c r="QJ296"/>
      <c r="QK296"/>
      <c r="QL296"/>
      <c r="QM296"/>
      <c r="QN296"/>
      <c r="QO296"/>
      <c r="QP296"/>
      <c r="QQ296"/>
      <c r="QR296"/>
      <c r="QS296"/>
      <c r="QT296"/>
      <c r="QU296"/>
      <c r="QV296"/>
      <c r="QW296"/>
      <c r="QX296"/>
    </row>
    <row r="297" spans="1:466" x14ac:dyDescent="0.35">
      <c r="A297" s="53"/>
      <c r="B297" s="53"/>
      <c r="C297" s="55"/>
      <c r="D297" s="53"/>
      <c r="E297" s="53"/>
      <c r="F297" s="126" t="s">
        <v>516</v>
      </c>
      <c r="G297" s="125">
        <v>1300</v>
      </c>
      <c r="H297" s="125">
        <v>2600</v>
      </c>
      <c r="I297" s="133">
        <v>2</v>
      </c>
      <c r="J297" s="53"/>
      <c r="K297" s="53"/>
      <c r="L297" s="53"/>
      <c r="M297" s="53"/>
      <c r="N297" s="53"/>
      <c r="O297" s="53"/>
      <c r="P297" s="53"/>
      <c r="Q297" s="53"/>
      <c r="R297" s="53"/>
      <c r="S297" s="53"/>
      <c r="T297" s="53"/>
      <c r="U297" s="53"/>
      <c r="V297" s="53"/>
      <c r="W297" s="53"/>
      <c r="X297" s="53"/>
      <c r="Y297" s="53"/>
      <c r="Z297" s="53"/>
      <c r="AA297" s="53"/>
      <c r="AB297" s="53"/>
      <c r="AC297" s="53"/>
      <c r="AD297" s="53"/>
      <c r="AE297" s="53"/>
      <c r="AF297" s="63"/>
      <c r="AG297" s="64"/>
      <c r="AH297" s="65"/>
      <c r="AI297" s="65"/>
      <c r="AJ297" s="53"/>
      <c r="AK297" s="62"/>
      <c r="AL297" s="62"/>
      <c r="AM297" s="62"/>
      <c r="AN297" s="62"/>
      <c r="AO297" s="62"/>
      <c r="AP297" s="62"/>
      <c r="AQ297" s="62"/>
      <c r="AR297" s="62"/>
      <c r="AS297" s="62"/>
      <c r="AT297" s="62"/>
      <c r="AU297" s="62"/>
      <c r="AV297" s="62"/>
      <c r="AW297" s="62"/>
      <c r="AX297" s="62"/>
      <c r="AY297" s="62"/>
      <c r="AZ297" s="62"/>
      <c r="BA297" s="62"/>
      <c r="BB297" s="62"/>
      <c r="BC297" s="62"/>
      <c r="BD297" s="62"/>
      <c r="BE297" s="62"/>
      <c r="BF297" s="62"/>
      <c r="BG297" s="62"/>
      <c r="BH297" s="62"/>
      <c r="BI297" s="62"/>
      <c r="BJ297" s="62"/>
      <c r="BK297" s="62"/>
      <c r="BL297" s="62"/>
      <c r="BM297" s="62"/>
      <c r="BN297" s="62"/>
      <c r="BO297" s="62"/>
      <c r="BP297" s="62"/>
      <c r="BQ297" s="62"/>
      <c r="BR297" s="62"/>
      <c r="BS297" s="62"/>
      <c r="BT297" s="62"/>
      <c r="BU297" s="62"/>
      <c r="BV297" s="62"/>
      <c r="BW297" s="62"/>
      <c r="BX297" s="62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  <c r="HB297"/>
      <c r="HC297"/>
      <c r="HD297"/>
      <c r="HE297"/>
      <c r="HF297"/>
      <c r="HG297"/>
      <c r="HH297"/>
      <c r="HI297"/>
      <c r="HJ297"/>
      <c r="HK297"/>
      <c r="HL297"/>
      <c r="HM297"/>
      <c r="HN297"/>
      <c r="HO297"/>
      <c r="HP297"/>
      <c r="HQ297"/>
      <c r="HR297"/>
      <c r="HS297"/>
      <c r="HT297"/>
      <c r="HU297"/>
      <c r="HV297"/>
      <c r="HW297"/>
      <c r="HX297"/>
      <c r="HY297"/>
      <c r="HZ297"/>
      <c r="IA297"/>
      <c r="IB297"/>
      <c r="IC297"/>
      <c r="ID297"/>
      <c r="IE297"/>
      <c r="IF297"/>
      <c r="IG297"/>
      <c r="IH297"/>
      <c r="II297"/>
      <c r="IJ297"/>
      <c r="IK297"/>
      <c r="IL297"/>
      <c r="IM297"/>
      <c r="IN297"/>
      <c r="IO297"/>
      <c r="IP297"/>
      <c r="IQ297"/>
      <c r="IR297"/>
      <c r="IS297"/>
      <c r="IT297"/>
      <c r="IU297"/>
      <c r="IV297"/>
      <c r="IW297"/>
      <c r="IX297"/>
      <c r="IY297"/>
      <c r="IZ297"/>
      <c r="JA297"/>
      <c r="JB297"/>
      <c r="JC297"/>
      <c r="JD297"/>
      <c r="JE297"/>
      <c r="JF297"/>
      <c r="JG297"/>
      <c r="JH297"/>
      <c r="JI297"/>
      <c r="JJ297"/>
      <c r="JK297"/>
      <c r="JL297"/>
      <c r="JM297"/>
      <c r="JN297"/>
      <c r="JO297"/>
      <c r="JP297"/>
      <c r="JQ297"/>
      <c r="JR297"/>
      <c r="JS297"/>
      <c r="JT297"/>
      <c r="JU297"/>
      <c r="JV297"/>
      <c r="JW297"/>
      <c r="JX297"/>
      <c r="JY297"/>
      <c r="JZ297"/>
      <c r="KA297"/>
      <c r="KB297"/>
      <c r="KC297"/>
      <c r="KD297"/>
      <c r="KE297"/>
      <c r="KF297"/>
      <c r="KG297"/>
      <c r="KH297"/>
      <c r="KI297"/>
      <c r="KJ297"/>
      <c r="KK297"/>
      <c r="KL297"/>
      <c r="KM297"/>
      <c r="KN297"/>
      <c r="KO297"/>
      <c r="KP297"/>
      <c r="KQ297"/>
      <c r="KR297"/>
      <c r="KS297"/>
      <c r="KT297"/>
      <c r="KU297"/>
      <c r="KV297"/>
      <c r="KW297"/>
      <c r="KX297"/>
      <c r="KY297"/>
      <c r="KZ297"/>
      <c r="LA297"/>
      <c r="LB297"/>
      <c r="LC297"/>
      <c r="LD297"/>
      <c r="LE297"/>
      <c r="LF297"/>
      <c r="LG297"/>
      <c r="LH297"/>
      <c r="LI297"/>
      <c r="LJ297"/>
      <c r="LK297"/>
      <c r="LL297"/>
      <c r="LM297"/>
      <c r="LN297"/>
      <c r="LO297"/>
      <c r="LP297"/>
      <c r="LQ297"/>
      <c r="LR297"/>
      <c r="LS297"/>
      <c r="LT297"/>
      <c r="LU297"/>
      <c r="LV297"/>
      <c r="LW297"/>
      <c r="LX297"/>
      <c r="LY297"/>
      <c r="LZ297"/>
      <c r="MA297"/>
      <c r="MB297"/>
      <c r="MC297"/>
      <c r="MD297"/>
      <c r="ME297"/>
      <c r="MF297"/>
      <c r="MG297"/>
      <c r="MH297"/>
      <c r="MI297"/>
      <c r="MJ297"/>
      <c r="MK297"/>
      <c r="ML297"/>
      <c r="MM297"/>
      <c r="MN297"/>
      <c r="MO297"/>
      <c r="MP297"/>
      <c r="MQ297"/>
      <c r="MR297"/>
      <c r="MS297"/>
      <c r="MT297"/>
      <c r="MU297"/>
      <c r="MV297"/>
      <c r="MW297"/>
      <c r="MX297"/>
      <c r="MY297"/>
      <c r="MZ297"/>
      <c r="NA297"/>
      <c r="NB297"/>
      <c r="NC297"/>
      <c r="ND297"/>
      <c r="NE297"/>
      <c r="NF297"/>
      <c r="NG297"/>
      <c r="NH297"/>
      <c r="NI297"/>
      <c r="NJ297"/>
      <c r="NK297"/>
      <c r="NL297"/>
      <c r="NM297"/>
      <c r="NN297"/>
      <c r="NO297"/>
      <c r="NP297"/>
      <c r="NQ297"/>
      <c r="NR297"/>
      <c r="NS297"/>
      <c r="NT297"/>
      <c r="NU297"/>
      <c r="NV297"/>
      <c r="NW297"/>
      <c r="NX297"/>
      <c r="NY297"/>
      <c r="NZ297"/>
      <c r="OA297"/>
      <c r="OB297"/>
      <c r="OC297"/>
      <c r="OD297"/>
      <c r="OE297"/>
      <c r="OF297"/>
      <c r="OG297"/>
      <c r="OH297"/>
      <c r="OI297"/>
      <c r="OJ297"/>
      <c r="OK297"/>
      <c r="OL297"/>
      <c r="OM297"/>
      <c r="ON297"/>
      <c r="OO297"/>
      <c r="OP297"/>
      <c r="OQ297"/>
      <c r="OR297"/>
      <c r="OS297"/>
      <c r="OT297"/>
      <c r="OU297"/>
      <c r="OV297"/>
      <c r="OW297"/>
      <c r="OX297"/>
      <c r="OY297"/>
      <c r="OZ297"/>
      <c r="PA297"/>
      <c r="PB297"/>
      <c r="PC297"/>
      <c r="PD297"/>
      <c r="PE297"/>
      <c r="PF297"/>
      <c r="PG297"/>
      <c r="PH297"/>
      <c r="PI297"/>
      <c r="PJ297"/>
      <c r="PK297"/>
      <c r="PL297"/>
      <c r="PM297"/>
      <c r="PN297"/>
      <c r="PO297"/>
      <c r="PP297"/>
      <c r="PQ297"/>
      <c r="PR297"/>
      <c r="PS297"/>
      <c r="PT297"/>
      <c r="PU297"/>
      <c r="PV297"/>
      <c r="PW297"/>
      <c r="PX297"/>
      <c r="PY297"/>
      <c r="PZ297"/>
      <c r="QA297"/>
      <c r="QB297"/>
      <c r="QC297"/>
      <c r="QD297"/>
      <c r="QE297"/>
      <c r="QF297"/>
      <c r="QG297"/>
      <c r="QH297"/>
      <c r="QI297"/>
      <c r="QJ297"/>
      <c r="QK297"/>
      <c r="QL297"/>
      <c r="QM297"/>
      <c r="QN297"/>
      <c r="QO297"/>
      <c r="QP297"/>
      <c r="QQ297"/>
      <c r="QR297"/>
      <c r="QS297"/>
      <c r="QT297"/>
      <c r="QU297"/>
      <c r="QV297"/>
      <c r="QW297"/>
      <c r="QX297"/>
    </row>
    <row r="298" spans="1:466" x14ac:dyDescent="0.35">
      <c r="A298" s="53"/>
      <c r="B298" s="53"/>
      <c r="C298" s="55"/>
      <c r="D298" s="53"/>
      <c r="E298" s="53"/>
      <c r="F298" s="124" t="s">
        <v>525</v>
      </c>
      <c r="G298" s="125"/>
      <c r="H298" s="125">
        <v>0</v>
      </c>
      <c r="I298" s="133">
        <v>0</v>
      </c>
      <c r="J298" s="53"/>
      <c r="K298" s="53"/>
      <c r="L298" s="53"/>
      <c r="M298" s="53"/>
      <c r="N298" s="53"/>
      <c r="O298" s="53"/>
      <c r="P298" s="53"/>
      <c r="Q298" s="53"/>
      <c r="R298" s="53"/>
      <c r="S298" s="53"/>
      <c r="T298" s="53"/>
      <c r="U298" s="53"/>
      <c r="V298" s="53"/>
      <c r="W298" s="53"/>
      <c r="X298" s="53"/>
      <c r="Y298" s="53"/>
      <c r="Z298" s="53"/>
      <c r="AA298" s="53"/>
      <c r="AB298" s="53"/>
      <c r="AC298" s="53"/>
      <c r="AD298" s="53"/>
      <c r="AE298" s="53"/>
      <c r="AF298" s="63"/>
      <c r="AG298" s="64"/>
      <c r="AH298" s="65"/>
      <c r="AI298" s="65"/>
      <c r="AJ298" s="53"/>
      <c r="AK298" s="62"/>
      <c r="AL298" s="62"/>
      <c r="AM298" s="62"/>
      <c r="AN298" s="62"/>
      <c r="AO298" s="62"/>
      <c r="AP298" s="62"/>
      <c r="AQ298" s="62"/>
      <c r="AR298" s="62"/>
      <c r="AS298" s="62"/>
      <c r="AT298" s="62"/>
      <c r="AU298" s="62"/>
      <c r="AV298" s="62"/>
      <c r="AW298" s="62"/>
      <c r="AX298" s="62"/>
      <c r="AY298" s="62"/>
      <c r="AZ298" s="62"/>
      <c r="BA298" s="62"/>
      <c r="BB298" s="62"/>
      <c r="BC298" s="62"/>
      <c r="BD298" s="62"/>
      <c r="BE298" s="62"/>
      <c r="BF298" s="62"/>
      <c r="BG298" s="62"/>
      <c r="BH298" s="62"/>
      <c r="BI298" s="62"/>
      <c r="BJ298" s="62"/>
      <c r="BK298" s="62"/>
      <c r="BL298" s="62"/>
      <c r="BM298" s="62"/>
      <c r="BN298" s="62"/>
      <c r="BO298" s="62"/>
      <c r="BP298" s="62"/>
      <c r="BQ298" s="62"/>
      <c r="BR298" s="62"/>
      <c r="BS298" s="62"/>
      <c r="BT298" s="62"/>
      <c r="BU298" s="62"/>
      <c r="BV298" s="62"/>
      <c r="BW298" s="62"/>
      <c r="BX298" s="62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  <c r="HB298"/>
      <c r="HC298"/>
      <c r="HD298"/>
      <c r="HE298"/>
      <c r="HF298"/>
      <c r="HG298"/>
      <c r="HH298"/>
      <c r="HI298"/>
      <c r="HJ298"/>
      <c r="HK298"/>
      <c r="HL298"/>
      <c r="HM298"/>
      <c r="HN298"/>
      <c r="HO298"/>
      <c r="HP298"/>
      <c r="HQ298"/>
      <c r="HR298"/>
      <c r="HS298"/>
      <c r="HT298"/>
      <c r="HU298"/>
      <c r="HV298"/>
      <c r="HW298"/>
      <c r="HX298"/>
      <c r="HY298"/>
      <c r="HZ298"/>
      <c r="IA298"/>
      <c r="IB298"/>
      <c r="IC298"/>
      <c r="ID298"/>
      <c r="IE298"/>
      <c r="IF298"/>
      <c r="IG298"/>
      <c r="IH298"/>
      <c r="II298"/>
      <c r="IJ298"/>
      <c r="IK298"/>
      <c r="IL298"/>
      <c r="IM298"/>
      <c r="IN298"/>
      <c r="IO298"/>
      <c r="IP298"/>
      <c r="IQ298"/>
      <c r="IR298"/>
      <c r="IS298"/>
      <c r="IT298"/>
      <c r="IU298"/>
      <c r="IV298"/>
      <c r="IW298"/>
      <c r="IX298"/>
      <c r="IY298"/>
      <c r="IZ298"/>
      <c r="JA298"/>
      <c r="JB298"/>
      <c r="JC298"/>
      <c r="JD298"/>
      <c r="JE298"/>
      <c r="JF298"/>
      <c r="JG298"/>
      <c r="JH298"/>
      <c r="JI298"/>
      <c r="JJ298"/>
      <c r="JK298"/>
      <c r="JL298"/>
      <c r="JM298"/>
      <c r="JN298"/>
      <c r="JO298"/>
      <c r="JP298"/>
      <c r="JQ298"/>
      <c r="JR298"/>
      <c r="JS298"/>
      <c r="JT298"/>
      <c r="JU298"/>
      <c r="JV298"/>
      <c r="JW298"/>
      <c r="JX298"/>
      <c r="JY298"/>
      <c r="JZ298"/>
      <c r="KA298"/>
      <c r="KB298"/>
      <c r="KC298"/>
      <c r="KD298"/>
      <c r="KE298"/>
      <c r="KF298"/>
      <c r="KG298"/>
      <c r="KH298"/>
      <c r="KI298"/>
      <c r="KJ298"/>
      <c r="KK298"/>
      <c r="KL298"/>
      <c r="KM298"/>
      <c r="KN298"/>
      <c r="KO298"/>
      <c r="KP298"/>
      <c r="KQ298"/>
      <c r="KR298"/>
      <c r="KS298"/>
      <c r="KT298"/>
      <c r="KU298"/>
      <c r="KV298"/>
      <c r="KW298"/>
      <c r="KX298"/>
      <c r="KY298"/>
      <c r="KZ298"/>
      <c r="LA298"/>
      <c r="LB298"/>
      <c r="LC298"/>
      <c r="LD298"/>
      <c r="LE298"/>
      <c r="LF298"/>
      <c r="LG298"/>
      <c r="LH298"/>
      <c r="LI298"/>
      <c r="LJ298"/>
      <c r="LK298"/>
      <c r="LL298"/>
      <c r="LM298"/>
      <c r="LN298"/>
      <c r="LO298"/>
      <c r="LP298"/>
      <c r="LQ298"/>
      <c r="LR298"/>
      <c r="LS298"/>
      <c r="LT298"/>
      <c r="LU298"/>
      <c r="LV298"/>
      <c r="LW298"/>
      <c r="LX298"/>
      <c r="LY298"/>
      <c r="LZ298"/>
      <c r="MA298"/>
      <c r="MB298"/>
      <c r="MC298"/>
      <c r="MD298"/>
      <c r="ME298"/>
      <c r="MF298"/>
      <c r="MG298"/>
      <c r="MH298"/>
      <c r="MI298"/>
      <c r="MJ298"/>
      <c r="MK298"/>
      <c r="ML298"/>
      <c r="MM298"/>
      <c r="MN298"/>
      <c r="MO298"/>
      <c r="MP298"/>
      <c r="MQ298"/>
      <c r="MR298"/>
      <c r="MS298"/>
      <c r="MT298"/>
      <c r="MU298"/>
      <c r="MV298"/>
      <c r="MW298"/>
      <c r="MX298"/>
      <c r="MY298"/>
      <c r="MZ298"/>
      <c r="NA298"/>
      <c r="NB298"/>
      <c r="NC298"/>
      <c r="ND298"/>
      <c r="NE298"/>
      <c r="NF298"/>
      <c r="NG298"/>
      <c r="NH298"/>
      <c r="NI298"/>
      <c r="NJ298"/>
      <c r="NK298"/>
      <c r="NL298"/>
      <c r="NM298"/>
      <c r="NN298"/>
      <c r="NO298"/>
      <c r="NP298"/>
      <c r="NQ298"/>
      <c r="NR298"/>
      <c r="NS298"/>
      <c r="NT298"/>
      <c r="NU298"/>
      <c r="NV298"/>
      <c r="NW298"/>
      <c r="NX298"/>
      <c r="NY298"/>
      <c r="NZ298"/>
      <c r="OA298"/>
      <c r="OB298"/>
      <c r="OC298"/>
      <c r="OD298"/>
      <c r="OE298"/>
      <c r="OF298"/>
      <c r="OG298"/>
      <c r="OH298"/>
      <c r="OI298"/>
      <c r="OJ298"/>
      <c r="OK298"/>
      <c r="OL298"/>
      <c r="OM298"/>
      <c r="ON298"/>
      <c r="OO298"/>
      <c r="OP298"/>
      <c r="OQ298"/>
      <c r="OR298"/>
      <c r="OS298"/>
      <c r="OT298"/>
      <c r="OU298"/>
      <c r="OV298"/>
      <c r="OW298"/>
      <c r="OX298"/>
      <c r="OY298"/>
      <c r="OZ298"/>
      <c r="PA298"/>
      <c r="PB298"/>
      <c r="PC298"/>
      <c r="PD298"/>
      <c r="PE298"/>
      <c r="PF298"/>
      <c r="PG298"/>
      <c r="PH298"/>
      <c r="PI298"/>
      <c r="PJ298"/>
      <c r="PK298"/>
      <c r="PL298"/>
      <c r="PM298"/>
      <c r="PN298"/>
      <c r="PO298"/>
      <c r="PP298"/>
      <c r="PQ298"/>
      <c r="PR298"/>
      <c r="PS298"/>
      <c r="PT298"/>
      <c r="PU298"/>
      <c r="PV298"/>
      <c r="PW298"/>
      <c r="PX298"/>
      <c r="PY298"/>
      <c r="PZ298"/>
      <c r="QA298"/>
      <c r="QB298"/>
      <c r="QC298"/>
      <c r="QD298"/>
      <c r="QE298"/>
      <c r="QF298"/>
      <c r="QG298"/>
      <c r="QH298"/>
      <c r="QI298"/>
      <c r="QJ298"/>
      <c r="QK298"/>
      <c r="QL298"/>
      <c r="QM298"/>
      <c r="QN298"/>
      <c r="QO298"/>
      <c r="QP298"/>
      <c r="QQ298"/>
      <c r="QR298"/>
      <c r="QS298"/>
      <c r="QT298"/>
      <c r="QU298"/>
      <c r="QV298"/>
      <c r="QW298"/>
      <c r="QX298"/>
    </row>
    <row r="299" spans="1:466" x14ac:dyDescent="0.35">
      <c r="A299" s="53"/>
      <c r="B299" s="53"/>
      <c r="C299" s="55"/>
      <c r="D299" s="53"/>
      <c r="E299" s="53"/>
      <c r="F299" s="126" t="s">
        <v>528</v>
      </c>
      <c r="G299" s="125"/>
      <c r="H299" s="125">
        <v>0</v>
      </c>
      <c r="I299" s="133">
        <v>0</v>
      </c>
      <c r="J299" s="53"/>
      <c r="K299" s="53"/>
      <c r="L299" s="53"/>
      <c r="M299" s="53"/>
      <c r="N299" s="53"/>
      <c r="O299" s="53"/>
      <c r="P299" s="53"/>
      <c r="Q299" s="53"/>
      <c r="R299" s="53"/>
      <c r="S299" s="53"/>
      <c r="T299" s="53"/>
      <c r="U299" s="53"/>
      <c r="V299" s="53"/>
      <c r="W299" s="53"/>
      <c r="X299" s="53"/>
      <c r="Y299" s="53"/>
      <c r="Z299" s="53"/>
      <c r="AA299" s="53"/>
      <c r="AB299" s="53"/>
      <c r="AC299" s="53"/>
      <c r="AD299" s="53"/>
      <c r="AE299" s="53"/>
      <c r="AF299" s="63"/>
      <c r="AG299" s="64"/>
      <c r="AH299" s="65"/>
      <c r="AI299" s="65"/>
      <c r="AJ299" s="53"/>
      <c r="AK299" s="62"/>
      <c r="AL299" s="62"/>
      <c r="AM299" s="62"/>
      <c r="AN299" s="62"/>
      <c r="AO299" s="62"/>
      <c r="AP299" s="62"/>
      <c r="AQ299" s="62"/>
      <c r="AR299" s="62"/>
      <c r="AS299" s="62"/>
      <c r="AT299" s="62"/>
      <c r="AU299" s="62"/>
      <c r="AV299" s="62"/>
      <c r="AW299" s="62"/>
      <c r="AX299" s="62"/>
      <c r="AY299" s="62"/>
      <c r="AZ299" s="62"/>
      <c r="BA299" s="62"/>
      <c r="BB299" s="62"/>
      <c r="BC299" s="62"/>
      <c r="BD299" s="62"/>
      <c r="BE299" s="62"/>
      <c r="BF299" s="62"/>
      <c r="BG299" s="62"/>
      <c r="BH299" s="62"/>
      <c r="BI299" s="62"/>
      <c r="BJ299" s="62"/>
      <c r="BK299" s="62"/>
      <c r="BL299" s="62"/>
      <c r="BM299" s="62"/>
      <c r="BN299" s="62"/>
      <c r="BO299" s="62"/>
      <c r="BP299" s="62"/>
      <c r="BQ299" s="62"/>
      <c r="BR299" s="62"/>
      <c r="BS299" s="62"/>
      <c r="BT299" s="62"/>
      <c r="BU299" s="62"/>
      <c r="BV299" s="62"/>
      <c r="BW299" s="62"/>
      <c r="BX299" s="62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  <c r="HB299"/>
      <c r="HC299"/>
      <c r="HD299"/>
      <c r="HE299"/>
      <c r="HF299"/>
      <c r="HG299"/>
      <c r="HH299"/>
      <c r="HI299"/>
      <c r="HJ299"/>
      <c r="HK299"/>
      <c r="HL299"/>
      <c r="HM299"/>
      <c r="HN299"/>
      <c r="HO299"/>
      <c r="HP299"/>
      <c r="HQ299"/>
      <c r="HR299"/>
      <c r="HS299"/>
      <c r="HT299"/>
      <c r="HU299"/>
      <c r="HV299"/>
      <c r="HW299"/>
      <c r="HX299"/>
      <c r="HY299"/>
      <c r="HZ299"/>
      <c r="IA299"/>
      <c r="IB299"/>
      <c r="IC299"/>
      <c r="ID299"/>
      <c r="IE299"/>
      <c r="IF299"/>
      <c r="IG299"/>
      <c r="IH299"/>
      <c r="II299"/>
      <c r="IJ299"/>
      <c r="IK299"/>
      <c r="IL299"/>
      <c r="IM299"/>
      <c r="IN299"/>
      <c r="IO299"/>
      <c r="IP299"/>
      <c r="IQ299"/>
      <c r="IR299"/>
      <c r="IS299"/>
      <c r="IT299"/>
      <c r="IU299"/>
      <c r="IV299"/>
      <c r="IW299"/>
      <c r="IX299"/>
      <c r="IY299"/>
      <c r="IZ299"/>
      <c r="JA299"/>
      <c r="JB299"/>
      <c r="JC299"/>
      <c r="JD299"/>
      <c r="JE299"/>
      <c r="JF299"/>
      <c r="JG299"/>
      <c r="JH299"/>
      <c r="JI299"/>
      <c r="JJ299"/>
      <c r="JK299"/>
      <c r="JL299"/>
      <c r="JM299"/>
      <c r="JN299"/>
      <c r="JO299"/>
      <c r="JP299"/>
      <c r="JQ299"/>
      <c r="JR299"/>
      <c r="JS299"/>
      <c r="JT299"/>
      <c r="JU299"/>
      <c r="JV299"/>
      <c r="JW299"/>
      <c r="JX299"/>
      <c r="JY299"/>
      <c r="JZ299"/>
      <c r="KA299"/>
      <c r="KB299"/>
      <c r="KC299"/>
      <c r="KD299"/>
      <c r="KE299"/>
      <c r="KF299"/>
      <c r="KG299"/>
      <c r="KH299"/>
      <c r="KI299"/>
      <c r="KJ299"/>
      <c r="KK299"/>
      <c r="KL299"/>
      <c r="KM299"/>
      <c r="KN299"/>
      <c r="KO299"/>
      <c r="KP299"/>
      <c r="KQ299"/>
      <c r="KR299"/>
      <c r="KS299"/>
      <c r="KT299"/>
      <c r="KU299"/>
      <c r="KV299"/>
      <c r="KW299"/>
      <c r="KX299"/>
      <c r="KY299"/>
      <c r="KZ299"/>
      <c r="LA299"/>
      <c r="LB299"/>
      <c r="LC299"/>
      <c r="LD299"/>
      <c r="LE299"/>
      <c r="LF299"/>
      <c r="LG299"/>
      <c r="LH299"/>
      <c r="LI299"/>
      <c r="LJ299"/>
      <c r="LK299"/>
      <c r="LL299"/>
      <c r="LM299"/>
      <c r="LN299"/>
      <c r="LO299"/>
      <c r="LP299"/>
      <c r="LQ299"/>
      <c r="LR299"/>
      <c r="LS299"/>
      <c r="LT299"/>
      <c r="LU299"/>
      <c r="LV299"/>
      <c r="LW299"/>
      <c r="LX299"/>
      <c r="LY299"/>
      <c r="LZ299"/>
      <c r="MA299"/>
      <c r="MB299"/>
      <c r="MC299"/>
      <c r="MD299"/>
      <c r="ME299"/>
      <c r="MF299"/>
      <c r="MG299"/>
      <c r="MH299"/>
      <c r="MI299"/>
      <c r="MJ299"/>
      <c r="MK299"/>
      <c r="ML299"/>
      <c r="MM299"/>
      <c r="MN299"/>
      <c r="MO299"/>
      <c r="MP299"/>
      <c r="MQ299"/>
      <c r="MR299"/>
      <c r="MS299"/>
      <c r="MT299"/>
      <c r="MU299"/>
      <c r="MV299"/>
      <c r="MW299"/>
      <c r="MX299"/>
      <c r="MY299"/>
      <c r="MZ299"/>
      <c r="NA299"/>
      <c r="NB299"/>
      <c r="NC299"/>
      <c r="ND299"/>
      <c r="NE299"/>
      <c r="NF299"/>
      <c r="NG299"/>
      <c r="NH299"/>
      <c r="NI299"/>
      <c r="NJ299"/>
      <c r="NK299"/>
      <c r="NL299"/>
      <c r="NM299"/>
      <c r="NN299"/>
      <c r="NO299"/>
      <c r="NP299"/>
      <c r="NQ299"/>
      <c r="NR299"/>
      <c r="NS299"/>
      <c r="NT299"/>
      <c r="NU299"/>
      <c r="NV299"/>
      <c r="NW299"/>
      <c r="NX299"/>
      <c r="NY299"/>
      <c r="NZ299"/>
      <c r="OA299"/>
      <c r="OB299"/>
      <c r="OC299"/>
      <c r="OD299"/>
      <c r="OE299"/>
      <c r="OF299"/>
      <c r="OG299"/>
      <c r="OH299"/>
      <c r="OI299"/>
      <c r="OJ299"/>
      <c r="OK299"/>
      <c r="OL299"/>
      <c r="OM299"/>
      <c r="ON299"/>
      <c r="OO299"/>
      <c r="OP299"/>
      <c r="OQ299"/>
      <c r="OR299"/>
      <c r="OS299"/>
      <c r="OT299"/>
      <c r="OU299"/>
      <c r="OV299"/>
      <c r="OW299"/>
      <c r="OX299"/>
      <c r="OY299"/>
      <c r="OZ299"/>
      <c r="PA299"/>
      <c r="PB299"/>
      <c r="PC299"/>
      <c r="PD299"/>
      <c r="PE299"/>
      <c r="PF299"/>
      <c r="PG299"/>
      <c r="PH299"/>
      <c r="PI299"/>
      <c r="PJ299"/>
      <c r="PK299"/>
      <c r="PL299"/>
      <c r="PM299"/>
      <c r="PN299"/>
      <c r="PO299"/>
      <c r="PP299"/>
      <c r="PQ299"/>
      <c r="PR299"/>
      <c r="PS299"/>
      <c r="PT299"/>
      <c r="PU299"/>
      <c r="PV299"/>
      <c r="PW299"/>
      <c r="PX299"/>
      <c r="PY299"/>
      <c r="PZ299"/>
      <c r="QA299"/>
      <c r="QB299"/>
      <c r="QC299"/>
      <c r="QD299"/>
      <c r="QE299"/>
      <c r="QF299"/>
      <c r="QG299"/>
      <c r="QH299"/>
      <c r="QI299"/>
      <c r="QJ299"/>
      <c r="QK299"/>
      <c r="QL299"/>
      <c r="QM299"/>
      <c r="QN299"/>
      <c r="QO299"/>
      <c r="QP299"/>
      <c r="QQ299"/>
      <c r="QR299"/>
      <c r="QS299"/>
      <c r="QT299"/>
      <c r="QU299"/>
      <c r="QV299"/>
      <c r="QW299"/>
      <c r="QX299"/>
    </row>
    <row r="300" spans="1:466" x14ac:dyDescent="0.35">
      <c r="A300" s="53"/>
      <c r="B300" s="53"/>
      <c r="C300" s="55"/>
      <c r="D300" s="53"/>
      <c r="E300" s="53"/>
      <c r="F300" s="126" t="s">
        <v>1264</v>
      </c>
      <c r="G300" s="125"/>
      <c r="H300" s="125">
        <v>0</v>
      </c>
      <c r="I300" s="133">
        <v>0</v>
      </c>
      <c r="J300" s="53"/>
      <c r="K300" s="53"/>
      <c r="L300" s="53"/>
      <c r="M300" s="53"/>
      <c r="N300" s="53"/>
      <c r="O300" s="53"/>
      <c r="P300" s="53"/>
      <c r="Q300" s="53"/>
      <c r="R300" s="53"/>
      <c r="S300" s="53"/>
      <c r="T300" s="53"/>
      <c r="U300" s="53"/>
      <c r="V300" s="53"/>
      <c r="W300" s="53"/>
      <c r="X300" s="53"/>
      <c r="Y300" s="53"/>
      <c r="Z300" s="53"/>
      <c r="AA300" s="53"/>
      <c r="AB300" s="53"/>
      <c r="AC300" s="53"/>
      <c r="AD300" s="53"/>
      <c r="AE300" s="53"/>
      <c r="AF300" s="63"/>
      <c r="AG300" s="64"/>
      <c r="AH300" s="65"/>
      <c r="AI300" s="65"/>
      <c r="AJ300" s="53"/>
      <c r="AK300" s="62"/>
      <c r="AL300" s="62"/>
      <c r="AM300" s="62"/>
      <c r="AN300" s="62"/>
      <c r="AO300" s="62"/>
      <c r="AP300" s="62"/>
      <c r="AQ300" s="62"/>
      <c r="AR300" s="62"/>
      <c r="AS300" s="62"/>
      <c r="AT300" s="62"/>
      <c r="AU300" s="62"/>
      <c r="AV300" s="62"/>
      <c r="AW300" s="62"/>
      <c r="AX300" s="62"/>
      <c r="AY300" s="62"/>
      <c r="AZ300" s="62"/>
      <c r="BA300" s="62"/>
      <c r="BB300" s="62"/>
      <c r="BC300" s="62"/>
      <c r="BD300" s="62"/>
      <c r="BE300" s="62"/>
      <c r="BF300" s="62"/>
      <c r="BG300" s="62"/>
      <c r="BH300" s="62"/>
      <c r="BI300" s="62"/>
      <c r="BJ300" s="62"/>
      <c r="BK300" s="62"/>
      <c r="BL300" s="62"/>
      <c r="BM300" s="62"/>
      <c r="BN300" s="62"/>
      <c r="BO300" s="62"/>
      <c r="BP300" s="62"/>
      <c r="BQ300" s="62"/>
      <c r="BR300" s="62"/>
      <c r="BS300" s="62"/>
      <c r="BT300" s="62"/>
      <c r="BU300" s="62"/>
      <c r="BV300" s="62"/>
      <c r="BW300" s="62"/>
      <c r="BX300" s="62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  <c r="HB300"/>
      <c r="HC300"/>
      <c r="HD300"/>
      <c r="HE300"/>
      <c r="HF300"/>
      <c r="HG300"/>
      <c r="HH300"/>
      <c r="HI300"/>
      <c r="HJ300"/>
      <c r="HK300"/>
      <c r="HL300"/>
      <c r="HM300"/>
      <c r="HN300"/>
      <c r="HO300"/>
      <c r="HP300"/>
      <c r="HQ300"/>
      <c r="HR300"/>
      <c r="HS300"/>
      <c r="HT300"/>
      <c r="HU300"/>
      <c r="HV300"/>
      <c r="HW300"/>
      <c r="HX300"/>
      <c r="HY300"/>
      <c r="HZ300"/>
      <c r="IA300"/>
      <c r="IB300"/>
      <c r="IC300"/>
      <c r="ID300"/>
      <c r="IE300"/>
      <c r="IF300"/>
      <c r="IG300"/>
      <c r="IH300"/>
      <c r="II300"/>
      <c r="IJ300"/>
      <c r="IK300"/>
      <c r="IL300"/>
      <c r="IM300"/>
      <c r="IN300"/>
      <c r="IO300"/>
      <c r="IP300"/>
      <c r="IQ300"/>
      <c r="IR300"/>
      <c r="IS300"/>
      <c r="IT300"/>
      <c r="IU300"/>
      <c r="IV300"/>
      <c r="IW300"/>
      <c r="IX300"/>
      <c r="IY300"/>
      <c r="IZ300"/>
      <c r="JA300"/>
      <c r="JB300"/>
      <c r="JC300"/>
      <c r="JD300"/>
      <c r="JE300"/>
      <c r="JF300"/>
      <c r="JG300"/>
      <c r="JH300"/>
      <c r="JI300"/>
      <c r="JJ300"/>
      <c r="JK300"/>
      <c r="JL300"/>
      <c r="JM300"/>
      <c r="JN300"/>
      <c r="JO300"/>
      <c r="JP300"/>
      <c r="JQ300"/>
      <c r="JR300"/>
      <c r="JS300"/>
      <c r="JT300"/>
      <c r="JU300"/>
      <c r="JV300"/>
      <c r="JW300"/>
      <c r="JX300"/>
      <c r="JY300"/>
      <c r="JZ300"/>
      <c r="KA300"/>
      <c r="KB300"/>
      <c r="KC300"/>
      <c r="KD300"/>
      <c r="KE300"/>
      <c r="KF300"/>
      <c r="KG300"/>
      <c r="KH300"/>
      <c r="KI300"/>
      <c r="KJ300"/>
      <c r="KK300"/>
      <c r="KL300"/>
      <c r="KM300"/>
      <c r="KN300"/>
      <c r="KO300"/>
      <c r="KP300"/>
      <c r="KQ300"/>
      <c r="KR300"/>
      <c r="KS300"/>
      <c r="KT300"/>
      <c r="KU300"/>
      <c r="KV300"/>
      <c r="KW300"/>
      <c r="KX300"/>
      <c r="KY300"/>
      <c r="KZ300"/>
      <c r="LA300"/>
      <c r="LB300"/>
      <c r="LC300"/>
      <c r="LD300"/>
      <c r="LE300"/>
      <c r="LF300"/>
      <c r="LG300"/>
      <c r="LH300"/>
      <c r="LI300"/>
      <c r="LJ300"/>
      <c r="LK300"/>
      <c r="LL300"/>
      <c r="LM300"/>
      <c r="LN300"/>
      <c r="LO300"/>
      <c r="LP300"/>
      <c r="LQ300"/>
      <c r="LR300"/>
      <c r="LS300"/>
      <c r="LT300"/>
      <c r="LU300"/>
      <c r="LV300"/>
      <c r="LW300"/>
      <c r="LX300"/>
      <c r="LY300"/>
      <c r="LZ300"/>
      <c r="MA300"/>
      <c r="MB300"/>
      <c r="MC300"/>
      <c r="MD300"/>
      <c r="ME300"/>
      <c r="MF300"/>
      <c r="MG300"/>
      <c r="MH300"/>
      <c r="MI300"/>
      <c r="MJ300"/>
      <c r="MK300"/>
      <c r="ML300"/>
      <c r="MM300"/>
      <c r="MN300"/>
      <c r="MO300"/>
      <c r="MP300"/>
      <c r="MQ300"/>
      <c r="MR300"/>
      <c r="MS300"/>
      <c r="MT300"/>
      <c r="MU300"/>
      <c r="MV300"/>
      <c r="MW300"/>
      <c r="MX300"/>
      <c r="MY300"/>
      <c r="MZ300"/>
      <c r="NA300"/>
      <c r="NB300"/>
      <c r="NC300"/>
      <c r="ND300"/>
      <c r="NE300"/>
      <c r="NF300"/>
      <c r="NG300"/>
      <c r="NH300"/>
      <c r="NI300"/>
      <c r="NJ300"/>
      <c r="NK300"/>
      <c r="NL300"/>
      <c r="NM300"/>
      <c r="NN300"/>
      <c r="NO300"/>
      <c r="NP300"/>
      <c r="NQ300"/>
      <c r="NR300"/>
      <c r="NS300"/>
      <c r="NT300"/>
      <c r="NU300"/>
      <c r="NV300"/>
      <c r="NW300"/>
      <c r="NX300"/>
      <c r="NY300"/>
      <c r="NZ300"/>
      <c r="OA300"/>
      <c r="OB300"/>
      <c r="OC300"/>
      <c r="OD300"/>
      <c r="OE300"/>
      <c r="OF300"/>
      <c r="OG300"/>
      <c r="OH300"/>
      <c r="OI300"/>
      <c r="OJ300"/>
      <c r="OK300"/>
      <c r="OL300"/>
      <c r="OM300"/>
      <c r="ON300"/>
      <c r="OO300"/>
      <c r="OP300"/>
      <c r="OQ300"/>
      <c r="OR300"/>
      <c r="OS300"/>
      <c r="OT300"/>
      <c r="OU300"/>
      <c r="OV300"/>
      <c r="OW300"/>
      <c r="OX300"/>
      <c r="OY300"/>
      <c r="OZ300"/>
      <c r="PA300"/>
      <c r="PB300"/>
      <c r="PC300"/>
      <c r="PD300"/>
      <c r="PE300"/>
      <c r="PF300"/>
      <c r="PG300"/>
      <c r="PH300"/>
      <c r="PI300"/>
      <c r="PJ300"/>
      <c r="PK300"/>
      <c r="PL300"/>
      <c r="PM300"/>
      <c r="PN300"/>
      <c r="PO300"/>
      <c r="PP300"/>
      <c r="PQ300"/>
      <c r="PR300"/>
      <c r="PS300"/>
      <c r="PT300"/>
      <c r="PU300"/>
      <c r="PV300"/>
      <c r="PW300"/>
      <c r="PX300"/>
      <c r="PY300"/>
      <c r="PZ300"/>
      <c r="QA300"/>
      <c r="QB300"/>
      <c r="QC300"/>
      <c r="QD300"/>
      <c r="QE300"/>
      <c r="QF300"/>
      <c r="QG300"/>
      <c r="QH300"/>
      <c r="QI300"/>
      <c r="QJ300"/>
      <c r="QK300"/>
      <c r="QL300"/>
      <c r="QM300"/>
      <c r="QN300"/>
      <c r="QO300"/>
      <c r="QP300"/>
      <c r="QQ300"/>
      <c r="QR300"/>
      <c r="QS300"/>
      <c r="QT300"/>
      <c r="QU300"/>
      <c r="QV300"/>
      <c r="QW300"/>
      <c r="QX300"/>
    </row>
    <row r="301" spans="1:466" x14ac:dyDescent="0.35">
      <c r="A301" s="53"/>
      <c r="B301" s="53"/>
      <c r="C301" s="55"/>
      <c r="D301" s="53"/>
      <c r="E301" s="53"/>
      <c r="F301" s="126" t="s">
        <v>530</v>
      </c>
      <c r="G301" s="125"/>
      <c r="H301" s="125">
        <v>0</v>
      </c>
      <c r="I301" s="133">
        <v>0</v>
      </c>
      <c r="J301" s="53"/>
      <c r="K301" s="53"/>
      <c r="L301" s="53"/>
      <c r="M301" s="53"/>
      <c r="N301" s="53"/>
      <c r="O301" s="53"/>
      <c r="P301" s="53"/>
      <c r="Q301" s="53"/>
      <c r="R301" s="53"/>
      <c r="S301" s="53"/>
      <c r="T301" s="53"/>
      <c r="U301" s="53"/>
      <c r="V301" s="53"/>
      <c r="W301" s="53"/>
      <c r="X301" s="53"/>
      <c r="Y301" s="53"/>
      <c r="Z301" s="53"/>
      <c r="AA301" s="53"/>
      <c r="AB301" s="53"/>
      <c r="AC301" s="53"/>
      <c r="AD301" s="53"/>
      <c r="AE301" s="53"/>
      <c r="AF301" s="63"/>
      <c r="AG301" s="64"/>
      <c r="AH301" s="65"/>
      <c r="AI301" s="65"/>
      <c r="AJ301" s="53"/>
      <c r="AK301" s="62"/>
      <c r="AL301" s="62"/>
      <c r="AM301" s="62"/>
      <c r="AN301" s="62"/>
      <c r="AO301" s="62"/>
      <c r="AP301" s="62"/>
      <c r="AQ301" s="62"/>
      <c r="AR301" s="62"/>
      <c r="AS301" s="62"/>
      <c r="AT301" s="62"/>
      <c r="AU301" s="62"/>
      <c r="AV301" s="62"/>
      <c r="AW301" s="62"/>
      <c r="AX301" s="62"/>
      <c r="AY301" s="62"/>
      <c r="AZ301" s="62"/>
      <c r="BA301" s="62"/>
      <c r="BB301" s="62"/>
      <c r="BC301" s="62"/>
      <c r="BD301" s="62"/>
      <c r="BE301" s="62"/>
      <c r="BF301" s="62"/>
      <c r="BG301" s="62"/>
      <c r="BH301" s="62"/>
      <c r="BI301" s="62"/>
      <c r="BJ301" s="62"/>
      <c r="BK301" s="62"/>
      <c r="BL301" s="62"/>
      <c r="BM301" s="62"/>
      <c r="BN301" s="62"/>
      <c r="BO301" s="62"/>
      <c r="BP301" s="62"/>
      <c r="BQ301" s="62"/>
      <c r="BR301" s="62"/>
      <c r="BS301" s="62"/>
      <c r="BT301" s="62"/>
      <c r="BU301" s="62"/>
      <c r="BV301" s="62"/>
      <c r="BW301" s="62"/>
      <c r="BX301" s="62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  <c r="HB301"/>
      <c r="HC301"/>
      <c r="HD301"/>
      <c r="HE301"/>
      <c r="HF301"/>
      <c r="HG301"/>
      <c r="HH301"/>
      <c r="HI301"/>
      <c r="HJ301"/>
      <c r="HK301"/>
      <c r="HL301"/>
      <c r="HM301"/>
      <c r="HN301"/>
      <c r="HO301"/>
      <c r="HP301"/>
      <c r="HQ301"/>
      <c r="HR301"/>
      <c r="HS301"/>
      <c r="HT301"/>
      <c r="HU301"/>
      <c r="HV301"/>
      <c r="HW301"/>
      <c r="HX301"/>
      <c r="HY301"/>
      <c r="HZ301"/>
      <c r="IA301"/>
      <c r="IB301"/>
      <c r="IC301"/>
      <c r="ID301"/>
      <c r="IE301"/>
      <c r="IF301"/>
      <c r="IG301"/>
      <c r="IH301"/>
      <c r="II301"/>
      <c r="IJ301"/>
      <c r="IK301"/>
      <c r="IL301"/>
      <c r="IM301"/>
      <c r="IN301"/>
      <c r="IO301"/>
      <c r="IP301"/>
      <c r="IQ301"/>
      <c r="IR301"/>
      <c r="IS301"/>
      <c r="IT301"/>
      <c r="IU301"/>
      <c r="IV301"/>
      <c r="IW301"/>
      <c r="IX301"/>
      <c r="IY301"/>
      <c r="IZ301"/>
      <c r="JA301"/>
      <c r="JB301"/>
      <c r="JC301"/>
      <c r="JD301"/>
      <c r="JE301"/>
      <c r="JF301"/>
      <c r="JG301"/>
      <c r="JH301"/>
      <c r="JI301"/>
      <c r="JJ301"/>
      <c r="JK301"/>
      <c r="JL301"/>
      <c r="JM301"/>
      <c r="JN301"/>
      <c r="JO301"/>
      <c r="JP301"/>
      <c r="JQ301"/>
      <c r="JR301"/>
      <c r="JS301"/>
      <c r="JT301"/>
      <c r="JU301"/>
      <c r="JV301"/>
      <c r="JW301"/>
      <c r="JX301"/>
      <c r="JY301"/>
      <c r="JZ301"/>
      <c r="KA301"/>
      <c r="KB301"/>
      <c r="KC301"/>
      <c r="KD301"/>
      <c r="KE301"/>
      <c r="KF301"/>
      <c r="KG301"/>
      <c r="KH301"/>
      <c r="KI301"/>
      <c r="KJ301"/>
      <c r="KK301"/>
      <c r="KL301"/>
      <c r="KM301"/>
      <c r="KN301"/>
      <c r="KO301"/>
      <c r="KP301"/>
      <c r="KQ301"/>
      <c r="KR301"/>
      <c r="KS301"/>
      <c r="KT301"/>
      <c r="KU301"/>
      <c r="KV301"/>
      <c r="KW301"/>
      <c r="KX301"/>
      <c r="KY301"/>
      <c r="KZ301"/>
      <c r="LA301"/>
      <c r="LB301"/>
      <c r="LC301"/>
      <c r="LD301"/>
      <c r="LE301"/>
      <c r="LF301"/>
      <c r="LG301"/>
      <c r="LH301"/>
      <c r="LI301"/>
      <c r="LJ301"/>
      <c r="LK301"/>
      <c r="LL301"/>
      <c r="LM301"/>
      <c r="LN301"/>
      <c r="LO301"/>
      <c r="LP301"/>
      <c r="LQ301"/>
      <c r="LR301"/>
      <c r="LS301"/>
      <c r="LT301"/>
      <c r="LU301"/>
      <c r="LV301"/>
      <c r="LW301"/>
      <c r="LX301"/>
      <c r="LY301"/>
      <c r="LZ301"/>
      <c r="MA301"/>
      <c r="MB301"/>
      <c r="MC301"/>
      <c r="MD301"/>
      <c r="ME301"/>
      <c r="MF301"/>
      <c r="MG301"/>
      <c r="MH301"/>
      <c r="MI301"/>
      <c r="MJ301"/>
      <c r="MK301"/>
      <c r="ML301"/>
      <c r="MM301"/>
      <c r="MN301"/>
      <c r="MO301"/>
      <c r="MP301"/>
      <c r="MQ301"/>
      <c r="MR301"/>
      <c r="MS301"/>
      <c r="MT301"/>
      <c r="MU301"/>
      <c r="MV301"/>
      <c r="MW301"/>
      <c r="MX301"/>
      <c r="MY301"/>
      <c r="MZ301"/>
      <c r="NA301"/>
      <c r="NB301"/>
      <c r="NC301"/>
      <c r="ND301"/>
      <c r="NE301"/>
      <c r="NF301"/>
      <c r="NG301"/>
      <c r="NH301"/>
      <c r="NI301"/>
      <c r="NJ301"/>
      <c r="NK301"/>
      <c r="NL301"/>
      <c r="NM301"/>
      <c r="NN301"/>
      <c r="NO301"/>
      <c r="NP301"/>
      <c r="NQ301"/>
      <c r="NR301"/>
      <c r="NS301"/>
      <c r="NT301"/>
      <c r="NU301"/>
      <c r="NV301"/>
      <c r="NW301"/>
      <c r="NX301"/>
      <c r="NY301"/>
      <c r="NZ301"/>
      <c r="OA301"/>
      <c r="OB301"/>
      <c r="OC301"/>
      <c r="OD301"/>
      <c r="OE301"/>
      <c r="OF301"/>
      <c r="OG301"/>
      <c r="OH301"/>
      <c r="OI301"/>
      <c r="OJ301"/>
      <c r="OK301"/>
      <c r="OL301"/>
      <c r="OM301"/>
      <c r="ON301"/>
      <c r="OO301"/>
      <c r="OP301"/>
      <c r="OQ301"/>
      <c r="OR301"/>
      <c r="OS301"/>
      <c r="OT301"/>
      <c r="OU301"/>
      <c r="OV301"/>
      <c r="OW301"/>
      <c r="OX301"/>
      <c r="OY301"/>
      <c r="OZ301"/>
      <c r="PA301"/>
      <c r="PB301"/>
      <c r="PC301"/>
      <c r="PD301"/>
      <c r="PE301"/>
      <c r="PF301"/>
      <c r="PG301"/>
      <c r="PH301"/>
      <c r="PI301"/>
      <c r="PJ301"/>
      <c r="PK301"/>
      <c r="PL301"/>
      <c r="PM301"/>
      <c r="PN301"/>
      <c r="PO301"/>
      <c r="PP301"/>
      <c r="PQ301"/>
      <c r="PR301"/>
      <c r="PS301"/>
      <c r="PT301"/>
      <c r="PU301"/>
      <c r="PV301"/>
      <c r="PW301"/>
      <c r="PX301"/>
      <c r="PY301"/>
      <c r="PZ301"/>
      <c r="QA301"/>
      <c r="QB301"/>
      <c r="QC301"/>
      <c r="QD301"/>
      <c r="QE301"/>
      <c r="QF301"/>
      <c r="QG301"/>
      <c r="QH301"/>
      <c r="QI301"/>
      <c r="QJ301"/>
      <c r="QK301"/>
      <c r="QL301"/>
      <c r="QM301"/>
      <c r="QN301"/>
      <c r="QO301"/>
      <c r="QP301"/>
      <c r="QQ301"/>
      <c r="QR301"/>
      <c r="QS301"/>
      <c r="QT301"/>
      <c r="QU301"/>
      <c r="QV301"/>
      <c r="QW301"/>
      <c r="QX301"/>
    </row>
    <row r="302" spans="1:466" x14ac:dyDescent="0.35">
      <c r="A302" s="53"/>
      <c r="B302" s="53"/>
      <c r="C302" s="55"/>
      <c r="D302" s="53"/>
      <c r="E302" s="53"/>
      <c r="F302" s="126" t="s">
        <v>523</v>
      </c>
      <c r="G302" s="125"/>
      <c r="H302" s="125">
        <v>0</v>
      </c>
      <c r="I302" s="133">
        <v>0</v>
      </c>
      <c r="J302" s="53"/>
      <c r="K302" s="53"/>
      <c r="L302" s="53"/>
      <c r="M302" s="53"/>
      <c r="N302" s="53"/>
      <c r="O302" s="53"/>
      <c r="P302" s="53"/>
      <c r="Q302" s="53"/>
      <c r="R302" s="53"/>
      <c r="S302" s="53"/>
      <c r="T302" s="53"/>
      <c r="U302" s="53"/>
      <c r="V302" s="53"/>
      <c r="W302" s="53"/>
      <c r="X302" s="53"/>
      <c r="Y302" s="53"/>
      <c r="Z302" s="53"/>
      <c r="AA302" s="53"/>
      <c r="AB302" s="53"/>
      <c r="AC302" s="53"/>
      <c r="AD302" s="53"/>
      <c r="AE302" s="53"/>
      <c r="AF302" s="63"/>
      <c r="AG302" s="64"/>
      <c r="AH302" s="65"/>
      <c r="AI302" s="65"/>
      <c r="AJ302" s="53"/>
      <c r="AK302" s="62"/>
      <c r="AL302" s="62"/>
      <c r="AM302" s="62"/>
      <c r="AN302" s="62"/>
      <c r="AO302" s="62"/>
      <c r="AP302" s="62"/>
      <c r="AQ302" s="62"/>
      <c r="AR302" s="62"/>
      <c r="AS302" s="62"/>
      <c r="AT302" s="62"/>
      <c r="AU302" s="62"/>
      <c r="AV302" s="62"/>
      <c r="AW302" s="62"/>
      <c r="AX302" s="62"/>
      <c r="AY302" s="62"/>
      <c r="AZ302" s="62"/>
      <c r="BA302" s="62"/>
      <c r="BB302" s="62"/>
      <c r="BC302" s="62"/>
      <c r="BD302" s="62"/>
      <c r="BE302" s="62"/>
      <c r="BF302" s="62"/>
      <c r="BG302" s="62"/>
      <c r="BH302" s="62"/>
      <c r="BI302" s="62"/>
      <c r="BJ302" s="62"/>
      <c r="BK302" s="62"/>
      <c r="BL302" s="62"/>
      <c r="BM302" s="62"/>
      <c r="BN302" s="62"/>
      <c r="BO302" s="62"/>
      <c r="BP302" s="62"/>
      <c r="BQ302" s="62"/>
      <c r="BR302" s="62"/>
      <c r="BS302" s="62"/>
      <c r="BT302" s="62"/>
      <c r="BU302" s="62"/>
      <c r="BV302" s="62"/>
      <c r="BW302" s="62"/>
      <c r="BX302" s="6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  <c r="HB302"/>
      <c r="HC302"/>
      <c r="HD302"/>
      <c r="HE302"/>
      <c r="HF302"/>
      <c r="HG302"/>
      <c r="HH302"/>
      <c r="HI302"/>
      <c r="HJ302"/>
      <c r="HK302"/>
      <c r="HL302"/>
      <c r="HM302"/>
      <c r="HN302"/>
      <c r="HO302"/>
      <c r="HP302"/>
      <c r="HQ302"/>
      <c r="HR302"/>
      <c r="HS302"/>
      <c r="HT302"/>
      <c r="HU302"/>
      <c r="HV302"/>
      <c r="HW302"/>
      <c r="HX302"/>
      <c r="HY302"/>
      <c r="HZ302"/>
      <c r="IA302"/>
      <c r="IB302"/>
      <c r="IC302"/>
      <c r="ID302"/>
      <c r="IE302"/>
      <c r="IF302"/>
      <c r="IG302"/>
      <c r="IH302"/>
      <c r="II302"/>
      <c r="IJ302"/>
      <c r="IK302"/>
      <c r="IL302"/>
      <c r="IM302"/>
      <c r="IN302"/>
      <c r="IO302"/>
      <c r="IP302"/>
      <c r="IQ302"/>
      <c r="IR302"/>
      <c r="IS302"/>
      <c r="IT302"/>
      <c r="IU302"/>
      <c r="IV302"/>
      <c r="IW302"/>
      <c r="IX302"/>
      <c r="IY302"/>
      <c r="IZ302"/>
      <c r="JA302"/>
      <c r="JB302"/>
      <c r="JC302"/>
      <c r="JD302"/>
      <c r="JE302"/>
      <c r="JF302"/>
      <c r="JG302"/>
      <c r="JH302"/>
      <c r="JI302"/>
      <c r="JJ302"/>
      <c r="JK302"/>
      <c r="JL302"/>
      <c r="JM302"/>
      <c r="JN302"/>
      <c r="JO302"/>
      <c r="JP302"/>
      <c r="JQ302"/>
      <c r="JR302"/>
      <c r="JS302"/>
      <c r="JT302"/>
      <c r="JU302"/>
      <c r="JV302"/>
      <c r="JW302"/>
      <c r="JX302"/>
      <c r="JY302"/>
      <c r="JZ302"/>
      <c r="KA302"/>
      <c r="KB302"/>
      <c r="KC302"/>
      <c r="KD302"/>
      <c r="KE302"/>
      <c r="KF302"/>
      <c r="KG302"/>
      <c r="KH302"/>
      <c r="KI302"/>
      <c r="KJ302"/>
      <c r="KK302"/>
      <c r="KL302"/>
      <c r="KM302"/>
      <c r="KN302"/>
      <c r="KO302"/>
      <c r="KP302"/>
      <c r="KQ302"/>
      <c r="KR302"/>
      <c r="KS302"/>
      <c r="KT302"/>
      <c r="KU302"/>
      <c r="KV302"/>
      <c r="KW302"/>
      <c r="KX302"/>
      <c r="KY302"/>
      <c r="KZ302"/>
      <c r="LA302"/>
      <c r="LB302"/>
      <c r="LC302"/>
      <c r="LD302"/>
      <c r="LE302"/>
      <c r="LF302"/>
      <c r="LG302"/>
      <c r="LH302"/>
      <c r="LI302"/>
      <c r="LJ302"/>
      <c r="LK302"/>
      <c r="LL302"/>
      <c r="LM302"/>
      <c r="LN302"/>
      <c r="LO302"/>
      <c r="LP302"/>
      <c r="LQ302"/>
      <c r="LR302"/>
      <c r="LS302"/>
      <c r="LT302"/>
      <c r="LU302"/>
      <c r="LV302"/>
      <c r="LW302"/>
      <c r="LX302"/>
      <c r="LY302"/>
      <c r="LZ302"/>
      <c r="MA302"/>
      <c r="MB302"/>
      <c r="MC302"/>
      <c r="MD302"/>
      <c r="ME302"/>
      <c r="MF302"/>
      <c r="MG302"/>
      <c r="MH302"/>
      <c r="MI302"/>
      <c r="MJ302"/>
      <c r="MK302"/>
      <c r="ML302"/>
      <c r="MM302"/>
      <c r="MN302"/>
      <c r="MO302"/>
      <c r="MP302"/>
      <c r="MQ302"/>
      <c r="MR302"/>
      <c r="MS302"/>
      <c r="MT302"/>
      <c r="MU302"/>
      <c r="MV302"/>
      <c r="MW302"/>
      <c r="MX302"/>
      <c r="MY302"/>
      <c r="MZ302"/>
      <c r="NA302"/>
      <c r="NB302"/>
      <c r="NC302"/>
      <c r="ND302"/>
      <c r="NE302"/>
      <c r="NF302"/>
      <c r="NG302"/>
      <c r="NH302"/>
      <c r="NI302"/>
      <c r="NJ302"/>
      <c r="NK302"/>
      <c r="NL302"/>
      <c r="NM302"/>
      <c r="NN302"/>
      <c r="NO302"/>
      <c r="NP302"/>
      <c r="NQ302"/>
      <c r="NR302"/>
      <c r="NS302"/>
      <c r="NT302"/>
      <c r="NU302"/>
      <c r="NV302"/>
      <c r="NW302"/>
      <c r="NX302"/>
      <c r="NY302"/>
      <c r="NZ302"/>
      <c r="OA302"/>
      <c r="OB302"/>
      <c r="OC302"/>
      <c r="OD302"/>
      <c r="OE302"/>
      <c r="OF302"/>
      <c r="OG302"/>
      <c r="OH302"/>
      <c r="OI302"/>
      <c r="OJ302"/>
      <c r="OK302"/>
      <c r="OL302"/>
      <c r="OM302"/>
      <c r="ON302"/>
      <c r="OO302"/>
      <c r="OP302"/>
      <c r="OQ302"/>
      <c r="OR302"/>
      <c r="OS302"/>
      <c r="OT302"/>
      <c r="OU302"/>
      <c r="OV302"/>
      <c r="OW302"/>
      <c r="OX302"/>
      <c r="OY302"/>
      <c r="OZ302"/>
      <c r="PA302"/>
      <c r="PB302"/>
      <c r="PC302"/>
      <c r="PD302"/>
      <c r="PE302"/>
      <c r="PF302"/>
      <c r="PG302"/>
      <c r="PH302"/>
      <c r="PI302"/>
      <c r="PJ302"/>
      <c r="PK302"/>
      <c r="PL302"/>
      <c r="PM302"/>
      <c r="PN302"/>
      <c r="PO302"/>
      <c r="PP302"/>
      <c r="PQ302"/>
      <c r="PR302"/>
      <c r="PS302"/>
      <c r="PT302"/>
      <c r="PU302"/>
      <c r="PV302"/>
      <c r="PW302"/>
      <c r="PX302"/>
      <c r="PY302"/>
      <c r="PZ302"/>
      <c r="QA302"/>
      <c r="QB302"/>
      <c r="QC302"/>
      <c r="QD302"/>
      <c r="QE302"/>
      <c r="QF302"/>
      <c r="QG302"/>
      <c r="QH302"/>
      <c r="QI302"/>
      <c r="QJ302"/>
      <c r="QK302"/>
      <c r="QL302"/>
      <c r="QM302"/>
      <c r="QN302"/>
      <c r="QO302"/>
      <c r="QP302"/>
      <c r="QQ302"/>
      <c r="QR302"/>
      <c r="QS302"/>
      <c r="QT302"/>
      <c r="QU302"/>
      <c r="QV302"/>
      <c r="QW302"/>
      <c r="QX302"/>
    </row>
    <row r="303" spans="1:466" x14ac:dyDescent="0.35">
      <c r="A303" s="53"/>
      <c r="B303" s="53"/>
      <c r="C303" s="55"/>
      <c r="D303" s="53"/>
      <c r="E303" s="53"/>
      <c r="F303" s="124" t="s">
        <v>533</v>
      </c>
      <c r="G303" s="125">
        <v>26</v>
      </c>
      <c r="H303" s="125">
        <v>26</v>
      </c>
      <c r="I303" s="133">
        <v>1</v>
      </c>
      <c r="J303" s="53"/>
      <c r="K303" s="53"/>
      <c r="L303" s="53"/>
      <c r="M303" s="53"/>
      <c r="N303" s="53"/>
      <c r="O303" s="53"/>
      <c r="P303" s="53"/>
      <c r="Q303" s="53"/>
      <c r="R303" s="53"/>
      <c r="S303" s="53"/>
      <c r="T303" s="53"/>
      <c r="U303" s="53"/>
      <c r="V303" s="53"/>
      <c r="W303" s="53"/>
      <c r="X303" s="53"/>
      <c r="Y303" s="53"/>
      <c r="Z303" s="53"/>
      <c r="AA303" s="53"/>
      <c r="AB303" s="53"/>
      <c r="AC303" s="53"/>
      <c r="AD303" s="53"/>
      <c r="AE303" s="53"/>
      <c r="AF303" s="63"/>
      <c r="AG303" s="64"/>
      <c r="AH303" s="65"/>
      <c r="AI303" s="65"/>
      <c r="AJ303" s="53"/>
      <c r="AK303" s="62"/>
      <c r="AL303" s="62"/>
      <c r="AM303" s="62"/>
      <c r="AN303" s="62"/>
      <c r="AO303" s="62"/>
      <c r="AP303" s="62"/>
      <c r="AQ303" s="62"/>
      <c r="AR303" s="62"/>
      <c r="AS303" s="62"/>
      <c r="AT303" s="62"/>
      <c r="AU303" s="62"/>
      <c r="AV303" s="62"/>
      <c r="AW303" s="62"/>
      <c r="AX303" s="62"/>
      <c r="AY303" s="62"/>
      <c r="AZ303" s="62"/>
      <c r="BA303" s="62"/>
      <c r="BB303" s="62"/>
      <c r="BC303" s="62"/>
      <c r="BD303" s="62"/>
      <c r="BE303" s="62"/>
      <c r="BF303" s="62"/>
      <c r="BG303" s="62"/>
      <c r="BH303" s="62"/>
      <c r="BI303" s="62"/>
      <c r="BJ303" s="62"/>
      <c r="BK303" s="62"/>
      <c r="BL303" s="62"/>
      <c r="BM303" s="62"/>
      <c r="BN303" s="62"/>
      <c r="BO303" s="62"/>
      <c r="BP303" s="62"/>
      <c r="BQ303" s="62"/>
      <c r="BR303" s="62"/>
      <c r="BS303" s="62"/>
      <c r="BT303" s="62"/>
      <c r="BU303" s="62"/>
      <c r="BV303" s="62"/>
      <c r="BW303" s="62"/>
      <c r="BX303" s="62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  <c r="HB303"/>
      <c r="HC303"/>
      <c r="HD303"/>
      <c r="HE303"/>
      <c r="HF303"/>
      <c r="HG303"/>
      <c r="HH303"/>
      <c r="HI303"/>
      <c r="HJ303"/>
      <c r="HK303"/>
      <c r="HL303"/>
      <c r="HM303"/>
      <c r="HN303"/>
      <c r="HO303"/>
      <c r="HP303"/>
      <c r="HQ303"/>
      <c r="HR303"/>
      <c r="HS303"/>
      <c r="HT303"/>
      <c r="HU303"/>
      <c r="HV303"/>
      <c r="HW303"/>
      <c r="HX303"/>
      <c r="HY303"/>
      <c r="HZ303"/>
      <c r="IA303"/>
      <c r="IB303"/>
      <c r="IC303"/>
      <c r="ID303"/>
      <c r="IE303"/>
      <c r="IF303"/>
      <c r="IG303"/>
      <c r="IH303"/>
      <c r="II303"/>
      <c r="IJ303"/>
      <c r="IK303"/>
      <c r="IL303"/>
      <c r="IM303"/>
      <c r="IN303"/>
      <c r="IO303"/>
      <c r="IP303"/>
      <c r="IQ303"/>
      <c r="IR303"/>
      <c r="IS303"/>
      <c r="IT303"/>
      <c r="IU303"/>
      <c r="IV303"/>
      <c r="IW303"/>
      <c r="IX303"/>
      <c r="IY303"/>
      <c r="IZ303"/>
      <c r="JA303"/>
      <c r="JB303"/>
      <c r="JC303"/>
      <c r="JD303"/>
      <c r="JE303"/>
      <c r="JF303"/>
      <c r="JG303"/>
      <c r="JH303"/>
      <c r="JI303"/>
      <c r="JJ303"/>
      <c r="JK303"/>
      <c r="JL303"/>
      <c r="JM303"/>
      <c r="JN303"/>
      <c r="JO303"/>
      <c r="JP303"/>
      <c r="JQ303"/>
      <c r="JR303"/>
      <c r="JS303"/>
      <c r="JT303"/>
      <c r="JU303"/>
      <c r="JV303"/>
      <c r="JW303"/>
      <c r="JX303"/>
      <c r="JY303"/>
      <c r="JZ303"/>
      <c r="KA303"/>
      <c r="KB303"/>
      <c r="KC303"/>
      <c r="KD303"/>
      <c r="KE303"/>
      <c r="KF303"/>
      <c r="KG303"/>
      <c r="KH303"/>
      <c r="KI303"/>
      <c r="KJ303"/>
      <c r="KK303"/>
      <c r="KL303"/>
      <c r="KM303"/>
      <c r="KN303"/>
      <c r="KO303"/>
      <c r="KP303"/>
      <c r="KQ303"/>
      <c r="KR303"/>
      <c r="KS303"/>
      <c r="KT303"/>
      <c r="KU303"/>
      <c r="KV303"/>
      <c r="KW303"/>
      <c r="KX303"/>
      <c r="KY303"/>
      <c r="KZ303"/>
      <c r="LA303"/>
      <c r="LB303"/>
      <c r="LC303"/>
      <c r="LD303"/>
      <c r="LE303"/>
      <c r="LF303"/>
      <c r="LG303"/>
      <c r="LH303"/>
      <c r="LI303"/>
      <c r="LJ303"/>
      <c r="LK303"/>
      <c r="LL303"/>
      <c r="LM303"/>
      <c r="LN303"/>
      <c r="LO303"/>
      <c r="LP303"/>
      <c r="LQ303"/>
      <c r="LR303"/>
      <c r="LS303"/>
      <c r="LT303"/>
      <c r="LU303"/>
      <c r="LV303"/>
      <c r="LW303"/>
      <c r="LX303"/>
      <c r="LY303"/>
      <c r="LZ303"/>
      <c r="MA303"/>
      <c r="MB303"/>
      <c r="MC303"/>
      <c r="MD303"/>
      <c r="ME303"/>
      <c r="MF303"/>
      <c r="MG303"/>
      <c r="MH303"/>
      <c r="MI303"/>
      <c r="MJ303"/>
      <c r="MK303"/>
      <c r="ML303"/>
      <c r="MM303"/>
      <c r="MN303"/>
      <c r="MO303"/>
      <c r="MP303"/>
      <c r="MQ303"/>
      <c r="MR303"/>
      <c r="MS303"/>
      <c r="MT303"/>
      <c r="MU303"/>
      <c r="MV303"/>
      <c r="MW303"/>
      <c r="MX303"/>
      <c r="MY303"/>
      <c r="MZ303"/>
      <c r="NA303"/>
      <c r="NB303"/>
      <c r="NC303"/>
      <c r="ND303"/>
      <c r="NE303"/>
      <c r="NF303"/>
      <c r="NG303"/>
      <c r="NH303"/>
      <c r="NI303"/>
      <c r="NJ303"/>
      <c r="NK303"/>
      <c r="NL303"/>
      <c r="NM303"/>
      <c r="NN303"/>
      <c r="NO303"/>
      <c r="NP303"/>
      <c r="NQ303"/>
      <c r="NR303"/>
      <c r="NS303"/>
      <c r="NT303"/>
      <c r="NU303"/>
      <c r="NV303"/>
      <c r="NW303"/>
      <c r="NX303"/>
      <c r="NY303"/>
      <c r="NZ303"/>
      <c r="OA303"/>
      <c r="OB303"/>
      <c r="OC303"/>
      <c r="OD303"/>
      <c r="OE303"/>
      <c r="OF303"/>
      <c r="OG303"/>
      <c r="OH303"/>
      <c r="OI303"/>
      <c r="OJ303"/>
      <c r="OK303"/>
      <c r="OL303"/>
      <c r="OM303"/>
      <c r="ON303"/>
      <c r="OO303"/>
      <c r="OP303"/>
      <c r="OQ303"/>
      <c r="OR303"/>
      <c r="OS303"/>
      <c r="OT303"/>
      <c r="OU303"/>
      <c r="OV303"/>
      <c r="OW303"/>
      <c r="OX303"/>
      <c r="OY303"/>
      <c r="OZ303"/>
      <c r="PA303"/>
      <c r="PB303"/>
      <c r="PC303"/>
      <c r="PD303"/>
      <c r="PE303"/>
      <c r="PF303"/>
      <c r="PG303"/>
      <c r="PH303"/>
      <c r="PI303"/>
      <c r="PJ303"/>
      <c r="PK303"/>
      <c r="PL303"/>
      <c r="PM303"/>
      <c r="PN303"/>
      <c r="PO303"/>
      <c r="PP303"/>
      <c r="PQ303"/>
      <c r="PR303"/>
      <c r="PS303"/>
      <c r="PT303"/>
      <c r="PU303"/>
      <c r="PV303"/>
      <c r="PW303"/>
      <c r="PX303"/>
      <c r="PY303"/>
      <c r="PZ303"/>
      <c r="QA303"/>
      <c r="QB303"/>
      <c r="QC303"/>
      <c r="QD303"/>
      <c r="QE303"/>
      <c r="QF303"/>
      <c r="QG303"/>
      <c r="QH303"/>
      <c r="QI303"/>
      <c r="QJ303"/>
      <c r="QK303"/>
      <c r="QL303"/>
      <c r="QM303"/>
      <c r="QN303"/>
      <c r="QO303"/>
      <c r="QP303"/>
      <c r="QQ303"/>
      <c r="QR303"/>
      <c r="QS303"/>
      <c r="QT303"/>
      <c r="QU303"/>
      <c r="QV303"/>
      <c r="QW303"/>
      <c r="QX303"/>
    </row>
    <row r="304" spans="1:466" x14ac:dyDescent="0.35">
      <c r="A304" s="53"/>
      <c r="B304" s="53"/>
      <c r="C304" s="55"/>
      <c r="D304" s="53"/>
      <c r="E304" s="53"/>
      <c r="F304" s="126" t="s">
        <v>532</v>
      </c>
      <c r="G304" s="125">
        <v>26</v>
      </c>
      <c r="H304" s="125">
        <v>26</v>
      </c>
      <c r="I304" s="133">
        <v>1</v>
      </c>
      <c r="J304" s="53"/>
      <c r="K304" s="53"/>
      <c r="L304" s="53"/>
      <c r="M304" s="53"/>
      <c r="N304" s="53"/>
      <c r="O304" s="53"/>
      <c r="P304" s="53"/>
      <c r="Q304" s="53"/>
      <c r="R304" s="53"/>
      <c r="S304" s="53"/>
      <c r="T304" s="53"/>
      <c r="U304" s="53"/>
      <c r="V304" s="53"/>
      <c r="W304" s="53"/>
      <c r="X304" s="53"/>
      <c r="Y304" s="53"/>
      <c r="Z304" s="53"/>
      <c r="AA304" s="53"/>
      <c r="AB304" s="53"/>
      <c r="AC304" s="53"/>
      <c r="AD304" s="53"/>
      <c r="AE304" s="53"/>
      <c r="AF304" s="63"/>
      <c r="AG304" s="64"/>
      <c r="AH304" s="65"/>
      <c r="AI304" s="65"/>
      <c r="AJ304" s="53"/>
      <c r="AK304" s="62"/>
      <c r="AL304" s="62"/>
      <c r="AM304" s="62"/>
      <c r="AN304" s="62"/>
      <c r="AO304" s="62"/>
      <c r="AP304" s="62"/>
      <c r="AQ304" s="62"/>
      <c r="AR304" s="62"/>
      <c r="AS304" s="62"/>
      <c r="AT304" s="62"/>
      <c r="AU304" s="62"/>
      <c r="AV304" s="62"/>
      <c r="AW304" s="62"/>
      <c r="AX304" s="62"/>
      <c r="AY304" s="62"/>
      <c r="AZ304" s="62"/>
      <c r="BA304" s="62"/>
      <c r="BB304" s="62"/>
      <c r="BC304" s="62"/>
      <c r="BD304" s="62"/>
      <c r="BE304" s="62"/>
      <c r="BF304" s="62"/>
      <c r="BG304" s="62"/>
      <c r="BH304" s="62"/>
      <c r="BI304" s="62"/>
      <c r="BJ304" s="62"/>
      <c r="BK304" s="62"/>
      <c r="BL304" s="62"/>
      <c r="BM304" s="62"/>
      <c r="BN304" s="62"/>
      <c r="BO304" s="62"/>
      <c r="BP304" s="62"/>
      <c r="BQ304" s="62"/>
      <c r="BR304" s="62"/>
      <c r="BS304" s="62"/>
      <c r="BT304" s="62"/>
      <c r="BU304" s="62"/>
      <c r="BV304" s="62"/>
      <c r="BW304" s="62"/>
      <c r="BX304" s="62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  <c r="HB304"/>
      <c r="HC304"/>
      <c r="HD304"/>
      <c r="HE304"/>
      <c r="HF304"/>
      <c r="HG304"/>
      <c r="HH304"/>
      <c r="HI304"/>
      <c r="HJ304"/>
      <c r="HK304"/>
      <c r="HL304"/>
      <c r="HM304"/>
      <c r="HN304"/>
      <c r="HO304"/>
      <c r="HP304"/>
      <c r="HQ304"/>
      <c r="HR304"/>
      <c r="HS304"/>
      <c r="HT304"/>
      <c r="HU304"/>
      <c r="HV304"/>
      <c r="HW304"/>
      <c r="HX304"/>
      <c r="HY304"/>
      <c r="HZ304"/>
      <c r="IA304"/>
      <c r="IB304"/>
      <c r="IC304"/>
      <c r="ID304"/>
      <c r="IE304"/>
      <c r="IF304"/>
      <c r="IG304"/>
      <c r="IH304"/>
      <c r="II304"/>
      <c r="IJ304"/>
      <c r="IK304"/>
      <c r="IL304"/>
      <c r="IM304"/>
      <c r="IN304"/>
      <c r="IO304"/>
      <c r="IP304"/>
      <c r="IQ304"/>
      <c r="IR304"/>
      <c r="IS304"/>
      <c r="IT304"/>
      <c r="IU304"/>
      <c r="IV304"/>
      <c r="IW304"/>
      <c r="IX304"/>
      <c r="IY304"/>
      <c r="IZ304"/>
      <c r="JA304"/>
      <c r="JB304"/>
      <c r="JC304"/>
      <c r="JD304"/>
      <c r="JE304"/>
      <c r="JF304"/>
      <c r="JG304"/>
      <c r="JH304"/>
      <c r="JI304"/>
      <c r="JJ304"/>
      <c r="JK304"/>
      <c r="JL304"/>
      <c r="JM304"/>
      <c r="JN304"/>
      <c r="JO304"/>
      <c r="JP304"/>
      <c r="JQ304"/>
      <c r="JR304"/>
      <c r="JS304"/>
      <c r="JT304"/>
      <c r="JU304"/>
      <c r="JV304"/>
      <c r="JW304"/>
      <c r="JX304"/>
      <c r="JY304"/>
      <c r="JZ304"/>
      <c r="KA304"/>
      <c r="KB304"/>
      <c r="KC304"/>
      <c r="KD304"/>
      <c r="KE304"/>
      <c r="KF304"/>
      <c r="KG304"/>
      <c r="KH304"/>
      <c r="KI304"/>
      <c r="KJ304"/>
      <c r="KK304"/>
      <c r="KL304"/>
      <c r="KM304"/>
      <c r="KN304"/>
      <c r="KO304"/>
      <c r="KP304"/>
      <c r="KQ304"/>
      <c r="KR304"/>
      <c r="KS304"/>
      <c r="KT304"/>
      <c r="KU304"/>
      <c r="KV304"/>
      <c r="KW304"/>
      <c r="KX304"/>
      <c r="KY304"/>
      <c r="KZ304"/>
      <c r="LA304"/>
      <c r="LB304"/>
      <c r="LC304"/>
      <c r="LD304"/>
      <c r="LE304"/>
      <c r="LF304"/>
      <c r="LG304"/>
      <c r="LH304"/>
      <c r="LI304"/>
      <c r="LJ304"/>
      <c r="LK304"/>
      <c r="LL304"/>
      <c r="LM304"/>
      <c r="LN304"/>
      <c r="LO304"/>
      <c r="LP304"/>
      <c r="LQ304"/>
      <c r="LR304"/>
      <c r="LS304"/>
      <c r="LT304"/>
      <c r="LU304"/>
      <c r="LV304"/>
      <c r="LW304"/>
      <c r="LX304"/>
      <c r="LY304"/>
      <c r="LZ304"/>
      <c r="MA304"/>
      <c r="MB304"/>
      <c r="MC304"/>
      <c r="MD304"/>
      <c r="ME304"/>
      <c r="MF304"/>
      <c r="MG304"/>
      <c r="MH304"/>
      <c r="MI304"/>
      <c r="MJ304"/>
      <c r="MK304"/>
      <c r="ML304"/>
      <c r="MM304"/>
      <c r="MN304"/>
      <c r="MO304"/>
      <c r="MP304"/>
      <c r="MQ304"/>
      <c r="MR304"/>
      <c r="MS304"/>
      <c r="MT304"/>
      <c r="MU304"/>
      <c r="MV304"/>
      <c r="MW304"/>
      <c r="MX304"/>
      <c r="MY304"/>
      <c r="MZ304"/>
      <c r="NA304"/>
      <c r="NB304"/>
      <c r="NC304"/>
      <c r="ND304"/>
      <c r="NE304"/>
      <c r="NF304"/>
      <c r="NG304"/>
      <c r="NH304"/>
      <c r="NI304"/>
      <c r="NJ304"/>
      <c r="NK304"/>
      <c r="NL304"/>
      <c r="NM304"/>
      <c r="NN304"/>
      <c r="NO304"/>
      <c r="NP304"/>
      <c r="NQ304"/>
      <c r="NR304"/>
      <c r="NS304"/>
      <c r="NT304"/>
      <c r="NU304"/>
      <c r="NV304"/>
      <c r="NW304"/>
      <c r="NX304"/>
      <c r="NY304"/>
      <c r="NZ304"/>
      <c r="OA304"/>
      <c r="OB304"/>
      <c r="OC304"/>
      <c r="OD304"/>
      <c r="OE304"/>
      <c r="OF304"/>
      <c r="OG304"/>
      <c r="OH304"/>
      <c r="OI304"/>
      <c r="OJ304"/>
      <c r="OK304"/>
      <c r="OL304"/>
      <c r="OM304"/>
      <c r="ON304"/>
      <c r="OO304"/>
      <c r="OP304"/>
      <c r="OQ304"/>
      <c r="OR304"/>
      <c r="OS304"/>
      <c r="OT304"/>
      <c r="OU304"/>
      <c r="OV304"/>
      <c r="OW304"/>
      <c r="OX304"/>
      <c r="OY304"/>
      <c r="OZ304"/>
      <c r="PA304"/>
      <c r="PB304"/>
      <c r="PC304"/>
      <c r="PD304"/>
      <c r="PE304"/>
      <c r="PF304"/>
      <c r="PG304"/>
      <c r="PH304"/>
      <c r="PI304"/>
      <c r="PJ304"/>
      <c r="PK304"/>
      <c r="PL304"/>
      <c r="PM304"/>
      <c r="PN304"/>
      <c r="PO304"/>
      <c r="PP304"/>
      <c r="PQ304"/>
      <c r="PR304"/>
      <c r="PS304"/>
      <c r="PT304"/>
      <c r="PU304"/>
      <c r="PV304"/>
      <c r="PW304"/>
      <c r="PX304"/>
      <c r="PY304"/>
      <c r="PZ304"/>
      <c r="QA304"/>
      <c r="QB304"/>
      <c r="QC304"/>
      <c r="QD304"/>
      <c r="QE304"/>
      <c r="QF304"/>
      <c r="QG304"/>
      <c r="QH304"/>
      <c r="QI304"/>
      <c r="QJ304"/>
      <c r="QK304"/>
      <c r="QL304"/>
      <c r="QM304"/>
      <c r="QN304"/>
      <c r="QO304"/>
      <c r="QP304"/>
      <c r="QQ304"/>
      <c r="QR304"/>
      <c r="QS304"/>
      <c r="QT304"/>
      <c r="QU304"/>
      <c r="QV304"/>
      <c r="QW304"/>
      <c r="QX304"/>
    </row>
    <row r="305" spans="1:466" x14ac:dyDescent="0.35">
      <c r="A305" s="53"/>
      <c r="B305" s="53"/>
      <c r="C305" s="55"/>
      <c r="D305" s="53"/>
      <c r="E305" s="53"/>
      <c r="F305" s="124" t="s">
        <v>535</v>
      </c>
      <c r="G305" s="125">
        <v>1.1599999999999999</v>
      </c>
      <c r="H305" s="125">
        <v>105.83999999999999</v>
      </c>
      <c r="I305" s="133">
        <v>252</v>
      </c>
      <c r="J305" s="53"/>
      <c r="K305" s="53"/>
      <c r="L305" s="53"/>
      <c r="M305" s="53"/>
      <c r="N305" s="53"/>
      <c r="O305" s="53"/>
      <c r="P305" s="53"/>
      <c r="Q305" s="53"/>
      <c r="R305" s="53"/>
      <c r="S305" s="53"/>
      <c r="T305" s="53"/>
      <c r="U305" s="53"/>
      <c r="V305" s="53"/>
      <c r="W305" s="53"/>
      <c r="X305" s="53"/>
      <c r="Y305" s="53"/>
      <c r="Z305" s="53"/>
      <c r="AA305" s="53"/>
      <c r="AB305" s="53"/>
      <c r="AC305" s="53"/>
      <c r="AD305" s="53"/>
      <c r="AE305" s="53"/>
      <c r="AF305" s="63"/>
      <c r="AG305" s="64"/>
      <c r="AH305" s="65"/>
      <c r="AI305" s="65"/>
      <c r="AJ305" s="53"/>
      <c r="AK305" s="62"/>
      <c r="AL305" s="62"/>
      <c r="AM305" s="62"/>
      <c r="AN305" s="62"/>
      <c r="AO305" s="62"/>
      <c r="AP305" s="62"/>
      <c r="AQ305" s="62"/>
      <c r="AR305" s="62"/>
      <c r="AS305" s="62"/>
      <c r="AT305" s="62"/>
      <c r="AU305" s="62"/>
      <c r="AV305" s="62"/>
      <c r="AW305" s="62"/>
      <c r="AX305" s="62"/>
      <c r="AY305" s="62"/>
      <c r="AZ305" s="62"/>
      <c r="BA305" s="62"/>
      <c r="BB305" s="62"/>
      <c r="BC305" s="62"/>
      <c r="BD305" s="62"/>
      <c r="BE305" s="62"/>
      <c r="BF305" s="62"/>
      <c r="BG305" s="62"/>
      <c r="BH305" s="62"/>
      <c r="BI305" s="62"/>
      <c r="BJ305" s="62"/>
      <c r="BK305" s="62"/>
      <c r="BL305" s="62"/>
      <c r="BM305" s="62"/>
      <c r="BN305" s="62"/>
      <c r="BO305" s="62"/>
      <c r="BP305" s="62"/>
      <c r="BQ305" s="62"/>
      <c r="BR305" s="62"/>
      <c r="BS305" s="62"/>
      <c r="BT305" s="62"/>
      <c r="BU305" s="62"/>
      <c r="BV305" s="62"/>
      <c r="BW305" s="62"/>
      <c r="BX305" s="62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  <c r="HB305"/>
      <c r="HC305"/>
      <c r="HD305"/>
      <c r="HE305"/>
      <c r="HF305"/>
      <c r="HG305"/>
      <c r="HH305"/>
      <c r="HI305"/>
      <c r="HJ305"/>
      <c r="HK305"/>
      <c r="HL305"/>
      <c r="HM305"/>
      <c r="HN305"/>
      <c r="HO305"/>
      <c r="HP305"/>
      <c r="HQ305"/>
      <c r="HR305"/>
      <c r="HS305"/>
      <c r="HT305"/>
      <c r="HU305"/>
      <c r="HV305"/>
      <c r="HW305"/>
      <c r="HX305"/>
      <c r="HY305"/>
      <c r="HZ305"/>
      <c r="IA305"/>
      <c r="IB305"/>
      <c r="IC305"/>
      <c r="ID305"/>
      <c r="IE305"/>
      <c r="IF305"/>
      <c r="IG305"/>
      <c r="IH305"/>
      <c r="II305"/>
      <c r="IJ305"/>
      <c r="IK305"/>
      <c r="IL305"/>
      <c r="IM305"/>
      <c r="IN305"/>
      <c r="IO305"/>
      <c r="IP305"/>
      <c r="IQ305"/>
      <c r="IR305"/>
      <c r="IS305"/>
      <c r="IT305"/>
      <c r="IU305"/>
      <c r="IV305"/>
      <c r="IW305"/>
      <c r="IX305"/>
      <c r="IY305"/>
      <c r="IZ305"/>
      <c r="JA305"/>
      <c r="JB305"/>
      <c r="JC305"/>
      <c r="JD305"/>
      <c r="JE305"/>
      <c r="JF305"/>
      <c r="JG305"/>
      <c r="JH305"/>
      <c r="JI305"/>
      <c r="JJ305"/>
      <c r="JK305"/>
      <c r="JL305"/>
      <c r="JM305"/>
      <c r="JN305"/>
      <c r="JO305"/>
      <c r="JP305"/>
      <c r="JQ305"/>
      <c r="JR305"/>
      <c r="JS305"/>
      <c r="JT305"/>
      <c r="JU305"/>
      <c r="JV305"/>
      <c r="JW305"/>
      <c r="JX305"/>
      <c r="JY305"/>
      <c r="JZ305"/>
      <c r="KA305"/>
      <c r="KB305"/>
      <c r="KC305"/>
      <c r="KD305"/>
      <c r="KE305"/>
      <c r="KF305"/>
      <c r="KG305"/>
      <c r="KH305"/>
      <c r="KI305"/>
      <c r="KJ305"/>
      <c r="KK305"/>
      <c r="KL305"/>
      <c r="KM305"/>
      <c r="KN305"/>
      <c r="KO305"/>
      <c r="KP305"/>
      <c r="KQ305"/>
      <c r="KR305"/>
      <c r="KS305"/>
      <c r="KT305"/>
      <c r="KU305"/>
      <c r="KV305"/>
      <c r="KW305"/>
      <c r="KX305"/>
      <c r="KY305"/>
      <c r="KZ305"/>
      <c r="LA305"/>
      <c r="LB305"/>
      <c r="LC305"/>
      <c r="LD305"/>
      <c r="LE305"/>
      <c r="LF305"/>
      <c r="LG305"/>
      <c r="LH305"/>
      <c r="LI305"/>
      <c r="LJ305"/>
      <c r="LK305"/>
      <c r="LL305"/>
      <c r="LM305"/>
      <c r="LN305"/>
      <c r="LO305"/>
      <c r="LP305"/>
      <c r="LQ305"/>
      <c r="LR305"/>
      <c r="LS305"/>
      <c r="LT305"/>
      <c r="LU305"/>
      <c r="LV305"/>
      <c r="LW305"/>
      <c r="LX305"/>
      <c r="LY305"/>
      <c r="LZ305"/>
      <c r="MA305"/>
      <c r="MB305"/>
      <c r="MC305"/>
      <c r="MD305"/>
      <c r="ME305"/>
      <c r="MF305"/>
      <c r="MG305"/>
      <c r="MH305"/>
      <c r="MI305"/>
      <c r="MJ305"/>
      <c r="MK305"/>
      <c r="ML305"/>
      <c r="MM305"/>
      <c r="MN305"/>
      <c r="MO305"/>
      <c r="MP305"/>
      <c r="MQ305"/>
      <c r="MR305"/>
      <c r="MS305"/>
      <c r="MT305"/>
      <c r="MU305"/>
      <c r="MV305"/>
      <c r="MW305"/>
      <c r="MX305"/>
      <c r="MY305"/>
      <c r="MZ305"/>
      <c r="NA305"/>
      <c r="NB305"/>
      <c r="NC305"/>
      <c r="ND305"/>
      <c r="NE305"/>
      <c r="NF305"/>
      <c r="NG305"/>
      <c r="NH305"/>
      <c r="NI305"/>
      <c r="NJ305"/>
      <c r="NK305"/>
      <c r="NL305"/>
      <c r="NM305"/>
      <c r="NN305"/>
      <c r="NO305"/>
      <c r="NP305"/>
      <c r="NQ305"/>
      <c r="NR305"/>
      <c r="NS305"/>
      <c r="NT305"/>
      <c r="NU305"/>
      <c r="NV305"/>
      <c r="NW305"/>
      <c r="NX305"/>
      <c r="NY305"/>
      <c r="NZ305"/>
      <c r="OA305"/>
      <c r="OB305"/>
      <c r="OC305"/>
      <c r="OD305"/>
      <c r="OE305"/>
      <c r="OF305"/>
      <c r="OG305"/>
      <c r="OH305"/>
      <c r="OI305"/>
      <c r="OJ305"/>
      <c r="OK305"/>
      <c r="OL305"/>
      <c r="OM305"/>
      <c r="ON305"/>
      <c r="OO305"/>
      <c r="OP305"/>
      <c r="OQ305"/>
      <c r="OR305"/>
      <c r="OS305"/>
      <c r="OT305"/>
      <c r="OU305"/>
      <c r="OV305"/>
      <c r="OW305"/>
      <c r="OX305"/>
      <c r="OY305"/>
      <c r="OZ305"/>
      <c r="PA305"/>
      <c r="PB305"/>
      <c r="PC305"/>
      <c r="PD305"/>
      <c r="PE305"/>
      <c r="PF305"/>
      <c r="PG305"/>
      <c r="PH305"/>
      <c r="PI305"/>
      <c r="PJ305"/>
      <c r="PK305"/>
      <c r="PL305"/>
      <c r="PM305"/>
      <c r="PN305"/>
      <c r="PO305"/>
      <c r="PP305"/>
      <c r="PQ305"/>
      <c r="PR305"/>
      <c r="PS305"/>
      <c r="PT305"/>
      <c r="PU305"/>
      <c r="PV305"/>
      <c r="PW305"/>
      <c r="PX305"/>
      <c r="PY305"/>
      <c r="PZ305"/>
      <c r="QA305"/>
      <c r="QB305"/>
      <c r="QC305"/>
      <c r="QD305"/>
      <c r="QE305"/>
      <c r="QF305"/>
      <c r="QG305"/>
      <c r="QH305"/>
      <c r="QI305"/>
      <c r="QJ305"/>
      <c r="QK305"/>
      <c r="QL305"/>
      <c r="QM305"/>
      <c r="QN305"/>
      <c r="QO305"/>
      <c r="QP305"/>
      <c r="QQ305"/>
      <c r="QR305"/>
      <c r="QS305"/>
      <c r="QT305"/>
      <c r="QU305"/>
      <c r="QV305"/>
      <c r="QW305"/>
      <c r="QX305"/>
    </row>
    <row r="306" spans="1:466" x14ac:dyDescent="0.35">
      <c r="A306" s="53"/>
      <c r="B306" s="53"/>
      <c r="C306" s="55"/>
      <c r="D306" s="53"/>
      <c r="E306" s="53"/>
      <c r="F306" s="126">
        <v>638213</v>
      </c>
      <c r="G306" s="125"/>
      <c r="H306" s="125">
        <v>0</v>
      </c>
      <c r="I306" s="133">
        <v>0</v>
      </c>
      <c r="J306" s="53"/>
      <c r="K306" s="53"/>
      <c r="L306" s="53"/>
      <c r="M306" s="53"/>
      <c r="N306" s="53"/>
      <c r="O306" s="53"/>
      <c r="P306" s="53"/>
      <c r="Q306" s="53"/>
      <c r="R306" s="53"/>
      <c r="S306" s="53"/>
      <c r="T306" s="53"/>
      <c r="U306" s="53"/>
      <c r="V306" s="53"/>
      <c r="W306" s="53"/>
      <c r="X306" s="53"/>
      <c r="Y306" s="53"/>
      <c r="Z306" s="53"/>
      <c r="AA306" s="53"/>
      <c r="AB306" s="53"/>
      <c r="AC306" s="53"/>
      <c r="AD306" s="53"/>
      <c r="AE306" s="53"/>
      <c r="AF306" s="63"/>
      <c r="AG306" s="64"/>
      <c r="AH306" s="65"/>
      <c r="AI306" s="65"/>
      <c r="AJ306" s="53"/>
      <c r="AK306" s="62"/>
      <c r="AL306" s="62"/>
      <c r="AM306" s="62"/>
      <c r="AN306" s="62"/>
      <c r="AO306" s="62"/>
      <c r="AP306" s="62"/>
      <c r="AQ306" s="62"/>
      <c r="AR306" s="62"/>
      <c r="AS306" s="62"/>
      <c r="AT306" s="62"/>
      <c r="AU306" s="62"/>
      <c r="AV306" s="62"/>
      <c r="AW306" s="62"/>
      <c r="AX306" s="62"/>
      <c r="AY306" s="62"/>
      <c r="AZ306" s="62"/>
      <c r="BA306" s="62"/>
      <c r="BB306" s="62"/>
      <c r="BC306" s="62"/>
      <c r="BD306" s="62"/>
      <c r="BE306" s="62"/>
      <c r="BF306" s="62"/>
      <c r="BG306" s="62"/>
      <c r="BH306" s="62"/>
      <c r="BI306" s="62"/>
      <c r="BJ306" s="62"/>
      <c r="BK306" s="62"/>
      <c r="BL306" s="62"/>
      <c r="BM306" s="62"/>
      <c r="BN306" s="62"/>
      <c r="BO306" s="62"/>
      <c r="BP306" s="62"/>
      <c r="BQ306" s="62"/>
      <c r="BR306" s="62"/>
      <c r="BS306" s="62"/>
      <c r="BT306" s="62"/>
      <c r="BU306" s="62"/>
      <c r="BV306" s="62"/>
      <c r="BW306" s="62"/>
      <c r="BX306" s="62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  <c r="HB306"/>
      <c r="HC306"/>
      <c r="HD306"/>
      <c r="HE306"/>
      <c r="HF306"/>
      <c r="HG306"/>
      <c r="HH306"/>
      <c r="HI306"/>
      <c r="HJ306"/>
      <c r="HK306"/>
      <c r="HL306"/>
      <c r="HM306"/>
      <c r="HN306"/>
      <c r="HO306"/>
      <c r="HP306"/>
      <c r="HQ306"/>
      <c r="HR306"/>
      <c r="HS306"/>
      <c r="HT306"/>
      <c r="HU306"/>
      <c r="HV306"/>
      <c r="HW306"/>
      <c r="HX306"/>
      <c r="HY306"/>
      <c r="HZ306"/>
      <c r="IA306"/>
      <c r="IB306"/>
      <c r="IC306"/>
      <c r="ID306"/>
      <c r="IE306"/>
      <c r="IF306"/>
      <c r="IG306"/>
      <c r="IH306"/>
      <c r="II306"/>
      <c r="IJ306"/>
      <c r="IK306"/>
      <c r="IL306"/>
      <c r="IM306"/>
      <c r="IN306"/>
      <c r="IO306"/>
      <c r="IP306"/>
      <c r="IQ306"/>
      <c r="IR306"/>
      <c r="IS306"/>
      <c r="IT306"/>
      <c r="IU306"/>
      <c r="IV306"/>
      <c r="IW306"/>
      <c r="IX306"/>
      <c r="IY306"/>
      <c r="IZ306"/>
      <c r="JA306"/>
      <c r="JB306"/>
      <c r="JC306"/>
      <c r="JD306"/>
      <c r="JE306"/>
      <c r="JF306"/>
      <c r="JG306"/>
      <c r="JH306"/>
      <c r="JI306"/>
      <c r="JJ306"/>
      <c r="JK306"/>
      <c r="JL306"/>
      <c r="JM306"/>
      <c r="JN306"/>
      <c r="JO306"/>
      <c r="JP306"/>
      <c r="JQ306"/>
      <c r="JR306"/>
      <c r="JS306"/>
      <c r="JT306"/>
      <c r="JU306"/>
      <c r="JV306"/>
      <c r="JW306"/>
      <c r="JX306"/>
      <c r="JY306"/>
      <c r="JZ306"/>
      <c r="KA306"/>
      <c r="KB306"/>
      <c r="KC306"/>
      <c r="KD306"/>
      <c r="KE306"/>
      <c r="KF306"/>
      <c r="KG306"/>
      <c r="KH306"/>
      <c r="KI306"/>
      <c r="KJ306"/>
      <c r="KK306"/>
      <c r="KL306"/>
      <c r="KM306"/>
      <c r="KN306"/>
      <c r="KO306"/>
      <c r="KP306"/>
      <c r="KQ306"/>
      <c r="KR306"/>
      <c r="KS306"/>
      <c r="KT306"/>
      <c r="KU306"/>
      <c r="KV306"/>
      <c r="KW306"/>
      <c r="KX306"/>
      <c r="KY306"/>
      <c r="KZ306"/>
      <c r="LA306"/>
      <c r="LB306"/>
      <c r="LC306"/>
      <c r="LD306"/>
      <c r="LE306"/>
      <c r="LF306"/>
      <c r="LG306"/>
      <c r="LH306"/>
      <c r="LI306"/>
      <c r="LJ306"/>
      <c r="LK306"/>
      <c r="LL306"/>
      <c r="LM306"/>
      <c r="LN306"/>
      <c r="LO306"/>
      <c r="LP306"/>
      <c r="LQ306"/>
      <c r="LR306"/>
      <c r="LS306"/>
      <c r="LT306"/>
      <c r="LU306"/>
      <c r="LV306"/>
      <c r="LW306"/>
      <c r="LX306"/>
      <c r="LY306"/>
      <c r="LZ306"/>
      <c r="MA306"/>
      <c r="MB306"/>
      <c r="MC306"/>
      <c r="MD306"/>
      <c r="ME306"/>
      <c r="MF306"/>
      <c r="MG306"/>
      <c r="MH306"/>
      <c r="MI306"/>
      <c r="MJ306"/>
      <c r="MK306"/>
      <c r="ML306"/>
      <c r="MM306"/>
      <c r="MN306"/>
      <c r="MO306"/>
      <c r="MP306"/>
      <c r="MQ306"/>
      <c r="MR306"/>
      <c r="MS306"/>
      <c r="MT306"/>
      <c r="MU306"/>
      <c r="MV306"/>
      <c r="MW306"/>
      <c r="MX306"/>
      <c r="MY306"/>
      <c r="MZ306"/>
      <c r="NA306"/>
      <c r="NB306"/>
      <c r="NC306"/>
      <c r="ND306"/>
      <c r="NE306"/>
      <c r="NF306"/>
      <c r="NG306"/>
      <c r="NH306"/>
      <c r="NI306"/>
      <c r="NJ306"/>
      <c r="NK306"/>
      <c r="NL306"/>
      <c r="NM306"/>
      <c r="NN306"/>
      <c r="NO306"/>
      <c r="NP306"/>
      <c r="NQ306"/>
      <c r="NR306"/>
      <c r="NS306"/>
      <c r="NT306"/>
      <c r="NU306"/>
      <c r="NV306"/>
      <c r="NW306"/>
      <c r="NX306"/>
      <c r="NY306"/>
      <c r="NZ306"/>
      <c r="OA306"/>
      <c r="OB306"/>
      <c r="OC306"/>
      <c r="OD306"/>
      <c r="OE306"/>
      <c r="OF306"/>
      <c r="OG306"/>
      <c r="OH306"/>
      <c r="OI306"/>
      <c r="OJ306"/>
      <c r="OK306"/>
      <c r="OL306"/>
      <c r="OM306"/>
      <c r="ON306"/>
      <c r="OO306"/>
      <c r="OP306"/>
      <c r="OQ306"/>
      <c r="OR306"/>
      <c r="OS306"/>
      <c r="OT306"/>
      <c r="OU306"/>
      <c r="OV306"/>
      <c r="OW306"/>
      <c r="OX306"/>
      <c r="OY306"/>
      <c r="OZ306"/>
      <c r="PA306"/>
      <c r="PB306"/>
      <c r="PC306"/>
      <c r="PD306"/>
      <c r="PE306"/>
      <c r="PF306"/>
      <c r="PG306"/>
      <c r="PH306"/>
      <c r="PI306"/>
      <c r="PJ306"/>
      <c r="PK306"/>
      <c r="PL306"/>
      <c r="PM306"/>
      <c r="PN306"/>
      <c r="PO306"/>
      <c r="PP306"/>
      <c r="PQ306"/>
      <c r="PR306"/>
      <c r="PS306"/>
      <c r="PT306"/>
      <c r="PU306"/>
      <c r="PV306"/>
      <c r="PW306"/>
      <c r="PX306"/>
      <c r="PY306"/>
      <c r="PZ306"/>
      <c r="QA306"/>
      <c r="QB306"/>
      <c r="QC306"/>
      <c r="QD306"/>
      <c r="QE306"/>
      <c r="QF306"/>
      <c r="QG306"/>
      <c r="QH306"/>
      <c r="QI306"/>
      <c r="QJ306"/>
      <c r="QK306"/>
      <c r="QL306"/>
      <c r="QM306"/>
      <c r="QN306"/>
      <c r="QO306"/>
      <c r="QP306"/>
      <c r="QQ306"/>
      <c r="QR306"/>
      <c r="QS306"/>
      <c r="QT306"/>
      <c r="QU306"/>
      <c r="QV306"/>
      <c r="QW306"/>
      <c r="QX306"/>
    </row>
    <row r="307" spans="1:466" x14ac:dyDescent="0.35">
      <c r="A307" s="53"/>
      <c r="B307" s="53"/>
      <c r="C307" s="55"/>
      <c r="D307" s="53"/>
      <c r="E307" s="53"/>
      <c r="F307" s="126" t="s">
        <v>1509</v>
      </c>
      <c r="G307" s="125">
        <v>0.74</v>
      </c>
      <c r="H307" s="125">
        <v>0</v>
      </c>
      <c r="I307" s="133">
        <v>0</v>
      </c>
      <c r="J307" s="53"/>
      <c r="K307" s="53"/>
      <c r="L307" s="53"/>
      <c r="M307" s="53"/>
      <c r="N307" s="53"/>
      <c r="O307" s="53"/>
      <c r="P307" s="53"/>
      <c r="Q307" s="53"/>
      <c r="R307" s="53"/>
      <c r="S307" s="53"/>
      <c r="T307" s="53"/>
      <c r="U307" s="53"/>
      <c r="V307" s="53"/>
      <c r="W307" s="53"/>
      <c r="X307" s="53"/>
      <c r="Y307" s="53"/>
      <c r="Z307" s="53"/>
      <c r="AA307" s="53"/>
      <c r="AB307" s="53"/>
      <c r="AC307" s="53"/>
      <c r="AD307" s="53"/>
      <c r="AE307" s="53"/>
      <c r="AF307" s="63"/>
      <c r="AG307" s="64"/>
      <c r="AH307" s="65"/>
      <c r="AI307" s="65"/>
      <c r="AJ307" s="53"/>
      <c r="AK307" s="62"/>
      <c r="AL307" s="62"/>
      <c r="AM307" s="62"/>
      <c r="AN307" s="62"/>
      <c r="AO307" s="62"/>
      <c r="AP307" s="62"/>
      <c r="AQ307" s="62"/>
      <c r="AR307" s="62"/>
      <c r="AS307" s="62"/>
      <c r="AT307" s="62"/>
      <c r="AU307" s="62"/>
      <c r="AV307" s="62"/>
      <c r="AW307" s="62"/>
      <c r="AX307" s="62"/>
      <c r="AY307" s="62"/>
      <c r="AZ307" s="62"/>
      <c r="BA307" s="62"/>
      <c r="BB307" s="62"/>
      <c r="BC307" s="62"/>
      <c r="BD307" s="62"/>
      <c r="BE307" s="62"/>
      <c r="BF307" s="62"/>
      <c r="BG307" s="62"/>
      <c r="BH307" s="62"/>
      <c r="BI307" s="62"/>
      <c r="BJ307" s="62"/>
      <c r="BK307" s="62"/>
      <c r="BL307" s="62"/>
      <c r="BM307" s="62"/>
      <c r="BN307" s="62"/>
      <c r="BO307" s="62"/>
      <c r="BP307" s="62"/>
      <c r="BQ307" s="62"/>
      <c r="BR307" s="62"/>
      <c r="BS307" s="62"/>
      <c r="BT307" s="62"/>
      <c r="BU307" s="62"/>
      <c r="BV307" s="62"/>
      <c r="BW307" s="62"/>
      <c r="BX307" s="62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  <c r="HB307"/>
      <c r="HC307"/>
      <c r="HD307"/>
      <c r="HE307"/>
      <c r="HF307"/>
      <c r="HG307"/>
      <c r="HH307"/>
      <c r="HI307"/>
      <c r="HJ307"/>
      <c r="HK307"/>
      <c r="HL307"/>
      <c r="HM307"/>
      <c r="HN307"/>
      <c r="HO307"/>
      <c r="HP307"/>
      <c r="HQ307"/>
      <c r="HR307"/>
      <c r="HS307"/>
      <c r="HT307"/>
      <c r="HU307"/>
      <c r="HV307"/>
      <c r="HW307"/>
      <c r="HX307"/>
      <c r="HY307"/>
      <c r="HZ307"/>
      <c r="IA307"/>
      <c r="IB307"/>
      <c r="IC307"/>
      <c r="ID307"/>
      <c r="IE307"/>
      <c r="IF307"/>
      <c r="IG307"/>
      <c r="IH307"/>
      <c r="II307"/>
      <c r="IJ307"/>
      <c r="IK307"/>
      <c r="IL307"/>
      <c r="IM307"/>
      <c r="IN307"/>
      <c r="IO307"/>
      <c r="IP307"/>
      <c r="IQ307"/>
      <c r="IR307"/>
      <c r="IS307"/>
      <c r="IT307"/>
      <c r="IU307"/>
      <c r="IV307"/>
      <c r="IW307"/>
      <c r="IX307"/>
      <c r="IY307"/>
      <c r="IZ307"/>
      <c r="JA307"/>
      <c r="JB307"/>
      <c r="JC307"/>
      <c r="JD307"/>
      <c r="JE307"/>
      <c r="JF307"/>
      <c r="JG307"/>
      <c r="JH307"/>
      <c r="JI307"/>
      <c r="JJ307"/>
      <c r="JK307"/>
      <c r="JL307"/>
      <c r="JM307"/>
      <c r="JN307"/>
      <c r="JO307"/>
      <c r="JP307"/>
      <c r="JQ307"/>
      <c r="JR307"/>
      <c r="JS307"/>
      <c r="JT307"/>
      <c r="JU307"/>
      <c r="JV307"/>
      <c r="JW307"/>
      <c r="JX307"/>
      <c r="JY307"/>
      <c r="JZ307"/>
      <c r="KA307"/>
      <c r="KB307"/>
      <c r="KC307"/>
      <c r="KD307"/>
      <c r="KE307"/>
      <c r="KF307"/>
      <c r="KG307"/>
      <c r="KH307"/>
      <c r="KI307"/>
      <c r="KJ307"/>
      <c r="KK307"/>
      <c r="KL307"/>
      <c r="KM307"/>
      <c r="KN307"/>
      <c r="KO307"/>
      <c r="KP307"/>
      <c r="KQ307"/>
      <c r="KR307"/>
      <c r="KS307"/>
      <c r="KT307"/>
      <c r="KU307"/>
      <c r="KV307"/>
      <c r="KW307"/>
      <c r="KX307"/>
      <c r="KY307"/>
      <c r="KZ307"/>
      <c r="LA307"/>
      <c r="LB307"/>
      <c r="LC307"/>
      <c r="LD307"/>
      <c r="LE307"/>
      <c r="LF307"/>
      <c r="LG307"/>
      <c r="LH307"/>
      <c r="LI307"/>
      <c r="LJ307"/>
      <c r="LK307"/>
      <c r="LL307"/>
      <c r="LM307"/>
      <c r="LN307"/>
      <c r="LO307"/>
      <c r="LP307"/>
      <c r="LQ307"/>
      <c r="LR307"/>
      <c r="LS307"/>
      <c r="LT307"/>
      <c r="LU307"/>
      <c r="LV307"/>
      <c r="LW307"/>
      <c r="LX307"/>
      <c r="LY307"/>
      <c r="LZ307"/>
      <c r="MA307"/>
      <c r="MB307"/>
      <c r="MC307"/>
      <c r="MD307"/>
      <c r="ME307"/>
      <c r="MF307"/>
      <c r="MG307"/>
      <c r="MH307"/>
      <c r="MI307"/>
      <c r="MJ307"/>
      <c r="MK307"/>
      <c r="ML307"/>
      <c r="MM307"/>
      <c r="MN307"/>
      <c r="MO307"/>
      <c r="MP307"/>
      <c r="MQ307"/>
      <c r="MR307"/>
      <c r="MS307"/>
      <c r="MT307"/>
      <c r="MU307"/>
      <c r="MV307"/>
      <c r="MW307"/>
      <c r="MX307"/>
      <c r="MY307"/>
      <c r="MZ307"/>
      <c r="NA307"/>
      <c r="NB307"/>
      <c r="NC307"/>
      <c r="ND307"/>
      <c r="NE307"/>
      <c r="NF307"/>
      <c r="NG307"/>
      <c r="NH307"/>
      <c r="NI307"/>
      <c r="NJ307"/>
      <c r="NK307"/>
      <c r="NL307"/>
      <c r="NM307"/>
      <c r="NN307"/>
      <c r="NO307"/>
      <c r="NP307"/>
      <c r="NQ307"/>
      <c r="NR307"/>
      <c r="NS307"/>
      <c r="NT307"/>
      <c r="NU307"/>
      <c r="NV307"/>
      <c r="NW307"/>
      <c r="NX307"/>
      <c r="NY307"/>
      <c r="NZ307"/>
      <c r="OA307"/>
      <c r="OB307"/>
      <c r="OC307"/>
      <c r="OD307"/>
      <c r="OE307"/>
      <c r="OF307"/>
      <c r="OG307"/>
      <c r="OH307"/>
      <c r="OI307"/>
      <c r="OJ307"/>
      <c r="OK307"/>
      <c r="OL307"/>
      <c r="OM307"/>
      <c r="ON307"/>
      <c r="OO307"/>
      <c r="OP307"/>
      <c r="OQ307"/>
      <c r="OR307"/>
      <c r="OS307"/>
      <c r="OT307"/>
      <c r="OU307"/>
      <c r="OV307"/>
      <c r="OW307"/>
      <c r="OX307"/>
      <c r="OY307"/>
      <c r="OZ307"/>
      <c r="PA307"/>
      <c r="PB307"/>
      <c r="PC307"/>
      <c r="PD307"/>
      <c r="PE307"/>
      <c r="PF307"/>
      <c r="PG307"/>
      <c r="PH307"/>
      <c r="PI307"/>
      <c r="PJ307"/>
      <c r="PK307"/>
      <c r="PL307"/>
      <c r="PM307"/>
      <c r="PN307"/>
      <c r="PO307"/>
      <c r="PP307"/>
      <c r="PQ307"/>
      <c r="PR307"/>
      <c r="PS307"/>
      <c r="PT307"/>
      <c r="PU307"/>
      <c r="PV307"/>
      <c r="PW307"/>
      <c r="PX307"/>
      <c r="PY307"/>
      <c r="PZ307"/>
      <c r="QA307"/>
      <c r="QB307"/>
      <c r="QC307"/>
      <c r="QD307"/>
      <c r="QE307"/>
      <c r="QF307"/>
      <c r="QG307"/>
      <c r="QH307"/>
      <c r="QI307"/>
      <c r="QJ307"/>
      <c r="QK307"/>
      <c r="QL307"/>
      <c r="QM307"/>
      <c r="QN307"/>
      <c r="QO307"/>
      <c r="QP307"/>
      <c r="QQ307"/>
      <c r="QR307"/>
      <c r="QS307"/>
      <c r="QT307"/>
      <c r="QU307"/>
      <c r="QV307"/>
      <c r="QW307"/>
      <c r="QX307"/>
    </row>
    <row r="308" spans="1:466" x14ac:dyDescent="0.35">
      <c r="A308" s="53"/>
      <c r="B308" s="53"/>
      <c r="C308" s="55"/>
      <c r="D308" s="53"/>
      <c r="E308" s="53"/>
      <c r="F308" s="126" t="s">
        <v>1381</v>
      </c>
      <c r="G308" s="125">
        <v>0.42</v>
      </c>
      <c r="H308" s="125">
        <v>105.83999999999999</v>
      </c>
      <c r="I308" s="133">
        <v>252</v>
      </c>
      <c r="J308" s="53"/>
      <c r="K308" s="53"/>
      <c r="L308" s="53"/>
      <c r="M308" s="53"/>
      <c r="N308" s="53"/>
      <c r="O308" s="53"/>
      <c r="P308" s="53"/>
      <c r="Q308" s="53"/>
      <c r="R308" s="53"/>
      <c r="S308" s="53"/>
      <c r="T308" s="53"/>
      <c r="U308" s="53"/>
      <c r="V308" s="53"/>
      <c r="W308" s="53"/>
      <c r="X308" s="53"/>
      <c r="Y308" s="53"/>
      <c r="Z308" s="53"/>
      <c r="AA308" s="53"/>
      <c r="AB308" s="53"/>
      <c r="AC308" s="53"/>
      <c r="AD308" s="53"/>
      <c r="AE308" s="53"/>
      <c r="AF308" s="63"/>
      <c r="AG308" s="64"/>
      <c r="AH308" s="65"/>
      <c r="AI308" s="65"/>
      <c r="AJ308" s="53"/>
      <c r="AK308" s="62"/>
      <c r="AL308" s="62"/>
      <c r="AM308" s="62"/>
      <c r="AN308" s="62"/>
      <c r="AO308" s="62"/>
      <c r="AP308" s="62"/>
      <c r="AQ308" s="62"/>
      <c r="AR308" s="62"/>
      <c r="AS308" s="62"/>
      <c r="AT308" s="62"/>
      <c r="AU308" s="62"/>
      <c r="AV308" s="62"/>
      <c r="AW308" s="62"/>
      <c r="AX308" s="62"/>
      <c r="AY308" s="62"/>
      <c r="AZ308" s="62"/>
      <c r="BA308" s="62"/>
      <c r="BB308" s="62"/>
      <c r="BC308" s="62"/>
      <c r="BD308" s="62"/>
      <c r="BE308" s="62"/>
      <c r="BF308" s="62"/>
      <c r="BG308" s="62"/>
      <c r="BH308" s="62"/>
      <c r="BI308" s="62"/>
      <c r="BJ308" s="62"/>
      <c r="BK308" s="62"/>
      <c r="BL308" s="62"/>
      <c r="BM308" s="62"/>
      <c r="BN308" s="62"/>
      <c r="BO308" s="62"/>
      <c r="BP308" s="62"/>
      <c r="BQ308" s="62"/>
      <c r="BR308" s="62"/>
      <c r="BS308" s="62"/>
      <c r="BT308" s="62"/>
      <c r="BU308" s="62"/>
      <c r="BV308" s="62"/>
      <c r="BW308" s="62"/>
      <c r="BX308" s="62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  <c r="HB308"/>
      <c r="HC308"/>
      <c r="HD308"/>
      <c r="HE308"/>
      <c r="HF308"/>
      <c r="HG308"/>
      <c r="HH308"/>
      <c r="HI308"/>
      <c r="HJ308"/>
      <c r="HK308"/>
      <c r="HL308"/>
      <c r="HM308"/>
      <c r="HN308"/>
      <c r="HO308"/>
      <c r="HP308"/>
      <c r="HQ308"/>
      <c r="HR308"/>
      <c r="HS308"/>
      <c r="HT308"/>
      <c r="HU308"/>
      <c r="HV308"/>
      <c r="HW308"/>
      <c r="HX308"/>
      <c r="HY308"/>
      <c r="HZ308"/>
      <c r="IA308"/>
      <c r="IB308"/>
      <c r="IC308"/>
      <c r="ID308"/>
      <c r="IE308"/>
      <c r="IF308"/>
      <c r="IG308"/>
      <c r="IH308"/>
      <c r="II308"/>
      <c r="IJ308"/>
      <c r="IK308"/>
      <c r="IL308"/>
      <c r="IM308"/>
      <c r="IN308"/>
      <c r="IO308"/>
      <c r="IP308"/>
      <c r="IQ308"/>
      <c r="IR308"/>
      <c r="IS308"/>
      <c r="IT308"/>
      <c r="IU308"/>
      <c r="IV308"/>
      <c r="IW308"/>
      <c r="IX308"/>
      <c r="IY308"/>
      <c r="IZ308"/>
      <c r="JA308"/>
      <c r="JB308"/>
      <c r="JC308"/>
      <c r="JD308"/>
      <c r="JE308"/>
      <c r="JF308"/>
      <c r="JG308"/>
      <c r="JH308"/>
      <c r="JI308"/>
      <c r="JJ308"/>
      <c r="JK308"/>
      <c r="JL308"/>
      <c r="JM308"/>
      <c r="JN308"/>
      <c r="JO308"/>
      <c r="JP308"/>
      <c r="JQ308"/>
      <c r="JR308"/>
      <c r="JS308"/>
      <c r="JT308"/>
      <c r="JU308"/>
      <c r="JV308"/>
      <c r="JW308"/>
      <c r="JX308"/>
      <c r="JY308"/>
      <c r="JZ308"/>
      <c r="KA308"/>
      <c r="KB308"/>
      <c r="KC308"/>
      <c r="KD308"/>
      <c r="KE308"/>
      <c r="KF308"/>
      <c r="KG308"/>
      <c r="KH308"/>
      <c r="KI308"/>
      <c r="KJ308"/>
      <c r="KK308"/>
      <c r="KL308"/>
      <c r="KM308"/>
      <c r="KN308"/>
      <c r="KO308"/>
      <c r="KP308"/>
      <c r="KQ308"/>
      <c r="KR308"/>
      <c r="KS308"/>
      <c r="KT308"/>
      <c r="KU308"/>
      <c r="KV308"/>
      <c r="KW308"/>
      <c r="KX308"/>
      <c r="KY308"/>
      <c r="KZ308"/>
      <c r="LA308"/>
      <c r="LB308"/>
      <c r="LC308"/>
      <c r="LD308"/>
      <c r="LE308"/>
      <c r="LF308"/>
      <c r="LG308"/>
      <c r="LH308"/>
      <c r="LI308"/>
      <c r="LJ308"/>
      <c r="LK308"/>
      <c r="LL308"/>
      <c r="LM308"/>
      <c r="LN308"/>
      <c r="LO308"/>
      <c r="LP308"/>
      <c r="LQ308"/>
      <c r="LR308"/>
      <c r="LS308"/>
      <c r="LT308"/>
      <c r="LU308"/>
      <c r="LV308"/>
      <c r="LW308"/>
      <c r="LX308"/>
      <c r="LY308"/>
      <c r="LZ308"/>
      <c r="MA308"/>
      <c r="MB308"/>
      <c r="MC308"/>
      <c r="MD308"/>
      <c r="ME308"/>
      <c r="MF308"/>
      <c r="MG308"/>
      <c r="MH308"/>
      <c r="MI308"/>
      <c r="MJ308"/>
      <c r="MK308"/>
      <c r="ML308"/>
      <c r="MM308"/>
      <c r="MN308"/>
      <c r="MO308"/>
      <c r="MP308"/>
      <c r="MQ308"/>
      <c r="MR308"/>
      <c r="MS308"/>
      <c r="MT308"/>
      <c r="MU308"/>
      <c r="MV308"/>
      <c r="MW308"/>
      <c r="MX308"/>
      <c r="MY308"/>
      <c r="MZ308"/>
      <c r="NA308"/>
      <c r="NB308"/>
      <c r="NC308"/>
      <c r="ND308"/>
      <c r="NE308"/>
      <c r="NF308"/>
      <c r="NG308"/>
      <c r="NH308"/>
      <c r="NI308"/>
      <c r="NJ308"/>
      <c r="NK308"/>
      <c r="NL308"/>
      <c r="NM308"/>
      <c r="NN308"/>
      <c r="NO308"/>
      <c r="NP308"/>
      <c r="NQ308"/>
      <c r="NR308"/>
      <c r="NS308"/>
      <c r="NT308"/>
      <c r="NU308"/>
      <c r="NV308"/>
      <c r="NW308"/>
      <c r="NX308"/>
      <c r="NY308"/>
      <c r="NZ308"/>
      <c r="OA308"/>
      <c r="OB308"/>
      <c r="OC308"/>
      <c r="OD308"/>
      <c r="OE308"/>
      <c r="OF308"/>
      <c r="OG308"/>
      <c r="OH308"/>
      <c r="OI308"/>
      <c r="OJ308"/>
      <c r="OK308"/>
      <c r="OL308"/>
      <c r="OM308"/>
      <c r="ON308"/>
      <c r="OO308"/>
      <c r="OP308"/>
      <c r="OQ308"/>
      <c r="OR308"/>
      <c r="OS308"/>
      <c r="OT308"/>
      <c r="OU308"/>
      <c r="OV308"/>
      <c r="OW308"/>
      <c r="OX308"/>
      <c r="OY308"/>
      <c r="OZ308"/>
      <c r="PA308"/>
      <c r="PB308"/>
      <c r="PC308"/>
      <c r="PD308"/>
      <c r="PE308"/>
      <c r="PF308"/>
      <c r="PG308"/>
      <c r="PH308"/>
      <c r="PI308"/>
      <c r="PJ308"/>
      <c r="PK308"/>
      <c r="PL308"/>
      <c r="PM308"/>
      <c r="PN308"/>
      <c r="PO308"/>
      <c r="PP308"/>
      <c r="PQ308"/>
      <c r="PR308"/>
      <c r="PS308"/>
      <c r="PT308"/>
      <c r="PU308"/>
      <c r="PV308"/>
      <c r="PW308"/>
      <c r="PX308"/>
      <c r="PY308"/>
      <c r="PZ308"/>
      <c r="QA308"/>
      <c r="QB308"/>
      <c r="QC308"/>
      <c r="QD308"/>
      <c r="QE308"/>
      <c r="QF308"/>
      <c r="QG308"/>
      <c r="QH308"/>
      <c r="QI308"/>
      <c r="QJ308"/>
      <c r="QK308"/>
      <c r="QL308"/>
      <c r="QM308"/>
      <c r="QN308"/>
      <c r="QO308"/>
      <c r="QP308"/>
      <c r="QQ308"/>
      <c r="QR308"/>
      <c r="QS308"/>
      <c r="QT308"/>
      <c r="QU308"/>
      <c r="QV308"/>
      <c r="QW308"/>
      <c r="QX308"/>
    </row>
    <row r="309" spans="1:466" x14ac:dyDescent="0.35">
      <c r="A309" s="53"/>
      <c r="B309" s="53"/>
      <c r="C309" s="55"/>
      <c r="D309" s="53"/>
      <c r="E309" s="53"/>
      <c r="F309" s="124" t="s">
        <v>537</v>
      </c>
      <c r="G309" s="125"/>
      <c r="H309" s="125">
        <v>0</v>
      </c>
      <c r="I309" s="133">
        <v>0</v>
      </c>
      <c r="J309" s="53"/>
      <c r="K309" s="53"/>
      <c r="L309" s="53"/>
      <c r="M309" s="53"/>
      <c r="N309" s="53"/>
      <c r="O309" s="53"/>
      <c r="P309" s="53"/>
      <c r="Q309" s="53"/>
      <c r="R309" s="53"/>
      <c r="S309" s="53"/>
      <c r="T309" s="53"/>
      <c r="U309" s="53"/>
      <c r="V309" s="53"/>
      <c r="W309" s="53"/>
      <c r="X309" s="53"/>
      <c r="Y309" s="53"/>
      <c r="Z309" s="53"/>
      <c r="AA309" s="53"/>
      <c r="AB309" s="53"/>
      <c r="AC309" s="53"/>
      <c r="AD309" s="53"/>
      <c r="AE309" s="53"/>
      <c r="AF309" s="63"/>
      <c r="AG309" s="64"/>
      <c r="AH309" s="65"/>
      <c r="AI309" s="65"/>
      <c r="AJ309" s="53"/>
      <c r="AK309" s="62"/>
      <c r="AL309" s="62"/>
      <c r="AM309" s="62"/>
      <c r="AN309" s="62"/>
      <c r="AO309" s="62"/>
      <c r="AP309" s="62"/>
      <c r="AQ309" s="62"/>
      <c r="AR309" s="62"/>
      <c r="AS309" s="62"/>
      <c r="AT309" s="62"/>
      <c r="AU309" s="62"/>
      <c r="AV309" s="62"/>
      <c r="AW309" s="62"/>
      <c r="AX309" s="62"/>
      <c r="AY309" s="62"/>
      <c r="AZ309" s="62"/>
      <c r="BA309" s="62"/>
      <c r="BB309" s="62"/>
      <c r="BC309" s="62"/>
      <c r="BD309" s="62"/>
      <c r="BE309" s="62"/>
      <c r="BF309" s="62"/>
      <c r="BG309" s="62"/>
      <c r="BH309" s="62"/>
      <c r="BI309" s="62"/>
      <c r="BJ309" s="62"/>
      <c r="BK309" s="62"/>
      <c r="BL309" s="62"/>
      <c r="BM309" s="62"/>
      <c r="BN309" s="62"/>
      <c r="BO309" s="62"/>
      <c r="BP309" s="62"/>
      <c r="BQ309" s="62"/>
      <c r="BR309" s="62"/>
      <c r="BS309" s="62"/>
      <c r="BT309" s="62"/>
      <c r="BU309" s="62"/>
      <c r="BV309" s="62"/>
      <c r="BW309" s="62"/>
      <c r="BX309" s="62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  <c r="HB309"/>
      <c r="HC309"/>
      <c r="HD309"/>
      <c r="HE309"/>
      <c r="HF309"/>
      <c r="HG309"/>
      <c r="HH309"/>
      <c r="HI309"/>
      <c r="HJ309"/>
      <c r="HK309"/>
      <c r="HL309"/>
      <c r="HM309"/>
      <c r="HN309"/>
      <c r="HO309"/>
      <c r="HP309"/>
      <c r="HQ309"/>
      <c r="HR309"/>
      <c r="HS309"/>
      <c r="HT309"/>
      <c r="HU309"/>
      <c r="HV309"/>
      <c r="HW309"/>
      <c r="HX309"/>
      <c r="HY309"/>
      <c r="HZ309"/>
      <c r="IA309"/>
      <c r="IB309"/>
      <c r="IC309"/>
      <c r="ID309"/>
      <c r="IE309"/>
      <c r="IF309"/>
      <c r="IG309"/>
      <c r="IH309"/>
      <c r="II309"/>
      <c r="IJ309"/>
      <c r="IK309"/>
      <c r="IL309"/>
      <c r="IM309"/>
      <c r="IN309"/>
      <c r="IO309"/>
      <c r="IP309"/>
      <c r="IQ309"/>
      <c r="IR309"/>
      <c r="IS309"/>
      <c r="IT309"/>
      <c r="IU309"/>
      <c r="IV309"/>
      <c r="IW309"/>
      <c r="IX309"/>
      <c r="IY309"/>
      <c r="IZ309"/>
      <c r="JA309"/>
      <c r="JB309"/>
      <c r="JC309"/>
      <c r="JD309"/>
      <c r="JE309"/>
      <c r="JF309"/>
      <c r="JG309"/>
      <c r="JH309"/>
      <c r="JI309"/>
      <c r="JJ309"/>
      <c r="JK309"/>
      <c r="JL309"/>
      <c r="JM309"/>
      <c r="JN309"/>
      <c r="JO309"/>
      <c r="JP309"/>
      <c r="JQ309"/>
      <c r="JR309"/>
      <c r="JS309"/>
      <c r="JT309"/>
      <c r="JU309"/>
      <c r="JV309"/>
      <c r="JW309"/>
      <c r="JX309"/>
      <c r="JY309"/>
      <c r="JZ309"/>
      <c r="KA309"/>
      <c r="KB309"/>
      <c r="KC309"/>
      <c r="KD309"/>
      <c r="KE309"/>
      <c r="KF309"/>
      <c r="KG309"/>
      <c r="KH309"/>
      <c r="KI309"/>
      <c r="KJ309"/>
      <c r="KK309"/>
      <c r="KL309"/>
      <c r="KM309"/>
      <c r="KN309"/>
      <c r="KO309"/>
      <c r="KP309"/>
      <c r="KQ309"/>
      <c r="KR309"/>
      <c r="KS309"/>
      <c r="KT309"/>
      <c r="KU309"/>
      <c r="KV309"/>
      <c r="KW309"/>
      <c r="KX309"/>
      <c r="KY309"/>
      <c r="KZ309"/>
      <c r="LA309"/>
      <c r="LB309"/>
      <c r="LC309"/>
      <c r="LD309"/>
      <c r="LE309"/>
      <c r="LF309"/>
      <c r="LG309"/>
      <c r="LH309"/>
      <c r="LI309"/>
      <c r="LJ309"/>
      <c r="LK309"/>
      <c r="LL309"/>
      <c r="LM309"/>
      <c r="LN309"/>
      <c r="LO309"/>
      <c r="LP309"/>
      <c r="LQ309"/>
      <c r="LR309"/>
      <c r="LS309"/>
      <c r="LT309"/>
      <c r="LU309"/>
      <c r="LV309"/>
      <c r="LW309"/>
      <c r="LX309"/>
      <c r="LY309"/>
      <c r="LZ309"/>
      <c r="MA309"/>
      <c r="MB309"/>
      <c r="MC309"/>
      <c r="MD309"/>
      <c r="ME309"/>
      <c r="MF309"/>
      <c r="MG309"/>
      <c r="MH309"/>
      <c r="MI309"/>
      <c r="MJ309"/>
      <c r="MK309"/>
      <c r="ML309"/>
      <c r="MM309"/>
      <c r="MN309"/>
      <c r="MO309"/>
      <c r="MP309"/>
      <c r="MQ309"/>
      <c r="MR309"/>
      <c r="MS309"/>
      <c r="MT309"/>
      <c r="MU309"/>
      <c r="MV309"/>
      <c r="MW309"/>
      <c r="MX309"/>
      <c r="MY309"/>
      <c r="MZ309"/>
      <c r="NA309"/>
      <c r="NB309"/>
      <c r="NC309"/>
      <c r="ND309"/>
      <c r="NE309"/>
      <c r="NF309"/>
      <c r="NG309"/>
      <c r="NH309"/>
      <c r="NI309"/>
      <c r="NJ309"/>
      <c r="NK309"/>
      <c r="NL309"/>
      <c r="NM309"/>
      <c r="NN309"/>
      <c r="NO309"/>
      <c r="NP309"/>
      <c r="NQ309"/>
      <c r="NR309"/>
      <c r="NS309"/>
      <c r="NT309"/>
      <c r="NU309"/>
      <c r="NV309"/>
      <c r="NW309"/>
      <c r="NX309"/>
      <c r="NY309"/>
      <c r="NZ309"/>
      <c r="OA309"/>
      <c r="OB309"/>
      <c r="OC309"/>
      <c r="OD309"/>
      <c r="OE309"/>
      <c r="OF309"/>
      <c r="OG309"/>
      <c r="OH309"/>
      <c r="OI309"/>
      <c r="OJ309"/>
      <c r="OK309"/>
      <c r="OL309"/>
      <c r="OM309"/>
      <c r="ON309"/>
      <c r="OO309"/>
      <c r="OP309"/>
      <c r="OQ309"/>
      <c r="OR309"/>
      <c r="OS309"/>
      <c r="OT309"/>
      <c r="OU309"/>
      <c r="OV309"/>
      <c r="OW309"/>
      <c r="OX309"/>
      <c r="OY309"/>
      <c r="OZ309"/>
      <c r="PA309"/>
      <c r="PB309"/>
      <c r="PC309"/>
      <c r="PD309"/>
      <c r="PE309"/>
      <c r="PF309"/>
      <c r="PG309"/>
      <c r="PH309"/>
      <c r="PI309"/>
      <c r="PJ309"/>
      <c r="PK309"/>
      <c r="PL309"/>
      <c r="PM309"/>
      <c r="PN309"/>
      <c r="PO309"/>
      <c r="PP309"/>
      <c r="PQ309"/>
      <c r="PR309"/>
      <c r="PS309"/>
      <c r="PT309"/>
      <c r="PU309"/>
      <c r="PV309"/>
      <c r="PW309"/>
      <c r="PX309"/>
      <c r="PY309"/>
      <c r="PZ309"/>
      <c r="QA309"/>
      <c r="QB309"/>
      <c r="QC309"/>
      <c r="QD309"/>
      <c r="QE309"/>
      <c r="QF309"/>
      <c r="QG309"/>
      <c r="QH309"/>
      <c r="QI309"/>
      <c r="QJ309"/>
      <c r="QK309"/>
      <c r="QL309"/>
      <c r="QM309"/>
      <c r="QN309"/>
      <c r="QO309"/>
      <c r="QP309"/>
      <c r="QQ309"/>
      <c r="QR309"/>
      <c r="QS309"/>
      <c r="QT309"/>
      <c r="QU309"/>
      <c r="QV309"/>
      <c r="QW309"/>
      <c r="QX309"/>
    </row>
    <row r="310" spans="1:466" x14ac:dyDescent="0.35">
      <c r="A310" s="53"/>
      <c r="B310" s="53"/>
      <c r="C310" s="55"/>
      <c r="D310" s="53"/>
      <c r="E310" s="53"/>
      <c r="F310" s="126" t="s">
        <v>1246</v>
      </c>
      <c r="G310" s="125"/>
      <c r="H310" s="125">
        <v>0</v>
      </c>
      <c r="I310" s="133">
        <v>0</v>
      </c>
      <c r="J310" s="53"/>
      <c r="K310" s="53"/>
      <c r="L310" s="53"/>
      <c r="M310" s="53"/>
      <c r="N310" s="53"/>
      <c r="O310" s="53"/>
      <c r="P310" s="53"/>
      <c r="Q310" s="53"/>
      <c r="R310" s="53"/>
      <c r="S310" s="53"/>
      <c r="T310" s="53"/>
      <c r="U310" s="53"/>
      <c r="V310" s="53"/>
      <c r="W310" s="53"/>
      <c r="X310" s="53"/>
      <c r="Y310" s="53"/>
      <c r="Z310" s="53"/>
      <c r="AA310" s="53"/>
      <c r="AB310" s="53"/>
      <c r="AC310" s="53"/>
      <c r="AD310" s="53"/>
      <c r="AE310" s="53"/>
      <c r="AF310" s="63"/>
      <c r="AG310" s="64"/>
      <c r="AH310" s="65"/>
      <c r="AI310" s="65"/>
      <c r="AJ310" s="53"/>
      <c r="AK310" s="62"/>
      <c r="AL310" s="62"/>
      <c r="AM310" s="62"/>
      <c r="AN310" s="62"/>
      <c r="AO310" s="62"/>
      <c r="AP310" s="62"/>
      <c r="AQ310" s="62"/>
      <c r="AR310" s="62"/>
      <c r="AS310" s="62"/>
      <c r="AT310" s="62"/>
      <c r="AU310" s="62"/>
      <c r="AV310" s="62"/>
      <c r="AW310" s="62"/>
      <c r="AX310" s="62"/>
      <c r="AY310" s="62"/>
      <c r="AZ310" s="62"/>
      <c r="BA310" s="62"/>
      <c r="BB310" s="62"/>
      <c r="BC310" s="62"/>
      <c r="BD310" s="62"/>
      <c r="BE310" s="62"/>
      <c r="BF310" s="62"/>
      <c r="BG310" s="62"/>
      <c r="BH310" s="62"/>
      <c r="BI310" s="62"/>
      <c r="BJ310" s="62"/>
      <c r="BK310" s="62"/>
      <c r="BL310" s="62"/>
      <c r="BM310" s="62"/>
      <c r="BN310" s="62"/>
      <c r="BO310" s="62"/>
      <c r="BP310" s="62"/>
      <c r="BQ310" s="62"/>
      <c r="BR310" s="62"/>
      <c r="BS310" s="62"/>
      <c r="BT310" s="62"/>
      <c r="BU310" s="62"/>
      <c r="BV310" s="62"/>
      <c r="BW310" s="62"/>
      <c r="BX310" s="62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  <c r="HB310"/>
      <c r="HC310"/>
      <c r="HD310"/>
      <c r="HE310"/>
      <c r="HF310"/>
      <c r="HG310"/>
      <c r="HH310"/>
      <c r="HI310"/>
      <c r="HJ310"/>
      <c r="HK310"/>
      <c r="HL310"/>
      <c r="HM310"/>
      <c r="HN310"/>
      <c r="HO310"/>
      <c r="HP310"/>
      <c r="HQ310"/>
      <c r="HR310"/>
      <c r="HS310"/>
      <c r="HT310"/>
      <c r="HU310"/>
      <c r="HV310"/>
      <c r="HW310"/>
      <c r="HX310"/>
      <c r="HY310"/>
      <c r="HZ310"/>
      <c r="IA310"/>
      <c r="IB310"/>
      <c r="IC310"/>
      <c r="ID310"/>
      <c r="IE310"/>
      <c r="IF310"/>
      <c r="IG310"/>
      <c r="IH310"/>
      <c r="II310"/>
      <c r="IJ310"/>
      <c r="IK310"/>
      <c r="IL310"/>
      <c r="IM310"/>
      <c r="IN310"/>
      <c r="IO310"/>
      <c r="IP310"/>
      <c r="IQ310"/>
      <c r="IR310"/>
      <c r="IS310"/>
      <c r="IT310"/>
      <c r="IU310"/>
      <c r="IV310"/>
      <c r="IW310"/>
      <c r="IX310"/>
      <c r="IY310"/>
      <c r="IZ310"/>
      <c r="JA310"/>
      <c r="JB310"/>
      <c r="JC310"/>
      <c r="JD310"/>
      <c r="JE310"/>
      <c r="JF310"/>
      <c r="JG310"/>
      <c r="JH310"/>
      <c r="JI310"/>
      <c r="JJ310"/>
      <c r="JK310"/>
      <c r="JL310"/>
      <c r="JM310"/>
      <c r="JN310"/>
      <c r="JO310"/>
      <c r="JP310"/>
      <c r="JQ310"/>
      <c r="JR310"/>
      <c r="JS310"/>
      <c r="JT310"/>
      <c r="JU310"/>
      <c r="JV310"/>
      <c r="JW310"/>
      <c r="JX310"/>
      <c r="JY310"/>
      <c r="JZ310"/>
      <c r="KA310"/>
      <c r="KB310"/>
      <c r="KC310"/>
      <c r="KD310"/>
      <c r="KE310"/>
      <c r="KF310"/>
      <c r="KG310"/>
      <c r="KH310"/>
      <c r="KI310"/>
      <c r="KJ310"/>
      <c r="KK310"/>
      <c r="KL310"/>
      <c r="KM310"/>
      <c r="KN310"/>
      <c r="KO310"/>
      <c r="KP310"/>
      <c r="KQ310"/>
      <c r="KR310"/>
      <c r="KS310"/>
      <c r="KT310"/>
      <c r="KU310"/>
      <c r="KV310"/>
      <c r="KW310"/>
      <c r="KX310"/>
      <c r="KY310"/>
      <c r="KZ310"/>
      <c r="LA310"/>
      <c r="LB310"/>
      <c r="LC310"/>
      <c r="LD310"/>
      <c r="LE310"/>
      <c r="LF310"/>
      <c r="LG310"/>
      <c r="LH310"/>
      <c r="LI310"/>
      <c r="LJ310"/>
      <c r="LK310"/>
      <c r="LL310"/>
      <c r="LM310"/>
      <c r="LN310"/>
      <c r="LO310"/>
      <c r="LP310"/>
      <c r="LQ310"/>
      <c r="LR310"/>
      <c r="LS310"/>
      <c r="LT310"/>
      <c r="LU310"/>
      <c r="LV310"/>
      <c r="LW310"/>
      <c r="LX310"/>
      <c r="LY310"/>
      <c r="LZ310"/>
      <c r="MA310"/>
      <c r="MB310"/>
      <c r="MC310"/>
      <c r="MD310"/>
      <c r="ME310"/>
      <c r="MF310"/>
      <c r="MG310"/>
      <c r="MH310"/>
      <c r="MI310"/>
      <c r="MJ310"/>
      <c r="MK310"/>
      <c r="ML310"/>
      <c r="MM310"/>
      <c r="MN310"/>
      <c r="MO310"/>
      <c r="MP310"/>
      <c r="MQ310"/>
      <c r="MR310"/>
      <c r="MS310"/>
      <c r="MT310"/>
      <c r="MU310"/>
      <c r="MV310"/>
      <c r="MW310"/>
      <c r="MX310"/>
      <c r="MY310"/>
      <c r="MZ310"/>
      <c r="NA310"/>
      <c r="NB310"/>
      <c r="NC310"/>
      <c r="ND310"/>
      <c r="NE310"/>
      <c r="NF310"/>
      <c r="NG310"/>
      <c r="NH310"/>
      <c r="NI310"/>
      <c r="NJ310"/>
      <c r="NK310"/>
      <c r="NL310"/>
      <c r="NM310"/>
      <c r="NN310"/>
      <c r="NO310"/>
      <c r="NP310"/>
      <c r="NQ310"/>
      <c r="NR310"/>
      <c r="NS310"/>
      <c r="NT310"/>
      <c r="NU310"/>
      <c r="NV310"/>
      <c r="NW310"/>
      <c r="NX310"/>
      <c r="NY310"/>
      <c r="NZ310"/>
      <c r="OA310"/>
      <c r="OB310"/>
      <c r="OC310"/>
      <c r="OD310"/>
      <c r="OE310"/>
      <c r="OF310"/>
      <c r="OG310"/>
      <c r="OH310"/>
      <c r="OI310"/>
      <c r="OJ310"/>
      <c r="OK310"/>
      <c r="OL310"/>
      <c r="OM310"/>
      <c r="ON310"/>
      <c r="OO310"/>
      <c r="OP310"/>
      <c r="OQ310"/>
      <c r="OR310"/>
      <c r="OS310"/>
      <c r="OT310"/>
      <c r="OU310"/>
      <c r="OV310"/>
      <c r="OW310"/>
      <c r="OX310"/>
      <c r="OY310"/>
      <c r="OZ310"/>
      <c r="PA310"/>
      <c r="PB310"/>
      <c r="PC310"/>
      <c r="PD310"/>
      <c r="PE310"/>
      <c r="PF310"/>
      <c r="PG310"/>
      <c r="PH310"/>
      <c r="PI310"/>
      <c r="PJ310"/>
      <c r="PK310"/>
      <c r="PL310"/>
      <c r="PM310"/>
      <c r="PN310"/>
      <c r="PO310"/>
      <c r="PP310"/>
      <c r="PQ310"/>
      <c r="PR310"/>
      <c r="PS310"/>
      <c r="PT310"/>
      <c r="PU310"/>
      <c r="PV310"/>
      <c r="PW310"/>
      <c r="PX310"/>
      <c r="PY310"/>
      <c r="PZ310"/>
      <c r="QA310"/>
      <c r="QB310"/>
      <c r="QC310"/>
      <c r="QD310"/>
      <c r="QE310"/>
      <c r="QF310"/>
      <c r="QG310"/>
      <c r="QH310"/>
      <c r="QI310"/>
      <c r="QJ310"/>
      <c r="QK310"/>
      <c r="QL310"/>
      <c r="QM310"/>
      <c r="QN310"/>
      <c r="QO310"/>
      <c r="QP310"/>
      <c r="QQ310"/>
      <c r="QR310"/>
      <c r="QS310"/>
      <c r="QT310"/>
      <c r="QU310"/>
      <c r="QV310"/>
      <c r="QW310"/>
      <c r="QX310"/>
    </row>
    <row r="311" spans="1:466" x14ac:dyDescent="0.35">
      <c r="A311" s="53"/>
      <c r="B311" s="53"/>
      <c r="C311" s="55"/>
      <c r="D311" s="53"/>
      <c r="E311" s="53"/>
      <c r="F311" s="126" t="s">
        <v>1265</v>
      </c>
      <c r="G311" s="125"/>
      <c r="H311" s="125">
        <v>0</v>
      </c>
      <c r="I311" s="133">
        <v>0</v>
      </c>
      <c r="J311" s="53"/>
      <c r="K311" s="53"/>
      <c r="L311" s="53"/>
      <c r="M311" s="53"/>
      <c r="N311" s="53"/>
      <c r="O311" s="53"/>
      <c r="P311" s="53"/>
      <c r="Q311" s="53"/>
      <c r="R311" s="53"/>
      <c r="S311" s="53"/>
      <c r="T311" s="53"/>
      <c r="U311" s="53"/>
      <c r="V311" s="53"/>
      <c r="W311" s="53"/>
      <c r="X311" s="53"/>
      <c r="Y311" s="53"/>
      <c r="Z311" s="53"/>
      <c r="AA311" s="53"/>
      <c r="AB311" s="53"/>
      <c r="AC311" s="53"/>
      <c r="AD311" s="53"/>
      <c r="AE311" s="53"/>
      <c r="AF311" s="63"/>
      <c r="AG311" s="64"/>
      <c r="AH311" s="65"/>
      <c r="AI311" s="65"/>
      <c r="AJ311" s="53"/>
      <c r="AK311" s="62"/>
      <c r="AL311" s="62"/>
      <c r="AM311" s="62"/>
      <c r="AN311" s="62"/>
      <c r="AO311" s="62"/>
      <c r="AP311" s="62"/>
      <c r="AQ311" s="62"/>
      <c r="AR311" s="62"/>
      <c r="AS311" s="62"/>
      <c r="AT311" s="62"/>
      <c r="AU311" s="62"/>
      <c r="AV311" s="62"/>
      <c r="AW311" s="62"/>
      <c r="AX311" s="62"/>
      <c r="AY311" s="62"/>
      <c r="AZ311" s="62"/>
      <c r="BA311" s="62"/>
      <c r="BB311" s="62"/>
      <c r="BC311" s="62"/>
      <c r="BD311" s="62"/>
      <c r="BE311" s="62"/>
      <c r="BF311" s="62"/>
      <c r="BG311" s="62"/>
      <c r="BH311" s="62"/>
      <c r="BI311" s="62"/>
      <c r="BJ311" s="62"/>
      <c r="BK311" s="62"/>
      <c r="BL311" s="62"/>
      <c r="BM311" s="62"/>
      <c r="BN311" s="62"/>
      <c r="BO311" s="62"/>
      <c r="BP311" s="62"/>
      <c r="BQ311" s="62"/>
      <c r="BR311" s="62"/>
      <c r="BS311" s="62"/>
      <c r="BT311" s="62"/>
      <c r="BU311" s="62"/>
      <c r="BV311" s="62"/>
      <c r="BW311" s="62"/>
      <c r="BX311" s="62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  <c r="HB311"/>
      <c r="HC311"/>
      <c r="HD311"/>
      <c r="HE311"/>
      <c r="HF311"/>
      <c r="HG311"/>
      <c r="HH311"/>
      <c r="HI311"/>
      <c r="HJ311"/>
      <c r="HK311"/>
      <c r="HL311"/>
      <c r="HM311"/>
      <c r="HN311"/>
      <c r="HO311"/>
      <c r="HP311"/>
      <c r="HQ311"/>
      <c r="HR311"/>
      <c r="HS311"/>
      <c r="HT311"/>
      <c r="HU311"/>
      <c r="HV311"/>
      <c r="HW311"/>
      <c r="HX311"/>
      <c r="HY311"/>
      <c r="HZ311"/>
      <c r="IA311"/>
      <c r="IB311"/>
      <c r="IC311"/>
      <c r="ID311"/>
      <c r="IE311"/>
      <c r="IF311"/>
      <c r="IG311"/>
      <c r="IH311"/>
      <c r="II311"/>
      <c r="IJ311"/>
      <c r="IK311"/>
      <c r="IL311"/>
      <c r="IM311"/>
      <c r="IN311"/>
      <c r="IO311"/>
      <c r="IP311"/>
      <c r="IQ311"/>
      <c r="IR311"/>
      <c r="IS311"/>
      <c r="IT311"/>
      <c r="IU311"/>
      <c r="IV311"/>
      <c r="IW311"/>
      <c r="IX311"/>
      <c r="IY311"/>
      <c r="IZ311"/>
      <c r="JA311"/>
      <c r="JB311"/>
      <c r="JC311"/>
      <c r="JD311"/>
      <c r="JE311"/>
      <c r="JF311"/>
      <c r="JG311"/>
      <c r="JH311"/>
      <c r="JI311"/>
      <c r="JJ311"/>
      <c r="JK311"/>
      <c r="JL311"/>
      <c r="JM311"/>
      <c r="JN311"/>
      <c r="JO311"/>
      <c r="JP311"/>
      <c r="JQ311"/>
      <c r="JR311"/>
      <c r="JS311"/>
      <c r="JT311"/>
      <c r="JU311"/>
      <c r="JV311"/>
      <c r="JW311"/>
      <c r="JX311"/>
      <c r="JY311"/>
      <c r="JZ311"/>
      <c r="KA311"/>
      <c r="KB311"/>
      <c r="KC311"/>
      <c r="KD311"/>
      <c r="KE311"/>
      <c r="KF311"/>
      <c r="KG311"/>
      <c r="KH311"/>
      <c r="KI311"/>
      <c r="KJ311"/>
      <c r="KK311"/>
      <c r="KL311"/>
      <c r="KM311"/>
      <c r="KN311"/>
      <c r="KO311"/>
      <c r="KP311"/>
      <c r="KQ311"/>
      <c r="KR311"/>
      <c r="KS311"/>
      <c r="KT311"/>
      <c r="KU311"/>
      <c r="KV311"/>
      <c r="KW311"/>
      <c r="KX311"/>
      <c r="KY311"/>
      <c r="KZ311"/>
      <c r="LA311"/>
      <c r="LB311"/>
      <c r="LC311"/>
      <c r="LD311"/>
      <c r="LE311"/>
      <c r="LF311"/>
      <c r="LG311"/>
      <c r="LH311"/>
      <c r="LI311"/>
      <c r="LJ311"/>
      <c r="LK311"/>
      <c r="LL311"/>
      <c r="LM311"/>
      <c r="LN311"/>
      <c r="LO311"/>
      <c r="LP311"/>
      <c r="LQ311"/>
      <c r="LR311"/>
      <c r="LS311"/>
      <c r="LT311"/>
      <c r="LU311"/>
      <c r="LV311"/>
      <c r="LW311"/>
      <c r="LX311"/>
      <c r="LY311"/>
      <c r="LZ311"/>
      <c r="MA311"/>
      <c r="MB311"/>
      <c r="MC311"/>
      <c r="MD311"/>
      <c r="ME311"/>
      <c r="MF311"/>
      <c r="MG311"/>
      <c r="MH311"/>
      <c r="MI311"/>
      <c r="MJ311"/>
      <c r="MK311"/>
      <c r="ML311"/>
      <c r="MM311"/>
      <c r="MN311"/>
      <c r="MO311"/>
      <c r="MP311"/>
      <c r="MQ311"/>
      <c r="MR311"/>
      <c r="MS311"/>
      <c r="MT311"/>
      <c r="MU311"/>
      <c r="MV311"/>
      <c r="MW311"/>
      <c r="MX311"/>
      <c r="MY311"/>
      <c r="MZ311"/>
      <c r="NA311"/>
      <c r="NB311"/>
      <c r="NC311"/>
      <c r="ND311"/>
      <c r="NE311"/>
      <c r="NF311"/>
      <c r="NG311"/>
      <c r="NH311"/>
      <c r="NI311"/>
      <c r="NJ311"/>
      <c r="NK311"/>
      <c r="NL311"/>
      <c r="NM311"/>
      <c r="NN311"/>
      <c r="NO311"/>
      <c r="NP311"/>
      <c r="NQ311"/>
      <c r="NR311"/>
      <c r="NS311"/>
      <c r="NT311"/>
      <c r="NU311"/>
      <c r="NV311"/>
      <c r="NW311"/>
      <c r="NX311"/>
      <c r="NY311"/>
      <c r="NZ311"/>
      <c r="OA311"/>
      <c r="OB311"/>
      <c r="OC311"/>
      <c r="OD311"/>
      <c r="OE311"/>
      <c r="OF311"/>
      <c r="OG311"/>
      <c r="OH311"/>
      <c r="OI311"/>
      <c r="OJ311"/>
      <c r="OK311"/>
      <c r="OL311"/>
      <c r="OM311"/>
      <c r="ON311"/>
      <c r="OO311"/>
      <c r="OP311"/>
      <c r="OQ311"/>
      <c r="OR311"/>
      <c r="OS311"/>
      <c r="OT311"/>
      <c r="OU311"/>
      <c r="OV311"/>
      <c r="OW311"/>
      <c r="OX311"/>
      <c r="OY311"/>
      <c r="OZ311"/>
      <c r="PA311"/>
      <c r="PB311"/>
      <c r="PC311"/>
      <c r="PD311"/>
      <c r="PE311"/>
      <c r="PF311"/>
      <c r="PG311"/>
      <c r="PH311"/>
      <c r="PI311"/>
      <c r="PJ311"/>
      <c r="PK311"/>
      <c r="PL311"/>
      <c r="PM311"/>
      <c r="PN311"/>
      <c r="PO311"/>
      <c r="PP311"/>
      <c r="PQ311"/>
      <c r="PR311"/>
      <c r="PS311"/>
      <c r="PT311"/>
      <c r="PU311"/>
      <c r="PV311"/>
      <c r="PW311"/>
      <c r="PX311"/>
      <c r="PY311"/>
      <c r="PZ311"/>
      <c r="QA311"/>
      <c r="QB311"/>
      <c r="QC311"/>
      <c r="QD311"/>
      <c r="QE311"/>
      <c r="QF311"/>
      <c r="QG311"/>
      <c r="QH311"/>
      <c r="QI311"/>
      <c r="QJ311"/>
      <c r="QK311"/>
      <c r="QL311"/>
      <c r="QM311"/>
      <c r="QN311"/>
      <c r="QO311"/>
      <c r="QP311"/>
      <c r="QQ311"/>
      <c r="QR311"/>
      <c r="QS311"/>
      <c r="QT311"/>
      <c r="QU311"/>
      <c r="QV311"/>
      <c r="QW311"/>
      <c r="QX311"/>
    </row>
    <row r="312" spans="1:466" x14ac:dyDescent="0.35">
      <c r="A312" s="53"/>
      <c r="B312" s="53"/>
      <c r="C312" s="55"/>
      <c r="D312" s="53"/>
      <c r="E312" s="53"/>
      <c r="F312" s="126" t="s">
        <v>536</v>
      </c>
      <c r="G312" s="125"/>
      <c r="H312" s="125">
        <v>0</v>
      </c>
      <c r="I312" s="133">
        <v>0</v>
      </c>
      <c r="J312" s="53"/>
      <c r="K312" s="53"/>
      <c r="L312" s="53"/>
      <c r="M312" s="53"/>
      <c r="N312" s="53"/>
      <c r="O312" s="53"/>
      <c r="P312" s="53"/>
      <c r="Q312" s="53"/>
      <c r="R312" s="53"/>
      <c r="S312" s="53"/>
      <c r="T312" s="53"/>
      <c r="U312" s="53"/>
      <c r="V312" s="53"/>
      <c r="W312" s="53"/>
      <c r="X312" s="53"/>
      <c r="Y312" s="53"/>
      <c r="Z312" s="53"/>
      <c r="AA312" s="53"/>
      <c r="AB312" s="53"/>
      <c r="AC312" s="53"/>
      <c r="AD312" s="53"/>
      <c r="AE312" s="53"/>
      <c r="AF312" s="63"/>
      <c r="AG312" s="64"/>
      <c r="AH312" s="65"/>
      <c r="AI312" s="65"/>
      <c r="AJ312" s="53"/>
      <c r="AK312" s="62"/>
      <c r="AL312" s="62"/>
      <c r="AM312" s="62"/>
      <c r="AN312" s="62"/>
      <c r="AO312" s="62"/>
      <c r="AP312" s="62"/>
      <c r="AQ312" s="62"/>
      <c r="AR312" s="62"/>
      <c r="AS312" s="62"/>
      <c r="AT312" s="62"/>
      <c r="AU312" s="62"/>
      <c r="AV312" s="62"/>
      <c r="AW312" s="62"/>
      <c r="AX312" s="62"/>
      <c r="AY312" s="62"/>
      <c r="AZ312" s="62"/>
      <c r="BA312" s="62"/>
      <c r="BB312" s="62"/>
      <c r="BC312" s="62"/>
      <c r="BD312" s="62"/>
      <c r="BE312" s="62"/>
      <c r="BF312" s="62"/>
      <c r="BG312" s="62"/>
      <c r="BH312" s="62"/>
      <c r="BI312" s="62"/>
      <c r="BJ312" s="62"/>
      <c r="BK312" s="62"/>
      <c r="BL312" s="62"/>
      <c r="BM312" s="62"/>
      <c r="BN312" s="62"/>
      <c r="BO312" s="62"/>
      <c r="BP312" s="62"/>
      <c r="BQ312" s="62"/>
      <c r="BR312" s="62"/>
      <c r="BS312" s="62"/>
      <c r="BT312" s="62"/>
      <c r="BU312" s="62"/>
      <c r="BV312" s="62"/>
      <c r="BW312" s="62"/>
      <c r="BX312" s="6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  <c r="HB312"/>
      <c r="HC312"/>
      <c r="HD312"/>
      <c r="HE312"/>
      <c r="HF312"/>
      <c r="HG312"/>
      <c r="HH312"/>
      <c r="HI312"/>
      <c r="HJ312"/>
      <c r="HK312"/>
      <c r="HL312"/>
      <c r="HM312"/>
      <c r="HN312"/>
      <c r="HO312"/>
      <c r="HP312"/>
      <c r="HQ312"/>
      <c r="HR312"/>
      <c r="HS312"/>
      <c r="HT312"/>
      <c r="HU312"/>
      <c r="HV312"/>
      <c r="HW312"/>
      <c r="HX312"/>
      <c r="HY312"/>
      <c r="HZ312"/>
      <c r="IA312"/>
      <c r="IB312"/>
      <c r="IC312"/>
      <c r="ID312"/>
      <c r="IE312"/>
      <c r="IF312"/>
      <c r="IG312"/>
      <c r="IH312"/>
      <c r="II312"/>
      <c r="IJ312"/>
      <c r="IK312"/>
      <c r="IL312"/>
      <c r="IM312"/>
      <c r="IN312"/>
      <c r="IO312"/>
      <c r="IP312"/>
      <c r="IQ312"/>
      <c r="IR312"/>
      <c r="IS312"/>
      <c r="IT312"/>
      <c r="IU312"/>
      <c r="IV312"/>
      <c r="IW312"/>
      <c r="IX312"/>
      <c r="IY312"/>
      <c r="IZ312"/>
      <c r="JA312"/>
      <c r="JB312"/>
      <c r="JC312"/>
      <c r="JD312"/>
      <c r="JE312"/>
      <c r="JF312"/>
      <c r="JG312"/>
      <c r="JH312"/>
      <c r="JI312"/>
      <c r="JJ312"/>
      <c r="JK312"/>
      <c r="JL312"/>
      <c r="JM312"/>
      <c r="JN312"/>
      <c r="JO312"/>
      <c r="JP312"/>
      <c r="JQ312"/>
      <c r="JR312"/>
      <c r="JS312"/>
      <c r="JT312"/>
      <c r="JU312"/>
      <c r="JV312"/>
      <c r="JW312"/>
      <c r="JX312"/>
      <c r="JY312"/>
      <c r="JZ312"/>
      <c r="KA312"/>
      <c r="KB312"/>
      <c r="KC312"/>
      <c r="KD312"/>
      <c r="KE312"/>
      <c r="KF312"/>
      <c r="KG312"/>
      <c r="KH312"/>
      <c r="KI312"/>
      <c r="KJ312"/>
      <c r="KK312"/>
      <c r="KL312"/>
      <c r="KM312"/>
      <c r="KN312"/>
      <c r="KO312"/>
      <c r="KP312"/>
      <c r="KQ312"/>
      <c r="KR312"/>
      <c r="KS312"/>
      <c r="KT312"/>
      <c r="KU312"/>
      <c r="KV312"/>
      <c r="KW312"/>
      <c r="KX312"/>
      <c r="KY312"/>
      <c r="KZ312"/>
      <c r="LA312"/>
      <c r="LB312"/>
      <c r="LC312"/>
      <c r="LD312"/>
      <c r="LE312"/>
      <c r="LF312"/>
      <c r="LG312"/>
      <c r="LH312"/>
      <c r="LI312"/>
      <c r="LJ312"/>
      <c r="LK312"/>
      <c r="LL312"/>
      <c r="LM312"/>
      <c r="LN312"/>
      <c r="LO312"/>
      <c r="LP312"/>
      <c r="LQ312"/>
      <c r="LR312"/>
      <c r="LS312"/>
      <c r="LT312"/>
      <c r="LU312"/>
      <c r="LV312"/>
      <c r="LW312"/>
      <c r="LX312"/>
      <c r="LY312"/>
      <c r="LZ312"/>
      <c r="MA312"/>
      <c r="MB312"/>
      <c r="MC312"/>
      <c r="MD312"/>
      <c r="ME312"/>
      <c r="MF312"/>
      <c r="MG312"/>
      <c r="MH312"/>
      <c r="MI312"/>
      <c r="MJ312"/>
      <c r="MK312"/>
      <c r="ML312"/>
      <c r="MM312"/>
      <c r="MN312"/>
      <c r="MO312"/>
      <c r="MP312"/>
      <c r="MQ312"/>
      <c r="MR312"/>
      <c r="MS312"/>
      <c r="MT312"/>
      <c r="MU312"/>
      <c r="MV312"/>
      <c r="MW312"/>
      <c r="MX312"/>
      <c r="MY312"/>
      <c r="MZ312"/>
      <c r="NA312"/>
      <c r="NB312"/>
      <c r="NC312"/>
      <c r="ND312"/>
      <c r="NE312"/>
      <c r="NF312"/>
      <c r="NG312"/>
      <c r="NH312"/>
      <c r="NI312"/>
      <c r="NJ312"/>
      <c r="NK312"/>
      <c r="NL312"/>
      <c r="NM312"/>
      <c r="NN312"/>
      <c r="NO312"/>
      <c r="NP312"/>
      <c r="NQ312"/>
      <c r="NR312"/>
      <c r="NS312"/>
      <c r="NT312"/>
      <c r="NU312"/>
      <c r="NV312"/>
      <c r="NW312"/>
      <c r="NX312"/>
      <c r="NY312"/>
      <c r="NZ312"/>
      <c r="OA312"/>
      <c r="OB312"/>
      <c r="OC312"/>
      <c r="OD312"/>
      <c r="OE312"/>
      <c r="OF312"/>
      <c r="OG312"/>
      <c r="OH312"/>
      <c r="OI312"/>
      <c r="OJ312"/>
      <c r="OK312"/>
      <c r="OL312"/>
      <c r="OM312"/>
      <c r="ON312"/>
      <c r="OO312"/>
      <c r="OP312"/>
      <c r="OQ312"/>
      <c r="OR312"/>
      <c r="OS312"/>
      <c r="OT312"/>
      <c r="OU312"/>
      <c r="OV312"/>
      <c r="OW312"/>
      <c r="OX312"/>
      <c r="OY312"/>
      <c r="OZ312"/>
      <c r="PA312"/>
      <c r="PB312"/>
      <c r="PC312"/>
      <c r="PD312"/>
      <c r="PE312"/>
      <c r="PF312"/>
      <c r="PG312"/>
      <c r="PH312"/>
      <c r="PI312"/>
      <c r="PJ312"/>
      <c r="PK312"/>
      <c r="PL312"/>
      <c r="PM312"/>
      <c r="PN312"/>
      <c r="PO312"/>
      <c r="PP312"/>
      <c r="PQ312"/>
      <c r="PR312"/>
      <c r="PS312"/>
      <c r="PT312"/>
      <c r="PU312"/>
      <c r="PV312"/>
      <c r="PW312"/>
      <c r="PX312"/>
      <c r="PY312"/>
      <c r="PZ312"/>
      <c r="QA312"/>
      <c r="QB312"/>
      <c r="QC312"/>
      <c r="QD312"/>
      <c r="QE312"/>
      <c r="QF312"/>
      <c r="QG312"/>
      <c r="QH312"/>
      <c r="QI312"/>
      <c r="QJ312"/>
      <c r="QK312"/>
      <c r="QL312"/>
      <c r="QM312"/>
      <c r="QN312"/>
      <c r="QO312"/>
      <c r="QP312"/>
      <c r="QQ312"/>
      <c r="QR312"/>
      <c r="QS312"/>
      <c r="QT312"/>
      <c r="QU312"/>
      <c r="QV312"/>
      <c r="QW312"/>
      <c r="QX312"/>
    </row>
    <row r="313" spans="1:466" x14ac:dyDescent="0.35">
      <c r="A313" s="53"/>
      <c r="B313" s="53"/>
      <c r="C313" s="55"/>
      <c r="D313" s="53"/>
      <c r="E313" s="53"/>
      <c r="F313" s="124" t="s">
        <v>540</v>
      </c>
      <c r="G313" s="125">
        <v>3500</v>
      </c>
      <c r="H313" s="125">
        <v>9460</v>
      </c>
      <c r="I313" s="133">
        <v>7</v>
      </c>
      <c r="J313" s="53"/>
      <c r="K313" s="53"/>
      <c r="L313" s="53"/>
      <c r="M313" s="53"/>
      <c r="N313" s="53"/>
      <c r="O313" s="53"/>
      <c r="P313" s="53"/>
      <c r="Q313" s="53"/>
      <c r="R313" s="53"/>
      <c r="S313" s="53"/>
      <c r="T313" s="53"/>
      <c r="U313" s="53"/>
      <c r="V313" s="53"/>
      <c r="W313" s="53"/>
      <c r="X313" s="53"/>
      <c r="Y313" s="53"/>
      <c r="Z313" s="53"/>
      <c r="AA313" s="53"/>
      <c r="AB313" s="53"/>
      <c r="AC313" s="53"/>
      <c r="AD313" s="53"/>
      <c r="AE313" s="53"/>
      <c r="AF313" s="63"/>
      <c r="AG313" s="64"/>
      <c r="AH313" s="65"/>
      <c r="AI313" s="65"/>
      <c r="AJ313" s="53"/>
      <c r="AK313" s="62"/>
      <c r="AL313" s="62"/>
      <c r="AM313" s="62"/>
      <c r="AN313" s="62"/>
      <c r="AO313" s="62"/>
      <c r="AP313" s="62"/>
      <c r="AQ313" s="62"/>
      <c r="AR313" s="62"/>
      <c r="AS313" s="62"/>
      <c r="AT313" s="62"/>
      <c r="AU313" s="62"/>
      <c r="AV313" s="62"/>
      <c r="AW313" s="62"/>
      <c r="AX313" s="62"/>
      <c r="AY313" s="62"/>
      <c r="AZ313" s="62"/>
      <c r="BA313" s="62"/>
      <c r="BB313" s="62"/>
      <c r="BC313" s="62"/>
      <c r="BD313" s="62"/>
      <c r="BE313" s="62"/>
      <c r="BF313" s="62"/>
      <c r="BG313" s="62"/>
      <c r="BH313" s="62"/>
      <c r="BI313" s="62"/>
      <c r="BJ313" s="62"/>
      <c r="BK313" s="62"/>
      <c r="BL313" s="62"/>
      <c r="BM313" s="62"/>
      <c r="BN313" s="62"/>
      <c r="BO313" s="62"/>
      <c r="BP313" s="62"/>
      <c r="BQ313" s="62"/>
      <c r="BR313" s="62"/>
      <c r="BS313" s="62"/>
      <c r="BT313" s="62"/>
      <c r="BU313" s="62"/>
      <c r="BV313" s="62"/>
      <c r="BW313" s="62"/>
      <c r="BX313" s="62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  <c r="HB313"/>
      <c r="HC313"/>
      <c r="HD313"/>
      <c r="HE313"/>
      <c r="HF313"/>
      <c r="HG313"/>
      <c r="HH313"/>
      <c r="HI313"/>
      <c r="HJ313"/>
      <c r="HK313"/>
      <c r="HL313"/>
      <c r="HM313"/>
      <c r="HN313"/>
      <c r="HO313"/>
      <c r="HP313"/>
      <c r="HQ313"/>
      <c r="HR313"/>
      <c r="HS313"/>
      <c r="HT313"/>
      <c r="HU313"/>
      <c r="HV313"/>
      <c r="HW313"/>
      <c r="HX313"/>
      <c r="HY313"/>
      <c r="HZ313"/>
      <c r="IA313"/>
      <c r="IB313"/>
      <c r="IC313"/>
      <c r="ID313"/>
      <c r="IE313"/>
      <c r="IF313"/>
      <c r="IG313"/>
      <c r="IH313"/>
      <c r="II313"/>
      <c r="IJ313"/>
      <c r="IK313"/>
      <c r="IL313"/>
      <c r="IM313"/>
      <c r="IN313"/>
      <c r="IO313"/>
      <c r="IP313"/>
      <c r="IQ313"/>
      <c r="IR313"/>
      <c r="IS313"/>
      <c r="IT313"/>
      <c r="IU313"/>
      <c r="IV313"/>
      <c r="IW313"/>
      <c r="IX313"/>
      <c r="IY313"/>
      <c r="IZ313"/>
      <c r="JA313"/>
      <c r="JB313"/>
      <c r="JC313"/>
      <c r="JD313"/>
      <c r="JE313"/>
      <c r="JF313"/>
      <c r="JG313"/>
      <c r="JH313"/>
      <c r="JI313"/>
      <c r="JJ313"/>
      <c r="JK313"/>
      <c r="JL313"/>
      <c r="JM313"/>
      <c r="JN313"/>
      <c r="JO313"/>
      <c r="JP313"/>
      <c r="JQ313"/>
      <c r="JR313"/>
      <c r="JS313"/>
      <c r="JT313"/>
      <c r="JU313"/>
      <c r="JV313"/>
      <c r="JW313"/>
      <c r="JX313"/>
      <c r="JY313"/>
      <c r="JZ313"/>
      <c r="KA313"/>
      <c r="KB313"/>
      <c r="KC313"/>
      <c r="KD313"/>
      <c r="KE313"/>
      <c r="KF313"/>
      <c r="KG313"/>
      <c r="KH313"/>
      <c r="KI313"/>
      <c r="KJ313"/>
      <c r="KK313"/>
      <c r="KL313"/>
      <c r="KM313"/>
      <c r="KN313"/>
      <c r="KO313"/>
      <c r="KP313"/>
      <c r="KQ313"/>
      <c r="KR313"/>
      <c r="KS313"/>
      <c r="KT313"/>
      <c r="KU313"/>
      <c r="KV313"/>
      <c r="KW313"/>
      <c r="KX313"/>
      <c r="KY313"/>
      <c r="KZ313"/>
      <c r="LA313"/>
      <c r="LB313"/>
      <c r="LC313"/>
      <c r="LD313"/>
      <c r="LE313"/>
      <c r="LF313"/>
      <c r="LG313"/>
      <c r="LH313"/>
      <c r="LI313"/>
      <c r="LJ313"/>
      <c r="LK313"/>
      <c r="LL313"/>
      <c r="LM313"/>
      <c r="LN313"/>
      <c r="LO313"/>
      <c r="LP313"/>
      <c r="LQ313"/>
      <c r="LR313"/>
      <c r="LS313"/>
      <c r="LT313"/>
      <c r="LU313"/>
      <c r="LV313"/>
      <c r="LW313"/>
      <c r="LX313"/>
      <c r="LY313"/>
      <c r="LZ313"/>
      <c r="MA313"/>
      <c r="MB313"/>
      <c r="MC313"/>
      <c r="MD313"/>
      <c r="ME313"/>
      <c r="MF313"/>
      <c r="MG313"/>
      <c r="MH313"/>
      <c r="MI313"/>
      <c r="MJ313"/>
      <c r="MK313"/>
      <c r="ML313"/>
      <c r="MM313"/>
      <c r="MN313"/>
      <c r="MO313"/>
      <c r="MP313"/>
      <c r="MQ313"/>
      <c r="MR313"/>
      <c r="MS313"/>
      <c r="MT313"/>
      <c r="MU313"/>
      <c r="MV313"/>
      <c r="MW313"/>
      <c r="MX313"/>
      <c r="MY313"/>
      <c r="MZ313"/>
      <c r="NA313"/>
      <c r="NB313"/>
      <c r="NC313"/>
      <c r="ND313"/>
      <c r="NE313"/>
      <c r="NF313"/>
      <c r="NG313"/>
      <c r="NH313"/>
      <c r="NI313"/>
      <c r="NJ313"/>
      <c r="NK313"/>
      <c r="NL313"/>
      <c r="NM313"/>
      <c r="NN313"/>
      <c r="NO313"/>
      <c r="NP313"/>
      <c r="NQ313"/>
      <c r="NR313"/>
      <c r="NS313"/>
      <c r="NT313"/>
      <c r="NU313"/>
      <c r="NV313"/>
      <c r="NW313"/>
      <c r="NX313"/>
      <c r="NY313"/>
      <c r="NZ313"/>
      <c r="OA313"/>
      <c r="OB313"/>
      <c r="OC313"/>
      <c r="OD313"/>
      <c r="OE313"/>
      <c r="OF313"/>
      <c r="OG313"/>
      <c r="OH313"/>
      <c r="OI313"/>
      <c r="OJ313"/>
      <c r="OK313"/>
      <c r="OL313"/>
      <c r="OM313"/>
      <c r="ON313"/>
      <c r="OO313"/>
      <c r="OP313"/>
      <c r="OQ313"/>
      <c r="OR313"/>
      <c r="OS313"/>
      <c r="OT313"/>
      <c r="OU313"/>
      <c r="OV313"/>
      <c r="OW313"/>
      <c r="OX313"/>
      <c r="OY313"/>
      <c r="OZ313"/>
      <c r="PA313"/>
      <c r="PB313"/>
      <c r="PC313"/>
      <c r="PD313"/>
      <c r="PE313"/>
      <c r="PF313"/>
      <c r="PG313"/>
      <c r="PH313"/>
      <c r="PI313"/>
      <c r="PJ313"/>
      <c r="PK313"/>
      <c r="PL313"/>
      <c r="PM313"/>
      <c r="PN313"/>
      <c r="PO313"/>
      <c r="PP313"/>
      <c r="PQ313"/>
      <c r="PR313"/>
      <c r="PS313"/>
      <c r="PT313"/>
      <c r="PU313"/>
      <c r="PV313"/>
      <c r="PW313"/>
      <c r="PX313"/>
      <c r="PY313"/>
      <c r="PZ313"/>
      <c r="QA313"/>
      <c r="QB313"/>
      <c r="QC313"/>
      <c r="QD313"/>
      <c r="QE313"/>
      <c r="QF313"/>
      <c r="QG313"/>
      <c r="QH313"/>
      <c r="QI313"/>
      <c r="QJ313"/>
      <c r="QK313"/>
      <c r="QL313"/>
      <c r="QM313"/>
      <c r="QN313"/>
      <c r="QO313"/>
      <c r="QP313"/>
      <c r="QQ313"/>
      <c r="QR313"/>
      <c r="QS313"/>
      <c r="QT313"/>
      <c r="QU313"/>
      <c r="QV313"/>
      <c r="QW313"/>
      <c r="QX313"/>
    </row>
    <row r="314" spans="1:466" x14ac:dyDescent="0.35">
      <c r="A314" s="53"/>
      <c r="B314" s="53"/>
      <c r="C314" s="55"/>
      <c r="D314" s="53"/>
      <c r="E314" s="53"/>
      <c r="F314" s="126" t="s">
        <v>1506</v>
      </c>
      <c r="G314" s="125">
        <v>520</v>
      </c>
      <c r="H314" s="125">
        <v>520</v>
      </c>
      <c r="I314" s="133">
        <v>1</v>
      </c>
      <c r="J314" s="53"/>
      <c r="K314" s="53"/>
      <c r="L314" s="53"/>
      <c r="M314" s="53"/>
      <c r="N314" s="53"/>
      <c r="O314" s="53"/>
      <c r="P314" s="53"/>
      <c r="Q314" s="53"/>
      <c r="R314" s="53"/>
      <c r="S314" s="53"/>
      <c r="T314" s="53"/>
      <c r="U314" s="53"/>
      <c r="V314" s="53"/>
      <c r="W314" s="53"/>
      <c r="X314" s="53"/>
      <c r="Y314" s="53"/>
      <c r="Z314" s="53"/>
      <c r="AA314" s="53"/>
      <c r="AB314" s="53"/>
      <c r="AC314" s="53"/>
      <c r="AD314" s="53"/>
      <c r="AE314" s="53"/>
      <c r="AF314" s="63"/>
      <c r="AG314" s="64"/>
      <c r="AH314" s="65"/>
      <c r="AI314" s="65"/>
      <c r="AJ314" s="53"/>
      <c r="AK314" s="62"/>
      <c r="AL314" s="62"/>
      <c r="AM314" s="62"/>
      <c r="AN314" s="62"/>
      <c r="AO314" s="62"/>
      <c r="AP314" s="62"/>
      <c r="AQ314" s="62"/>
      <c r="AR314" s="62"/>
      <c r="AS314" s="62"/>
      <c r="AT314" s="62"/>
      <c r="AU314" s="62"/>
      <c r="AV314" s="62"/>
      <c r="AW314" s="62"/>
      <c r="AX314" s="62"/>
      <c r="AY314" s="62"/>
      <c r="AZ314" s="62"/>
      <c r="BA314" s="62"/>
      <c r="BB314" s="62"/>
      <c r="BC314" s="62"/>
      <c r="BD314" s="62"/>
      <c r="BE314" s="62"/>
      <c r="BF314" s="62"/>
      <c r="BG314" s="62"/>
      <c r="BH314" s="62"/>
      <c r="BI314" s="62"/>
      <c r="BJ314" s="62"/>
      <c r="BK314" s="62"/>
      <c r="BL314" s="62"/>
      <c r="BM314" s="62"/>
      <c r="BN314" s="62"/>
      <c r="BO314" s="62"/>
      <c r="BP314" s="62"/>
      <c r="BQ314" s="62"/>
      <c r="BR314" s="62"/>
      <c r="BS314" s="62"/>
      <c r="BT314" s="62"/>
      <c r="BU314" s="62"/>
      <c r="BV314" s="62"/>
      <c r="BW314" s="62"/>
      <c r="BX314" s="62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  <c r="HB314"/>
      <c r="HC314"/>
      <c r="HD314"/>
      <c r="HE314"/>
      <c r="HF314"/>
      <c r="HG314"/>
      <c r="HH314"/>
      <c r="HI314"/>
      <c r="HJ314"/>
      <c r="HK314"/>
      <c r="HL314"/>
      <c r="HM314"/>
      <c r="HN314"/>
      <c r="HO314"/>
      <c r="HP314"/>
      <c r="HQ314"/>
      <c r="HR314"/>
      <c r="HS314"/>
      <c r="HT314"/>
      <c r="HU314"/>
      <c r="HV314"/>
      <c r="HW314"/>
      <c r="HX314"/>
      <c r="HY314"/>
      <c r="HZ314"/>
      <c r="IA314"/>
      <c r="IB314"/>
      <c r="IC314"/>
      <c r="ID314"/>
      <c r="IE314"/>
      <c r="IF314"/>
      <c r="IG314"/>
      <c r="IH314"/>
      <c r="II314"/>
      <c r="IJ314"/>
      <c r="IK314"/>
      <c r="IL314"/>
      <c r="IM314"/>
      <c r="IN314"/>
      <c r="IO314"/>
      <c r="IP314"/>
      <c r="IQ314"/>
      <c r="IR314"/>
      <c r="IS314"/>
      <c r="IT314"/>
      <c r="IU314"/>
      <c r="IV314"/>
      <c r="IW314"/>
      <c r="IX314"/>
      <c r="IY314"/>
      <c r="IZ314"/>
      <c r="JA314"/>
      <c r="JB314"/>
      <c r="JC314"/>
      <c r="JD314"/>
      <c r="JE314"/>
      <c r="JF314"/>
      <c r="JG314"/>
      <c r="JH314"/>
      <c r="JI314"/>
      <c r="JJ314"/>
      <c r="JK314"/>
      <c r="JL314"/>
      <c r="JM314"/>
      <c r="JN314"/>
      <c r="JO314"/>
      <c r="JP314"/>
      <c r="JQ314"/>
      <c r="JR314"/>
      <c r="JS314"/>
      <c r="JT314"/>
      <c r="JU314"/>
      <c r="JV314"/>
      <c r="JW314"/>
      <c r="JX314"/>
      <c r="JY314"/>
      <c r="JZ314"/>
      <c r="KA314"/>
      <c r="KB314"/>
      <c r="KC314"/>
      <c r="KD314"/>
      <c r="KE314"/>
      <c r="KF314"/>
      <c r="KG314"/>
      <c r="KH314"/>
      <c r="KI314"/>
      <c r="KJ314"/>
      <c r="KK314"/>
      <c r="KL314"/>
      <c r="KM314"/>
      <c r="KN314"/>
      <c r="KO314"/>
      <c r="KP314"/>
      <c r="KQ314"/>
      <c r="KR314"/>
      <c r="KS314"/>
      <c r="KT314"/>
      <c r="KU314"/>
      <c r="KV314"/>
      <c r="KW314"/>
      <c r="KX314"/>
      <c r="KY314"/>
      <c r="KZ314"/>
      <c r="LA314"/>
      <c r="LB314"/>
      <c r="LC314"/>
      <c r="LD314"/>
      <c r="LE314"/>
      <c r="LF314"/>
      <c r="LG314"/>
      <c r="LH314"/>
      <c r="LI314"/>
      <c r="LJ314"/>
      <c r="LK314"/>
      <c r="LL314"/>
      <c r="LM314"/>
      <c r="LN314"/>
      <c r="LO314"/>
      <c r="LP314"/>
      <c r="LQ314"/>
      <c r="LR314"/>
      <c r="LS314"/>
      <c r="LT314"/>
      <c r="LU314"/>
      <c r="LV314"/>
      <c r="LW314"/>
      <c r="LX314"/>
      <c r="LY314"/>
      <c r="LZ314"/>
      <c r="MA314"/>
      <c r="MB314"/>
      <c r="MC314"/>
      <c r="MD314"/>
      <c r="ME314"/>
      <c r="MF314"/>
      <c r="MG314"/>
      <c r="MH314"/>
      <c r="MI314"/>
      <c r="MJ314"/>
      <c r="MK314"/>
      <c r="ML314"/>
      <c r="MM314"/>
      <c r="MN314"/>
      <c r="MO314"/>
      <c r="MP314"/>
      <c r="MQ314"/>
      <c r="MR314"/>
      <c r="MS314"/>
      <c r="MT314"/>
      <c r="MU314"/>
      <c r="MV314"/>
      <c r="MW314"/>
      <c r="MX314"/>
      <c r="MY314"/>
      <c r="MZ314"/>
      <c r="NA314"/>
      <c r="NB314"/>
      <c r="NC314"/>
      <c r="ND314"/>
      <c r="NE314"/>
      <c r="NF314"/>
      <c r="NG314"/>
      <c r="NH314"/>
      <c r="NI314"/>
      <c r="NJ314"/>
      <c r="NK314"/>
      <c r="NL314"/>
      <c r="NM314"/>
      <c r="NN314"/>
      <c r="NO314"/>
      <c r="NP314"/>
      <c r="NQ314"/>
      <c r="NR314"/>
      <c r="NS314"/>
      <c r="NT314"/>
      <c r="NU314"/>
      <c r="NV314"/>
      <c r="NW314"/>
      <c r="NX314"/>
      <c r="NY314"/>
      <c r="NZ314"/>
      <c r="OA314"/>
      <c r="OB314"/>
      <c r="OC314"/>
      <c r="OD314"/>
      <c r="OE314"/>
      <c r="OF314"/>
      <c r="OG314"/>
      <c r="OH314"/>
      <c r="OI314"/>
      <c r="OJ314"/>
      <c r="OK314"/>
      <c r="OL314"/>
      <c r="OM314"/>
      <c r="ON314"/>
      <c r="OO314"/>
      <c r="OP314"/>
      <c r="OQ314"/>
      <c r="OR314"/>
      <c r="OS314"/>
      <c r="OT314"/>
      <c r="OU314"/>
      <c r="OV314"/>
      <c r="OW314"/>
      <c r="OX314"/>
      <c r="OY314"/>
      <c r="OZ314"/>
      <c r="PA314"/>
      <c r="PB314"/>
      <c r="PC314"/>
      <c r="PD314"/>
      <c r="PE314"/>
      <c r="PF314"/>
      <c r="PG314"/>
      <c r="PH314"/>
      <c r="PI314"/>
      <c r="PJ314"/>
      <c r="PK314"/>
      <c r="PL314"/>
      <c r="PM314"/>
      <c r="PN314"/>
      <c r="PO314"/>
      <c r="PP314"/>
      <c r="PQ314"/>
      <c r="PR314"/>
      <c r="PS314"/>
      <c r="PT314"/>
      <c r="PU314"/>
      <c r="PV314"/>
      <c r="PW314"/>
      <c r="PX314"/>
      <c r="PY314"/>
      <c r="PZ314"/>
      <c r="QA314"/>
      <c r="QB314"/>
      <c r="QC314"/>
      <c r="QD314"/>
      <c r="QE314"/>
      <c r="QF314"/>
      <c r="QG314"/>
      <c r="QH314"/>
      <c r="QI314"/>
      <c r="QJ314"/>
      <c r="QK314"/>
      <c r="QL314"/>
      <c r="QM314"/>
      <c r="QN314"/>
      <c r="QO314"/>
      <c r="QP314"/>
      <c r="QQ314"/>
      <c r="QR314"/>
      <c r="QS314"/>
      <c r="QT314"/>
      <c r="QU314"/>
      <c r="QV314"/>
      <c r="QW314"/>
      <c r="QX314"/>
    </row>
    <row r="315" spans="1:466" x14ac:dyDescent="0.35">
      <c r="A315" s="53"/>
      <c r="B315" s="53"/>
      <c r="C315" s="55"/>
      <c r="D315" s="53"/>
      <c r="E315" s="53"/>
      <c r="F315" s="126" t="s">
        <v>1505</v>
      </c>
      <c r="G315" s="125">
        <v>1380</v>
      </c>
      <c r="H315" s="125">
        <v>4140</v>
      </c>
      <c r="I315" s="133">
        <v>3</v>
      </c>
      <c r="J315" s="53"/>
      <c r="K315" s="53"/>
      <c r="L315" s="53"/>
      <c r="M315" s="53"/>
      <c r="N315" s="53"/>
      <c r="O315" s="53"/>
      <c r="P315" s="53"/>
      <c r="Q315" s="53"/>
      <c r="R315" s="53"/>
      <c r="S315" s="53"/>
      <c r="T315" s="53"/>
      <c r="U315" s="53"/>
      <c r="V315" s="53"/>
      <c r="W315" s="53"/>
      <c r="X315" s="53"/>
      <c r="Y315" s="53"/>
      <c r="Z315" s="53"/>
      <c r="AA315" s="53"/>
      <c r="AB315" s="53"/>
      <c r="AC315" s="53"/>
      <c r="AD315" s="53"/>
      <c r="AE315" s="53"/>
      <c r="AF315" s="63"/>
      <c r="AG315" s="64"/>
      <c r="AH315" s="65"/>
      <c r="AI315" s="65"/>
      <c r="AJ315" s="53"/>
      <c r="AK315" s="62"/>
      <c r="AL315" s="62"/>
      <c r="AM315" s="62"/>
      <c r="AN315" s="62"/>
      <c r="AO315" s="62"/>
      <c r="AP315" s="62"/>
      <c r="AQ315" s="62"/>
      <c r="AR315" s="62"/>
      <c r="AS315" s="62"/>
      <c r="AT315" s="62"/>
      <c r="AU315" s="62"/>
      <c r="AV315" s="62"/>
      <c r="AW315" s="62"/>
      <c r="AX315" s="62"/>
      <c r="AY315" s="62"/>
      <c r="AZ315" s="62"/>
      <c r="BA315" s="62"/>
      <c r="BB315" s="62"/>
      <c r="BC315" s="62"/>
      <c r="BD315" s="62"/>
      <c r="BE315" s="62"/>
      <c r="BF315" s="62"/>
      <c r="BG315" s="62"/>
      <c r="BH315" s="62"/>
      <c r="BI315" s="62"/>
      <c r="BJ315" s="62"/>
      <c r="BK315" s="62"/>
      <c r="BL315" s="62"/>
      <c r="BM315" s="62"/>
      <c r="BN315" s="62"/>
      <c r="BO315" s="62"/>
      <c r="BP315" s="62"/>
      <c r="BQ315" s="62"/>
      <c r="BR315" s="62"/>
      <c r="BS315" s="62"/>
      <c r="BT315" s="62"/>
      <c r="BU315" s="62"/>
      <c r="BV315" s="62"/>
      <c r="BW315" s="62"/>
      <c r="BX315" s="62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  <c r="HB315"/>
      <c r="HC315"/>
      <c r="HD315"/>
      <c r="HE315"/>
      <c r="HF315"/>
      <c r="HG315"/>
      <c r="HH315"/>
      <c r="HI315"/>
      <c r="HJ315"/>
      <c r="HK315"/>
      <c r="HL315"/>
      <c r="HM315"/>
      <c r="HN315"/>
      <c r="HO315"/>
      <c r="HP315"/>
      <c r="HQ315"/>
      <c r="HR315"/>
      <c r="HS315"/>
      <c r="HT315"/>
      <c r="HU315"/>
      <c r="HV315"/>
      <c r="HW315"/>
      <c r="HX315"/>
      <c r="HY315"/>
      <c r="HZ315"/>
      <c r="IA315"/>
      <c r="IB315"/>
      <c r="IC315"/>
      <c r="ID315"/>
      <c r="IE315"/>
      <c r="IF315"/>
      <c r="IG315"/>
      <c r="IH315"/>
      <c r="II315"/>
      <c r="IJ315"/>
      <c r="IK315"/>
      <c r="IL315"/>
      <c r="IM315"/>
      <c r="IN315"/>
      <c r="IO315"/>
      <c r="IP315"/>
      <c r="IQ315"/>
      <c r="IR315"/>
      <c r="IS315"/>
      <c r="IT315"/>
      <c r="IU315"/>
      <c r="IV315"/>
      <c r="IW315"/>
      <c r="IX315"/>
      <c r="IY315"/>
      <c r="IZ315"/>
      <c r="JA315"/>
      <c r="JB315"/>
      <c r="JC315"/>
      <c r="JD315"/>
      <c r="JE315"/>
      <c r="JF315"/>
      <c r="JG315"/>
      <c r="JH315"/>
      <c r="JI315"/>
      <c r="JJ315"/>
      <c r="JK315"/>
      <c r="JL315"/>
      <c r="JM315"/>
      <c r="JN315"/>
      <c r="JO315"/>
      <c r="JP315"/>
      <c r="JQ315"/>
      <c r="JR315"/>
      <c r="JS315"/>
      <c r="JT315"/>
      <c r="JU315"/>
      <c r="JV315"/>
      <c r="JW315"/>
      <c r="JX315"/>
      <c r="JY315"/>
      <c r="JZ315"/>
      <c r="KA315"/>
      <c r="KB315"/>
      <c r="KC315"/>
      <c r="KD315"/>
      <c r="KE315"/>
      <c r="KF315"/>
      <c r="KG315"/>
      <c r="KH315"/>
      <c r="KI315"/>
      <c r="KJ315"/>
      <c r="KK315"/>
      <c r="KL315"/>
      <c r="KM315"/>
      <c r="KN315"/>
      <c r="KO315"/>
      <c r="KP315"/>
      <c r="KQ315"/>
      <c r="KR315"/>
      <c r="KS315"/>
      <c r="KT315"/>
      <c r="KU315"/>
      <c r="KV315"/>
      <c r="KW315"/>
      <c r="KX315"/>
      <c r="KY315"/>
      <c r="KZ315"/>
      <c r="LA315"/>
      <c r="LB315"/>
      <c r="LC315"/>
      <c r="LD315"/>
      <c r="LE315"/>
      <c r="LF315"/>
      <c r="LG315"/>
      <c r="LH315"/>
      <c r="LI315"/>
      <c r="LJ315"/>
      <c r="LK315"/>
      <c r="LL315"/>
      <c r="LM315"/>
      <c r="LN315"/>
      <c r="LO315"/>
      <c r="LP315"/>
      <c r="LQ315"/>
      <c r="LR315"/>
      <c r="LS315"/>
      <c r="LT315"/>
      <c r="LU315"/>
      <c r="LV315"/>
      <c r="LW315"/>
      <c r="LX315"/>
      <c r="LY315"/>
      <c r="LZ315"/>
      <c r="MA315"/>
      <c r="MB315"/>
      <c r="MC315"/>
      <c r="MD315"/>
      <c r="ME315"/>
      <c r="MF315"/>
      <c r="MG315"/>
      <c r="MH315"/>
      <c r="MI315"/>
      <c r="MJ315"/>
      <c r="MK315"/>
      <c r="ML315"/>
      <c r="MM315"/>
      <c r="MN315"/>
      <c r="MO315"/>
      <c r="MP315"/>
      <c r="MQ315"/>
      <c r="MR315"/>
      <c r="MS315"/>
      <c r="MT315"/>
      <c r="MU315"/>
      <c r="MV315"/>
      <c r="MW315"/>
      <c r="MX315"/>
      <c r="MY315"/>
      <c r="MZ315"/>
      <c r="NA315"/>
      <c r="NB315"/>
      <c r="NC315"/>
      <c r="ND315"/>
      <c r="NE315"/>
      <c r="NF315"/>
      <c r="NG315"/>
      <c r="NH315"/>
      <c r="NI315"/>
      <c r="NJ315"/>
      <c r="NK315"/>
      <c r="NL315"/>
      <c r="NM315"/>
      <c r="NN315"/>
      <c r="NO315"/>
      <c r="NP315"/>
      <c r="NQ315"/>
      <c r="NR315"/>
      <c r="NS315"/>
      <c r="NT315"/>
      <c r="NU315"/>
      <c r="NV315"/>
      <c r="NW315"/>
      <c r="NX315"/>
      <c r="NY315"/>
      <c r="NZ315"/>
      <c r="OA315"/>
      <c r="OB315"/>
      <c r="OC315"/>
      <c r="OD315"/>
      <c r="OE315"/>
      <c r="OF315"/>
      <c r="OG315"/>
      <c r="OH315"/>
      <c r="OI315"/>
      <c r="OJ315"/>
      <c r="OK315"/>
      <c r="OL315"/>
      <c r="OM315"/>
      <c r="ON315"/>
      <c r="OO315"/>
      <c r="OP315"/>
      <c r="OQ315"/>
      <c r="OR315"/>
      <c r="OS315"/>
      <c r="OT315"/>
      <c r="OU315"/>
      <c r="OV315"/>
      <c r="OW315"/>
      <c r="OX315"/>
      <c r="OY315"/>
      <c r="OZ315"/>
      <c r="PA315"/>
      <c r="PB315"/>
      <c r="PC315"/>
      <c r="PD315"/>
      <c r="PE315"/>
      <c r="PF315"/>
      <c r="PG315"/>
      <c r="PH315"/>
      <c r="PI315"/>
      <c r="PJ315"/>
      <c r="PK315"/>
      <c r="PL315"/>
      <c r="PM315"/>
      <c r="PN315"/>
      <c r="PO315"/>
      <c r="PP315"/>
      <c r="PQ315"/>
      <c r="PR315"/>
      <c r="PS315"/>
      <c r="PT315"/>
      <c r="PU315"/>
      <c r="PV315"/>
      <c r="PW315"/>
      <c r="PX315"/>
      <c r="PY315"/>
      <c r="PZ315"/>
      <c r="QA315"/>
      <c r="QB315"/>
      <c r="QC315"/>
      <c r="QD315"/>
      <c r="QE315"/>
      <c r="QF315"/>
      <c r="QG315"/>
      <c r="QH315"/>
      <c r="QI315"/>
      <c r="QJ315"/>
      <c r="QK315"/>
      <c r="QL315"/>
      <c r="QM315"/>
      <c r="QN315"/>
      <c r="QO315"/>
      <c r="QP315"/>
      <c r="QQ315"/>
      <c r="QR315"/>
      <c r="QS315"/>
      <c r="QT315"/>
      <c r="QU315"/>
      <c r="QV315"/>
      <c r="QW315"/>
      <c r="QX315"/>
    </row>
    <row r="316" spans="1:466" x14ac:dyDescent="0.35">
      <c r="A316" s="53"/>
      <c r="B316" s="53"/>
      <c r="C316" s="55"/>
      <c r="D316" s="53"/>
      <c r="E316" s="53"/>
      <c r="F316" s="126" t="s">
        <v>1504</v>
      </c>
      <c r="G316" s="125">
        <v>1600</v>
      </c>
      <c r="H316" s="125">
        <v>4800</v>
      </c>
      <c r="I316" s="133">
        <v>3</v>
      </c>
      <c r="J316" s="53"/>
      <c r="K316" s="53"/>
      <c r="L316" s="53"/>
      <c r="M316" s="53"/>
      <c r="N316" s="53"/>
      <c r="O316" s="53"/>
      <c r="P316" s="53"/>
      <c r="Q316" s="53"/>
      <c r="R316" s="53"/>
      <c r="S316" s="53"/>
      <c r="T316" s="53"/>
      <c r="U316" s="53"/>
      <c r="V316" s="53"/>
      <c r="W316" s="53"/>
      <c r="X316" s="53"/>
      <c r="Y316" s="53"/>
      <c r="Z316" s="53"/>
      <c r="AA316" s="53"/>
      <c r="AB316" s="53"/>
      <c r="AC316" s="53"/>
      <c r="AD316" s="53"/>
      <c r="AE316" s="53"/>
      <c r="AF316" s="63"/>
      <c r="AG316" s="64"/>
      <c r="AH316" s="65"/>
      <c r="AI316" s="65"/>
      <c r="AJ316" s="53"/>
      <c r="AK316" s="62"/>
      <c r="AL316" s="62"/>
      <c r="AM316" s="62"/>
      <c r="AN316" s="62"/>
      <c r="AO316" s="62"/>
      <c r="AP316" s="62"/>
      <c r="AQ316" s="62"/>
      <c r="AR316" s="62"/>
      <c r="AS316" s="62"/>
      <c r="AT316" s="62"/>
      <c r="AU316" s="62"/>
      <c r="AV316" s="62"/>
      <c r="AW316" s="62"/>
      <c r="AX316" s="62"/>
      <c r="AY316" s="62"/>
      <c r="AZ316" s="62"/>
      <c r="BA316" s="62"/>
      <c r="BB316" s="62"/>
      <c r="BC316" s="62"/>
      <c r="BD316" s="62"/>
      <c r="BE316" s="62"/>
      <c r="BF316" s="62"/>
      <c r="BG316" s="62"/>
      <c r="BH316" s="62"/>
      <c r="BI316" s="62"/>
      <c r="BJ316" s="62"/>
      <c r="BK316" s="62"/>
      <c r="BL316" s="62"/>
      <c r="BM316" s="62"/>
      <c r="BN316" s="62"/>
      <c r="BO316" s="62"/>
      <c r="BP316" s="62"/>
      <c r="BQ316" s="62"/>
      <c r="BR316" s="62"/>
      <c r="BS316" s="62"/>
      <c r="BT316" s="62"/>
      <c r="BU316" s="62"/>
      <c r="BV316" s="62"/>
      <c r="BW316" s="62"/>
      <c r="BX316" s="62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  <c r="HB316"/>
      <c r="HC316"/>
      <c r="HD316"/>
      <c r="HE316"/>
      <c r="HF316"/>
      <c r="HG316"/>
      <c r="HH316"/>
      <c r="HI316"/>
      <c r="HJ316"/>
      <c r="HK316"/>
      <c r="HL316"/>
      <c r="HM316"/>
      <c r="HN316"/>
      <c r="HO316"/>
      <c r="HP316"/>
      <c r="HQ316"/>
      <c r="HR316"/>
      <c r="HS316"/>
      <c r="HT316"/>
      <c r="HU316"/>
      <c r="HV316"/>
      <c r="HW316"/>
      <c r="HX316"/>
      <c r="HY316"/>
      <c r="HZ316"/>
      <c r="IA316"/>
      <c r="IB316"/>
      <c r="IC316"/>
      <c r="ID316"/>
      <c r="IE316"/>
      <c r="IF316"/>
      <c r="IG316"/>
      <c r="IH316"/>
      <c r="II316"/>
      <c r="IJ316"/>
      <c r="IK316"/>
      <c r="IL316"/>
      <c r="IM316"/>
      <c r="IN316"/>
      <c r="IO316"/>
      <c r="IP316"/>
      <c r="IQ316"/>
      <c r="IR316"/>
      <c r="IS316"/>
      <c r="IT316"/>
      <c r="IU316"/>
      <c r="IV316"/>
      <c r="IW316"/>
      <c r="IX316"/>
      <c r="IY316"/>
      <c r="IZ316"/>
      <c r="JA316"/>
      <c r="JB316"/>
      <c r="JC316"/>
      <c r="JD316"/>
      <c r="JE316"/>
      <c r="JF316"/>
      <c r="JG316"/>
      <c r="JH316"/>
      <c r="JI316"/>
      <c r="JJ316"/>
      <c r="JK316"/>
      <c r="JL316"/>
      <c r="JM316"/>
      <c r="JN316"/>
      <c r="JO316"/>
      <c r="JP316"/>
      <c r="JQ316"/>
      <c r="JR316"/>
      <c r="JS316"/>
      <c r="JT316"/>
      <c r="JU316"/>
      <c r="JV316"/>
      <c r="JW316"/>
      <c r="JX316"/>
      <c r="JY316"/>
      <c r="JZ316"/>
      <c r="KA316"/>
      <c r="KB316"/>
      <c r="KC316"/>
      <c r="KD316"/>
      <c r="KE316"/>
      <c r="KF316"/>
      <c r="KG316"/>
      <c r="KH316"/>
      <c r="KI316"/>
      <c r="KJ316"/>
      <c r="KK316"/>
      <c r="KL316"/>
      <c r="KM316"/>
      <c r="KN316"/>
      <c r="KO316"/>
      <c r="KP316"/>
      <c r="KQ316"/>
      <c r="KR316"/>
      <c r="KS316"/>
      <c r="KT316"/>
      <c r="KU316"/>
      <c r="KV316"/>
      <c r="KW316"/>
      <c r="KX316"/>
      <c r="KY316"/>
      <c r="KZ316"/>
      <c r="LA316"/>
      <c r="LB316"/>
      <c r="LC316"/>
      <c r="LD316"/>
      <c r="LE316"/>
      <c r="LF316"/>
      <c r="LG316"/>
      <c r="LH316"/>
      <c r="LI316"/>
      <c r="LJ316"/>
      <c r="LK316"/>
      <c r="LL316"/>
      <c r="LM316"/>
      <c r="LN316"/>
      <c r="LO316"/>
      <c r="LP316"/>
      <c r="LQ316"/>
      <c r="LR316"/>
      <c r="LS316"/>
      <c r="LT316"/>
      <c r="LU316"/>
      <c r="LV316"/>
      <c r="LW316"/>
      <c r="LX316"/>
      <c r="LY316"/>
      <c r="LZ316"/>
      <c r="MA316"/>
      <c r="MB316"/>
      <c r="MC316"/>
      <c r="MD316"/>
      <c r="ME316"/>
      <c r="MF316"/>
      <c r="MG316"/>
      <c r="MH316"/>
      <c r="MI316"/>
      <c r="MJ316"/>
      <c r="MK316"/>
      <c r="ML316"/>
      <c r="MM316"/>
      <c r="MN316"/>
      <c r="MO316"/>
      <c r="MP316"/>
      <c r="MQ316"/>
      <c r="MR316"/>
      <c r="MS316"/>
      <c r="MT316"/>
      <c r="MU316"/>
      <c r="MV316"/>
      <c r="MW316"/>
      <c r="MX316"/>
      <c r="MY316"/>
      <c r="MZ316"/>
      <c r="NA316"/>
      <c r="NB316"/>
      <c r="NC316"/>
      <c r="ND316"/>
      <c r="NE316"/>
      <c r="NF316"/>
      <c r="NG316"/>
      <c r="NH316"/>
      <c r="NI316"/>
      <c r="NJ316"/>
      <c r="NK316"/>
      <c r="NL316"/>
      <c r="NM316"/>
      <c r="NN316"/>
      <c r="NO316"/>
      <c r="NP316"/>
      <c r="NQ316"/>
      <c r="NR316"/>
      <c r="NS316"/>
      <c r="NT316"/>
      <c r="NU316"/>
      <c r="NV316"/>
      <c r="NW316"/>
      <c r="NX316"/>
      <c r="NY316"/>
      <c r="NZ316"/>
      <c r="OA316"/>
      <c r="OB316"/>
      <c r="OC316"/>
      <c r="OD316"/>
      <c r="OE316"/>
      <c r="OF316"/>
      <c r="OG316"/>
      <c r="OH316"/>
      <c r="OI316"/>
      <c r="OJ316"/>
      <c r="OK316"/>
      <c r="OL316"/>
      <c r="OM316"/>
      <c r="ON316"/>
      <c r="OO316"/>
      <c r="OP316"/>
      <c r="OQ316"/>
      <c r="OR316"/>
      <c r="OS316"/>
      <c r="OT316"/>
      <c r="OU316"/>
      <c r="OV316"/>
      <c r="OW316"/>
      <c r="OX316"/>
      <c r="OY316"/>
      <c r="OZ316"/>
      <c r="PA316"/>
      <c r="PB316"/>
      <c r="PC316"/>
      <c r="PD316"/>
      <c r="PE316"/>
      <c r="PF316"/>
      <c r="PG316"/>
      <c r="PH316"/>
      <c r="PI316"/>
      <c r="PJ316"/>
      <c r="PK316"/>
      <c r="PL316"/>
      <c r="PM316"/>
      <c r="PN316"/>
      <c r="PO316"/>
      <c r="PP316"/>
      <c r="PQ316"/>
      <c r="PR316"/>
      <c r="PS316"/>
      <c r="PT316"/>
      <c r="PU316"/>
      <c r="PV316"/>
      <c r="PW316"/>
      <c r="PX316"/>
      <c r="PY316"/>
      <c r="PZ316"/>
      <c r="QA316"/>
      <c r="QB316"/>
      <c r="QC316"/>
      <c r="QD316"/>
      <c r="QE316"/>
      <c r="QF316"/>
      <c r="QG316"/>
      <c r="QH316"/>
      <c r="QI316"/>
      <c r="QJ316"/>
      <c r="QK316"/>
      <c r="QL316"/>
      <c r="QM316"/>
      <c r="QN316"/>
      <c r="QO316"/>
      <c r="QP316"/>
      <c r="QQ316"/>
      <c r="QR316"/>
      <c r="QS316"/>
      <c r="QT316"/>
      <c r="QU316"/>
      <c r="QV316"/>
      <c r="QW316"/>
      <c r="QX316"/>
    </row>
    <row r="317" spans="1:466" x14ac:dyDescent="0.35">
      <c r="A317" s="53"/>
      <c r="B317" s="53"/>
      <c r="C317" s="55"/>
      <c r="D317" s="53"/>
      <c r="E317" s="53"/>
      <c r="F317" s="124" t="s">
        <v>745</v>
      </c>
      <c r="G317" s="125"/>
      <c r="H317" s="125">
        <v>0</v>
      </c>
      <c r="I317" s="133">
        <v>0</v>
      </c>
      <c r="J317" s="53"/>
      <c r="K317" s="53"/>
      <c r="L317" s="53"/>
      <c r="M317" s="53"/>
      <c r="N317" s="53"/>
      <c r="O317" s="53"/>
      <c r="P317" s="53"/>
      <c r="Q317" s="53"/>
      <c r="R317" s="53"/>
      <c r="S317" s="53"/>
      <c r="T317" s="53"/>
      <c r="U317" s="53"/>
      <c r="V317" s="53"/>
      <c r="W317" s="53"/>
      <c r="X317" s="53"/>
      <c r="Y317" s="53"/>
      <c r="Z317" s="53"/>
      <c r="AA317" s="53"/>
      <c r="AB317" s="53"/>
      <c r="AC317" s="53"/>
      <c r="AD317" s="53"/>
      <c r="AE317" s="53"/>
      <c r="AF317" s="63"/>
      <c r="AG317" s="64"/>
      <c r="AH317" s="65"/>
      <c r="AI317" s="65"/>
      <c r="AJ317" s="53"/>
      <c r="AK317" s="62"/>
      <c r="AL317" s="62"/>
      <c r="AM317" s="62"/>
      <c r="AN317" s="62"/>
      <c r="AO317" s="62"/>
      <c r="AP317" s="62"/>
      <c r="AQ317" s="62"/>
      <c r="AR317" s="62"/>
      <c r="AS317" s="62"/>
      <c r="AT317" s="62"/>
      <c r="AU317" s="62"/>
      <c r="AV317" s="62"/>
      <c r="AW317" s="62"/>
      <c r="AX317" s="62"/>
      <c r="AY317" s="62"/>
      <c r="AZ317" s="62"/>
      <c r="BA317" s="62"/>
      <c r="BB317" s="62"/>
      <c r="BC317" s="62"/>
      <c r="BD317" s="62"/>
      <c r="BE317" s="62"/>
      <c r="BF317" s="62"/>
      <c r="BG317" s="62"/>
      <c r="BH317" s="62"/>
      <c r="BI317" s="62"/>
      <c r="BJ317" s="62"/>
      <c r="BK317" s="62"/>
      <c r="BL317" s="62"/>
      <c r="BM317" s="62"/>
      <c r="BN317" s="62"/>
      <c r="BO317" s="62"/>
      <c r="BP317" s="62"/>
      <c r="BQ317" s="62"/>
      <c r="BR317" s="62"/>
      <c r="BS317" s="62"/>
      <c r="BT317" s="62"/>
      <c r="BU317" s="62"/>
      <c r="BV317" s="62"/>
      <c r="BW317" s="62"/>
      <c r="BX317" s="62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  <c r="HB317"/>
      <c r="HC317"/>
      <c r="HD317"/>
      <c r="HE317"/>
      <c r="HF317"/>
      <c r="HG317"/>
      <c r="HH317"/>
      <c r="HI317"/>
      <c r="HJ317"/>
      <c r="HK317"/>
      <c r="HL317"/>
      <c r="HM317"/>
      <c r="HN317"/>
      <c r="HO317"/>
      <c r="HP317"/>
      <c r="HQ317"/>
      <c r="HR317"/>
      <c r="HS317"/>
      <c r="HT317"/>
      <c r="HU317"/>
      <c r="HV317"/>
      <c r="HW317"/>
      <c r="HX317"/>
      <c r="HY317"/>
      <c r="HZ317"/>
      <c r="IA317"/>
      <c r="IB317"/>
      <c r="IC317"/>
      <c r="ID317"/>
      <c r="IE317"/>
      <c r="IF317"/>
      <c r="IG317"/>
      <c r="IH317"/>
      <c r="II317"/>
      <c r="IJ317"/>
      <c r="IK317"/>
      <c r="IL317"/>
      <c r="IM317"/>
      <c r="IN317"/>
      <c r="IO317"/>
      <c r="IP317"/>
      <c r="IQ317"/>
      <c r="IR317"/>
      <c r="IS317"/>
      <c r="IT317"/>
      <c r="IU317"/>
      <c r="IV317"/>
      <c r="IW317"/>
      <c r="IX317"/>
      <c r="IY317"/>
      <c r="IZ317"/>
      <c r="JA317"/>
      <c r="JB317"/>
      <c r="JC317"/>
      <c r="JD317"/>
      <c r="JE317"/>
      <c r="JF317"/>
      <c r="JG317"/>
      <c r="JH317"/>
      <c r="JI317"/>
      <c r="JJ317"/>
      <c r="JK317"/>
      <c r="JL317"/>
      <c r="JM317"/>
      <c r="JN317"/>
      <c r="JO317"/>
      <c r="JP317"/>
      <c r="JQ317"/>
      <c r="JR317"/>
      <c r="JS317"/>
      <c r="JT317"/>
      <c r="JU317"/>
      <c r="JV317"/>
      <c r="JW317"/>
      <c r="JX317"/>
      <c r="JY317"/>
      <c r="JZ317"/>
      <c r="KA317"/>
      <c r="KB317"/>
      <c r="KC317"/>
      <c r="KD317"/>
      <c r="KE317"/>
      <c r="KF317"/>
      <c r="KG317"/>
      <c r="KH317"/>
      <c r="KI317"/>
      <c r="KJ317"/>
      <c r="KK317"/>
      <c r="KL317"/>
      <c r="KM317"/>
      <c r="KN317"/>
      <c r="KO317"/>
      <c r="KP317"/>
      <c r="KQ317"/>
      <c r="KR317"/>
      <c r="KS317"/>
      <c r="KT317"/>
      <c r="KU317"/>
      <c r="KV317"/>
      <c r="KW317"/>
      <c r="KX317"/>
      <c r="KY317"/>
      <c r="KZ317"/>
      <c r="LA317"/>
      <c r="LB317"/>
      <c r="LC317"/>
      <c r="LD317"/>
      <c r="LE317"/>
      <c r="LF317"/>
      <c r="LG317"/>
      <c r="LH317"/>
      <c r="LI317"/>
      <c r="LJ317"/>
      <c r="LK317"/>
      <c r="LL317"/>
      <c r="LM317"/>
      <c r="LN317"/>
      <c r="LO317"/>
      <c r="LP317"/>
      <c r="LQ317"/>
      <c r="LR317"/>
      <c r="LS317"/>
      <c r="LT317"/>
      <c r="LU317"/>
      <c r="LV317"/>
      <c r="LW317"/>
      <c r="LX317"/>
      <c r="LY317"/>
      <c r="LZ317"/>
      <c r="MA317"/>
      <c r="MB317"/>
      <c r="MC317"/>
      <c r="MD317"/>
      <c r="ME317"/>
      <c r="MF317"/>
      <c r="MG317"/>
      <c r="MH317"/>
      <c r="MI317"/>
      <c r="MJ317"/>
      <c r="MK317"/>
      <c r="ML317"/>
      <c r="MM317"/>
      <c r="MN317"/>
      <c r="MO317"/>
      <c r="MP317"/>
      <c r="MQ317"/>
      <c r="MR317"/>
      <c r="MS317"/>
      <c r="MT317"/>
      <c r="MU317"/>
      <c r="MV317"/>
      <c r="MW317"/>
      <c r="MX317"/>
      <c r="MY317"/>
      <c r="MZ317"/>
      <c r="NA317"/>
      <c r="NB317"/>
      <c r="NC317"/>
      <c r="ND317"/>
      <c r="NE317"/>
      <c r="NF317"/>
      <c r="NG317"/>
      <c r="NH317"/>
      <c r="NI317"/>
      <c r="NJ317"/>
      <c r="NK317"/>
      <c r="NL317"/>
      <c r="NM317"/>
      <c r="NN317"/>
      <c r="NO317"/>
      <c r="NP317"/>
      <c r="NQ317"/>
      <c r="NR317"/>
      <c r="NS317"/>
      <c r="NT317"/>
      <c r="NU317"/>
      <c r="NV317"/>
      <c r="NW317"/>
      <c r="NX317"/>
      <c r="NY317"/>
      <c r="NZ317"/>
      <c r="OA317"/>
      <c r="OB317"/>
      <c r="OC317"/>
      <c r="OD317"/>
      <c r="OE317"/>
      <c r="OF317"/>
      <c r="OG317"/>
      <c r="OH317"/>
      <c r="OI317"/>
      <c r="OJ317"/>
      <c r="OK317"/>
      <c r="OL317"/>
      <c r="OM317"/>
      <c r="ON317"/>
      <c r="OO317"/>
      <c r="OP317"/>
      <c r="OQ317"/>
      <c r="OR317"/>
      <c r="OS317"/>
      <c r="OT317"/>
      <c r="OU317"/>
      <c r="OV317"/>
      <c r="OW317"/>
      <c r="OX317"/>
      <c r="OY317"/>
      <c r="OZ317"/>
      <c r="PA317"/>
      <c r="PB317"/>
      <c r="PC317"/>
      <c r="PD317"/>
      <c r="PE317"/>
      <c r="PF317"/>
      <c r="PG317"/>
      <c r="PH317"/>
      <c r="PI317"/>
      <c r="PJ317"/>
      <c r="PK317"/>
      <c r="PL317"/>
      <c r="PM317"/>
      <c r="PN317"/>
      <c r="PO317"/>
      <c r="PP317"/>
      <c r="PQ317"/>
      <c r="PR317"/>
      <c r="PS317"/>
      <c r="PT317"/>
      <c r="PU317"/>
      <c r="PV317"/>
      <c r="PW317"/>
      <c r="PX317"/>
      <c r="PY317"/>
      <c r="PZ317"/>
      <c r="QA317"/>
      <c r="QB317"/>
      <c r="QC317"/>
      <c r="QD317"/>
      <c r="QE317"/>
      <c r="QF317"/>
      <c r="QG317"/>
      <c r="QH317"/>
      <c r="QI317"/>
      <c r="QJ317"/>
      <c r="QK317"/>
      <c r="QL317"/>
      <c r="QM317"/>
      <c r="QN317"/>
      <c r="QO317"/>
      <c r="QP317"/>
      <c r="QQ317"/>
      <c r="QR317"/>
      <c r="QS317"/>
      <c r="QT317"/>
      <c r="QU317"/>
      <c r="QV317"/>
      <c r="QW317"/>
      <c r="QX317"/>
    </row>
    <row r="318" spans="1:466" x14ac:dyDescent="0.35">
      <c r="A318" s="53"/>
      <c r="B318" s="53"/>
      <c r="C318" s="55"/>
      <c r="D318" s="53"/>
      <c r="E318" s="53"/>
      <c r="F318" s="126" t="s">
        <v>743</v>
      </c>
      <c r="G318" s="125"/>
      <c r="H318" s="125">
        <v>0</v>
      </c>
      <c r="I318" s="133">
        <v>0</v>
      </c>
      <c r="J318" s="53"/>
      <c r="K318" s="53"/>
      <c r="L318" s="53"/>
      <c r="M318" s="53"/>
      <c r="N318" s="53"/>
      <c r="O318" s="53"/>
      <c r="P318" s="53"/>
      <c r="Q318" s="53"/>
      <c r="R318" s="53"/>
      <c r="S318" s="53"/>
      <c r="T318" s="53"/>
      <c r="U318" s="53"/>
      <c r="V318" s="53"/>
      <c r="W318" s="53"/>
      <c r="X318" s="53"/>
      <c r="Y318" s="53"/>
      <c r="Z318" s="53"/>
      <c r="AA318" s="53"/>
      <c r="AB318" s="53"/>
      <c r="AC318" s="53"/>
      <c r="AD318" s="53"/>
      <c r="AE318" s="53"/>
      <c r="AF318" s="63"/>
      <c r="AG318" s="64"/>
      <c r="AH318" s="65"/>
      <c r="AI318" s="65"/>
      <c r="AJ318" s="53"/>
      <c r="AK318" s="62"/>
      <c r="AL318" s="62"/>
      <c r="AM318" s="62"/>
      <c r="AN318" s="62"/>
      <c r="AO318" s="62"/>
      <c r="AP318" s="62"/>
      <c r="AQ318" s="62"/>
      <c r="AR318" s="62"/>
      <c r="AS318" s="62"/>
      <c r="AT318" s="62"/>
      <c r="AU318" s="62"/>
      <c r="AV318" s="62"/>
      <c r="AW318" s="62"/>
      <c r="AX318" s="62"/>
      <c r="AY318" s="62"/>
      <c r="AZ318" s="62"/>
      <c r="BA318" s="62"/>
      <c r="BB318" s="62"/>
      <c r="BC318" s="62"/>
      <c r="BD318" s="62"/>
      <c r="BE318" s="62"/>
      <c r="BF318" s="62"/>
      <c r="BG318" s="62"/>
      <c r="BH318" s="62"/>
      <c r="BI318" s="62"/>
      <c r="BJ318" s="62"/>
      <c r="BK318" s="62"/>
      <c r="BL318" s="62"/>
      <c r="BM318" s="62"/>
      <c r="BN318" s="62"/>
      <c r="BO318" s="62"/>
      <c r="BP318" s="62"/>
      <c r="BQ318" s="62"/>
      <c r="BR318" s="62"/>
      <c r="BS318" s="62"/>
      <c r="BT318" s="62"/>
      <c r="BU318" s="62"/>
      <c r="BV318" s="62"/>
      <c r="BW318" s="62"/>
      <c r="BX318" s="62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  <c r="HB318"/>
      <c r="HC318"/>
      <c r="HD318"/>
      <c r="HE318"/>
      <c r="HF318"/>
      <c r="HG318"/>
      <c r="HH318"/>
      <c r="HI318"/>
      <c r="HJ318"/>
      <c r="HK318"/>
      <c r="HL318"/>
      <c r="HM318"/>
      <c r="HN318"/>
      <c r="HO318"/>
      <c r="HP318"/>
      <c r="HQ318"/>
      <c r="HR318"/>
      <c r="HS318"/>
      <c r="HT318"/>
      <c r="HU318"/>
      <c r="HV318"/>
      <c r="HW318"/>
      <c r="HX318"/>
      <c r="HY318"/>
      <c r="HZ318"/>
      <c r="IA318"/>
      <c r="IB318"/>
      <c r="IC318"/>
      <c r="ID318"/>
      <c r="IE318"/>
      <c r="IF318"/>
      <c r="IG318"/>
      <c r="IH318"/>
      <c r="II318"/>
      <c r="IJ318"/>
      <c r="IK318"/>
      <c r="IL318"/>
      <c r="IM318"/>
      <c r="IN318"/>
      <c r="IO318"/>
      <c r="IP318"/>
      <c r="IQ318"/>
      <c r="IR318"/>
      <c r="IS318"/>
      <c r="IT318"/>
      <c r="IU318"/>
      <c r="IV318"/>
      <c r="IW318"/>
      <c r="IX318"/>
      <c r="IY318"/>
      <c r="IZ318"/>
      <c r="JA318"/>
      <c r="JB318"/>
      <c r="JC318"/>
      <c r="JD318"/>
      <c r="JE318"/>
      <c r="JF318"/>
      <c r="JG318"/>
      <c r="JH318"/>
      <c r="JI318"/>
      <c r="JJ318"/>
      <c r="JK318"/>
      <c r="JL318"/>
      <c r="JM318"/>
      <c r="JN318"/>
      <c r="JO318"/>
      <c r="JP318"/>
      <c r="JQ318"/>
      <c r="JR318"/>
      <c r="JS318"/>
      <c r="JT318"/>
      <c r="JU318"/>
      <c r="JV318"/>
      <c r="JW318"/>
      <c r="JX318"/>
      <c r="JY318"/>
      <c r="JZ318"/>
      <c r="KA318"/>
      <c r="KB318"/>
      <c r="KC318"/>
      <c r="KD318"/>
      <c r="KE318"/>
      <c r="KF318"/>
      <c r="KG318"/>
      <c r="KH318"/>
      <c r="KI318"/>
      <c r="KJ318"/>
      <c r="KK318"/>
      <c r="KL318"/>
      <c r="KM318"/>
      <c r="KN318"/>
      <c r="KO318"/>
      <c r="KP318"/>
      <c r="KQ318"/>
      <c r="KR318"/>
      <c r="KS318"/>
      <c r="KT318"/>
      <c r="KU318"/>
      <c r="KV318"/>
      <c r="KW318"/>
      <c r="KX318"/>
      <c r="KY318"/>
      <c r="KZ318"/>
      <c r="LA318"/>
      <c r="LB318"/>
      <c r="LC318"/>
      <c r="LD318"/>
      <c r="LE318"/>
      <c r="LF318"/>
      <c r="LG318"/>
      <c r="LH318"/>
      <c r="LI318"/>
      <c r="LJ318"/>
      <c r="LK318"/>
      <c r="LL318"/>
      <c r="LM318"/>
      <c r="LN318"/>
      <c r="LO318"/>
      <c r="LP318"/>
      <c r="LQ318"/>
      <c r="LR318"/>
      <c r="LS318"/>
      <c r="LT318"/>
      <c r="LU318"/>
      <c r="LV318"/>
      <c r="LW318"/>
      <c r="LX318"/>
      <c r="LY318"/>
      <c r="LZ318"/>
      <c r="MA318"/>
      <c r="MB318"/>
      <c r="MC318"/>
      <c r="MD318"/>
      <c r="ME318"/>
      <c r="MF318"/>
      <c r="MG318"/>
      <c r="MH318"/>
      <c r="MI318"/>
      <c r="MJ318"/>
      <c r="MK318"/>
      <c r="ML318"/>
      <c r="MM318"/>
      <c r="MN318"/>
      <c r="MO318"/>
      <c r="MP318"/>
      <c r="MQ318"/>
      <c r="MR318"/>
      <c r="MS318"/>
      <c r="MT318"/>
      <c r="MU318"/>
      <c r="MV318"/>
      <c r="MW318"/>
      <c r="MX318"/>
      <c r="MY318"/>
      <c r="MZ318"/>
      <c r="NA318"/>
      <c r="NB318"/>
      <c r="NC318"/>
      <c r="ND318"/>
      <c r="NE318"/>
      <c r="NF318"/>
      <c r="NG318"/>
      <c r="NH318"/>
      <c r="NI318"/>
      <c r="NJ318"/>
      <c r="NK318"/>
      <c r="NL318"/>
      <c r="NM318"/>
      <c r="NN318"/>
      <c r="NO318"/>
      <c r="NP318"/>
      <c r="NQ318"/>
      <c r="NR318"/>
      <c r="NS318"/>
      <c r="NT318"/>
      <c r="NU318"/>
      <c r="NV318"/>
      <c r="NW318"/>
      <c r="NX318"/>
      <c r="NY318"/>
      <c r="NZ318"/>
      <c r="OA318"/>
      <c r="OB318"/>
      <c r="OC318"/>
      <c r="OD318"/>
      <c r="OE318"/>
      <c r="OF318"/>
      <c r="OG318"/>
      <c r="OH318"/>
      <c r="OI318"/>
      <c r="OJ318"/>
      <c r="OK318"/>
      <c r="OL318"/>
      <c r="OM318"/>
      <c r="ON318"/>
      <c r="OO318"/>
      <c r="OP318"/>
      <c r="OQ318"/>
      <c r="OR318"/>
      <c r="OS318"/>
      <c r="OT318"/>
      <c r="OU318"/>
      <c r="OV318"/>
      <c r="OW318"/>
      <c r="OX318"/>
      <c r="OY318"/>
      <c r="OZ318"/>
      <c r="PA318"/>
      <c r="PB318"/>
      <c r="PC318"/>
      <c r="PD318"/>
      <c r="PE318"/>
      <c r="PF318"/>
      <c r="PG318"/>
      <c r="PH318"/>
      <c r="PI318"/>
      <c r="PJ318"/>
      <c r="PK318"/>
      <c r="PL318"/>
      <c r="PM318"/>
      <c r="PN318"/>
      <c r="PO318"/>
      <c r="PP318"/>
      <c r="PQ318"/>
      <c r="PR318"/>
      <c r="PS318"/>
      <c r="PT318"/>
      <c r="PU318"/>
      <c r="PV318"/>
      <c r="PW318"/>
      <c r="PX318"/>
      <c r="PY318"/>
      <c r="PZ318"/>
      <c r="QA318"/>
      <c r="QB318"/>
      <c r="QC318"/>
      <c r="QD318"/>
      <c r="QE318"/>
      <c r="QF318"/>
      <c r="QG318"/>
      <c r="QH318"/>
      <c r="QI318"/>
      <c r="QJ318"/>
      <c r="QK318"/>
      <c r="QL318"/>
      <c r="QM318"/>
      <c r="QN318"/>
      <c r="QO318"/>
      <c r="QP318"/>
      <c r="QQ318"/>
      <c r="QR318"/>
      <c r="QS318"/>
      <c r="QT318"/>
      <c r="QU318"/>
      <c r="QV318"/>
      <c r="QW318"/>
      <c r="QX318"/>
    </row>
    <row r="319" spans="1:466" x14ac:dyDescent="0.35">
      <c r="A319" s="53"/>
      <c r="B319" s="53"/>
      <c r="C319" s="55"/>
      <c r="D319" s="53"/>
      <c r="E319" s="53"/>
      <c r="F319" s="124" t="s">
        <v>578</v>
      </c>
      <c r="G319" s="125"/>
      <c r="H319" s="125">
        <v>0</v>
      </c>
      <c r="I319" s="133">
        <v>4</v>
      </c>
      <c r="J319" s="53"/>
      <c r="K319" s="53"/>
      <c r="L319" s="53"/>
      <c r="M319" s="53"/>
      <c r="N319" s="53"/>
      <c r="O319" s="53"/>
      <c r="P319" s="53"/>
      <c r="Q319" s="53"/>
      <c r="R319" s="53"/>
      <c r="S319" s="53"/>
      <c r="T319" s="53"/>
      <c r="U319" s="53"/>
      <c r="V319" s="53"/>
      <c r="W319" s="53"/>
      <c r="X319" s="53"/>
      <c r="Y319" s="53"/>
      <c r="Z319" s="53"/>
      <c r="AA319" s="53"/>
      <c r="AB319" s="53"/>
      <c r="AC319" s="53"/>
      <c r="AD319" s="53"/>
      <c r="AE319" s="53"/>
      <c r="AF319" s="63"/>
      <c r="AG319" s="64"/>
      <c r="AH319" s="65"/>
      <c r="AI319" s="65"/>
      <c r="AJ319" s="53"/>
      <c r="AK319" s="62"/>
      <c r="AL319" s="62"/>
      <c r="AM319" s="62"/>
      <c r="AN319" s="62"/>
      <c r="AO319" s="62"/>
      <c r="AP319" s="62"/>
      <c r="AQ319" s="62"/>
      <c r="AR319" s="62"/>
      <c r="AS319" s="62"/>
      <c r="AT319" s="62"/>
      <c r="AU319" s="62"/>
      <c r="AV319" s="62"/>
      <c r="AW319" s="62"/>
      <c r="AX319" s="62"/>
      <c r="AY319" s="62"/>
      <c r="AZ319" s="62"/>
      <c r="BA319" s="62"/>
      <c r="BB319" s="62"/>
      <c r="BC319" s="62"/>
      <c r="BD319" s="62"/>
      <c r="BE319" s="62"/>
      <c r="BF319" s="62"/>
      <c r="BG319" s="62"/>
      <c r="BH319" s="62"/>
      <c r="BI319" s="62"/>
      <c r="BJ319" s="62"/>
      <c r="BK319" s="62"/>
      <c r="BL319" s="62"/>
      <c r="BM319" s="62"/>
      <c r="BN319" s="62"/>
      <c r="BO319" s="62"/>
      <c r="BP319" s="62"/>
      <c r="BQ319" s="62"/>
      <c r="BR319" s="62"/>
      <c r="BS319" s="62"/>
      <c r="BT319" s="62"/>
      <c r="BU319" s="62"/>
      <c r="BV319" s="62"/>
      <c r="BW319" s="62"/>
      <c r="BX319" s="62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  <c r="HB319"/>
      <c r="HC319"/>
      <c r="HD319"/>
      <c r="HE319"/>
      <c r="HF319"/>
      <c r="HG319"/>
      <c r="HH319"/>
      <c r="HI319"/>
      <c r="HJ319"/>
      <c r="HK319"/>
      <c r="HL319"/>
      <c r="HM319"/>
      <c r="HN319"/>
      <c r="HO319"/>
      <c r="HP319"/>
      <c r="HQ319"/>
      <c r="HR319"/>
      <c r="HS319"/>
      <c r="HT319"/>
      <c r="HU319"/>
      <c r="HV319"/>
      <c r="HW319"/>
      <c r="HX319"/>
      <c r="HY319"/>
      <c r="HZ319"/>
      <c r="IA319"/>
      <c r="IB319"/>
      <c r="IC319"/>
      <c r="ID319"/>
      <c r="IE319"/>
      <c r="IF319"/>
      <c r="IG319"/>
      <c r="IH319"/>
      <c r="II319"/>
      <c r="IJ319"/>
      <c r="IK319"/>
      <c r="IL319"/>
      <c r="IM319"/>
      <c r="IN319"/>
      <c r="IO319"/>
      <c r="IP319"/>
      <c r="IQ319"/>
      <c r="IR319"/>
      <c r="IS319"/>
      <c r="IT319"/>
      <c r="IU319"/>
      <c r="IV319"/>
      <c r="IW319"/>
      <c r="IX319"/>
      <c r="IY319"/>
      <c r="IZ319"/>
      <c r="JA319"/>
      <c r="JB319"/>
      <c r="JC319"/>
      <c r="JD319"/>
      <c r="JE319"/>
      <c r="JF319"/>
      <c r="JG319"/>
      <c r="JH319"/>
      <c r="JI319"/>
      <c r="JJ319"/>
      <c r="JK319"/>
      <c r="JL319"/>
      <c r="JM319"/>
      <c r="JN319"/>
      <c r="JO319"/>
      <c r="JP319"/>
      <c r="JQ319"/>
      <c r="JR319"/>
      <c r="JS319"/>
      <c r="JT319"/>
      <c r="JU319"/>
      <c r="JV319"/>
      <c r="JW319"/>
      <c r="JX319"/>
      <c r="JY319"/>
      <c r="JZ319"/>
      <c r="KA319"/>
      <c r="KB319"/>
      <c r="KC319"/>
      <c r="KD319"/>
      <c r="KE319"/>
      <c r="KF319"/>
      <c r="KG319"/>
      <c r="KH319"/>
      <c r="KI319"/>
      <c r="KJ319"/>
      <c r="KK319"/>
      <c r="KL319"/>
      <c r="KM319"/>
      <c r="KN319"/>
      <c r="KO319"/>
      <c r="KP319"/>
      <c r="KQ319"/>
      <c r="KR319"/>
      <c r="KS319"/>
      <c r="KT319"/>
      <c r="KU319"/>
      <c r="KV319"/>
      <c r="KW319"/>
      <c r="KX319"/>
      <c r="KY319"/>
      <c r="KZ319"/>
      <c r="LA319"/>
      <c r="LB319"/>
      <c r="LC319"/>
      <c r="LD319"/>
      <c r="LE319"/>
      <c r="LF319"/>
      <c r="LG319"/>
      <c r="LH319"/>
      <c r="LI319"/>
      <c r="LJ319"/>
      <c r="LK319"/>
      <c r="LL319"/>
      <c r="LM319"/>
      <c r="LN319"/>
      <c r="LO319"/>
      <c r="LP319"/>
      <c r="LQ319"/>
      <c r="LR319"/>
      <c r="LS319"/>
      <c r="LT319"/>
      <c r="LU319"/>
      <c r="LV319"/>
      <c r="LW319"/>
      <c r="LX319"/>
      <c r="LY319"/>
      <c r="LZ319"/>
      <c r="MA319"/>
      <c r="MB319"/>
      <c r="MC319"/>
      <c r="MD319"/>
      <c r="ME319"/>
      <c r="MF319"/>
      <c r="MG319"/>
      <c r="MH319"/>
      <c r="MI319"/>
      <c r="MJ319"/>
      <c r="MK319"/>
      <c r="ML319"/>
      <c r="MM319"/>
      <c r="MN319"/>
      <c r="MO319"/>
      <c r="MP319"/>
      <c r="MQ319"/>
      <c r="MR319"/>
      <c r="MS319"/>
      <c r="MT319"/>
      <c r="MU319"/>
      <c r="MV319"/>
      <c r="MW319"/>
      <c r="MX319"/>
      <c r="MY319"/>
      <c r="MZ319"/>
      <c r="NA319"/>
      <c r="NB319"/>
      <c r="NC319"/>
      <c r="ND319"/>
      <c r="NE319"/>
      <c r="NF319"/>
      <c r="NG319"/>
      <c r="NH319"/>
      <c r="NI319"/>
      <c r="NJ319"/>
      <c r="NK319"/>
      <c r="NL319"/>
      <c r="NM319"/>
      <c r="NN319"/>
      <c r="NO319"/>
      <c r="NP319"/>
      <c r="NQ319"/>
      <c r="NR319"/>
      <c r="NS319"/>
      <c r="NT319"/>
      <c r="NU319"/>
      <c r="NV319"/>
      <c r="NW319"/>
      <c r="NX319"/>
      <c r="NY319"/>
      <c r="NZ319"/>
      <c r="OA319"/>
      <c r="OB319"/>
      <c r="OC319"/>
      <c r="OD319"/>
      <c r="OE319"/>
      <c r="OF319"/>
      <c r="OG319"/>
      <c r="OH319"/>
      <c r="OI319"/>
      <c r="OJ319"/>
      <c r="OK319"/>
      <c r="OL319"/>
      <c r="OM319"/>
      <c r="ON319"/>
      <c r="OO319"/>
      <c r="OP319"/>
      <c r="OQ319"/>
      <c r="OR319"/>
      <c r="OS319"/>
      <c r="OT319"/>
      <c r="OU319"/>
      <c r="OV319"/>
      <c r="OW319"/>
      <c r="OX319"/>
      <c r="OY319"/>
      <c r="OZ319"/>
      <c r="PA319"/>
      <c r="PB319"/>
      <c r="PC319"/>
      <c r="PD319"/>
      <c r="PE319"/>
      <c r="PF319"/>
      <c r="PG319"/>
      <c r="PH319"/>
      <c r="PI319"/>
      <c r="PJ319"/>
      <c r="PK319"/>
      <c r="PL319"/>
      <c r="PM319"/>
      <c r="PN319"/>
      <c r="PO319"/>
      <c r="PP319"/>
      <c r="PQ319"/>
      <c r="PR319"/>
      <c r="PS319"/>
      <c r="PT319"/>
      <c r="PU319"/>
      <c r="PV319"/>
      <c r="PW319"/>
      <c r="PX319"/>
      <c r="PY319"/>
      <c r="PZ319"/>
      <c r="QA319"/>
      <c r="QB319"/>
      <c r="QC319"/>
      <c r="QD319"/>
      <c r="QE319"/>
      <c r="QF319"/>
      <c r="QG319"/>
      <c r="QH319"/>
      <c r="QI319"/>
      <c r="QJ319"/>
      <c r="QK319"/>
      <c r="QL319"/>
      <c r="QM319"/>
      <c r="QN319"/>
      <c r="QO319"/>
      <c r="QP319"/>
      <c r="QQ319"/>
      <c r="QR319"/>
      <c r="QS319"/>
      <c r="QT319"/>
      <c r="QU319"/>
      <c r="QV319"/>
      <c r="QW319"/>
      <c r="QX319"/>
    </row>
    <row r="320" spans="1:466" x14ac:dyDescent="0.35">
      <c r="A320" s="53"/>
      <c r="B320" s="53"/>
      <c r="C320" s="55"/>
      <c r="D320" s="53"/>
      <c r="E320" s="53"/>
      <c r="F320" s="126" t="s">
        <v>579</v>
      </c>
      <c r="G320" s="125"/>
      <c r="H320" s="125">
        <v>0</v>
      </c>
      <c r="I320" s="133">
        <v>4</v>
      </c>
      <c r="J320" s="53"/>
      <c r="K320" s="53"/>
      <c r="L320" s="53"/>
      <c r="M320" s="53"/>
      <c r="N320" s="53"/>
      <c r="O320" s="53"/>
      <c r="P320" s="53"/>
      <c r="Q320" s="53"/>
      <c r="R320" s="53"/>
      <c r="S320" s="53"/>
      <c r="T320" s="53"/>
      <c r="U320" s="53"/>
      <c r="V320" s="53"/>
      <c r="W320" s="53"/>
      <c r="X320" s="53"/>
      <c r="Y320" s="53"/>
      <c r="Z320" s="53"/>
      <c r="AA320" s="53"/>
      <c r="AB320" s="53"/>
      <c r="AC320" s="53"/>
      <c r="AD320" s="53"/>
      <c r="AE320" s="53"/>
      <c r="AF320" s="63"/>
      <c r="AG320" s="64"/>
      <c r="AH320" s="65"/>
      <c r="AI320" s="65"/>
      <c r="AJ320" s="53"/>
      <c r="AK320" s="62"/>
      <c r="AL320" s="62"/>
      <c r="AM320" s="62"/>
      <c r="AN320" s="62"/>
      <c r="AO320" s="62"/>
      <c r="AP320" s="62"/>
      <c r="AQ320" s="62"/>
      <c r="AR320" s="62"/>
      <c r="AS320" s="62"/>
      <c r="AT320" s="62"/>
      <c r="AU320" s="62"/>
      <c r="AV320" s="62"/>
      <c r="AW320" s="62"/>
      <c r="AX320" s="62"/>
      <c r="AY320" s="62"/>
      <c r="AZ320" s="62"/>
      <c r="BA320" s="62"/>
      <c r="BB320" s="62"/>
      <c r="BC320" s="62"/>
      <c r="BD320" s="62"/>
      <c r="BE320" s="62"/>
      <c r="BF320" s="62"/>
      <c r="BG320" s="62"/>
      <c r="BH320" s="62"/>
      <c r="BI320" s="62"/>
      <c r="BJ320" s="62"/>
      <c r="BK320" s="62"/>
      <c r="BL320" s="62"/>
      <c r="BM320" s="62"/>
      <c r="BN320" s="62"/>
      <c r="BO320" s="62"/>
      <c r="BP320" s="62"/>
      <c r="BQ320" s="62"/>
      <c r="BR320" s="62"/>
      <c r="BS320" s="62"/>
      <c r="BT320" s="62"/>
      <c r="BU320" s="62"/>
      <c r="BV320" s="62"/>
      <c r="BW320" s="62"/>
      <c r="BX320" s="62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  <c r="HB320"/>
      <c r="HC320"/>
      <c r="HD320"/>
      <c r="HE320"/>
      <c r="HF320"/>
      <c r="HG320"/>
      <c r="HH320"/>
      <c r="HI320"/>
      <c r="HJ320"/>
      <c r="HK320"/>
      <c r="HL320"/>
      <c r="HM320"/>
      <c r="HN320"/>
      <c r="HO320"/>
      <c r="HP320"/>
      <c r="HQ320"/>
      <c r="HR320"/>
      <c r="HS320"/>
      <c r="HT320"/>
      <c r="HU320"/>
      <c r="HV320"/>
      <c r="HW320"/>
      <c r="HX320"/>
      <c r="HY320"/>
      <c r="HZ320"/>
      <c r="IA320"/>
      <c r="IB320"/>
      <c r="IC320"/>
      <c r="ID320"/>
      <c r="IE320"/>
      <c r="IF320"/>
      <c r="IG320"/>
      <c r="IH320"/>
      <c r="II320"/>
      <c r="IJ320"/>
      <c r="IK320"/>
      <c r="IL320"/>
      <c r="IM320"/>
      <c r="IN320"/>
      <c r="IO320"/>
      <c r="IP320"/>
      <c r="IQ320"/>
      <c r="IR320"/>
      <c r="IS320"/>
      <c r="IT320"/>
      <c r="IU320"/>
      <c r="IV320"/>
      <c r="IW320"/>
      <c r="IX320"/>
      <c r="IY320"/>
      <c r="IZ320"/>
      <c r="JA320"/>
      <c r="JB320"/>
      <c r="JC320"/>
      <c r="JD320"/>
      <c r="JE320"/>
      <c r="JF320"/>
      <c r="JG320"/>
      <c r="JH320"/>
      <c r="JI320"/>
      <c r="JJ320"/>
      <c r="JK320"/>
      <c r="JL320"/>
      <c r="JM320"/>
      <c r="JN320"/>
      <c r="JO320"/>
      <c r="JP320"/>
      <c r="JQ320"/>
      <c r="JR320"/>
      <c r="JS320"/>
      <c r="JT320"/>
      <c r="JU320"/>
      <c r="JV320"/>
      <c r="JW320"/>
      <c r="JX320"/>
      <c r="JY320"/>
      <c r="JZ320"/>
      <c r="KA320"/>
      <c r="KB320"/>
      <c r="KC320"/>
      <c r="KD320"/>
      <c r="KE320"/>
      <c r="KF320"/>
      <c r="KG320"/>
      <c r="KH320"/>
      <c r="KI320"/>
      <c r="KJ320"/>
      <c r="KK320"/>
      <c r="KL320"/>
      <c r="KM320"/>
      <c r="KN320"/>
      <c r="KO320"/>
      <c r="KP320"/>
      <c r="KQ320"/>
      <c r="KR320"/>
      <c r="KS320"/>
      <c r="KT320"/>
      <c r="KU320"/>
      <c r="KV320"/>
      <c r="KW320"/>
      <c r="KX320"/>
      <c r="KY320"/>
      <c r="KZ320"/>
      <c r="LA320"/>
      <c r="LB320"/>
      <c r="LC320"/>
      <c r="LD320"/>
      <c r="LE320"/>
      <c r="LF320"/>
      <c r="LG320"/>
      <c r="LH320"/>
      <c r="LI320"/>
      <c r="LJ320"/>
      <c r="LK320"/>
      <c r="LL320"/>
      <c r="LM320"/>
      <c r="LN320"/>
      <c r="LO320"/>
      <c r="LP320"/>
      <c r="LQ320"/>
      <c r="LR320"/>
      <c r="LS320"/>
      <c r="LT320"/>
      <c r="LU320"/>
      <c r="LV320"/>
      <c r="LW320"/>
      <c r="LX320"/>
      <c r="LY320"/>
      <c r="LZ320"/>
      <c r="MA320"/>
      <c r="MB320"/>
      <c r="MC320"/>
      <c r="MD320"/>
      <c r="ME320"/>
      <c r="MF320"/>
      <c r="MG320"/>
      <c r="MH320"/>
      <c r="MI320"/>
      <c r="MJ320"/>
      <c r="MK320"/>
      <c r="ML320"/>
      <c r="MM320"/>
      <c r="MN320"/>
      <c r="MO320"/>
      <c r="MP320"/>
      <c r="MQ320"/>
      <c r="MR320"/>
      <c r="MS320"/>
      <c r="MT320"/>
      <c r="MU320"/>
      <c r="MV320"/>
      <c r="MW320"/>
      <c r="MX320"/>
      <c r="MY320"/>
      <c r="MZ320"/>
      <c r="NA320"/>
      <c r="NB320"/>
      <c r="NC320"/>
      <c r="ND320"/>
      <c r="NE320"/>
      <c r="NF320"/>
      <c r="NG320"/>
      <c r="NH320"/>
      <c r="NI320"/>
      <c r="NJ320"/>
      <c r="NK320"/>
      <c r="NL320"/>
      <c r="NM320"/>
      <c r="NN320"/>
      <c r="NO320"/>
      <c r="NP320"/>
      <c r="NQ320"/>
      <c r="NR320"/>
      <c r="NS320"/>
      <c r="NT320"/>
      <c r="NU320"/>
      <c r="NV320"/>
      <c r="NW320"/>
      <c r="NX320"/>
      <c r="NY320"/>
      <c r="NZ320"/>
      <c r="OA320"/>
      <c r="OB320"/>
      <c r="OC320"/>
      <c r="OD320"/>
      <c r="OE320"/>
      <c r="OF320"/>
      <c r="OG320"/>
      <c r="OH320"/>
      <c r="OI320"/>
      <c r="OJ320"/>
      <c r="OK320"/>
      <c r="OL320"/>
      <c r="OM320"/>
      <c r="ON320"/>
      <c r="OO320"/>
      <c r="OP320"/>
      <c r="OQ320"/>
      <c r="OR320"/>
      <c r="OS320"/>
      <c r="OT320"/>
      <c r="OU320"/>
      <c r="OV320"/>
      <c r="OW320"/>
      <c r="OX320"/>
      <c r="OY320"/>
      <c r="OZ320"/>
      <c r="PA320"/>
      <c r="PB320"/>
      <c r="PC320"/>
      <c r="PD320"/>
      <c r="PE320"/>
      <c r="PF320"/>
      <c r="PG320"/>
      <c r="PH320"/>
      <c r="PI320"/>
      <c r="PJ320"/>
      <c r="PK320"/>
      <c r="PL320"/>
      <c r="PM320"/>
      <c r="PN320"/>
      <c r="PO320"/>
      <c r="PP320"/>
      <c r="PQ320"/>
      <c r="PR320"/>
      <c r="PS320"/>
      <c r="PT320"/>
      <c r="PU320"/>
      <c r="PV320"/>
      <c r="PW320"/>
      <c r="PX320"/>
      <c r="PY320"/>
      <c r="PZ320"/>
      <c r="QA320"/>
      <c r="QB320"/>
      <c r="QC320"/>
      <c r="QD320"/>
      <c r="QE320"/>
      <c r="QF320"/>
      <c r="QG320"/>
      <c r="QH320"/>
      <c r="QI320"/>
      <c r="QJ320"/>
      <c r="QK320"/>
      <c r="QL320"/>
      <c r="QM320"/>
      <c r="QN320"/>
      <c r="QO320"/>
      <c r="QP320"/>
      <c r="QQ320"/>
      <c r="QR320"/>
      <c r="QS320"/>
      <c r="QT320"/>
      <c r="QU320"/>
      <c r="QV320"/>
      <c r="QW320"/>
      <c r="QX320"/>
    </row>
    <row r="321" spans="1:466" x14ac:dyDescent="0.35">
      <c r="A321" s="53"/>
      <c r="B321" s="53"/>
      <c r="C321" s="55"/>
      <c r="D321" s="53"/>
      <c r="E321" s="53"/>
      <c r="F321" s="126" t="s">
        <v>581</v>
      </c>
      <c r="G321" s="125"/>
      <c r="H321" s="125">
        <v>0</v>
      </c>
      <c r="I321" s="133">
        <v>0</v>
      </c>
      <c r="J321" s="53"/>
      <c r="K321" s="53"/>
      <c r="L321" s="53"/>
      <c r="M321" s="53"/>
      <c r="N321" s="53"/>
      <c r="O321" s="53"/>
      <c r="P321" s="53"/>
      <c r="Q321" s="53"/>
      <c r="R321" s="53"/>
      <c r="S321" s="53"/>
      <c r="T321" s="53"/>
      <c r="U321" s="53"/>
      <c r="V321" s="53"/>
      <c r="W321" s="53"/>
      <c r="X321" s="53"/>
      <c r="Y321" s="53"/>
      <c r="Z321" s="53"/>
      <c r="AA321" s="53"/>
      <c r="AB321" s="53"/>
      <c r="AC321" s="53"/>
      <c r="AD321" s="53"/>
      <c r="AE321" s="53"/>
      <c r="AF321" s="63"/>
      <c r="AG321" s="64"/>
      <c r="AH321" s="65"/>
      <c r="AI321" s="65"/>
      <c r="AJ321" s="53"/>
      <c r="AK321" s="62"/>
      <c r="AL321" s="62"/>
      <c r="AM321" s="62"/>
      <c r="AN321" s="62"/>
      <c r="AO321" s="62"/>
      <c r="AP321" s="62"/>
      <c r="AQ321" s="62"/>
      <c r="AR321" s="62"/>
      <c r="AS321" s="62"/>
      <c r="AT321" s="62"/>
      <c r="AU321" s="62"/>
      <c r="AV321" s="62"/>
      <c r="AW321" s="62"/>
      <c r="AX321" s="62"/>
      <c r="AY321" s="62"/>
      <c r="AZ321" s="62"/>
      <c r="BA321" s="62"/>
      <c r="BB321" s="62"/>
      <c r="BC321" s="62"/>
      <c r="BD321" s="62"/>
      <c r="BE321" s="62"/>
      <c r="BF321" s="62"/>
      <c r="BG321" s="62"/>
      <c r="BH321" s="62"/>
      <c r="BI321" s="62"/>
      <c r="BJ321" s="62"/>
      <c r="BK321" s="62"/>
      <c r="BL321" s="62"/>
      <c r="BM321" s="62"/>
      <c r="BN321" s="62"/>
      <c r="BO321" s="62"/>
      <c r="BP321" s="62"/>
      <c r="BQ321" s="62"/>
      <c r="BR321" s="62"/>
      <c r="BS321" s="62"/>
      <c r="BT321" s="62"/>
      <c r="BU321" s="62"/>
      <c r="BV321" s="62"/>
      <c r="BW321" s="62"/>
      <c r="BX321" s="62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  <c r="HB321"/>
      <c r="HC321"/>
      <c r="HD321"/>
      <c r="HE321"/>
      <c r="HF321"/>
      <c r="HG321"/>
      <c r="HH321"/>
      <c r="HI321"/>
      <c r="HJ321"/>
      <c r="HK321"/>
      <c r="HL321"/>
      <c r="HM321"/>
      <c r="HN321"/>
      <c r="HO321"/>
      <c r="HP321"/>
      <c r="HQ321"/>
      <c r="HR321"/>
      <c r="HS321"/>
      <c r="HT321"/>
      <c r="HU321"/>
      <c r="HV321"/>
      <c r="HW321"/>
      <c r="HX321"/>
      <c r="HY321"/>
      <c r="HZ321"/>
      <c r="IA321"/>
      <c r="IB321"/>
      <c r="IC321"/>
      <c r="ID321"/>
      <c r="IE321"/>
      <c r="IF321"/>
      <c r="IG321"/>
      <c r="IH321"/>
      <c r="II321"/>
      <c r="IJ321"/>
      <c r="IK321"/>
      <c r="IL321"/>
      <c r="IM321"/>
      <c r="IN321"/>
      <c r="IO321"/>
      <c r="IP321"/>
      <c r="IQ321"/>
      <c r="IR321"/>
      <c r="IS321"/>
      <c r="IT321"/>
      <c r="IU321"/>
      <c r="IV321"/>
      <c r="IW321"/>
      <c r="IX321"/>
      <c r="IY321"/>
      <c r="IZ321"/>
      <c r="JA321"/>
      <c r="JB321"/>
      <c r="JC321"/>
      <c r="JD321"/>
      <c r="JE321"/>
      <c r="JF321"/>
      <c r="JG321"/>
      <c r="JH321"/>
      <c r="JI321"/>
      <c r="JJ321"/>
      <c r="JK321"/>
      <c r="JL321"/>
      <c r="JM321"/>
      <c r="JN321"/>
      <c r="JO321"/>
      <c r="JP321"/>
      <c r="JQ321"/>
      <c r="JR321"/>
      <c r="JS321"/>
      <c r="JT321"/>
      <c r="JU321"/>
      <c r="JV321"/>
      <c r="JW321"/>
      <c r="JX321"/>
      <c r="JY321"/>
      <c r="JZ321"/>
      <c r="KA321"/>
      <c r="KB321"/>
      <c r="KC321"/>
      <c r="KD321"/>
      <c r="KE321"/>
      <c r="KF321"/>
      <c r="KG321"/>
      <c r="KH321"/>
      <c r="KI321"/>
      <c r="KJ321"/>
      <c r="KK321"/>
      <c r="KL321"/>
      <c r="KM321"/>
      <c r="KN321"/>
      <c r="KO321"/>
      <c r="KP321"/>
      <c r="KQ321"/>
      <c r="KR321"/>
      <c r="KS321"/>
      <c r="KT321"/>
      <c r="KU321"/>
      <c r="KV321"/>
      <c r="KW321"/>
      <c r="KX321"/>
      <c r="KY321"/>
      <c r="KZ321"/>
      <c r="LA321"/>
      <c r="LB321"/>
      <c r="LC321"/>
      <c r="LD321"/>
      <c r="LE321"/>
      <c r="LF321"/>
      <c r="LG321"/>
      <c r="LH321"/>
      <c r="LI321"/>
      <c r="LJ321"/>
      <c r="LK321"/>
      <c r="LL321"/>
      <c r="LM321"/>
      <c r="LN321"/>
      <c r="LO321"/>
      <c r="LP321"/>
      <c r="LQ321"/>
      <c r="LR321"/>
      <c r="LS321"/>
      <c r="LT321"/>
      <c r="LU321"/>
      <c r="LV321"/>
      <c r="LW321"/>
      <c r="LX321"/>
      <c r="LY321"/>
      <c r="LZ321"/>
      <c r="MA321"/>
      <c r="MB321"/>
      <c r="MC321"/>
      <c r="MD321"/>
      <c r="ME321"/>
      <c r="MF321"/>
      <c r="MG321"/>
      <c r="MH321"/>
      <c r="MI321"/>
      <c r="MJ321"/>
      <c r="MK321"/>
      <c r="ML321"/>
      <c r="MM321"/>
      <c r="MN321"/>
      <c r="MO321"/>
      <c r="MP321"/>
      <c r="MQ321"/>
      <c r="MR321"/>
      <c r="MS321"/>
      <c r="MT321"/>
      <c r="MU321"/>
      <c r="MV321"/>
      <c r="MW321"/>
      <c r="MX321"/>
      <c r="MY321"/>
      <c r="MZ321"/>
      <c r="NA321"/>
      <c r="NB321"/>
      <c r="NC321"/>
      <c r="ND321"/>
      <c r="NE321"/>
      <c r="NF321"/>
      <c r="NG321"/>
      <c r="NH321"/>
      <c r="NI321"/>
      <c r="NJ321"/>
      <c r="NK321"/>
      <c r="NL321"/>
      <c r="NM321"/>
      <c r="NN321"/>
      <c r="NO321"/>
      <c r="NP321"/>
      <c r="NQ321"/>
      <c r="NR321"/>
      <c r="NS321"/>
      <c r="NT321"/>
      <c r="NU321"/>
      <c r="NV321"/>
      <c r="NW321"/>
      <c r="NX321"/>
      <c r="NY321"/>
      <c r="NZ321"/>
      <c r="OA321"/>
      <c r="OB321"/>
      <c r="OC321"/>
      <c r="OD321"/>
      <c r="OE321"/>
      <c r="OF321"/>
      <c r="OG321"/>
      <c r="OH321"/>
      <c r="OI321"/>
      <c r="OJ321"/>
      <c r="OK321"/>
      <c r="OL321"/>
      <c r="OM321"/>
      <c r="ON321"/>
      <c r="OO321"/>
      <c r="OP321"/>
      <c r="OQ321"/>
      <c r="OR321"/>
      <c r="OS321"/>
      <c r="OT321"/>
      <c r="OU321"/>
      <c r="OV321"/>
      <c r="OW321"/>
      <c r="OX321"/>
      <c r="OY321"/>
      <c r="OZ321"/>
      <c r="PA321"/>
      <c r="PB321"/>
      <c r="PC321"/>
      <c r="PD321"/>
      <c r="PE321"/>
      <c r="PF321"/>
      <c r="PG321"/>
      <c r="PH321"/>
      <c r="PI321"/>
      <c r="PJ321"/>
      <c r="PK321"/>
      <c r="PL321"/>
      <c r="PM321"/>
      <c r="PN321"/>
      <c r="PO321"/>
      <c r="PP321"/>
      <c r="PQ321"/>
      <c r="PR321"/>
      <c r="PS321"/>
      <c r="PT321"/>
      <c r="PU321"/>
      <c r="PV321"/>
      <c r="PW321"/>
      <c r="PX321"/>
      <c r="PY321"/>
      <c r="PZ321"/>
      <c r="QA321"/>
      <c r="QB321"/>
      <c r="QC321"/>
      <c r="QD321"/>
      <c r="QE321"/>
      <c r="QF321"/>
      <c r="QG321"/>
      <c r="QH321"/>
      <c r="QI321"/>
      <c r="QJ321"/>
      <c r="QK321"/>
      <c r="QL321"/>
      <c r="QM321"/>
      <c r="QN321"/>
      <c r="QO321"/>
      <c r="QP321"/>
      <c r="QQ321"/>
      <c r="QR321"/>
      <c r="QS321"/>
      <c r="QT321"/>
      <c r="QU321"/>
      <c r="QV321"/>
      <c r="QW321"/>
      <c r="QX321"/>
    </row>
    <row r="322" spans="1:466" x14ac:dyDescent="0.35">
      <c r="A322" s="53"/>
      <c r="B322" s="53"/>
      <c r="C322" s="55"/>
      <c r="D322" s="53"/>
      <c r="E322" s="53"/>
      <c r="F322" s="126" t="s">
        <v>576</v>
      </c>
      <c r="G322" s="125"/>
      <c r="H322" s="125">
        <v>0</v>
      </c>
      <c r="I322" s="133">
        <v>0</v>
      </c>
      <c r="J322" s="53"/>
      <c r="K322" s="53"/>
      <c r="L322" s="53"/>
      <c r="M322" s="53"/>
      <c r="N322" s="53"/>
      <c r="O322" s="53"/>
      <c r="P322" s="53"/>
      <c r="Q322" s="53"/>
      <c r="R322" s="53"/>
      <c r="S322" s="53"/>
      <c r="T322" s="53"/>
      <c r="U322" s="53"/>
      <c r="V322" s="53"/>
      <c r="W322" s="53"/>
      <c r="X322" s="53"/>
      <c r="Y322" s="53"/>
      <c r="Z322" s="53"/>
      <c r="AA322" s="53"/>
      <c r="AB322" s="53"/>
      <c r="AC322" s="53"/>
      <c r="AD322" s="53"/>
      <c r="AE322" s="53"/>
      <c r="AF322" s="63"/>
      <c r="AG322" s="64"/>
      <c r="AH322" s="65"/>
      <c r="AI322" s="65"/>
      <c r="AJ322" s="53"/>
      <c r="AK322" s="62"/>
      <c r="AL322" s="62"/>
      <c r="AM322" s="62"/>
      <c r="AN322" s="62"/>
      <c r="AO322" s="62"/>
      <c r="AP322" s="62"/>
      <c r="AQ322" s="62"/>
      <c r="AR322" s="62"/>
      <c r="AS322" s="62"/>
      <c r="AT322" s="62"/>
      <c r="AU322" s="62"/>
      <c r="AV322" s="62"/>
      <c r="AW322" s="62"/>
      <c r="AX322" s="62"/>
      <c r="AY322" s="62"/>
      <c r="AZ322" s="62"/>
      <c r="BA322" s="62"/>
      <c r="BB322" s="62"/>
      <c r="BC322" s="62"/>
      <c r="BD322" s="62"/>
      <c r="BE322" s="62"/>
      <c r="BF322" s="62"/>
      <c r="BG322" s="62"/>
      <c r="BH322" s="62"/>
      <c r="BI322" s="62"/>
      <c r="BJ322" s="62"/>
      <c r="BK322" s="62"/>
      <c r="BL322" s="62"/>
      <c r="BM322" s="62"/>
      <c r="BN322" s="62"/>
      <c r="BO322" s="62"/>
      <c r="BP322" s="62"/>
      <c r="BQ322" s="62"/>
      <c r="BR322" s="62"/>
      <c r="BS322" s="62"/>
      <c r="BT322" s="62"/>
      <c r="BU322" s="62"/>
      <c r="BV322" s="62"/>
      <c r="BW322" s="62"/>
      <c r="BX322" s="6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  <c r="HB322"/>
      <c r="HC322"/>
      <c r="HD322"/>
      <c r="HE322"/>
      <c r="HF322"/>
      <c r="HG322"/>
      <c r="HH322"/>
      <c r="HI322"/>
      <c r="HJ322"/>
      <c r="HK322"/>
      <c r="HL322"/>
      <c r="HM322"/>
      <c r="HN322"/>
      <c r="HO322"/>
      <c r="HP322"/>
      <c r="HQ322"/>
      <c r="HR322"/>
      <c r="HS322"/>
      <c r="HT322"/>
      <c r="HU322"/>
      <c r="HV322"/>
      <c r="HW322"/>
      <c r="HX322"/>
      <c r="HY322"/>
      <c r="HZ322"/>
      <c r="IA322"/>
      <c r="IB322"/>
      <c r="IC322"/>
      <c r="ID322"/>
      <c r="IE322"/>
      <c r="IF322"/>
      <c r="IG322"/>
      <c r="IH322"/>
      <c r="II322"/>
      <c r="IJ322"/>
      <c r="IK322"/>
      <c r="IL322"/>
      <c r="IM322"/>
      <c r="IN322"/>
      <c r="IO322"/>
      <c r="IP322"/>
      <c r="IQ322"/>
      <c r="IR322"/>
      <c r="IS322"/>
      <c r="IT322"/>
      <c r="IU322"/>
      <c r="IV322"/>
      <c r="IW322"/>
      <c r="IX322"/>
      <c r="IY322"/>
      <c r="IZ322"/>
      <c r="JA322"/>
      <c r="JB322"/>
      <c r="JC322"/>
      <c r="JD322"/>
      <c r="JE322"/>
      <c r="JF322"/>
      <c r="JG322"/>
      <c r="JH322"/>
      <c r="JI322"/>
      <c r="JJ322"/>
      <c r="JK322"/>
      <c r="JL322"/>
      <c r="JM322"/>
      <c r="JN322"/>
      <c r="JO322"/>
      <c r="JP322"/>
      <c r="JQ322"/>
      <c r="JR322"/>
      <c r="JS322"/>
      <c r="JT322"/>
      <c r="JU322"/>
      <c r="JV322"/>
      <c r="JW322"/>
      <c r="JX322"/>
      <c r="JY322"/>
      <c r="JZ322"/>
      <c r="KA322"/>
      <c r="KB322"/>
      <c r="KC322"/>
      <c r="KD322"/>
      <c r="KE322"/>
      <c r="KF322"/>
      <c r="KG322"/>
      <c r="KH322"/>
      <c r="KI322"/>
      <c r="KJ322"/>
      <c r="KK322"/>
      <c r="KL322"/>
      <c r="KM322"/>
      <c r="KN322"/>
      <c r="KO322"/>
      <c r="KP322"/>
      <c r="KQ322"/>
      <c r="KR322"/>
      <c r="KS322"/>
      <c r="KT322"/>
      <c r="KU322"/>
      <c r="KV322"/>
      <c r="KW322"/>
      <c r="KX322"/>
      <c r="KY322"/>
      <c r="KZ322"/>
      <c r="LA322"/>
      <c r="LB322"/>
      <c r="LC322"/>
      <c r="LD322"/>
      <c r="LE322"/>
      <c r="LF322"/>
      <c r="LG322"/>
      <c r="LH322"/>
      <c r="LI322"/>
      <c r="LJ322"/>
      <c r="LK322"/>
      <c r="LL322"/>
      <c r="LM322"/>
      <c r="LN322"/>
      <c r="LO322"/>
      <c r="LP322"/>
      <c r="LQ322"/>
      <c r="LR322"/>
      <c r="LS322"/>
      <c r="LT322"/>
      <c r="LU322"/>
      <c r="LV322"/>
      <c r="LW322"/>
      <c r="LX322"/>
      <c r="LY322"/>
      <c r="LZ322"/>
      <c r="MA322"/>
      <c r="MB322"/>
      <c r="MC322"/>
      <c r="MD322"/>
      <c r="ME322"/>
      <c r="MF322"/>
      <c r="MG322"/>
      <c r="MH322"/>
      <c r="MI322"/>
      <c r="MJ322"/>
      <c r="MK322"/>
      <c r="ML322"/>
      <c r="MM322"/>
      <c r="MN322"/>
      <c r="MO322"/>
      <c r="MP322"/>
      <c r="MQ322"/>
      <c r="MR322"/>
      <c r="MS322"/>
      <c r="MT322"/>
      <c r="MU322"/>
      <c r="MV322"/>
      <c r="MW322"/>
      <c r="MX322"/>
      <c r="MY322"/>
      <c r="MZ322"/>
      <c r="NA322"/>
      <c r="NB322"/>
      <c r="NC322"/>
      <c r="ND322"/>
      <c r="NE322"/>
      <c r="NF322"/>
      <c r="NG322"/>
      <c r="NH322"/>
      <c r="NI322"/>
      <c r="NJ322"/>
      <c r="NK322"/>
      <c r="NL322"/>
      <c r="NM322"/>
      <c r="NN322"/>
      <c r="NO322"/>
      <c r="NP322"/>
      <c r="NQ322"/>
      <c r="NR322"/>
      <c r="NS322"/>
      <c r="NT322"/>
      <c r="NU322"/>
      <c r="NV322"/>
      <c r="NW322"/>
      <c r="NX322"/>
      <c r="NY322"/>
      <c r="NZ322"/>
      <c r="OA322"/>
      <c r="OB322"/>
      <c r="OC322"/>
      <c r="OD322"/>
      <c r="OE322"/>
      <c r="OF322"/>
      <c r="OG322"/>
      <c r="OH322"/>
      <c r="OI322"/>
      <c r="OJ322"/>
      <c r="OK322"/>
      <c r="OL322"/>
      <c r="OM322"/>
      <c r="ON322"/>
      <c r="OO322"/>
      <c r="OP322"/>
      <c r="OQ322"/>
      <c r="OR322"/>
      <c r="OS322"/>
      <c r="OT322"/>
      <c r="OU322"/>
      <c r="OV322"/>
      <c r="OW322"/>
      <c r="OX322"/>
      <c r="OY322"/>
      <c r="OZ322"/>
      <c r="PA322"/>
      <c r="PB322"/>
      <c r="PC322"/>
      <c r="PD322"/>
      <c r="PE322"/>
      <c r="PF322"/>
      <c r="PG322"/>
      <c r="PH322"/>
      <c r="PI322"/>
      <c r="PJ322"/>
      <c r="PK322"/>
      <c r="PL322"/>
      <c r="PM322"/>
      <c r="PN322"/>
      <c r="PO322"/>
      <c r="PP322"/>
      <c r="PQ322"/>
      <c r="PR322"/>
      <c r="PS322"/>
      <c r="PT322"/>
      <c r="PU322"/>
      <c r="PV322"/>
      <c r="PW322"/>
      <c r="PX322"/>
      <c r="PY322"/>
      <c r="PZ322"/>
      <c r="QA322"/>
      <c r="QB322"/>
      <c r="QC322"/>
      <c r="QD322"/>
      <c r="QE322"/>
      <c r="QF322"/>
      <c r="QG322"/>
      <c r="QH322"/>
      <c r="QI322"/>
      <c r="QJ322"/>
      <c r="QK322"/>
      <c r="QL322"/>
      <c r="QM322"/>
      <c r="QN322"/>
      <c r="QO322"/>
      <c r="QP322"/>
      <c r="QQ322"/>
      <c r="QR322"/>
      <c r="QS322"/>
      <c r="QT322"/>
      <c r="QU322"/>
      <c r="QV322"/>
      <c r="QW322"/>
      <c r="QX322"/>
    </row>
    <row r="323" spans="1:466" x14ac:dyDescent="0.35">
      <c r="A323" s="53"/>
      <c r="B323" s="53"/>
      <c r="C323" s="55"/>
      <c r="D323" s="53"/>
      <c r="E323" s="53"/>
      <c r="F323" s="126" t="s">
        <v>584</v>
      </c>
      <c r="G323" s="125"/>
      <c r="H323" s="125">
        <v>0</v>
      </c>
      <c r="I323" s="133">
        <v>0</v>
      </c>
      <c r="J323" s="53"/>
      <c r="K323" s="53"/>
      <c r="L323" s="53"/>
      <c r="M323" s="53"/>
      <c r="N323" s="53"/>
      <c r="O323" s="53"/>
      <c r="P323" s="53"/>
      <c r="Q323" s="53"/>
      <c r="R323" s="53"/>
      <c r="S323" s="53"/>
      <c r="T323" s="53"/>
      <c r="U323" s="53"/>
      <c r="V323" s="53"/>
      <c r="W323" s="53"/>
      <c r="X323" s="53"/>
      <c r="Y323" s="53"/>
      <c r="Z323" s="53"/>
      <c r="AA323" s="53"/>
      <c r="AB323" s="53"/>
      <c r="AC323" s="53"/>
      <c r="AD323" s="53"/>
      <c r="AE323" s="53"/>
      <c r="AF323" s="63"/>
      <c r="AG323" s="64"/>
      <c r="AH323" s="65"/>
      <c r="AI323" s="65"/>
      <c r="AJ323" s="53"/>
      <c r="AK323" s="62"/>
      <c r="AL323" s="62"/>
      <c r="AM323" s="62"/>
      <c r="AN323" s="62"/>
      <c r="AO323" s="62"/>
      <c r="AP323" s="62"/>
      <c r="AQ323" s="62"/>
      <c r="AR323" s="62"/>
      <c r="AS323" s="62"/>
      <c r="AT323" s="62"/>
      <c r="AU323" s="62"/>
      <c r="AV323" s="62"/>
      <c r="AW323" s="62"/>
      <c r="AX323" s="62"/>
      <c r="AY323" s="62"/>
      <c r="AZ323" s="62"/>
      <c r="BA323" s="62"/>
      <c r="BB323" s="62"/>
      <c r="BC323" s="62"/>
      <c r="BD323" s="62"/>
      <c r="BE323" s="62"/>
      <c r="BF323" s="62"/>
      <c r="BG323" s="62"/>
      <c r="BH323" s="62"/>
      <c r="BI323" s="62"/>
      <c r="BJ323" s="62"/>
      <c r="BK323" s="62"/>
      <c r="BL323" s="62"/>
      <c r="BM323" s="62"/>
      <c r="BN323" s="62"/>
      <c r="BO323" s="62"/>
      <c r="BP323" s="62"/>
      <c r="BQ323" s="62"/>
      <c r="BR323" s="62"/>
      <c r="BS323" s="62"/>
      <c r="BT323" s="62"/>
      <c r="BU323" s="62"/>
      <c r="BV323" s="62"/>
      <c r="BW323" s="62"/>
      <c r="BX323" s="62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  <c r="HB323"/>
      <c r="HC323"/>
      <c r="HD323"/>
      <c r="HE323"/>
      <c r="HF323"/>
      <c r="HG323"/>
      <c r="HH323"/>
      <c r="HI323"/>
      <c r="HJ323"/>
      <c r="HK323"/>
      <c r="HL323"/>
      <c r="HM323"/>
      <c r="HN323"/>
      <c r="HO323"/>
      <c r="HP323"/>
      <c r="HQ323"/>
      <c r="HR323"/>
      <c r="HS323"/>
      <c r="HT323"/>
      <c r="HU323"/>
      <c r="HV323"/>
      <c r="HW323"/>
      <c r="HX323"/>
      <c r="HY323"/>
      <c r="HZ323"/>
      <c r="IA323"/>
      <c r="IB323"/>
      <c r="IC323"/>
      <c r="ID323"/>
      <c r="IE323"/>
      <c r="IF323"/>
      <c r="IG323"/>
      <c r="IH323"/>
      <c r="II323"/>
      <c r="IJ323"/>
      <c r="IK323"/>
      <c r="IL323"/>
      <c r="IM323"/>
      <c r="IN323"/>
      <c r="IO323"/>
      <c r="IP323"/>
      <c r="IQ323"/>
      <c r="IR323"/>
      <c r="IS323"/>
      <c r="IT323"/>
      <c r="IU323"/>
      <c r="IV323"/>
      <c r="IW323"/>
      <c r="IX323"/>
      <c r="IY323"/>
      <c r="IZ323"/>
      <c r="JA323"/>
      <c r="JB323"/>
      <c r="JC323"/>
      <c r="JD323"/>
      <c r="JE323"/>
      <c r="JF323"/>
      <c r="JG323"/>
      <c r="JH323"/>
      <c r="JI323"/>
      <c r="JJ323"/>
      <c r="JK323"/>
      <c r="JL323"/>
      <c r="JM323"/>
      <c r="JN323"/>
      <c r="JO323"/>
      <c r="JP323"/>
      <c r="JQ323"/>
      <c r="JR323"/>
      <c r="JS323"/>
      <c r="JT323"/>
      <c r="JU323"/>
      <c r="JV323"/>
      <c r="JW323"/>
      <c r="JX323"/>
      <c r="JY323"/>
      <c r="JZ323"/>
      <c r="KA323"/>
      <c r="KB323"/>
      <c r="KC323"/>
      <c r="KD323"/>
      <c r="KE323"/>
      <c r="KF323"/>
      <c r="KG323"/>
      <c r="KH323"/>
      <c r="KI323"/>
      <c r="KJ323"/>
      <c r="KK323"/>
      <c r="KL323"/>
      <c r="KM323"/>
      <c r="KN323"/>
      <c r="KO323"/>
      <c r="KP323"/>
      <c r="KQ323"/>
      <c r="KR323"/>
      <c r="KS323"/>
      <c r="KT323"/>
      <c r="KU323"/>
      <c r="KV323"/>
      <c r="KW323"/>
      <c r="KX323"/>
      <c r="KY323"/>
      <c r="KZ323"/>
      <c r="LA323"/>
      <c r="LB323"/>
      <c r="LC323"/>
      <c r="LD323"/>
      <c r="LE323"/>
      <c r="LF323"/>
      <c r="LG323"/>
      <c r="LH323"/>
      <c r="LI323"/>
      <c r="LJ323"/>
      <c r="LK323"/>
      <c r="LL323"/>
      <c r="LM323"/>
      <c r="LN323"/>
      <c r="LO323"/>
      <c r="LP323"/>
      <c r="LQ323"/>
      <c r="LR323"/>
      <c r="LS323"/>
      <c r="LT323"/>
      <c r="LU323"/>
      <c r="LV323"/>
      <c r="LW323"/>
      <c r="LX323"/>
      <c r="LY323"/>
      <c r="LZ323"/>
      <c r="MA323"/>
      <c r="MB323"/>
      <c r="MC323"/>
      <c r="MD323"/>
      <c r="ME323"/>
      <c r="MF323"/>
      <c r="MG323"/>
      <c r="MH323"/>
      <c r="MI323"/>
      <c r="MJ323"/>
      <c r="MK323"/>
      <c r="ML323"/>
      <c r="MM323"/>
      <c r="MN323"/>
      <c r="MO323"/>
      <c r="MP323"/>
      <c r="MQ323"/>
      <c r="MR323"/>
      <c r="MS323"/>
      <c r="MT323"/>
      <c r="MU323"/>
      <c r="MV323"/>
      <c r="MW323"/>
      <c r="MX323"/>
      <c r="MY323"/>
      <c r="MZ323"/>
      <c r="NA323"/>
      <c r="NB323"/>
      <c r="NC323"/>
      <c r="ND323"/>
      <c r="NE323"/>
      <c r="NF323"/>
      <c r="NG323"/>
      <c r="NH323"/>
      <c r="NI323"/>
      <c r="NJ323"/>
      <c r="NK323"/>
      <c r="NL323"/>
      <c r="NM323"/>
      <c r="NN323"/>
      <c r="NO323"/>
      <c r="NP323"/>
      <c r="NQ323"/>
      <c r="NR323"/>
      <c r="NS323"/>
      <c r="NT323"/>
      <c r="NU323"/>
      <c r="NV323"/>
      <c r="NW323"/>
      <c r="NX323"/>
      <c r="NY323"/>
      <c r="NZ323"/>
      <c r="OA323"/>
      <c r="OB323"/>
      <c r="OC323"/>
      <c r="OD323"/>
      <c r="OE323"/>
      <c r="OF323"/>
      <c r="OG323"/>
      <c r="OH323"/>
      <c r="OI323"/>
      <c r="OJ323"/>
      <c r="OK323"/>
      <c r="OL323"/>
      <c r="OM323"/>
      <c r="ON323"/>
      <c r="OO323"/>
      <c r="OP323"/>
      <c r="OQ323"/>
      <c r="OR323"/>
      <c r="OS323"/>
      <c r="OT323"/>
      <c r="OU323"/>
      <c r="OV323"/>
      <c r="OW323"/>
      <c r="OX323"/>
      <c r="OY323"/>
      <c r="OZ323"/>
      <c r="PA323"/>
      <c r="PB323"/>
      <c r="PC323"/>
      <c r="PD323"/>
      <c r="PE323"/>
      <c r="PF323"/>
      <c r="PG323"/>
      <c r="PH323"/>
      <c r="PI323"/>
      <c r="PJ323"/>
      <c r="PK323"/>
      <c r="PL323"/>
      <c r="PM323"/>
      <c r="PN323"/>
      <c r="PO323"/>
      <c r="PP323"/>
      <c r="PQ323"/>
      <c r="PR323"/>
      <c r="PS323"/>
      <c r="PT323"/>
      <c r="PU323"/>
      <c r="PV323"/>
      <c r="PW323"/>
      <c r="PX323"/>
      <c r="PY323"/>
      <c r="PZ323"/>
      <c r="QA323"/>
      <c r="QB323"/>
      <c r="QC323"/>
      <c r="QD323"/>
      <c r="QE323"/>
      <c r="QF323"/>
      <c r="QG323"/>
      <c r="QH323"/>
      <c r="QI323"/>
      <c r="QJ323"/>
      <c r="QK323"/>
      <c r="QL323"/>
      <c r="QM323"/>
      <c r="QN323"/>
      <c r="QO323"/>
      <c r="QP323"/>
      <c r="QQ323"/>
      <c r="QR323"/>
      <c r="QS323"/>
      <c r="QT323"/>
      <c r="QU323"/>
      <c r="QV323"/>
      <c r="QW323"/>
      <c r="QX323"/>
    </row>
    <row r="324" spans="1:466" x14ac:dyDescent="0.35">
      <c r="A324" s="53"/>
      <c r="B324" s="53"/>
      <c r="C324" s="55"/>
      <c r="D324" s="53"/>
      <c r="E324" s="53"/>
      <c r="F324" s="124" t="s">
        <v>549</v>
      </c>
      <c r="G324" s="125">
        <v>3800</v>
      </c>
      <c r="H324" s="125">
        <v>0</v>
      </c>
      <c r="I324" s="133">
        <v>674</v>
      </c>
      <c r="J324" s="53"/>
      <c r="K324" s="53"/>
      <c r="L324" s="53"/>
      <c r="M324" s="53"/>
      <c r="N324" s="53"/>
      <c r="O324" s="53"/>
      <c r="P324" s="53"/>
      <c r="Q324" s="53"/>
      <c r="R324" s="53"/>
      <c r="S324" s="53"/>
      <c r="T324" s="53"/>
      <c r="U324" s="53"/>
      <c r="V324" s="53"/>
      <c r="W324" s="53"/>
      <c r="X324" s="53"/>
      <c r="Y324" s="53"/>
      <c r="Z324" s="53"/>
      <c r="AA324" s="53"/>
      <c r="AB324" s="53"/>
      <c r="AC324" s="53"/>
      <c r="AD324" s="53"/>
      <c r="AE324" s="53"/>
      <c r="AF324" s="63"/>
      <c r="AG324" s="64"/>
      <c r="AH324" s="65"/>
      <c r="AI324" s="65"/>
      <c r="AJ324" s="53"/>
      <c r="AK324" s="62"/>
      <c r="AL324" s="62"/>
      <c r="AM324" s="62"/>
      <c r="AN324" s="62"/>
      <c r="AO324" s="62"/>
      <c r="AP324" s="62"/>
      <c r="AQ324" s="62"/>
      <c r="AR324" s="62"/>
      <c r="AS324" s="62"/>
      <c r="AT324" s="62"/>
      <c r="AU324" s="62"/>
      <c r="AV324" s="62"/>
      <c r="AW324" s="62"/>
      <c r="AX324" s="62"/>
      <c r="AY324" s="62"/>
      <c r="AZ324" s="62"/>
      <c r="BA324" s="62"/>
      <c r="BB324" s="62"/>
      <c r="BC324" s="62"/>
      <c r="BD324" s="62"/>
      <c r="BE324" s="62"/>
      <c r="BF324" s="62"/>
      <c r="BG324" s="62"/>
      <c r="BH324" s="62"/>
      <c r="BI324" s="62"/>
      <c r="BJ324" s="62"/>
      <c r="BK324" s="62"/>
      <c r="BL324" s="62"/>
      <c r="BM324" s="62"/>
      <c r="BN324" s="62"/>
      <c r="BO324" s="62"/>
      <c r="BP324" s="62"/>
      <c r="BQ324" s="62"/>
      <c r="BR324" s="62"/>
      <c r="BS324" s="62"/>
      <c r="BT324" s="62"/>
      <c r="BU324" s="62"/>
      <c r="BV324" s="62"/>
      <c r="BW324" s="62"/>
      <c r="BX324" s="62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  <c r="HB324"/>
      <c r="HC324"/>
      <c r="HD324"/>
      <c r="HE324"/>
      <c r="HF324"/>
      <c r="HG324"/>
      <c r="HH324"/>
      <c r="HI324"/>
      <c r="HJ324"/>
      <c r="HK324"/>
      <c r="HL324"/>
      <c r="HM324"/>
      <c r="HN324"/>
      <c r="HO324"/>
      <c r="HP324"/>
      <c r="HQ324"/>
      <c r="HR324"/>
      <c r="HS324"/>
      <c r="HT324"/>
      <c r="HU324"/>
      <c r="HV324"/>
      <c r="HW324"/>
      <c r="HX324"/>
      <c r="HY324"/>
      <c r="HZ324"/>
      <c r="IA324"/>
      <c r="IB324"/>
      <c r="IC324"/>
      <c r="ID324"/>
      <c r="IE324"/>
      <c r="IF324"/>
      <c r="IG324"/>
      <c r="IH324"/>
      <c r="II324"/>
      <c r="IJ324"/>
      <c r="IK324"/>
      <c r="IL324"/>
      <c r="IM324"/>
      <c r="IN324"/>
      <c r="IO324"/>
      <c r="IP324"/>
      <c r="IQ324"/>
      <c r="IR324"/>
      <c r="IS324"/>
      <c r="IT324"/>
      <c r="IU324"/>
      <c r="IV324"/>
      <c r="IW324"/>
      <c r="IX324"/>
      <c r="IY324"/>
      <c r="IZ324"/>
      <c r="JA324"/>
      <c r="JB324"/>
      <c r="JC324"/>
      <c r="JD324"/>
      <c r="JE324"/>
      <c r="JF324"/>
      <c r="JG324"/>
      <c r="JH324"/>
      <c r="JI324"/>
      <c r="JJ324"/>
      <c r="JK324"/>
      <c r="JL324"/>
      <c r="JM324"/>
      <c r="JN324"/>
      <c r="JO324"/>
      <c r="JP324"/>
      <c r="JQ324"/>
      <c r="JR324"/>
      <c r="JS324"/>
      <c r="JT324"/>
      <c r="JU324"/>
      <c r="JV324"/>
      <c r="JW324"/>
      <c r="JX324"/>
      <c r="JY324"/>
      <c r="JZ324"/>
      <c r="KA324"/>
      <c r="KB324"/>
      <c r="KC324"/>
      <c r="KD324"/>
      <c r="KE324"/>
      <c r="KF324"/>
      <c r="KG324"/>
      <c r="KH324"/>
      <c r="KI324"/>
      <c r="KJ324"/>
      <c r="KK324"/>
      <c r="KL324"/>
      <c r="KM324"/>
      <c r="KN324"/>
      <c r="KO324"/>
      <c r="KP324"/>
      <c r="KQ324"/>
      <c r="KR324"/>
      <c r="KS324"/>
      <c r="KT324"/>
      <c r="KU324"/>
      <c r="KV324"/>
      <c r="KW324"/>
      <c r="KX324"/>
      <c r="KY324"/>
      <c r="KZ324"/>
      <c r="LA324"/>
      <c r="LB324"/>
      <c r="LC324"/>
      <c r="LD324"/>
      <c r="LE324"/>
      <c r="LF324"/>
      <c r="LG324"/>
      <c r="LH324"/>
      <c r="LI324"/>
      <c r="LJ324"/>
      <c r="LK324"/>
      <c r="LL324"/>
      <c r="LM324"/>
      <c r="LN324"/>
      <c r="LO324"/>
      <c r="LP324"/>
      <c r="LQ324"/>
      <c r="LR324"/>
      <c r="LS324"/>
      <c r="LT324"/>
      <c r="LU324"/>
      <c r="LV324"/>
      <c r="LW324"/>
      <c r="LX324"/>
      <c r="LY324"/>
      <c r="LZ324"/>
      <c r="MA324"/>
      <c r="MB324"/>
      <c r="MC324"/>
      <c r="MD324"/>
      <c r="ME324"/>
      <c r="MF324"/>
      <c r="MG324"/>
      <c r="MH324"/>
      <c r="MI324"/>
      <c r="MJ324"/>
      <c r="MK324"/>
      <c r="ML324"/>
      <c r="MM324"/>
      <c r="MN324"/>
      <c r="MO324"/>
      <c r="MP324"/>
      <c r="MQ324"/>
      <c r="MR324"/>
      <c r="MS324"/>
      <c r="MT324"/>
      <c r="MU324"/>
      <c r="MV324"/>
      <c r="MW324"/>
      <c r="MX324"/>
      <c r="MY324"/>
      <c r="MZ324"/>
      <c r="NA324"/>
      <c r="NB324"/>
      <c r="NC324"/>
      <c r="ND324"/>
      <c r="NE324"/>
      <c r="NF324"/>
      <c r="NG324"/>
      <c r="NH324"/>
      <c r="NI324"/>
      <c r="NJ324"/>
      <c r="NK324"/>
      <c r="NL324"/>
      <c r="NM324"/>
      <c r="NN324"/>
      <c r="NO324"/>
      <c r="NP324"/>
      <c r="NQ324"/>
      <c r="NR324"/>
      <c r="NS324"/>
      <c r="NT324"/>
      <c r="NU324"/>
      <c r="NV324"/>
      <c r="NW324"/>
      <c r="NX324"/>
      <c r="NY324"/>
      <c r="NZ324"/>
      <c r="OA324"/>
      <c r="OB324"/>
      <c r="OC324"/>
      <c r="OD324"/>
      <c r="OE324"/>
      <c r="OF324"/>
      <c r="OG324"/>
      <c r="OH324"/>
      <c r="OI324"/>
      <c r="OJ324"/>
      <c r="OK324"/>
      <c r="OL324"/>
      <c r="OM324"/>
      <c r="ON324"/>
      <c r="OO324"/>
      <c r="OP324"/>
      <c r="OQ324"/>
      <c r="OR324"/>
      <c r="OS324"/>
      <c r="OT324"/>
      <c r="OU324"/>
      <c r="OV324"/>
      <c r="OW324"/>
      <c r="OX324"/>
      <c r="OY324"/>
      <c r="OZ324"/>
      <c r="PA324"/>
      <c r="PB324"/>
      <c r="PC324"/>
      <c r="PD324"/>
      <c r="PE324"/>
      <c r="PF324"/>
      <c r="PG324"/>
      <c r="PH324"/>
      <c r="PI324"/>
      <c r="PJ324"/>
      <c r="PK324"/>
      <c r="PL324"/>
      <c r="PM324"/>
      <c r="PN324"/>
      <c r="PO324"/>
      <c r="PP324"/>
      <c r="PQ324"/>
      <c r="PR324"/>
      <c r="PS324"/>
      <c r="PT324"/>
      <c r="PU324"/>
      <c r="PV324"/>
      <c r="PW324"/>
      <c r="PX324"/>
      <c r="PY324"/>
      <c r="PZ324"/>
      <c r="QA324"/>
      <c r="QB324"/>
      <c r="QC324"/>
      <c r="QD324"/>
      <c r="QE324"/>
      <c r="QF324"/>
      <c r="QG324"/>
      <c r="QH324"/>
      <c r="QI324"/>
      <c r="QJ324"/>
      <c r="QK324"/>
      <c r="QL324"/>
      <c r="QM324"/>
      <c r="QN324"/>
      <c r="QO324"/>
      <c r="QP324"/>
      <c r="QQ324"/>
      <c r="QR324"/>
      <c r="QS324"/>
      <c r="QT324"/>
      <c r="QU324"/>
      <c r="QV324"/>
      <c r="QW324"/>
      <c r="QX324"/>
    </row>
    <row r="325" spans="1:466" x14ac:dyDescent="0.35">
      <c r="A325" s="53"/>
      <c r="B325" s="53"/>
      <c r="C325" s="55"/>
      <c r="D325" s="53"/>
      <c r="E325" s="53"/>
      <c r="F325" s="126" t="s">
        <v>1256</v>
      </c>
      <c r="G325" s="125"/>
      <c r="H325" s="125">
        <v>0</v>
      </c>
      <c r="I325" s="133">
        <v>0</v>
      </c>
      <c r="J325" s="53"/>
      <c r="K325" s="53"/>
      <c r="L325" s="53"/>
      <c r="M325" s="53"/>
      <c r="N325" s="53"/>
      <c r="O325" s="53"/>
      <c r="P325" s="53"/>
      <c r="Q325" s="53"/>
      <c r="R325" s="53"/>
      <c r="S325" s="53"/>
      <c r="T325" s="53"/>
      <c r="U325" s="53"/>
      <c r="V325" s="53"/>
      <c r="W325" s="53"/>
      <c r="X325" s="53"/>
      <c r="Y325" s="53"/>
      <c r="Z325" s="53"/>
      <c r="AA325" s="53"/>
      <c r="AB325" s="53"/>
      <c r="AC325" s="53"/>
      <c r="AD325" s="53"/>
      <c r="AE325" s="53"/>
      <c r="AF325" s="63"/>
      <c r="AG325" s="64"/>
      <c r="AH325" s="65"/>
      <c r="AI325" s="65"/>
      <c r="AJ325" s="53"/>
      <c r="AK325" s="62"/>
      <c r="AL325" s="62"/>
      <c r="AM325" s="62"/>
      <c r="AN325" s="62"/>
      <c r="AO325" s="62"/>
      <c r="AP325" s="62"/>
      <c r="AQ325" s="62"/>
      <c r="AR325" s="62"/>
      <c r="AS325" s="62"/>
      <c r="AT325" s="62"/>
      <c r="AU325" s="62"/>
      <c r="AV325" s="62"/>
      <c r="AW325" s="62"/>
      <c r="AX325" s="62"/>
      <c r="AY325" s="62"/>
      <c r="AZ325" s="62"/>
      <c r="BA325" s="62"/>
      <c r="BB325" s="62"/>
      <c r="BC325" s="62"/>
      <c r="BD325" s="62"/>
      <c r="BE325" s="62"/>
      <c r="BF325" s="62"/>
      <c r="BG325" s="62"/>
      <c r="BH325" s="62"/>
      <c r="BI325" s="62"/>
      <c r="BJ325" s="62"/>
      <c r="BK325" s="62"/>
      <c r="BL325" s="62"/>
      <c r="BM325" s="62"/>
      <c r="BN325" s="62"/>
      <c r="BO325" s="62"/>
      <c r="BP325" s="62"/>
      <c r="BQ325" s="62"/>
      <c r="BR325" s="62"/>
      <c r="BS325" s="62"/>
      <c r="BT325" s="62"/>
      <c r="BU325" s="62"/>
      <c r="BV325" s="62"/>
      <c r="BW325" s="62"/>
      <c r="BX325" s="62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  <c r="HB325"/>
      <c r="HC325"/>
      <c r="HD325"/>
      <c r="HE325"/>
      <c r="HF325"/>
      <c r="HG325"/>
      <c r="HH325"/>
      <c r="HI325"/>
      <c r="HJ325"/>
      <c r="HK325"/>
      <c r="HL325"/>
      <c r="HM325"/>
      <c r="HN325"/>
      <c r="HO325"/>
      <c r="HP325"/>
      <c r="HQ325"/>
      <c r="HR325"/>
      <c r="HS325"/>
      <c r="HT325"/>
      <c r="HU325"/>
      <c r="HV325"/>
      <c r="HW325"/>
      <c r="HX325"/>
      <c r="HY325"/>
      <c r="HZ325"/>
      <c r="IA325"/>
      <c r="IB325"/>
      <c r="IC325"/>
      <c r="ID325"/>
      <c r="IE325"/>
      <c r="IF325"/>
      <c r="IG325"/>
      <c r="IH325"/>
      <c r="II325"/>
      <c r="IJ325"/>
      <c r="IK325"/>
      <c r="IL325"/>
      <c r="IM325"/>
      <c r="IN325"/>
      <c r="IO325"/>
      <c r="IP325"/>
      <c r="IQ325"/>
      <c r="IR325"/>
      <c r="IS325"/>
      <c r="IT325"/>
      <c r="IU325"/>
      <c r="IV325"/>
      <c r="IW325"/>
      <c r="IX325"/>
      <c r="IY325"/>
      <c r="IZ325"/>
      <c r="JA325"/>
      <c r="JB325"/>
      <c r="JC325"/>
      <c r="JD325"/>
      <c r="JE325"/>
      <c r="JF325"/>
      <c r="JG325"/>
      <c r="JH325"/>
      <c r="JI325"/>
      <c r="JJ325"/>
      <c r="JK325"/>
      <c r="JL325"/>
      <c r="JM325"/>
      <c r="JN325"/>
      <c r="JO325"/>
      <c r="JP325"/>
      <c r="JQ325"/>
      <c r="JR325"/>
      <c r="JS325"/>
      <c r="JT325"/>
      <c r="JU325"/>
      <c r="JV325"/>
      <c r="JW325"/>
      <c r="JX325"/>
      <c r="JY325"/>
      <c r="JZ325"/>
      <c r="KA325"/>
      <c r="KB325"/>
      <c r="KC325"/>
      <c r="KD325"/>
      <c r="KE325"/>
      <c r="KF325"/>
      <c r="KG325"/>
      <c r="KH325"/>
      <c r="KI325"/>
      <c r="KJ325"/>
      <c r="KK325"/>
      <c r="KL325"/>
      <c r="KM325"/>
      <c r="KN325"/>
      <c r="KO325"/>
      <c r="KP325"/>
      <c r="KQ325"/>
      <c r="KR325"/>
      <c r="KS325"/>
      <c r="KT325"/>
      <c r="KU325"/>
      <c r="KV325"/>
      <c r="KW325"/>
      <c r="KX325"/>
      <c r="KY325"/>
      <c r="KZ325"/>
      <c r="LA325"/>
      <c r="LB325"/>
      <c r="LC325"/>
      <c r="LD325"/>
      <c r="LE325"/>
      <c r="LF325"/>
      <c r="LG325"/>
      <c r="LH325"/>
      <c r="LI325"/>
      <c r="LJ325"/>
      <c r="LK325"/>
      <c r="LL325"/>
      <c r="LM325"/>
      <c r="LN325"/>
      <c r="LO325"/>
      <c r="LP325"/>
      <c r="LQ325"/>
      <c r="LR325"/>
      <c r="LS325"/>
      <c r="LT325"/>
      <c r="LU325"/>
      <c r="LV325"/>
      <c r="LW325"/>
      <c r="LX325"/>
      <c r="LY325"/>
      <c r="LZ325"/>
      <c r="MA325"/>
      <c r="MB325"/>
      <c r="MC325"/>
      <c r="MD325"/>
      <c r="ME325"/>
      <c r="MF325"/>
      <c r="MG325"/>
      <c r="MH325"/>
      <c r="MI325"/>
      <c r="MJ325"/>
      <c r="MK325"/>
      <c r="ML325"/>
      <c r="MM325"/>
      <c r="MN325"/>
      <c r="MO325"/>
      <c r="MP325"/>
      <c r="MQ325"/>
      <c r="MR325"/>
      <c r="MS325"/>
      <c r="MT325"/>
      <c r="MU325"/>
      <c r="MV325"/>
      <c r="MW325"/>
      <c r="MX325"/>
      <c r="MY325"/>
      <c r="MZ325"/>
      <c r="NA325"/>
      <c r="NB325"/>
      <c r="NC325"/>
      <c r="ND325"/>
      <c r="NE325"/>
      <c r="NF325"/>
      <c r="NG325"/>
      <c r="NH325"/>
      <c r="NI325"/>
      <c r="NJ325"/>
      <c r="NK325"/>
      <c r="NL325"/>
      <c r="NM325"/>
      <c r="NN325"/>
      <c r="NO325"/>
      <c r="NP325"/>
      <c r="NQ325"/>
      <c r="NR325"/>
      <c r="NS325"/>
      <c r="NT325"/>
      <c r="NU325"/>
      <c r="NV325"/>
      <c r="NW325"/>
      <c r="NX325"/>
      <c r="NY325"/>
      <c r="NZ325"/>
      <c r="OA325"/>
      <c r="OB325"/>
      <c r="OC325"/>
      <c r="OD325"/>
      <c r="OE325"/>
      <c r="OF325"/>
      <c r="OG325"/>
      <c r="OH325"/>
      <c r="OI325"/>
      <c r="OJ325"/>
      <c r="OK325"/>
      <c r="OL325"/>
      <c r="OM325"/>
      <c r="ON325"/>
      <c r="OO325"/>
      <c r="OP325"/>
      <c r="OQ325"/>
      <c r="OR325"/>
      <c r="OS325"/>
      <c r="OT325"/>
      <c r="OU325"/>
      <c r="OV325"/>
      <c r="OW325"/>
      <c r="OX325"/>
      <c r="OY325"/>
      <c r="OZ325"/>
      <c r="PA325"/>
      <c r="PB325"/>
      <c r="PC325"/>
      <c r="PD325"/>
      <c r="PE325"/>
      <c r="PF325"/>
      <c r="PG325"/>
      <c r="PH325"/>
      <c r="PI325"/>
      <c r="PJ325"/>
      <c r="PK325"/>
      <c r="PL325"/>
      <c r="PM325"/>
      <c r="PN325"/>
      <c r="PO325"/>
      <c r="PP325"/>
      <c r="PQ325"/>
      <c r="PR325"/>
      <c r="PS325"/>
      <c r="PT325"/>
      <c r="PU325"/>
      <c r="PV325"/>
      <c r="PW325"/>
      <c r="PX325"/>
      <c r="PY325"/>
      <c r="PZ325"/>
      <c r="QA325"/>
      <c r="QB325"/>
      <c r="QC325"/>
      <c r="QD325"/>
      <c r="QE325"/>
      <c r="QF325"/>
      <c r="QG325"/>
      <c r="QH325"/>
      <c r="QI325"/>
      <c r="QJ325"/>
      <c r="QK325"/>
      <c r="QL325"/>
      <c r="QM325"/>
      <c r="QN325"/>
      <c r="QO325"/>
      <c r="QP325"/>
      <c r="QQ325"/>
      <c r="QR325"/>
      <c r="QS325"/>
      <c r="QT325"/>
      <c r="QU325"/>
      <c r="QV325"/>
      <c r="QW325"/>
      <c r="QX325"/>
    </row>
    <row r="326" spans="1:466" x14ac:dyDescent="0.35">
      <c r="A326" s="53"/>
      <c r="B326" s="53"/>
      <c r="C326" s="55"/>
      <c r="D326" s="53"/>
      <c r="E326" s="53"/>
      <c r="F326" s="126" t="s">
        <v>1334</v>
      </c>
      <c r="G326" s="125"/>
      <c r="H326" s="125">
        <v>0</v>
      </c>
      <c r="I326" s="133">
        <v>1</v>
      </c>
      <c r="J326" s="53"/>
      <c r="K326" s="53"/>
      <c r="L326" s="53"/>
      <c r="M326" s="53"/>
      <c r="N326" s="53"/>
      <c r="O326" s="53"/>
      <c r="P326" s="53"/>
      <c r="Q326" s="53"/>
      <c r="R326" s="53"/>
      <c r="S326" s="53"/>
      <c r="T326" s="53"/>
      <c r="U326" s="53"/>
      <c r="V326" s="53"/>
      <c r="W326" s="53"/>
      <c r="X326" s="53"/>
      <c r="Y326" s="53"/>
      <c r="Z326" s="53"/>
      <c r="AA326" s="53"/>
      <c r="AB326" s="53"/>
      <c r="AC326" s="53"/>
      <c r="AD326" s="53"/>
      <c r="AE326" s="53"/>
      <c r="AF326" s="63"/>
      <c r="AG326" s="64"/>
      <c r="AH326" s="65"/>
      <c r="AI326" s="65"/>
      <c r="AJ326" s="53"/>
      <c r="AK326" s="62"/>
      <c r="AL326" s="62"/>
      <c r="AM326" s="62"/>
      <c r="AN326" s="62"/>
      <c r="AO326" s="62"/>
      <c r="AP326" s="62"/>
      <c r="AQ326" s="62"/>
      <c r="AR326" s="62"/>
      <c r="AS326" s="62"/>
      <c r="AT326" s="62"/>
      <c r="AU326" s="62"/>
      <c r="AV326" s="62"/>
      <c r="AW326" s="62"/>
      <c r="AX326" s="62"/>
      <c r="AY326" s="62"/>
      <c r="AZ326" s="62"/>
      <c r="BA326" s="62"/>
      <c r="BB326" s="62"/>
      <c r="BC326" s="62"/>
      <c r="BD326" s="62"/>
      <c r="BE326" s="62"/>
      <c r="BF326" s="62"/>
      <c r="BG326" s="62"/>
      <c r="BH326" s="62"/>
      <c r="BI326" s="62"/>
      <c r="BJ326" s="62"/>
      <c r="BK326" s="62"/>
      <c r="BL326" s="62"/>
      <c r="BM326" s="62"/>
      <c r="BN326" s="62"/>
      <c r="BO326" s="62"/>
      <c r="BP326" s="62"/>
      <c r="BQ326" s="62"/>
      <c r="BR326" s="62"/>
      <c r="BS326" s="62"/>
      <c r="BT326" s="62"/>
      <c r="BU326" s="62"/>
      <c r="BV326" s="62"/>
      <c r="BW326" s="62"/>
      <c r="BX326" s="62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  <c r="HB326"/>
      <c r="HC326"/>
      <c r="HD326"/>
      <c r="HE326"/>
      <c r="HF326"/>
      <c r="HG326"/>
      <c r="HH326"/>
      <c r="HI326"/>
      <c r="HJ326"/>
      <c r="HK326"/>
      <c r="HL326"/>
      <c r="HM326"/>
      <c r="HN326"/>
      <c r="HO326"/>
      <c r="HP326"/>
      <c r="HQ326"/>
      <c r="HR326"/>
      <c r="HS326"/>
      <c r="HT326"/>
      <c r="HU326"/>
      <c r="HV326"/>
      <c r="HW326"/>
      <c r="HX326"/>
      <c r="HY326"/>
      <c r="HZ326"/>
      <c r="IA326"/>
      <c r="IB326"/>
      <c r="IC326"/>
      <c r="ID326"/>
      <c r="IE326"/>
      <c r="IF326"/>
      <c r="IG326"/>
      <c r="IH326"/>
      <c r="II326"/>
      <c r="IJ326"/>
      <c r="IK326"/>
      <c r="IL326"/>
      <c r="IM326"/>
      <c r="IN326"/>
      <c r="IO326"/>
      <c r="IP326"/>
      <c r="IQ326"/>
      <c r="IR326"/>
      <c r="IS326"/>
      <c r="IT326"/>
      <c r="IU326"/>
      <c r="IV326"/>
      <c r="IW326"/>
      <c r="IX326"/>
      <c r="IY326"/>
      <c r="IZ326"/>
      <c r="JA326"/>
      <c r="JB326"/>
      <c r="JC326"/>
      <c r="JD326"/>
      <c r="JE326"/>
      <c r="JF326"/>
      <c r="JG326"/>
      <c r="JH326"/>
      <c r="JI326"/>
      <c r="JJ326"/>
      <c r="JK326"/>
      <c r="JL326"/>
      <c r="JM326"/>
      <c r="JN326"/>
      <c r="JO326"/>
      <c r="JP326"/>
      <c r="JQ326"/>
      <c r="JR326"/>
      <c r="JS326"/>
      <c r="JT326"/>
      <c r="JU326"/>
      <c r="JV326"/>
      <c r="JW326"/>
      <c r="JX326"/>
      <c r="JY326"/>
      <c r="JZ326"/>
      <c r="KA326"/>
      <c r="KB326"/>
      <c r="KC326"/>
      <c r="KD326"/>
      <c r="KE326"/>
      <c r="KF326"/>
      <c r="KG326"/>
      <c r="KH326"/>
      <c r="KI326"/>
      <c r="KJ326"/>
      <c r="KK326"/>
      <c r="KL326"/>
      <c r="KM326"/>
      <c r="KN326"/>
      <c r="KO326"/>
      <c r="KP326"/>
      <c r="KQ326"/>
      <c r="KR326"/>
      <c r="KS326"/>
      <c r="KT326"/>
      <c r="KU326"/>
      <c r="KV326"/>
      <c r="KW326"/>
      <c r="KX326"/>
      <c r="KY326"/>
      <c r="KZ326"/>
      <c r="LA326"/>
      <c r="LB326"/>
      <c r="LC326"/>
      <c r="LD326"/>
      <c r="LE326"/>
      <c r="LF326"/>
      <c r="LG326"/>
      <c r="LH326"/>
      <c r="LI326"/>
      <c r="LJ326"/>
      <c r="LK326"/>
      <c r="LL326"/>
      <c r="LM326"/>
      <c r="LN326"/>
      <c r="LO326"/>
      <c r="LP326"/>
      <c r="LQ326"/>
      <c r="LR326"/>
      <c r="LS326"/>
      <c r="LT326"/>
      <c r="LU326"/>
      <c r="LV326"/>
      <c r="LW326"/>
      <c r="LX326"/>
      <c r="LY326"/>
      <c r="LZ326"/>
      <c r="MA326"/>
      <c r="MB326"/>
      <c r="MC326"/>
      <c r="MD326"/>
      <c r="ME326"/>
      <c r="MF326"/>
      <c r="MG326"/>
      <c r="MH326"/>
      <c r="MI326"/>
      <c r="MJ326"/>
      <c r="MK326"/>
      <c r="ML326"/>
      <c r="MM326"/>
      <c r="MN326"/>
      <c r="MO326"/>
      <c r="MP326"/>
      <c r="MQ326"/>
      <c r="MR326"/>
      <c r="MS326"/>
      <c r="MT326"/>
      <c r="MU326"/>
      <c r="MV326"/>
      <c r="MW326"/>
      <c r="MX326"/>
      <c r="MY326"/>
      <c r="MZ326"/>
      <c r="NA326"/>
      <c r="NB326"/>
      <c r="NC326"/>
      <c r="ND326"/>
      <c r="NE326"/>
      <c r="NF326"/>
      <c r="NG326"/>
      <c r="NH326"/>
      <c r="NI326"/>
      <c r="NJ326"/>
      <c r="NK326"/>
      <c r="NL326"/>
      <c r="NM326"/>
      <c r="NN326"/>
      <c r="NO326"/>
      <c r="NP326"/>
      <c r="NQ326"/>
      <c r="NR326"/>
      <c r="NS326"/>
      <c r="NT326"/>
      <c r="NU326"/>
      <c r="NV326"/>
      <c r="NW326"/>
      <c r="NX326"/>
      <c r="NY326"/>
      <c r="NZ326"/>
      <c r="OA326"/>
      <c r="OB326"/>
      <c r="OC326"/>
      <c r="OD326"/>
      <c r="OE326"/>
      <c r="OF326"/>
      <c r="OG326"/>
      <c r="OH326"/>
      <c r="OI326"/>
      <c r="OJ326"/>
      <c r="OK326"/>
      <c r="OL326"/>
      <c r="OM326"/>
      <c r="ON326"/>
      <c r="OO326"/>
      <c r="OP326"/>
      <c r="OQ326"/>
      <c r="OR326"/>
      <c r="OS326"/>
      <c r="OT326"/>
      <c r="OU326"/>
      <c r="OV326"/>
      <c r="OW326"/>
      <c r="OX326"/>
      <c r="OY326"/>
      <c r="OZ326"/>
      <c r="PA326"/>
      <c r="PB326"/>
      <c r="PC326"/>
      <c r="PD326"/>
      <c r="PE326"/>
      <c r="PF326"/>
      <c r="PG326"/>
      <c r="PH326"/>
      <c r="PI326"/>
      <c r="PJ326"/>
      <c r="PK326"/>
      <c r="PL326"/>
      <c r="PM326"/>
      <c r="PN326"/>
      <c r="PO326"/>
      <c r="PP326"/>
      <c r="PQ326"/>
      <c r="PR326"/>
      <c r="PS326"/>
      <c r="PT326"/>
      <c r="PU326"/>
      <c r="PV326"/>
      <c r="PW326"/>
      <c r="PX326"/>
      <c r="PY326"/>
      <c r="PZ326"/>
      <c r="QA326"/>
      <c r="QB326"/>
      <c r="QC326"/>
      <c r="QD326"/>
      <c r="QE326"/>
      <c r="QF326"/>
      <c r="QG326"/>
      <c r="QH326"/>
      <c r="QI326"/>
      <c r="QJ326"/>
      <c r="QK326"/>
      <c r="QL326"/>
      <c r="QM326"/>
      <c r="QN326"/>
      <c r="QO326"/>
      <c r="QP326"/>
      <c r="QQ326"/>
      <c r="QR326"/>
      <c r="QS326"/>
      <c r="QT326"/>
      <c r="QU326"/>
      <c r="QV326"/>
      <c r="QW326"/>
      <c r="QX326"/>
    </row>
    <row r="327" spans="1:466" x14ac:dyDescent="0.35">
      <c r="A327" s="53"/>
      <c r="B327" s="53"/>
      <c r="C327" s="55"/>
      <c r="D327" s="53"/>
      <c r="E327" s="53"/>
      <c r="F327" s="126" t="s">
        <v>1363</v>
      </c>
      <c r="G327" s="125">
        <v>3800</v>
      </c>
      <c r="H327" s="125">
        <v>0</v>
      </c>
      <c r="I327" s="133">
        <v>0</v>
      </c>
      <c r="J327" s="53"/>
      <c r="K327" s="53"/>
      <c r="L327" s="53"/>
      <c r="M327" s="53"/>
      <c r="N327" s="53"/>
      <c r="O327" s="53"/>
      <c r="P327" s="53"/>
      <c r="Q327" s="53"/>
      <c r="R327" s="53"/>
      <c r="S327" s="53"/>
      <c r="T327" s="53"/>
      <c r="U327" s="53"/>
      <c r="V327" s="53"/>
      <c r="W327" s="53"/>
      <c r="X327" s="53"/>
      <c r="Y327" s="53"/>
      <c r="Z327" s="53"/>
      <c r="AA327" s="53"/>
      <c r="AB327" s="53"/>
      <c r="AC327" s="53"/>
      <c r="AD327" s="53"/>
      <c r="AE327" s="53"/>
      <c r="AF327" s="63"/>
      <c r="AG327" s="64"/>
      <c r="AH327" s="65"/>
      <c r="AI327" s="65"/>
      <c r="AJ327" s="53"/>
      <c r="AK327" s="62"/>
      <c r="AL327" s="62"/>
      <c r="AM327" s="62"/>
      <c r="AN327" s="62"/>
      <c r="AO327" s="62"/>
      <c r="AP327" s="62"/>
      <c r="AQ327" s="62"/>
      <c r="AR327" s="62"/>
      <c r="AS327" s="62"/>
      <c r="AT327" s="62"/>
      <c r="AU327" s="62"/>
      <c r="AV327" s="62"/>
      <c r="AW327" s="62"/>
      <c r="AX327" s="62"/>
      <c r="AY327" s="62"/>
      <c r="AZ327" s="62"/>
      <c r="BA327" s="62"/>
      <c r="BB327" s="62"/>
      <c r="BC327" s="62"/>
      <c r="BD327" s="62"/>
      <c r="BE327" s="62"/>
      <c r="BF327" s="62"/>
      <c r="BG327" s="62"/>
      <c r="BH327" s="62"/>
      <c r="BI327" s="62"/>
      <c r="BJ327" s="62"/>
      <c r="BK327" s="62"/>
      <c r="BL327" s="62"/>
      <c r="BM327" s="62"/>
      <c r="BN327" s="62"/>
      <c r="BO327" s="62"/>
      <c r="BP327" s="62"/>
      <c r="BQ327" s="62"/>
      <c r="BR327" s="62"/>
      <c r="BS327" s="62"/>
      <c r="BT327" s="62"/>
      <c r="BU327" s="62"/>
      <c r="BV327" s="62"/>
      <c r="BW327" s="62"/>
      <c r="BX327" s="62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  <c r="HB327"/>
      <c r="HC327"/>
      <c r="HD327"/>
      <c r="HE327"/>
      <c r="HF327"/>
      <c r="HG327"/>
      <c r="HH327"/>
      <c r="HI327"/>
      <c r="HJ327"/>
      <c r="HK327"/>
      <c r="HL327"/>
      <c r="HM327"/>
      <c r="HN327"/>
      <c r="HO327"/>
      <c r="HP327"/>
      <c r="HQ327"/>
      <c r="HR327"/>
      <c r="HS327"/>
      <c r="HT327"/>
      <c r="HU327"/>
      <c r="HV327"/>
      <c r="HW327"/>
      <c r="HX327"/>
      <c r="HY327"/>
      <c r="HZ327"/>
      <c r="IA327"/>
      <c r="IB327"/>
      <c r="IC327"/>
      <c r="ID327"/>
      <c r="IE327"/>
      <c r="IF327"/>
      <c r="IG327"/>
      <c r="IH327"/>
      <c r="II327"/>
      <c r="IJ327"/>
      <c r="IK327"/>
      <c r="IL327"/>
      <c r="IM327"/>
      <c r="IN327"/>
      <c r="IO327"/>
      <c r="IP327"/>
      <c r="IQ327"/>
      <c r="IR327"/>
      <c r="IS327"/>
      <c r="IT327"/>
      <c r="IU327"/>
      <c r="IV327"/>
      <c r="IW327"/>
      <c r="IX327"/>
      <c r="IY327"/>
      <c r="IZ327"/>
      <c r="JA327"/>
      <c r="JB327"/>
      <c r="JC327"/>
      <c r="JD327"/>
      <c r="JE327"/>
      <c r="JF327"/>
      <c r="JG327"/>
      <c r="JH327"/>
      <c r="JI327"/>
      <c r="JJ327"/>
      <c r="JK327"/>
      <c r="JL327"/>
      <c r="JM327"/>
      <c r="JN327"/>
      <c r="JO327"/>
      <c r="JP327"/>
      <c r="JQ327"/>
      <c r="JR327"/>
      <c r="JS327"/>
      <c r="JT327"/>
      <c r="JU327"/>
      <c r="JV327"/>
      <c r="JW327"/>
      <c r="JX327"/>
      <c r="JY327"/>
      <c r="JZ327"/>
      <c r="KA327"/>
      <c r="KB327"/>
      <c r="KC327"/>
      <c r="KD327"/>
      <c r="KE327"/>
      <c r="KF327"/>
      <c r="KG327"/>
      <c r="KH327"/>
      <c r="KI327"/>
      <c r="KJ327"/>
      <c r="KK327"/>
      <c r="KL327"/>
      <c r="KM327"/>
      <c r="KN327"/>
      <c r="KO327"/>
      <c r="KP327"/>
      <c r="KQ327"/>
      <c r="KR327"/>
      <c r="KS327"/>
      <c r="KT327"/>
      <c r="KU327"/>
      <c r="KV327"/>
      <c r="KW327"/>
      <c r="KX327"/>
      <c r="KY327"/>
      <c r="KZ327"/>
      <c r="LA327"/>
      <c r="LB327"/>
      <c r="LC327"/>
      <c r="LD327"/>
      <c r="LE327"/>
      <c r="LF327"/>
      <c r="LG327"/>
      <c r="LH327"/>
      <c r="LI327"/>
      <c r="LJ327"/>
      <c r="LK327"/>
      <c r="LL327"/>
      <c r="LM327"/>
      <c r="LN327"/>
      <c r="LO327"/>
      <c r="LP327"/>
      <c r="LQ327"/>
      <c r="LR327"/>
      <c r="LS327"/>
      <c r="LT327"/>
      <c r="LU327"/>
      <c r="LV327"/>
      <c r="LW327"/>
      <c r="LX327"/>
      <c r="LY327"/>
      <c r="LZ327"/>
      <c r="MA327"/>
      <c r="MB327"/>
      <c r="MC327"/>
      <c r="MD327"/>
      <c r="ME327"/>
      <c r="MF327"/>
      <c r="MG327"/>
      <c r="MH327"/>
      <c r="MI327"/>
      <c r="MJ327"/>
      <c r="MK327"/>
      <c r="ML327"/>
      <c r="MM327"/>
      <c r="MN327"/>
      <c r="MO327"/>
      <c r="MP327"/>
      <c r="MQ327"/>
      <c r="MR327"/>
      <c r="MS327"/>
      <c r="MT327"/>
      <c r="MU327"/>
      <c r="MV327"/>
      <c r="MW327"/>
      <c r="MX327"/>
      <c r="MY327"/>
      <c r="MZ327"/>
      <c r="NA327"/>
      <c r="NB327"/>
      <c r="NC327"/>
      <c r="ND327"/>
      <c r="NE327"/>
      <c r="NF327"/>
      <c r="NG327"/>
      <c r="NH327"/>
      <c r="NI327"/>
      <c r="NJ327"/>
      <c r="NK327"/>
      <c r="NL327"/>
      <c r="NM327"/>
      <c r="NN327"/>
      <c r="NO327"/>
      <c r="NP327"/>
      <c r="NQ327"/>
      <c r="NR327"/>
      <c r="NS327"/>
      <c r="NT327"/>
      <c r="NU327"/>
      <c r="NV327"/>
      <c r="NW327"/>
      <c r="NX327"/>
      <c r="NY327"/>
      <c r="NZ327"/>
      <c r="OA327"/>
      <c r="OB327"/>
      <c r="OC327"/>
      <c r="OD327"/>
      <c r="OE327"/>
      <c r="OF327"/>
      <c r="OG327"/>
      <c r="OH327"/>
      <c r="OI327"/>
      <c r="OJ327"/>
      <c r="OK327"/>
      <c r="OL327"/>
      <c r="OM327"/>
      <c r="ON327"/>
      <c r="OO327"/>
      <c r="OP327"/>
      <c r="OQ327"/>
      <c r="OR327"/>
      <c r="OS327"/>
      <c r="OT327"/>
      <c r="OU327"/>
      <c r="OV327"/>
      <c r="OW327"/>
      <c r="OX327"/>
      <c r="OY327"/>
      <c r="OZ327"/>
      <c r="PA327"/>
      <c r="PB327"/>
      <c r="PC327"/>
      <c r="PD327"/>
      <c r="PE327"/>
      <c r="PF327"/>
      <c r="PG327"/>
      <c r="PH327"/>
      <c r="PI327"/>
      <c r="PJ327"/>
      <c r="PK327"/>
      <c r="PL327"/>
      <c r="PM327"/>
      <c r="PN327"/>
      <c r="PO327"/>
      <c r="PP327"/>
      <c r="PQ327"/>
      <c r="PR327"/>
      <c r="PS327"/>
      <c r="PT327"/>
      <c r="PU327"/>
      <c r="PV327"/>
      <c r="PW327"/>
      <c r="PX327"/>
      <c r="PY327"/>
      <c r="PZ327"/>
      <c r="QA327"/>
      <c r="QB327"/>
      <c r="QC327"/>
      <c r="QD327"/>
      <c r="QE327"/>
      <c r="QF327"/>
      <c r="QG327"/>
      <c r="QH327"/>
      <c r="QI327"/>
      <c r="QJ327"/>
      <c r="QK327"/>
      <c r="QL327"/>
      <c r="QM327"/>
      <c r="QN327"/>
      <c r="QO327"/>
      <c r="QP327"/>
      <c r="QQ327"/>
      <c r="QR327"/>
      <c r="QS327"/>
      <c r="QT327"/>
      <c r="QU327"/>
      <c r="QV327"/>
      <c r="QW327"/>
      <c r="QX327"/>
    </row>
    <row r="328" spans="1:466" x14ac:dyDescent="0.35">
      <c r="A328" s="53"/>
      <c r="B328" s="53"/>
      <c r="C328" s="55"/>
      <c r="D328" s="53"/>
      <c r="E328" s="53"/>
      <c r="F328" s="126" t="s">
        <v>1230</v>
      </c>
      <c r="G328" s="125"/>
      <c r="H328" s="125">
        <v>0</v>
      </c>
      <c r="I328" s="133">
        <v>4</v>
      </c>
      <c r="J328" s="53"/>
      <c r="K328" s="53"/>
      <c r="L328" s="53"/>
      <c r="M328" s="53"/>
      <c r="N328" s="53"/>
      <c r="O328" s="53"/>
      <c r="P328" s="53"/>
      <c r="Q328" s="53"/>
      <c r="R328" s="53"/>
      <c r="S328" s="53"/>
      <c r="T328" s="53"/>
      <c r="U328" s="53"/>
      <c r="V328" s="53"/>
      <c r="W328" s="53"/>
      <c r="X328" s="53"/>
      <c r="Y328" s="53"/>
      <c r="Z328" s="53"/>
      <c r="AA328" s="53"/>
      <c r="AB328" s="53"/>
      <c r="AC328" s="53"/>
      <c r="AD328" s="53"/>
      <c r="AE328" s="53"/>
      <c r="AF328" s="63"/>
      <c r="AG328" s="64"/>
      <c r="AH328" s="65"/>
      <c r="AI328" s="65"/>
      <c r="AJ328" s="53"/>
      <c r="AK328" s="62"/>
      <c r="AL328" s="62"/>
      <c r="AM328" s="62"/>
      <c r="AN328" s="62"/>
      <c r="AO328" s="62"/>
      <c r="AP328" s="62"/>
      <c r="AQ328" s="62"/>
      <c r="AR328" s="62"/>
      <c r="AS328" s="62"/>
      <c r="AT328" s="62"/>
      <c r="AU328" s="62"/>
      <c r="AV328" s="62"/>
      <c r="AW328" s="62"/>
      <c r="AX328" s="62"/>
      <c r="AY328" s="62"/>
      <c r="AZ328" s="62"/>
      <c r="BA328" s="62"/>
      <c r="BB328" s="62"/>
      <c r="BC328" s="62"/>
      <c r="BD328" s="62"/>
      <c r="BE328" s="62"/>
      <c r="BF328" s="62"/>
      <c r="BG328" s="62"/>
      <c r="BH328" s="62"/>
      <c r="BI328" s="62"/>
      <c r="BJ328" s="62"/>
      <c r="BK328" s="62"/>
      <c r="BL328" s="62"/>
      <c r="BM328" s="62"/>
      <c r="BN328" s="62"/>
      <c r="BO328" s="62"/>
      <c r="BP328" s="62"/>
      <c r="BQ328" s="62"/>
      <c r="BR328" s="62"/>
      <c r="BS328" s="62"/>
      <c r="BT328" s="62"/>
      <c r="BU328" s="62"/>
      <c r="BV328" s="62"/>
      <c r="BW328" s="62"/>
      <c r="BX328" s="62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  <c r="HB328"/>
      <c r="HC328"/>
      <c r="HD328"/>
      <c r="HE328"/>
      <c r="HF328"/>
      <c r="HG328"/>
      <c r="HH328"/>
      <c r="HI328"/>
      <c r="HJ328"/>
      <c r="HK328"/>
      <c r="HL328"/>
      <c r="HM328"/>
      <c r="HN328"/>
      <c r="HO328"/>
      <c r="HP328"/>
      <c r="HQ328"/>
      <c r="HR328"/>
      <c r="HS328"/>
      <c r="HT328"/>
      <c r="HU328"/>
      <c r="HV328"/>
      <c r="HW328"/>
      <c r="HX328"/>
      <c r="HY328"/>
      <c r="HZ328"/>
      <c r="IA328"/>
      <c r="IB328"/>
      <c r="IC328"/>
      <c r="ID328"/>
      <c r="IE328"/>
      <c r="IF328"/>
      <c r="IG328"/>
      <c r="IH328"/>
      <c r="II328"/>
      <c r="IJ328"/>
      <c r="IK328"/>
      <c r="IL328"/>
      <c r="IM328"/>
      <c r="IN328"/>
      <c r="IO328"/>
      <c r="IP328"/>
      <c r="IQ328"/>
      <c r="IR328"/>
      <c r="IS328"/>
      <c r="IT328"/>
      <c r="IU328"/>
      <c r="IV328"/>
      <c r="IW328"/>
      <c r="IX328"/>
      <c r="IY328"/>
      <c r="IZ328"/>
      <c r="JA328"/>
      <c r="JB328"/>
      <c r="JC328"/>
      <c r="JD328"/>
      <c r="JE328"/>
      <c r="JF328"/>
      <c r="JG328"/>
      <c r="JH328"/>
      <c r="JI328"/>
      <c r="JJ328"/>
      <c r="JK328"/>
      <c r="JL328"/>
      <c r="JM328"/>
      <c r="JN328"/>
      <c r="JO328"/>
      <c r="JP328"/>
      <c r="JQ328"/>
      <c r="JR328"/>
      <c r="JS328"/>
      <c r="JT328"/>
      <c r="JU328"/>
      <c r="JV328"/>
      <c r="JW328"/>
      <c r="JX328"/>
      <c r="JY328"/>
      <c r="JZ328"/>
      <c r="KA328"/>
      <c r="KB328"/>
      <c r="KC328"/>
      <c r="KD328"/>
      <c r="KE328"/>
      <c r="KF328"/>
      <c r="KG328"/>
      <c r="KH328"/>
      <c r="KI328"/>
      <c r="KJ328"/>
      <c r="KK328"/>
      <c r="KL328"/>
      <c r="KM328"/>
      <c r="KN328"/>
      <c r="KO328"/>
      <c r="KP328"/>
      <c r="KQ328"/>
      <c r="KR328"/>
      <c r="KS328"/>
      <c r="KT328"/>
      <c r="KU328"/>
      <c r="KV328"/>
      <c r="KW328"/>
      <c r="KX328"/>
      <c r="KY328"/>
      <c r="KZ328"/>
      <c r="LA328"/>
      <c r="LB328"/>
      <c r="LC328"/>
      <c r="LD328"/>
      <c r="LE328"/>
      <c r="LF328"/>
      <c r="LG328"/>
      <c r="LH328"/>
      <c r="LI328"/>
      <c r="LJ328"/>
      <c r="LK328"/>
      <c r="LL328"/>
      <c r="LM328"/>
      <c r="LN328"/>
      <c r="LO328"/>
      <c r="LP328"/>
      <c r="LQ328"/>
      <c r="LR328"/>
      <c r="LS328"/>
      <c r="LT328"/>
      <c r="LU328"/>
      <c r="LV328"/>
      <c r="LW328"/>
      <c r="LX328"/>
      <c r="LY328"/>
      <c r="LZ328"/>
      <c r="MA328"/>
      <c r="MB328"/>
      <c r="MC328"/>
      <c r="MD328"/>
      <c r="ME328"/>
      <c r="MF328"/>
      <c r="MG328"/>
      <c r="MH328"/>
      <c r="MI328"/>
      <c r="MJ328"/>
      <c r="MK328"/>
      <c r="ML328"/>
      <c r="MM328"/>
      <c r="MN328"/>
      <c r="MO328"/>
      <c r="MP328"/>
      <c r="MQ328"/>
      <c r="MR328"/>
      <c r="MS328"/>
      <c r="MT328"/>
      <c r="MU328"/>
      <c r="MV328"/>
      <c r="MW328"/>
      <c r="MX328"/>
      <c r="MY328"/>
      <c r="MZ328"/>
      <c r="NA328"/>
      <c r="NB328"/>
      <c r="NC328"/>
      <c r="ND328"/>
      <c r="NE328"/>
      <c r="NF328"/>
      <c r="NG328"/>
      <c r="NH328"/>
      <c r="NI328"/>
      <c r="NJ328"/>
      <c r="NK328"/>
      <c r="NL328"/>
      <c r="NM328"/>
      <c r="NN328"/>
      <c r="NO328"/>
      <c r="NP328"/>
      <c r="NQ328"/>
      <c r="NR328"/>
      <c r="NS328"/>
      <c r="NT328"/>
      <c r="NU328"/>
      <c r="NV328"/>
      <c r="NW328"/>
      <c r="NX328"/>
      <c r="NY328"/>
      <c r="NZ328"/>
      <c r="OA328"/>
      <c r="OB328"/>
      <c r="OC328"/>
      <c r="OD328"/>
      <c r="OE328"/>
      <c r="OF328"/>
      <c r="OG328"/>
      <c r="OH328"/>
      <c r="OI328"/>
      <c r="OJ328"/>
      <c r="OK328"/>
      <c r="OL328"/>
      <c r="OM328"/>
      <c r="ON328"/>
      <c r="OO328"/>
      <c r="OP328"/>
      <c r="OQ328"/>
      <c r="OR328"/>
      <c r="OS328"/>
      <c r="OT328"/>
      <c r="OU328"/>
      <c r="OV328"/>
      <c r="OW328"/>
      <c r="OX328"/>
      <c r="OY328"/>
      <c r="OZ328"/>
      <c r="PA328"/>
      <c r="PB328"/>
      <c r="PC328"/>
      <c r="PD328"/>
      <c r="PE328"/>
      <c r="PF328"/>
      <c r="PG328"/>
      <c r="PH328"/>
      <c r="PI328"/>
      <c r="PJ328"/>
      <c r="PK328"/>
      <c r="PL328"/>
      <c r="PM328"/>
      <c r="PN328"/>
      <c r="PO328"/>
      <c r="PP328"/>
      <c r="PQ328"/>
      <c r="PR328"/>
      <c r="PS328"/>
      <c r="PT328"/>
      <c r="PU328"/>
      <c r="PV328"/>
      <c r="PW328"/>
      <c r="PX328"/>
      <c r="PY328"/>
      <c r="PZ328"/>
      <c r="QA328"/>
      <c r="QB328"/>
      <c r="QC328"/>
      <c r="QD328"/>
      <c r="QE328"/>
      <c r="QF328"/>
      <c r="QG328"/>
      <c r="QH328"/>
      <c r="QI328"/>
      <c r="QJ328"/>
      <c r="QK328"/>
      <c r="QL328"/>
      <c r="QM328"/>
      <c r="QN328"/>
      <c r="QO328"/>
      <c r="QP328"/>
      <c r="QQ328"/>
      <c r="QR328"/>
      <c r="QS328"/>
      <c r="QT328"/>
      <c r="QU328"/>
      <c r="QV328"/>
      <c r="QW328"/>
      <c r="QX328"/>
    </row>
    <row r="329" spans="1:466" x14ac:dyDescent="0.35">
      <c r="A329" s="53"/>
      <c r="B329" s="53"/>
      <c r="C329" s="55"/>
      <c r="D329" s="53"/>
      <c r="E329" s="53"/>
      <c r="F329" s="126" t="s">
        <v>1335</v>
      </c>
      <c r="G329" s="125"/>
      <c r="H329" s="125">
        <v>0</v>
      </c>
      <c r="I329" s="133">
        <v>1</v>
      </c>
      <c r="J329" s="53"/>
      <c r="K329" s="53"/>
      <c r="L329" s="53"/>
      <c r="M329" s="53"/>
      <c r="N329" s="53"/>
      <c r="O329" s="53"/>
      <c r="P329" s="53"/>
      <c r="Q329" s="53"/>
      <c r="R329" s="53"/>
      <c r="S329" s="53"/>
      <c r="T329" s="53"/>
      <c r="U329" s="53"/>
      <c r="V329" s="53"/>
      <c r="W329" s="53"/>
      <c r="X329" s="53"/>
      <c r="Y329" s="53"/>
      <c r="Z329" s="53"/>
      <c r="AA329" s="53"/>
      <c r="AB329" s="53"/>
      <c r="AC329" s="53"/>
      <c r="AD329" s="53"/>
      <c r="AE329" s="53"/>
      <c r="AF329" s="63"/>
      <c r="AG329" s="64"/>
      <c r="AH329" s="65"/>
      <c r="AI329" s="65"/>
      <c r="AJ329" s="53"/>
      <c r="AK329" s="62"/>
      <c r="AL329" s="62"/>
      <c r="AM329" s="62"/>
      <c r="AN329" s="62"/>
      <c r="AO329" s="62"/>
      <c r="AP329" s="62"/>
      <c r="AQ329" s="62"/>
      <c r="AR329" s="62"/>
      <c r="AS329" s="62"/>
      <c r="AT329" s="62"/>
      <c r="AU329" s="62"/>
      <c r="AV329" s="62"/>
      <c r="AW329" s="62"/>
      <c r="AX329" s="62"/>
      <c r="AY329" s="62"/>
      <c r="AZ329" s="62"/>
      <c r="BA329" s="62"/>
      <c r="BB329" s="62"/>
      <c r="BC329" s="62"/>
      <c r="BD329" s="62"/>
      <c r="BE329" s="62"/>
      <c r="BF329" s="62"/>
      <c r="BG329" s="62"/>
      <c r="BH329" s="62"/>
      <c r="BI329" s="62"/>
      <c r="BJ329" s="62"/>
      <c r="BK329" s="62"/>
      <c r="BL329" s="62"/>
      <c r="BM329" s="62"/>
      <c r="BN329" s="62"/>
      <c r="BO329" s="62"/>
      <c r="BP329" s="62"/>
      <c r="BQ329" s="62"/>
      <c r="BR329" s="62"/>
      <c r="BS329" s="62"/>
      <c r="BT329" s="62"/>
      <c r="BU329" s="62"/>
      <c r="BV329" s="62"/>
      <c r="BW329" s="62"/>
      <c r="BX329" s="62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  <c r="HB329"/>
      <c r="HC329"/>
      <c r="HD329"/>
      <c r="HE329"/>
      <c r="HF329"/>
      <c r="HG329"/>
      <c r="HH329"/>
      <c r="HI329"/>
      <c r="HJ329"/>
      <c r="HK329"/>
      <c r="HL329"/>
      <c r="HM329"/>
      <c r="HN329"/>
      <c r="HO329"/>
      <c r="HP329"/>
      <c r="HQ329"/>
      <c r="HR329"/>
      <c r="HS329"/>
      <c r="HT329"/>
      <c r="HU329"/>
      <c r="HV329"/>
      <c r="HW329"/>
      <c r="HX329"/>
      <c r="HY329"/>
      <c r="HZ329"/>
      <c r="IA329"/>
      <c r="IB329"/>
      <c r="IC329"/>
      <c r="ID329"/>
      <c r="IE329"/>
      <c r="IF329"/>
      <c r="IG329"/>
      <c r="IH329"/>
      <c r="II329"/>
      <c r="IJ329"/>
      <c r="IK329"/>
      <c r="IL329"/>
      <c r="IM329"/>
      <c r="IN329"/>
      <c r="IO329"/>
      <c r="IP329"/>
      <c r="IQ329"/>
      <c r="IR329"/>
      <c r="IS329"/>
      <c r="IT329"/>
      <c r="IU329"/>
      <c r="IV329"/>
      <c r="IW329"/>
      <c r="IX329"/>
      <c r="IY329"/>
      <c r="IZ329"/>
      <c r="JA329"/>
      <c r="JB329"/>
      <c r="JC329"/>
      <c r="JD329"/>
      <c r="JE329"/>
      <c r="JF329"/>
      <c r="JG329"/>
      <c r="JH329"/>
      <c r="JI329"/>
      <c r="JJ329"/>
      <c r="JK329"/>
      <c r="JL329"/>
      <c r="JM329"/>
      <c r="JN329"/>
      <c r="JO329"/>
      <c r="JP329"/>
      <c r="JQ329"/>
      <c r="JR329"/>
      <c r="JS329"/>
      <c r="JT329"/>
      <c r="JU329"/>
      <c r="JV329"/>
      <c r="JW329"/>
      <c r="JX329"/>
      <c r="JY329"/>
      <c r="JZ329"/>
      <c r="KA329"/>
      <c r="KB329"/>
      <c r="KC329"/>
      <c r="KD329"/>
      <c r="KE329"/>
      <c r="KF329"/>
      <c r="KG329"/>
      <c r="KH329"/>
      <c r="KI329"/>
      <c r="KJ329"/>
      <c r="KK329"/>
      <c r="KL329"/>
      <c r="KM329"/>
      <c r="KN329"/>
      <c r="KO329"/>
      <c r="KP329"/>
      <c r="KQ329"/>
      <c r="KR329"/>
      <c r="KS329"/>
      <c r="KT329"/>
      <c r="KU329"/>
      <c r="KV329"/>
      <c r="KW329"/>
      <c r="KX329"/>
      <c r="KY329"/>
      <c r="KZ329"/>
      <c r="LA329"/>
      <c r="LB329"/>
      <c r="LC329"/>
      <c r="LD329"/>
      <c r="LE329"/>
      <c r="LF329"/>
      <c r="LG329"/>
      <c r="LH329"/>
      <c r="LI329"/>
      <c r="LJ329"/>
      <c r="LK329"/>
      <c r="LL329"/>
      <c r="LM329"/>
      <c r="LN329"/>
      <c r="LO329"/>
      <c r="LP329"/>
      <c r="LQ329"/>
      <c r="LR329"/>
      <c r="LS329"/>
      <c r="LT329"/>
      <c r="LU329"/>
      <c r="LV329"/>
      <c r="LW329"/>
      <c r="LX329"/>
      <c r="LY329"/>
      <c r="LZ329"/>
      <c r="MA329"/>
      <c r="MB329"/>
      <c r="MC329"/>
      <c r="MD329"/>
      <c r="ME329"/>
      <c r="MF329"/>
      <c r="MG329"/>
      <c r="MH329"/>
      <c r="MI329"/>
      <c r="MJ329"/>
      <c r="MK329"/>
      <c r="ML329"/>
      <c r="MM329"/>
      <c r="MN329"/>
      <c r="MO329"/>
      <c r="MP329"/>
      <c r="MQ329"/>
      <c r="MR329"/>
      <c r="MS329"/>
      <c r="MT329"/>
      <c r="MU329"/>
      <c r="MV329"/>
      <c r="MW329"/>
      <c r="MX329"/>
      <c r="MY329"/>
      <c r="MZ329"/>
      <c r="NA329"/>
      <c r="NB329"/>
      <c r="NC329"/>
      <c r="ND329"/>
      <c r="NE329"/>
      <c r="NF329"/>
      <c r="NG329"/>
      <c r="NH329"/>
      <c r="NI329"/>
      <c r="NJ329"/>
      <c r="NK329"/>
      <c r="NL329"/>
      <c r="NM329"/>
      <c r="NN329"/>
      <c r="NO329"/>
      <c r="NP329"/>
      <c r="NQ329"/>
      <c r="NR329"/>
      <c r="NS329"/>
      <c r="NT329"/>
      <c r="NU329"/>
      <c r="NV329"/>
      <c r="NW329"/>
      <c r="NX329"/>
      <c r="NY329"/>
      <c r="NZ329"/>
      <c r="OA329"/>
      <c r="OB329"/>
      <c r="OC329"/>
      <c r="OD329"/>
      <c r="OE329"/>
      <c r="OF329"/>
      <c r="OG329"/>
      <c r="OH329"/>
      <c r="OI329"/>
      <c r="OJ329"/>
      <c r="OK329"/>
      <c r="OL329"/>
      <c r="OM329"/>
      <c r="ON329"/>
      <c r="OO329"/>
      <c r="OP329"/>
      <c r="OQ329"/>
      <c r="OR329"/>
      <c r="OS329"/>
      <c r="OT329"/>
      <c r="OU329"/>
      <c r="OV329"/>
      <c r="OW329"/>
      <c r="OX329"/>
      <c r="OY329"/>
      <c r="OZ329"/>
      <c r="PA329"/>
      <c r="PB329"/>
      <c r="PC329"/>
      <c r="PD329"/>
      <c r="PE329"/>
      <c r="PF329"/>
      <c r="PG329"/>
      <c r="PH329"/>
      <c r="PI329"/>
      <c r="PJ329"/>
      <c r="PK329"/>
      <c r="PL329"/>
      <c r="PM329"/>
      <c r="PN329"/>
      <c r="PO329"/>
      <c r="PP329"/>
      <c r="PQ329"/>
      <c r="PR329"/>
      <c r="PS329"/>
      <c r="PT329"/>
      <c r="PU329"/>
      <c r="PV329"/>
      <c r="PW329"/>
      <c r="PX329"/>
      <c r="PY329"/>
      <c r="PZ329"/>
      <c r="QA329"/>
      <c r="QB329"/>
      <c r="QC329"/>
      <c r="QD329"/>
      <c r="QE329"/>
      <c r="QF329"/>
      <c r="QG329"/>
      <c r="QH329"/>
      <c r="QI329"/>
      <c r="QJ329"/>
      <c r="QK329"/>
      <c r="QL329"/>
      <c r="QM329"/>
      <c r="QN329"/>
      <c r="QO329"/>
      <c r="QP329"/>
      <c r="QQ329"/>
      <c r="QR329"/>
      <c r="QS329"/>
      <c r="QT329"/>
      <c r="QU329"/>
      <c r="QV329"/>
      <c r="QW329"/>
      <c r="QX329"/>
    </row>
    <row r="330" spans="1:466" x14ac:dyDescent="0.35">
      <c r="A330" s="53"/>
      <c r="B330" s="53"/>
      <c r="C330" s="55"/>
      <c r="D330" s="53"/>
      <c r="E330" s="53"/>
      <c r="F330" s="126" t="s">
        <v>1323</v>
      </c>
      <c r="G330" s="125"/>
      <c r="H330" s="125">
        <v>0</v>
      </c>
      <c r="I330" s="133">
        <v>61</v>
      </c>
      <c r="J330" s="53"/>
      <c r="K330" s="53"/>
      <c r="L330" s="53"/>
      <c r="M330" s="53"/>
      <c r="N330" s="53"/>
      <c r="O330" s="53"/>
      <c r="P330" s="53"/>
      <c r="Q330" s="53"/>
      <c r="R330" s="53"/>
      <c r="S330" s="53"/>
      <c r="T330" s="53"/>
      <c r="U330" s="53"/>
      <c r="V330" s="53"/>
      <c r="W330" s="53"/>
      <c r="X330" s="53"/>
      <c r="Y330" s="53"/>
      <c r="Z330" s="53"/>
      <c r="AA330" s="53"/>
      <c r="AB330" s="53"/>
      <c r="AC330" s="53"/>
      <c r="AD330" s="53"/>
      <c r="AE330" s="53"/>
      <c r="AF330" s="63"/>
      <c r="AG330" s="64"/>
      <c r="AH330" s="65"/>
      <c r="AI330" s="65"/>
      <c r="AJ330" s="53"/>
      <c r="AK330" s="62"/>
      <c r="AL330" s="62"/>
      <c r="AM330" s="62"/>
      <c r="AN330" s="62"/>
      <c r="AO330" s="62"/>
      <c r="AP330" s="62"/>
      <c r="AQ330" s="62"/>
      <c r="AR330" s="62"/>
      <c r="AS330" s="62"/>
      <c r="AT330" s="62"/>
      <c r="AU330" s="62"/>
      <c r="AV330" s="62"/>
      <c r="AW330" s="62"/>
      <c r="AX330" s="62"/>
      <c r="AY330" s="62"/>
      <c r="AZ330" s="62"/>
      <c r="BA330" s="62"/>
      <c r="BB330" s="62"/>
      <c r="BC330" s="62"/>
      <c r="BD330" s="62"/>
      <c r="BE330" s="62"/>
      <c r="BF330" s="62"/>
      <c r="BG330" s="62"/>
      <c r="BH330" s="62"/>
      <c r="BI330" s="62"/>
      <c r="BJ330" s="62"/>
      <c r="BK330" s="62"/>
      <c r="BL330" s="62"/>
      <c r="BM330" s="62"/>
      <c r="BN330" s="62"/>
      <c r="BO330" s="62"/>
      <c r="BP330" s="62"/>
      <c r="BQ330" s="62"/>
      <c r="BR330" s="62"/>
      <c r="BS330" s="62"/>
      <c r="BT330" s="62"/>
      <c r="BU330" s="62"/>
      <c r="BV330" s="62"/>
      <c r="BW330" s="62"/>
      <c r="BX330" s="62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  <c r="HB330"/>
      <c r="HC330"/>
      <c r="HD330"/>
      <c r="HE330"/>
      <c r="HF330"/>
      <c r="HG330"/>
      <c r="HH330"/>
      <c r="HI330"/>
      <c r="HJ330"/>
      <c r="HK330"/>
      <c r="HL330"/>
      <c r="HM330"/>
      <c r="HN330"/>
      <c r="HO330"/>
      <c r="HP330"/>
      <c r="HQ330"/>
      <c r="HR330"/>
      <c r="HS330"/>
      <c r="HT330"/>
      <c r="HU330"/>
      <c r="HV330"/>
      <c r="HW330"/>
      <c r="HX330"/>
      <c r="HY330"/>
      <c r="HZ330"/>
      <c r="IA330"/>
      <c r="IB330"/>
      <c r="IC330"/>
      <c r="ID330"/>
      <c r="IE330"/>
      <c r="IF330"/>
      <c r="IG330"/>
      <c r="IH330"/>
      <c r="II330"/>
      <c r="IJ330"/>
      <c r="IK330"/>
      <c r="IL330"/>
      <c r="IM330"/>
      <c r="IN330"/>
      <c r="IO330"/>
      <c r="IP330"/>
      <c r="IQ330"/>
      <c r="IR330"/>
      <c r="IS330"/>
      <c r="IT330"/>
      <c r="IU330"/>
      <c r="IV330"/>
      <c r="IW330"/>
      <c r="IX330"/>
      <c r="IY330"/>
      <c r="IZ330"/>
      <c r="JA330"/>
      <c r="JB330"/>
      <c r="JC330"/>
      <c r="JD330"/>
      <c r="JE330"/>
      <c r="JF330"/>
      <c r="JG330"/>
      <c r="JH330"/>
      <c r="JI330"/>
      <c r="JJ330"/>
      <c r="JK330"/>
      <c r="JL330"/>
      <c r="JM330"/>
      <c r="JN330"/>
      <c r="JO330"/>
      <c r="JP330"/>
      <c r="JQ330"/>
      <c r="JR330"/>
      <c r="JS330"/>
      <c r="JT330"/>
      <c r="JU330"/>
      <c r="JV330"/>
      <c r="JW330"/>
      <c r="JX330"/>
      <c r="JY330"/>
      <c r="JZ330"/>
      <c r="KA330"/>
      <c r="KB330"/>
      <c r="KC330"/>
      <c r="KD330"/>
      <c r="KE330"/>
      <c r="KF330"/>
      <c r="KG330"/>
      <c r="KH330"/>
      <c r="KI330"/>
      <c r="KJ330"/>
      <c r="KK330"/>
      <c r="KL330"/>
      <c r="KM330"/>
      <c r="KN330"/>
      <c r="KO330"/>
      <c r="KP330"/>
      <c r="KQ330"/>
      <c r="KR330"/>
      <c r="KS330"/>
      <c r="KT330"/>
      <c r="KU330"/>
      <c r="KV330"/>
      <c r="KW330"/>
      <c r="KX330"/>
      <c r="KY330"/>
      <c r="KZ330"/>
      <c r="LA330"/>
      <c r="LB330"/>
      <c r="LC330"/>
      <c r="LD330"/>
      <c r="LE330"/>
      <c r="LF330"/>
      <c r="LG330"/>
      <c r="LH330"/>
      <c r="LI330"/>
      <c r="LJ330"/>
      <c r="LK330"/>
      <c r="LL330"/>
      <c r="LM330"/>
      <c r="LN330"/>
      <c r="LO330"/>
      <c r="LP330"/>
      <c r="LQ330"/>
      <c r="LR330"/>
      <c r="LS330"/>
      <c r="LT330"/>
      <c r="LU330"/>
      <c r="LV330"/>
      <c r="LW330"/>
      <c r="LX330"/>
      <c r="LY330"/>
      <c r="LZ330"/>
      <c r="MA330"/>
      <c r="MB330"/>
      <c r="MC330"/>
      <c r="MD330"/>
      <c r="ME330"/>
      <c r="MF330"/>
      <c r="MG330"/>
      <c r="MH330"/>
      <c r="MI330"/>
      <c r="MJ330"/>
      <c r="MK330"/>
      <c r="ML330"/>
      <c r="MM330"/>
      <c r="MN330"/>
      <c r="MO330"/>
      <c r="MP330"/>
      <c r="MQ330"/>
      <c r="MR330"/>
      <c r="MS330"/>
      <c r="MT330"/>
      <c r="MU330"/>
      <c r="MV330"/>
      <c r="MW330"/>
      <c r="MX330"/>
      <c r="MY330"/>
      <c r="MZ330"/>
      <c r="NA330"/>
      <c r="NB330"/>
      <c r="NC330"/>
      <c r="ND330"/>
      <c r="NE330"/>
      <c r="NF330"/>
      <c r="NG330"/>
      <c r="NH330"/>
      <c r="NI330"/>
      <c r="NJ330"/>
      <c r="NK330"/>
      <c r="NL330"/>
      <c r="NM330"/>
      <c r="NN330"/>
      <c r="NO330"/>
      <c r="NP330"/>
      <c r="NQ330"/>
      <c r="NR330"/>
      <c r="NS330"/>
      <c r="NT330"/>
      <c r="NU330"/>
      <c r="NV330"/>
      <c r="NW330"/>
      <c r="NX330"/>
      <c r="NY330"/>
      <c r="NZ330"/>
      <c r="OA330"/>
      <c r="OB330"/>
      <c r="OC330"/>
      <c r="OD330"/>
      <c r="OE330"/>
      <c r="OF330"/>
      <c r="OG330"/>
      <c r="OH330"/>
      <c r="OI330"/>
      <c r="OJ330"/>
      <c r="OK330"/>
      <c r="OL330"/>
      <c r="OM330"/>
      <c r="ON330"/>
      <c r="OO330"/>
      <c r="OP330"/>
      <c r="OQ330"/>
      <c r="OR330"/>
      <c r="OS330"/>
      <c r="OT330"/>
      <c r="OU330"/>
      <c r="OV330"/>
      <c r="OW330"/>
      <c r="OX330"/>
      <c r="OY330"/>
      <c r="OZ330"/>
      <c r="PA330"/>
      <c r="PB330"/>
      <c r="PC330"/>
      <c r="PD330"/>
      <c r="PE330"/>
      <c r="PF330"/>
      <c r="PG330"/>
      <c r="PH330"/>
      <c r="PI330"/>
      <c r="PJ330"/>
      <c r="PK330"/>
      <c r="PL330"/>
      <c r="PM330"/>
      <c r="PN330"/>
      <c r="PO330"/>
      <c r="PP330"/>
      <c r="PQ330"/>
      <c r="PR330"/>
      <c r="PS330"/>
      <c r="PT330"/>
      <c r="PU330"/>
      <c r="PV330"/>
      <c r="PW330"/>
      <c r="PX330"/>
      <c r="PY330"/>
      <c r="PZ330"/>
      <c r="QA330"/>
      <c r="QB330"/>
      <c r="QC330"/>
      <c r="QD330"/>
      <c r="QE330"/>
      <c r="QF330"/>
      <c r="QG330"/>
      <c r="QH330"/>
      <c r="QI330"/>
      <c r="QJ330"/>
      <c r="QK330"/>
      <c r="QL330"/>
      <c r="QM330"/>
      <c r="QN330"/>
      <c r="QO330"/>
      <c r="QP330"/>
      <c r="QQ330"/>
      <c r="QR330"/>
      <c r="QS330"/>
      <c r="QT330"/>
      <c r="QU330"/>
      <c r="QV330"/>
      <c r="QW330"/>
      <c r="QX330"/>
    </row>
    <row r="331" spans="1:466" x14ac:dyDescent="0.35">
      <c r="A331" s="53"/>
      <c r="B331" s="53"/>
      <c r="C331" s="55"/>
      <c r="D331" s="53"/>
      <c r="E331" s="53"/>
      <c r="F331" s="126" t="s">
        <v>1324</v>
      </c>
      <c r="G331" s="125"/>
      <c r="H331" s="125">
        <v>0</v>
      </c>
      <c r="I331" s="133">
        <v>53</v>
      </c>
      <c r="J331" s="53"/>
      <c r="K331" s="53"/>
      <c r="L331" s="53"/>
      <c r="M331" s="53"/>
      <c r="N331" s="53"/>
      <c r="O331" s="53"/>
      <c r="P331" s="53"/>
      <c r="Q331" s="53"/>
      <c r="R331" s="53"/>
      <c r="S331" s="53"/>
      <c r="T331" s="53"/>
      <c r="U331" s="53"/>
      <c r="V331" s="53"/>
      <c r="W331" s="53"/>
      <c r="X331" s="53"/>
      <c r="Y331" s="53"/>
      <c r="Z331" s="53"/>
      <c r="AA331" s="53"/>
      <c r="AB331" s="53"/>
      <c r="AC331" s="53"/>
      <c r="AD331" s="53"/>
      <c r="AE331" s="53"/>
      <c r="AF331" s="63"/>
      <c r="AG331" s="64"/>
      <c r="AH331" s="65"/>
      <c r="AI331" s="65"/>
      <c r="AJ331" s="53"/>
      <c r="AK331" s="62"/>
      <c r="AL331" s="62"/>
      <c r="AM331" s="62"/>
      <c r="AN331" s="62"/>
      <c r="AO331" s="62"/>
      <c r="AP331" s="62"/>
      <c r="AQ331" s="62"/>
      <c r="AR331" s="62"/>
      <c r="AS331" s="62"/>
      <c r="AT331" s="62"/>
      <c r="AU331" s="62"/>
      <c r="AV331" s="62"/>
      <c r="AW331" s="62"/>
      <c r="AX331" s="62"/>
      <c r="AY331" s="62"/>
      <c r="AZ331" s="62"/>
      <c r="BA331" s="62"/>
      <c r="BB331" s="62"/>
      <c r="BC331" s="62"/>
      <c r="BD331" s="62"/>
      <c r="BE331" s="62"/>
      <c r="BF331" s="62"/>
      <c r="BG331" s="62"/>
      <c r="BH331" s="62"/>
      <c r="BI331" s="62"/>
      <c r="BJ331" s="62"/>
      <c r="BK331" s="62"/>
      <c r="BL331" s="62"/>
      <c r="BM331" s="62"/>
      <c r="BN331" s="62"/>
      <c r="BO331" s="62"/>
      <c r="BP331" s="62"/>
      <c r="BQ331" s="62"/>
      <c r="BR331" s="62"/>
      <c r="BS331" s="62"/>
      <c r="BT331" s="62"/>
      <c r="BU331" s="62"/>
      <c r="BV331" s="62"/>
      <c r="BW331" s="62"/>
      <c r="BX331" s="62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  <c r="HB331"/>
      <c r="HC331"/>
      <c r="HD331"/>
      <c r="HE331"/>
      <c r="HF331"/>
      <c r="HG331"/>
      <c r="HH331"/>
      <c r="HI331"/>
      <c r="HJ331"/>
      <c r="HK331"/>
      <c r="HL331"/>
      <c r="HM331"/>
      <c r="HN331"/>
      <c r="HO331"/>
      <c r="HP331"/>
      <c r="HQ331"/>
      <c r="HR331"/>
      <c r="HS331"/>
      <c r="HT331"/>
      <c r="HU331"/>
      <c r="HV331"/>
      <c r="HW331"/>
      <c r="HX331"/>
      <c r="HY331"/>
      <c r="HZ331"/>
      <c r="IA331"/>
      <c r="IB331"/>
      <c r="IC331"/>
      <c r="ID331"/>
      <c r="IE331"/>
      <c r="IF331"/>
      <c r="IG331"/>
      <c r="IH331"/>
      <c r="II331"/>
      <c r="IJ331"/>
      <c r="IK331"/>
      <c r="IL331"/>
      <c r="IM331"/>
      <c r="IN331"/>
      <c r="IO331"/>
      <c r="IP331"/>
      <c r="IQ331"/>
      <c r="IR331"/>
      <c r="IS331"/>
      <c r="IT331"/>
      <c r="IU331"/>
      <c r="IV331"/>
      <c r="IW331"/>
      <c r="IX331"/>
      <c r="IY331"/>
      <c r="IZ331"/>
      <c r="JA331"/>
      <c r="JB331"/>
      <c r="JC331"/>
      <c r="JD331"/>
      <c r="JE331"/>
      <c r="JF331"/>
      <c r="JG331"/>
      <c r="JH331"/>
      <c r="JI331"/>
      <c r="JJ331"/>
      <c r="JK331"/>
      <c r="JL331"/>
      <c r="JM331"/>
      <c r="JN331"/>
      <c r="JO331"/>
      <c r="JP331"/>
      <c r="JQ331"/>
      <c r="JR331"/>
      <c r="JS331"/>
      <c r="JT331"/>
      <c r="JU331"/>
      <c r="JV331"/>
      <c r="JW331"/>
      <c r="JX331"/>
      <c r="JY331"/>
      <c r="JZ331"/>
      <c r="KA331"/>
      <c r="KB331"/>
      <c r="KC331"/>
      <c r="KD331"/>
      <c r="KE331"/>
      <c r="KF331"/>
      <c r="KG331"/>
      <c r="KH331"/>
      <c r="KI331"/>
      <c r="KJ331"/>
      <c r="KK331"/>
      <c r="KL331"/>
      <c r="KM331"/>
      <c r="KN331"/>
      <c r="KO331"/>
      <c r="KP331"/>
      <c r="KQ331"/>
      <c r="KR331"/>
      <c r="KS331"/>
      <c r="KT331"/>
      <c r="KU331"/>
      <c r="KV331"/>
      <c r="KW331"/>
      <c r="KX331"/>
      <c r="KY331"/>
      <c r="KZ331"/>
      <c r="LA331"/>
      <c r="LB331"/>
      <c r="LC331"/>
      <c r="LD331"/>
      <c r="LE331"/>
      <c r="LF331"/>
      <c r="LG331"/>
      <c r="LH331"/>
      <c r="LI331"/>
      <c r="LJ331"/>
      <c r="LK331"/>
      <c r="LL331"/>
      <c r="LM331"/>
      <c r="LN331"/>
      <c r="LO331"/>
      <c r="LP331"/>
      <c r="LQ331"/>
      <c r="LR331"/>
      <c r="LS331"/>
      <c r="LT331"/>
      <c r="LU331"/>
      <c r="LV331"/>
      <c r="LW331"/>
      <c r="LX331"/>
      <c r="LY331"/>
      <c r="LZ331"/>
      <c r="MA331"/>
      <c r="MB331"/>
      <c r="MC331"/>
      <c r="MD331"/>
      <c r="ME331"/>
      <c r="MF331"/>
      <c r="MG331"/>
      <c r="MH331"/>
      <c r="MI331"/>
      <c r="MJ331"/>
      <c r="MK331"/>
      <c r="ML331"/>
      <c r="MM331"/>
      <c r="MN331"/>
      <c r="MO331"/>
      <c r="MP331"/>
      <c r="MQ331"/>
      <c r="MR331"/>
      <c r="MS331"/>
      <c r="MT331"/>
      <c r="MU331"/>
      <c r="MV331"/>
      <c r="MW331"/>
      <c r="MX331"/>
      <c r="MY331"/>
      <c r="MZ331"/>
      <c r="NA331"/>
      <c r="NB331"/>
      <c r="NC331"/>
      <c r="ND331"/>
      <c r="NE331"/>
      <c r="NF331"/>
      <c r="NG331"/>
      <c r="NH331"/>
      <c r="NI331"/>
      <c r="NJ331"/>
      <c r="NK331"/>
      <c r="NL331"/>
      <c r="NM331"/>
      <c r="NN331"/>
      <c r="NO331"/>
      <c r="NP331"/>
      <c r="NQ331"/>
      <c r="NR331"/>
      <c r="NS331"/>
      <c r="NT331"/>
      <c r="NU331"/>
      <c r="NV331"/>
      <c r="NW331"/>
      <c r="NX331"/>
      <c r="NY331"/>
      <c r="NZ331"/>
      <c r="OA331"/>
      <c r="OB331"/>
      <c r="OC331"/>
      <c r="OD331"/>
      <c r="OE331"/>
      <c r="OF331"/>
      <c r="OG331"/>
      <c r="OH331"/>
      <c r="OI331"/>
      <c r="OJ331"/>
      <c r="OK331"/>
      <c r="OL331"/>
      <c r="OM331"/>
      <c r="ON331"/>
      <c r="OO331"/>
      <c r="OP331"/>
      <c r="OQ331"/>
      <c r="OR331"/>
      <c r="OS331"/>
      <c r="OT331"/>
      <c r="OU331"/>
      <c r="OV331"/>
      <c r="OW331"/>
      <c r="OX331"/>
      <c r="OY331"/>
      <c r="OZ331"/>
      <c r="PA331"/>
      <c r="PB331"/>
      <c r="PC331"/>
      <c r="PD331"/>
      <c r="PE331"/>
      <c r="PF331"/>
      <c r="PG331"/>
      <c r="PH331"/>
      <c r="PI331"/>
      <c r="PJ331"/>
      <c r="PK331"/>
      <c r="PL331"/>
      <c r="PM331"/>
      <c r="PN331"/>
      <c r="PO331"/>
      <c r="PP331"/>
      <c r="PQ331"/>
      <c r="PR331"/>
      <c r="PS331"/>
      <c r="PT331"/>
      <c r="PU331"/>
      <c r="PV331"/>
      <c r="PW331"/>
      <c r="PX331"/>
      <c r="PY331"/>
      <c r="PZ331"/>
      <c r="QA331"/>
      <c r="QB331"/>
      <c r="QC331"/>
      <c r="QD331"/>
      <c r="QE331"/>
      <c r="QF331"/>
      <c r="QG331"/>
      <c r="QH331"/>
      <c r="QI331"/>
      <c r="QJ331"/>
      <c r="QK331"/>
      <c r="QL331"/>
      <c r="QM331"/>
      <c r="QN331"/>
      <c r="QO331"/>
      <c r="QP331"/>
      <c r="QQ331"/>
      <c r="QR331"/>
      <c r="QS331"/>
      <c r="QT331"/>
      <c r="QU331"/>
      <c r="QV331"/>
      <c r="QW331"/>
      <c r="QX331"/>
    </row>
    <row r="332" spans="1:466" x14ac:dyDescent="0.35">
      <c r="A332" s="53"/>
      <c r="B332" s="53"/>
      <c r="C332" s="55"/>
      <c r="D332" s="53"/>
      <c r="E332" s="53"/>
      <c r="F332" s="126" t="s">
        <v>1325</v>
      </c>
      <c r="G332" s="125"/>
      <c r="H332" s="125">
        <v>0</v>
      </c>
      <c r="I332" s="133">
        <v>28</v>
      </c>
      <c r="J332" s="53"/>
      <c r="K332" s="53"/>
      <c r="L332" s="53"/>
      <c r="M332" s="53"/>
      <c r="N332" s="53"/>
      <c r="O332" s="53"/>
      <c r="P332" s="53"/>
      <c r="Q332" s="53"/>
      <c r="R332" s="53"/>
      <c r="S332" s="53"/>
      <c r="T332" s="53"/>
      <c r="U332" s="53"/>
      <c r="V332" s="53"/>
      <c r="W332" s="53"/>
      <c r="X332" s="53"/>
      <c r="Y332" s="53"/>
      <c r="Z332" s="53"/>
      <c r="AA332" s="53"/>
      <c r="AB332" s="53"/>
      <c r="AC332" s="53"/>
      <c r="AD332" s="53"/>
      <c r="AE332" s="53"/>
      <c r="AF332" s="63"/>
      <c r="AG332" s="64"/>
      <c r="AH332" s="65"/>
      <c r="AI332" s="65"/>
      <c r="AJ332" s="53"/>
      <c r="AK332" s="62"/>
      <c r="AL332" s="62"/>
      <c r="AM332" s="62"/>
      <c r="AN332" s="62"/>
      <c r="AO332" s="62"/>
      <c r="AP332" s="62"/>
      <c r="AQ332" s="62"/>
      <c r="AR332" s="62"/>
      <c r="AS332" s="62"/>
      <c r="AT332" s="62"/>
      <c r="AU332" s="62"/>
      <c r="AV332" s="62"/>
      <c r="AW332" s="62"/>
      <c r="AX332" s="62"/>
      <c r="AY332" s="62"/>
      <c r="AZ332" s="62"/>
      <c r="BA332" s="62"/>
      <c r="BB332" s="62"/>
      <c r="BC332" s="62"/>
      <c r="BD332" s="62"/>
      <c r="BE332" s="62"/>
      <c r="BF332" s="62"/>
      <c r="BG332" s="62"/>
      <c r="BH332" s="62"/>
      <c r="BI332" s="62"/>
      <c r="BJ332" s="62"/>
      <c r="BK332" s="62"/>
      <c r="BL332" s="62"/>
      <c r="BM332" s="62"/>
      <c r="BN332" s="62"/>
      <c r="BO332" s="62"/>
      <c r="BP332" s="62"/>
      <c r="BQ332" s="62"/>
      <c r="BR332" s="62"/>
      <c r="BS332" s="62"/>
      <c r="BT332" s="62"/>
      <c r="BU332" s="62"/>
      <c r="BV332" s="62"/>
      <c r="BW332" s="62"/>
      <c r="BX332" s="6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  <c r="HB332"/>
      <c r="HC332"/>
      <c r="HD332"/>
      <c r="HE332"/>
      <c r="HF332"/>
      <c r="HG332"/>
      <c r="HH332"/>
      <c r="HI332"/>
      <c r="HJ332"/>
      <c r="HK332"/>
      <c r="HL332"/>
      <c r="HM332"/>
      <c r="HN332"/>
      <c r="HO332"/>
      <c r="HP332"/>
      <c r="HQ332"/>
      <c r="HR332"/>
      <c r="HS332"/>
      <c r="HT332"/>
      <c r="HU332"/>
      <c r="HV332"/>
      <c r="HW332"/>
      <c r="HX332"/>
      <c r="HY332"/>
      <c r="HZ332"/>
      <c r="IA332"/>
      <c r="IB332"/>
      <c r="IC332"/>
      <c r="ID332"/>
      <c r="IE332"/>
      <c r="IF332"/>
      <c r="IG332"/>
      <c r="IH332"/>
      <c r="II332"/>
      <c r="IJ332"/>
      <c r="IK332"/>
      <c r="IL332"/>
      <c r="IM332"/>
      <c r="IN332"/>
      <c r="IO332"/>
      <c r="IP332"/>
      <c r="IQ332"/>
      <c r="IR332"/>
      <c r="IS332"/>
      <c r="IT332"/>
      <c r="IU332"/>
      <c r="IV332"/>
      <c r="IW332"/>
      <c r="IX332"/>
      <c r="IY332"/>
      <c r="IZ332"/>
      <c r="JA332"/>
      <c r="JB332"/>
      <c r="JC332"/>
      <c r="JD332"/>
      <c r="JE332"/>
      <c r="JF332"/>
      <c r="JG332"/>
      <c r="JH332"/>
      <c r="JI332"/>
      <c r="JJ332"/>
      <c r="JK332"/>
      <c r="JL332"/>
      <c r="JM332"/>
      <c r="JN332"/>
      <c r="JO332"/>
      <c r="JP332"/>
      <c r="JQ332"/>
      <c r="JR332"/>
      <c r="JS332"/>
      <c r="JT332"/>
      <c r="JU332"/>
      <c r="JV332"/>
      <c r="JW332"/>
      <c r="JX332"/>
      <c r="JY332"/>
      <c r="JZ332"/>
      <c r="KA332"/>
      <c r="KB332"/>
      <c r="KC332"/>
      <c r="KD332"/>
      <c r="KE332"/>
      <c r="KF332"/>
      <c r="KG332"/>
      <c r="KH332"/>
      <c r="KI332"/>
      <c r="KJ332"/>
      <c r="KK332"/>
      <c r="KL332"/>
      <c r="KM332"/>
      <c r="KN332"/>
      <c r="KO332"/>
      <c r="KP332"/>
      <c r="KQ332"/>
      <c r="KR332"/>
      <c r="KS332"/>
      <c r="KT332"/>
      <c r="KU332"/>
      <c r="KV332"/>
      <c r="KW332"/>
      <c r="KX332"/>
      <c r="KY332"/>
      <c r="KZ332"/>
      <c r="LA332"/>
      <c r="LB332"/>
      <c r="LC332"/>
      <c r="LD332"/>
      <c r="LE332"/>
      <c r="LF332"/>
      <c r="LG332"/>
      <c r="LH332"/>
      <c r="LI332"/>
      <c r="LJ332"/>
      <c r="LK332"/>
      <c r="LL332"/>
      <c r="LM332"/>
      <c r="LN332"/>
      <c r="LO332"/>
      <c r="LP332"/>
      <c r="LQ332"/>
      <c r="LR332"/>
      <c r="LS332"/>
      <c r="LT332"/>
      <c r="LU332"/>
      <c r="LV332"/>
      <c r="LW332"/>
      <c r="LX332"/>
      <c r="LY332"/>
      <c r="LZ332"/>
      <c r="MA332"/>
      <c r="MB332"/>
      <c r="MC332"/>
      <c r="MD332"/>
      <c r="ME332"/>
      <c r="MF332"/>
      <c r="MG332"/>
      <c r="MH332"/>
      <c r="MI332"/>
      <c r="MJ332"/>
      <c r="MK332"/>
      <c r="ML332"/>
      <c r="MM332"/>
      <c r="MN332"/>
      <c r="MO332"/>
      <c r="MP332"/>
      <c r="MQ332"/>
      <c r="MR332"/>
      <c r="MS332"/>
      <c r="MT332"/>
      <c r="MU332"/>
      <c r="MV332"/>
      <c r="MW332"/>
      <c r="MX332"/>
      <c r="MY332"/>
      <c r="MZ332"/>
      <c r="NA332"/>
      <c r="NB332"/>
      <c r="NC332"/>
      <c r="ND332"/>
      <c r="NE332"/>
      <c r="NF332"/>
      <c r="NG332"/>
      <c r="NH332"/>
      <c r="NI332"/>
      <c r="NJ332"/>
      <c r="NK332"/>
      <c r="NL332"/>
      <c r="NM332"/>
      <c r="NN332"/>
      <c r="NO332"/>
      <c r="NP332"/>
      <c r="NQ332"/>
      <c r="NR332"/>
      <c r="NS332"/>
      <c r="NT332"/>
      <c r="NU332"/>
      <c r="NV332"/>
      <c r="NW332"/>
      <c r="NX332"/>
      <c r="NY332"/>
      <c r="NZ332"/>
      <c r="OA332"/>
      <c r="OB332"/>
      <c r="OC332"/>
      <c r="OD332"/>
      <c r="OE332"/>
      <c r="OF332"/>
      <c r="OG332"/>
      <c r="OH332"/>
      <c r="OI332"/>
      <c r="OJ332"/>
      <c r="OK332"/>
      <c r="OL332"/>
      <c r="OM332"/>
      <c r="ON332"/>
      <c r="OO332"/>
      <c r="OP332"/>
      <c r="OQ332"/>
      <c r="OR332"/>
      <c r="OS332"/>
      <c r="OT332"/>
      <c r="OU332"/>
      <c r="OV332"/>
      <c r="OW332"/>
      <c r="OX332"/>
      <c r="OY332"/>
      <c r="OZ332"/>
      <c r="PA332"/>
      <c r="PB332"/>
      <c r="PC332"/>
      <c r="PD332"/>
      <c r="PE332"/>
      <c r="PF332"/>
      <c r="PG332"/>
      <c r="PH332"/>
      <c r="PI332"/>
      <c r="PJ332"/>
      <c r="PK332"/>
      <c r="PL332"/>
      <c r="PM332"/>
      <c r="PN332"/>
      <c r="PO332"/>
      <c r="PP332"/>
      <c r="PQ332"/>
      <c r="PR332"/>
      <c r="PS332"/>
      <c r="PT332"/>
      <c r="PU332"/>
      <c r="PV332"/>
      <c r="PW332"/>
      <c r="PX332"/>
      <c r="PY332"/>
      <c r="PZ332"/>
      <c r="QA332"/>
      <c r="QB332"/>
      <c r="QC332"/>
      <c r="QD332"/>
      <c r="QE332"/>
      <c r="QF332"/>
      <c r="QG332"/>
      <c r="QH332"/>
      <c r="QI332"/>
      <c r="QJ332"/>
      <c r="QK332"/>
      <c r="QL332"/>
      <c r="QM332"/>
      <c r="QN332"/>
      <c r="QO332"/>
      <c r="QP332"/>
      <c r="QQ332"/>
      <c r="QR332"/>
      <c r="QS332"/>
      <c r="QT332"/>
      <c r="QU332"/>
      <c r="QV332"/>
      <c r="QW332"/>
      <c r="QX332"/>
    </row>
    <row r="333" spans="1:466" x14ac:dyDescent="0.35">
      <c r="A333" s="53"/>
      <c r="B333" s="53"/>
      <c r="C333" s="55"/>
      <c r="D333" s="53"/>
      <c r="E333" s="53"/>
      <c r="F333" s="126" t="s">
        <v>1326</v>
      </c>
      <c r="G333" s="125"/>
      <c r="H333" s="125">
        <v>0</v>
      </c>
      <c r="I333" s="133">
        <v>267</v>
      </c>
      <c r="J333" s="53"/>
      <c r="K333" s="53"/>
      <c r="L333" s="53"/>
      <c r="M333" s="53"/>
      <c r="N333" s="53"/>
      <c r="O333" s="53"/>
      <c r="P333" s="53"/>
      <c r="Q333" s="53"/>
      <c r="R333" s="53"/>
      <c r="S333" s="53"/>
      <c r="T333" s="53"/>
      <c r="U333" s="53"/>
      <c r="V333" s="53"/>
      <c r="W333" s="53"/>
      <c r="X333" s="53"/>
      <c r="Y333" s="53"/>
      <c r="Z333" s="53"/>
      <c r="AA333" s="53"/>
      <c r="AB333" s="53"/>
      <c r="AC333" s="53"/>
      <c r="AD333" s="53"/>
      <c r="AE333" s="53"/>
      <c r="AF333" s="63"/>
      <c r="AG333" s="64"/>
      <c r="AH333" s="65"/>
      <c r="AI333" s="65"/>
      <c r="AJ333" s="53"/>
      <c r="AK333" s="62"/>
      <c r="AL333" s="62"/>
      <c r="AM333" s="62"/>
      <c r="AN333" s="62"/>
      <c r="AO333" s="62"/>
      <c r="AP333" s="62"/>
      <c r="AQ333" s="62"/>
      <c r="AR333" s="62"/>
      <c r="AS333" s="62"/>
      <c r="AT333" s="62"/>
      <c r="AU333" s="62"/>
      <c r="AV333" s="62"/>
      <c r="AW333" s="62"/>
      <c r="AX333" s="62"/>
      <c r="AY333" s="62"/>
      <c r="AZ333" s="62"/>
      <c r="BA333" s="62"/>
      <c r="BB333" s="62"/>
      <c r="BC333" s="62"/>
      <c r="BD333" s="62"/>
      <c r="BE333" s="62"/>
      <c r="BF333" s="62"/>
      <c r="BG333" s="62"/>
      <c r="BH333" s="62"/>
      <c r="BI333" s="62"/>
      <c r="BJ333" s="62"/>
      <c r="BK333" s="62"/>
      <c r="BL333" s="62"/>
      <c r="BM333" s="62"/>
      <c r="BN333" s="62"/>
      <c r="BO333" s="62"/>
      <c r="BP333" s="62"/>
      <c r="BQ333" s="62"/>
      <c r="BR333" s="62"/>
      <c r="BS333" s="62"/>
      <c r="BT333" s="62"/>
      <c r="BU333" s="62"/>
      <c r="BV333" s="62"/>
      <c r="BW333" s="62"/>
      <c r="BX333" s="62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  <c r="HB333"/>
      <c r="HC333"/>
      <c r="HD333"/>
      <c r="HE333"/>
      <c r="HF333"/>
      <c r="HG333"/>
      <c r="HH333"/>
      <c r="HI333"/>
      <c r="HJ333"/>
      <c r="HK333"/>
      <c r="HL333"/>
      <c r="HM333"/>
      <c r="HN333"/>
      <c r="HO333"/>
      <c r="HP333"/>
      <c r="HQ333"/>
      <c r="HR333"/>
      <c r="HS333"/>
      <c r="HT333"/>
      <c r="HU333"/>
      <c r="HV333"/>
      <c r="HW333"/>
      <c r="HX333"/>
      <c r="HY333"/>
      <c r="HZ333"/>
      <c r="IA333"/>
      <c r="IB333"/>
      <c r="IC333"/>
      <c r="ID333"/>
      <c r="IE333"/>
      <c r="IF333"/>
      <c r="IG333"/>
      <c r="IH333"/>
      <c r="II333"/>
      <c r="IJ333"/>
      <c r="IK333"/>
      <c r="IL333"/>
      <c r="IM333"/>
      <c r="IN333"/>
      <c r="IO333"/>
      <c r="IP333"/>
      <c r="IQ333"/>
      <c r="IR333"/>
      <c r="IS333"/>
      <c r="IT333"/>
      <c r="IU333"/>
      <c r="IV333"/>
      <c r="IW333"/>
      <c r="IX333"/>
      <c r="IY333"/>
      <c r="IZ333"/>
      <c r="JA333"/>
      <c r="JB333"/>
      <c r="JC333"/>
      <c r="JD333"/>
      <c r="JE333"/>
      <c r="JF333"/>
      <c r="JG333"/>
      <c r="JH333"/>
      <c r="JI333"/>
      <c r="JJ333"/>
      <c r="JK333"/>
      <c r="JL333"/>
      <c r="JM333"/>
      <c r="JN333"/>
      <c r="JO333"/>
      <c r="JP333"/>
      <c r="JQ333"/>
      <c r="JR333"/>
      <c r="JS333"/>
      <c r="JT333"/>
      <c r="JU333"/>
      <c r="JV333"/>
      <c r="JW333"/>
      <c r="JX333"/>
      <c r="JY333"/>
      <c r="JZ333"/>
      <c r="KA333"/>
      <c r="KB333"/>
      <c r="KC333"/>
      <c r="KD333"/>
      <c r="KE333"/>
      <c r="KF333"/>
      <c r="KG333"/>
      <c r="KH333"/>
      <c r="KI333"/>
      <c r="KJ333"/>
      <c r="KK333"/>
      <c r="KL333"/>
      <c r="KM333"/>
      <c r="KN333"/>
      <c r="KO333"/>
      <c r="KP333"/>
      <c r="KQ333"/>
      <c r="KR333"/>
      <c r="KS333"/>
      <c r="KT333"/>
      <c r="KU333"/>
      <c r="KV333"/>
      <c r="KW333"/>
      <c r="KX333"/>
      <c r="KY333"/>
      <c r="KZ333"/>
      <c r="LA333"/>
      <c r="LB333"/>
      <c r="LC333"/>
      <c r="LD333"/>
      <c r="LE333"/>
      <c r="LF333"/>
      <c r="LG333"/>
      <c r="LH333"/>
      <c r="LI333"/>
      <c r="LJ333"/>
      <c r="LK333"/>
      <c r="LL333"/>
      <c r="LM333"/>
      <c r="LN333"/>
      <c r="LO333"/>
      <c r="LP333"/>
      <c r="LQ333"/>
      <c r="LR333"/>
      <c r="LS333"/>
      <c r="LT333"/>
      <c r="LU333"/>
      <c r="LV333"/>
      <c r="LW333"/>
      <c r="LX333"/>
      <c r="LY333"/>
      <c r="LZ333"/>
      <c r="MA333"/>
      <c r="MB333"/>
      <c r="MC333"/>
      <c r="MD333"/>
      <c r="ME333"/>
      <c r="MF333"/>
      <c r="MG333"/>
      <c r="MH333"/>
      <c r="MI333"/>
      <c r="MJ333"/>
      <c r="MK333"/>
      <c r="ML333"/>
      <c r="MM333"/>
      <c r="MN333"/>
      <c r="MO333"/>
      <c r="MP333"/>
      <c r="MQ333"/>
      <c r="MR333"/>
      <c r="MS333"/>
      <c r="MT333"/>
      <c r="MU333"/>
      <c r="MV333"/>
      <c r="MW333"/>
      <c r="MX333"/>
      <c r="MY333"/>
      <c r="MZ333"/>
      <c r="NA333"/>
      <c r="NB333"/>
      <c r="NC333"/>
      <c r="ND333"/>
      <c r="NE333"/>
      <c r="NF333"/>
      <c r="NG333"/>
      <c r="NH333"/>
      <c r="NI333"/>
      <c r="NJ333"/>
      <c r="NK333"/>
      <c r="NL333"/>
      <c r="NM333"/>
      <c r="NN333"/>
      <c r="NO333"/>
      <c r="NP333"/>
      <c r="NQ333"/>
      <c r="NR333"/>
      <c r="NS333"/>
      <c r="NT333"/>
      <c r="NU333"/>
      <c r="NV333"/>
      <c r="NW333"/>
      <c r="NX333"/>
      <c r="NY333"/>
      <c r="NZ333"/>
      <c r="OA333"/>
      <c r="OB333"/>
      <c r="OC333"/>
      <c r="OD333"/>
      <c r="OE333"/>
      <c r="OF333"/>
      <c r="OG333"/>
      <c r="OH333"/>
      <c r="OI333"/>
      <c r="OJ333"/>
      <c r="OK333"/>
      <c r="OL333"/>
      <c r="OM333"/>
      <c r="ON333"/>
      <c r="OO333"/>
      <c r="OP333"/>
      <c r="OQ333"/>
      <c r="OR333"/>
      <c r="OS333"/>
      <c r="OT333"/>
      <c r="OU333"/>
      <c r="OV333"/>
      <c r="OW333"/>
      <c r="OX333"/>
      <c r="OY333"/>
      <c r="OZ333"/>
      <c r="PA333"/>
      <c r="PB333"/>
      <c r="PC333"/>
      <c r="PD333"/>
      <c r="PE333"/>
      <c r="PF333"/>
      <c r="PG333"/>
      <c r="PH333"/>
      <c r="PI333"/>
      <c r="PJ333"/>
      <c r="PK333"/>
      <c r="PL333"/>
      <c r="PM333"/>
      <c r="PN333"/>
      <c r="PO333"/>
      <c r="PP333"/>
      <c r="PQ333"/>
      <c r="PR333"/>
      <c r="PS333"/>
      <c r="PT333"/>
      <c r="PU333"/>
      <c r="PV333"/>
      <c r="PW333"/>
      <c r="PX333"/>
      <c r="PY333"/>
      <c r="PZ333"/>
      <c r="QA333"/>
      <c r="QB333"/>
      <c r="QC333"/>
      <c r="QD333"/>
      <c r="QE333"/>
      <c r="QF333"/>
      <c r="QG333"/>
      <c r="QH333"/>
      <c r="QI333"/>
      <c r="QJ333"/>
      <c r="QK333"/>
      <c r="QL333"/>
      <c r="QM333"/>
      <c r="QN333"/>
      <c r="QO333"/>
      <c r="QP333"/>
      <c r="QQ333"/>
      <c r="QR333"/>
      <c r="QS333"/>
      <c r="QT333"/>
      <c r="QU333"/>
      <c r="QV333"/>
      <c r="QW333"/>
      <c r="QX333"/>
    </row>
    <row r="334" spans="1:466" x14ac:dyDescent="0.35">
      <c r="A334" s="53"/>
      <c r="B334" s="53"/>
      <c r="C334" s="55"/>
      <c r="D334" s="53"/>
      <c r="E334" s="53"/>
      <c r="F334" s="126" t="s">
        <v>1333</v>
      </c>
      <c r="G334" s="125"/>
      <c r="H334" s="125">
        <v>0</v>
      </c>
      <c r="I334" s="133">
        <v>7</v>
      </c>
      <c r="J334" s="53"/>
      <c r="K334" s="53"/>
      <c r="L334" s="53"/>
      <c r="M334" s="53"/>
      <c r="N334" s="53"/>
      <c r="O334" s="53"/>
      <c r="P334" s="53"/>
      <c r="Q334" s="53"/>
      <c r="R334" s="53"/>
      <c r="S334" s="53"/>
      <c r="T334" s="53"/>
      <c r="U334" s="53"/>
      <c r="V334" s="53"/>
      <c r="W334" s="53"/>
      <c r="X334" s="53"/>
      <c r="Y334" s="53"/>
      <c r="Z334" s="53"/>
      <c r="AA334" s="53"/>
      <c r="AB334" s="53"/>
      <c r="AC334" s="53"/>
      <c r="AD334" s="53"/>
      <c r="AE334" s="53"/>
      <c r="AF334" s="63"/>
      <c r="AG334" s="64"/>
      <c r="AH334" s="65"/>
      <c r="AI334" s="65"/>
      <c r="AJ334" s="53"/>
      <c r="AK334" s="62"/>
      <c r="AL334" s="62"/>
      <c r="AM334" s="62"/>
      <c r="AN334" s="62"/>
      <c r="AO334" s="62"/>
      <c r="AP334" s="62"/>
      <c r="AQ334" s="62"/>
      <c r="AR334" s="62"/>
      <c r="AS334" s="62"/>
      <c r="AT334" s="62"/>
      <c r="AU334" s="62"/>
      <c r="AV334" s="62"/>
      <c r="AW334" s="62"/>
      <c r="AX334" s="62"/>
      <c r="AY334" s="62"/>
      <c r="AZ334" s="62"/>
      <c r="BA334" s="62"/>
      <c r="BB334" s="62"/>
      <c r="BC334" s="62"/>
      <c r="BD334" s="62"/>
      <c r="BE334" s="62"/>
      <c r="BF334" s="62"/>
      <c r="BG334" s="62"/>
      <c r="BH334" s="62"/>
      <c r="BI334" s="62"/>
      <c r="BJ334" s="62"/>
      <c r="BK334" s="62"/>
      <c r="BL334" s="62"/>
      <c r="BM334" s="62"/>
      <c r="BN334" s="62"/>
      <c r="BO334" s="62"/>
      <c r="BP334" s="62"/>
      <c r="BQ334" s="62"/>
      <c r="BR334" s="62"/>
      <c r="BS334" s="62"/>
      <c r="BT334" s="62"/>
      <c r="BU334" s="62"/>
      <c r="BV334" s="62"/>
      <c r="BW334" s="62"/>
      <c r="BX334" s="62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  <c r="HB334"/>
      <c r="HC334"/>
      <c r="HD334"/>
      <c r="HE334"/>
      <c r="HF334"/>
      <c r="HG334"/>
      <c r="HH334"/>
      <c r="HI334"/>
      <c r="HJ334"/>
      <c r="HK334"/>
      <c r="HL334"/>
      <c r="HM334"/>
      <c r="HN334"/>
      <c r="HO334"/>
      <c r="HP334"/>
      <c r="HQ334"/>
      <c r="HR334"/>
      <c r="HS334"/>
      <c r="HT334"/>
      <c r="HU334"/>
      <c r="HV334"/>
      <c r="HW334"/>
      <c r="HX334"/>
      <c r="HY334"/>
      <c r="HZ334"/>
      <c r="IA334"/>
      <c r="IB334"/>
      <c r="IC334"/>
      <c r="ID334"/>
      <c r="IE334"/>
      <c r="IF334"/>
      <c r="IG334"/>
      <c r="IH334"/>
      <c r="II334"/>
      <c r="IJ334"/>
      <c r="IK334"/>
      <c r="IL334"/>
      <c r="IM334"/>
      <c r="IN334"/>
      <c r="IO334"/>
      <c r="IP334"/>
      <c r="IQ334"/>
      <c r="IR334"/>
      <c r="IS334"/>
      <c r="IT334"/>
      <c r="IU334"/>
      <c r="IV334"/>
      <c r="IW334"/>
      <c r="IX334"/>
      <c r="IY334"/>
      <c r="IZ334"/>
      <c r="JA334"/>
      <c r="JB334"/>
      <c r="JC334"/>
      <c r="JD334"/>
      <c r="JE334"/>
      <c r="JF334"/>
      <c r="JG334"/>
      <c r="JH334"/>
      <c r="JI334"/>
      <c r="JJ334"/>
      <c r="JK334"/>
      <c r="JL334"/>
      <c r="JM334"/>
      <c r="JN334"/>
      <c r="JO334"/>
      <c r="JP334"/>
      <c r="JQ334"/>
      <c r="JR334"/>
      <c r="JS334"/>
      <c r="JT334"/>
      <c r="JU334"/>
      <c r="JV334"/>
      <c r="JW334"/>
      <c r="JX334"/>
      <c r="JY334"/>
      <c r="JZ334"/>
      <c r="KA334"/>
      <c r="KB334"/>
      <c r="KC334"/>
      <c r="KD334"/>
      <c r="KE334"/>
      <c r="KF334"/>
      <c r="KG334"/>
      <c r="KH334"/>
      <c r="KI334"/>
      <c r="KJ334"/>
      <c r="KK334"/>
      <c r="KL334"/>
      <c r="KM334"/>
      <c r="KN334"/>
      <c r="KO334"/>
      <c r="KP334"/>
      <c r="KQ334"/>
      <c r="KR334"/>
      <c r="KS334"/>
      <c r="KT334"/>
      <c r="KU334"/>
      <c r="KV334"/>
      <c r="KW334"/>
      <c r="KX334"/>
      <c r="KY334"/>
      <c r="KZ334"/>
      <c r="LA334"/>
      <c r="LB334"/>
      <c r="LC334"/>
      <c r="LD334"/>
      <c r="LE334"/>
      <c r="LF334"/>
      <c r="LG334"/>
      <c r="LH334"/>
      <c r="LI334"/>
      <c r="LJ334"/>
      <c r="LK334"/>
      <c r="LL334"/>
      <c r="LM334"/>
      <c r="LN334"/>
      <c r="LO334"/>
      <c r="LP334"/>
      <c r="LQ334"/>
      <c r="LR334"/>
      <c r="LS334"/>
      <c r="LT334"/>
      <c r="LU334"/>
      <c r="LV334"/>
      <c r="LW334"/>
      <c r="LX334"/>
      <c r="LY334"/>
      <c r="LZ334"/>
      <c r="MA334"/>
      <c r="MB334"/>
      <c r="MC334"/>
      <c r="MD334"/>
      <c r="ME334"/>
      <c r="MF334"/>
      <c r="MG334"/>
      <c r="MH334"/>
      <c r="MI334"/>
      <c r="MJ334"/>
      <c r="MK334"/>
      <c r="ML334"/>
      <c r="MM334"/>
      <c r="MN334"/>
      <c r="MO334"/>
      <c r="MP334"/>
      <c r="MQ334"/>
      <c r="MR334"/>
      <c r="MS334"/>
      <c r="MT334"/>
      <c r="MU334"/>
      <c r="MV334"/>
      <c r="MW334"/>
      <c r="MX334"/>
      <c r="MY334"/>
      <c r="MZ334"/>
      <c r="NA334"/>
      <c r="NB334"/>
      <c r="NC334"/>
      <c r="ND334"/>
      <c r="NE334"/>
      <c r="NF334"/>
      <c r="NG334"/>
      <c r="NH334"/>
      <c r="NI334"/>
      <c r="NJ334"/>
      <c r="NK334"/>
      <c r="NL334"/>
      <c r="NM334"/>
      <c r="NN334"/>
      <c r="NO334"/>
      <c r="NP334"/>
      <c r="NQ334"/>
      <c r="NR334"/>
      <c r="NS334"/>
      <c r="NT334"/>
      <c r="NU334"/>
      <c r="NV334"/>
      <c r="NW334"/>
      <c r="NX334"/>
      <c r="NY334"/>
      <c r="NZ334"/>
      <c r="OA334"/>
      <c r="OB334"/>
      <c r="OC334"/>
      <c r="OD334"/>
      <c r="OE334"/>
      <c r="OF334"/>
      <c r="OG334"/>
      <c r="OH334"/>
      <c r="OI334"/>
      <c r="OJ334"/>
      <c r="OK334"/>
      <c r="OL334"/>
      <c r="OM334"/>
      <c r="ON334"/>
      <c r="OO334"/>
      <c r="OP334"/>
      <c r="OQ334"/>
      <c r="OR334"/>
      <c r="OS334"/>
      <c r="OT334"/>
      <c r="OU334"/>
      <c r="OV334"/>
      <c r="OW334"/>
      <c r="OX334"/>
      <c r="OY334"/>
      <c r="OZ334"/>
      <c r="PA334"/>
      <c r="PB334"/>
      <c r="PC334"/>
      <c r="PD334"/>
      <c r="PE334"/>
      <c r="PF334"/>
      <c r="PG334"/>
      <c r="PH334"/>
      <c r="PI334"/>
      <c r="PJ334"/>
      <c r="PK334"/>
      <c r="PL334"/>
      <c r="PM334"/>
      <c r="PN334"/>
      <c r="PO334"/>
      <c r="PP334"/>
      <c r="PQ334"/>
      <c r="PR334"/>
      <c r="PS334"/>
      <c r="PT334"/>
      <c r="PU334"/>
      <c r="PV334"/>
      <c r="PW334"/>
      <c r="PX334"/>
      <c r="PY334"/>
      <c r="PZ334"/>
      <c r="QA334"/>
      <c r="QB334"/>
      <c r="QC334"/>
      <c r="QD334"/>
      <c r="QE334"/>
      <c r="QF334"/>
      <c r="QG334"/>
      <c r="QH334"/>
      <c r="QI334"/>
      <c r="QJ334"/>
      <c r="QK334"/>
      <c r="QL334"/>
      <c r="QM334"/>
      <c r="QN334"/>
      <c r="QO334"/>
      <c r="QP334"/>
      <c r="QQ334"/>
      <c r="QR334"/>
      <c r="QS334"/>
      <c r="QT334"/>
      <c r="QU334"/>
      <c r="QV334"/>
      <c r="QW334"/>
      <c r="QX334"/>
    </row>
    <row r="335" spans="1:466" x14ac:dyDescent="0.35">
      <c r="A335" s="53"/>
      <c r="B335" s="53"/>
      <c r="C335" s="55"/>
      <c r="D335" s="53"/>
      <c r="E335" s="53"/>
      <c r="F335" s="126" t="s">
        <v>1328</v>
      </c>
      <c r="G335" s="125"/>
      <c r="H335" s="125">
        <v>0</v>
      </c>
      <c r="I335" s="133">
        <v>2</v>
      </c>
      <c r="J335" s="53"/>
      <c r="K335" s="53"/>
      <c r="L335" s="53"/>
      <c r="M335" s="53"/>
      <c r="N335" s="53"/>
      <c r="O335" s="53"/>
      <c r="P335" s="53"/>
      <c r="Q335" s="53"/>
      <c r="R335" s="53"/>
      <c r="S335" s="53"/>
      <c r="T335" s="53"/>
      <c r="U335" s="53"/>
      <c r="V335" s="53"/>
      <c r="W335" s="53"/>
      <c r="X335" s="53"/>
      <c r="Y335" s="53"/>
      <c r="Z335" s="53"/>
      <c r="AA335" s="53"/>
      <c r="AB335" s="53"/>
      <c r="AC335" s="53"/>
      <c r="AD335" s="53"/>
      <c r="AE335" s="53"/>
      <c r="AF335" s="63"/>
      <c r="AG335" s="64"/>
      <c r="AH335" s="65"/>
      <c r="AI335" s="65"/>
      <c r="AJ335" s="53"/>
      <c r="AK335" s="62"/>
      <c r="AL335" s="62"/>
      <c r="AM335" s="62"/>
      <c r="AN335" s="62"/>
      <c r="AO335" s="62"/>
      <c r="AP335" s="62"/>
      <c r="AQ335" s="62"/>
      <c r="AR335" s="62"/>
      <c r="AS335" s="62"/>
      <c r="AT335" s="62"/>
      <c r="AU335" s="62"/>
      <c r="AV335" s="62"/>
      <c r="AW335" s="62"/>
      <c r="AX335" s="62"/>
      <c r="AY335" s="62"/>
      <c r="AZ335" s="62"/>
      <c r="BA335" s="62"/>
      <c r="BB335" s="62"/>
      <c r="BC335" s="62"/>
      <c r="BD335" s="62"/>
      <c r="BE335" s="62"/>
      <c r="BF335" s="62"/>
      <c r="BG335" s="62"/>
      <c r="BH335" s="62"/>
      <c r="BI335" s="62"/>
      <c r="BJ335" s="62"/>
      <c r="BK335" s="62"/>
      <c r="BL335" s="62"/>
      <c r="BM335" s="62"/>
      <c r="BN335" s="62"/>
      <c r="BO335" s="62"/>
      <c r="BP335" s="62"/>
      <c r="BQ335" s="62"/>
      <c r="BR335" s="62"/>
      <c r="BS335" s="62"/>
      <c r="BT335" s="62"/>
      <c r="BU335" s="62"/>
      <c r="BV335" s="62"/>
      <c r="BW335" s="62"/>
      <c r="BX335" s="62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  <c r="HB335"/>
      <c r="HC335"/>
      <c r="HD335"/>
      <c r="HE335"/>
      <c r="HF335"/>
      <c r="HG335"/>
      <c r="HH335"/>
      <c r="HI335"/>
      <c r="HJ335"/>
      <c r="HK335"/>
      <c r="HL335"/>
      <c r="HM335"/>
      <c r="HN335"/>
      <c r="HO335"/>
      <c r="HP335"/>
      <c r="HQ335"/>
      <c r="HR335"/>
      <c r="HS335"/>
      <c r="HT335"/>
      <c r="HU335"/>
      <c r="HV335"/>
      <c r="HW335"/>
      <c r="HX335"/>
      <c r="HY335"/>
      <c r="HZ335"/>
      <c r="IA335"/>
      <c r="IB335"/>
      <c r="IC335"/>
      <c r="ID335"/>
      <c r="IE335"/>
      <c r="IF335"/>
      <c r="IG335"/>
      <c r="IH335"/>
      <c r="II335"/>
      <c r="IJ335"/>
      <c r="IK335"/>
      <c r="IL335"/>
      <c r="IM335"/>
      <c r="IN335"/>
      <c r="IO335"/>
      <c r="IP335"/>
      <c r="IQ335"/>
      <c r="IR335"/>
      <c r="IS335"/>
      <c r="IT335"/>
      <c r="IU335"/>
      <c r="IV335"/>
      <c r="IW335"/>
      <c r="IX335"/>
      <c r="IY335"/>
      <c r="IZ335"/>
      <c r="JA335"/>
      <c r="JB335"/>
      <c r="JC335"/>
      <c r="JD335"/>
      <c r="JE335"/>
      <c r="JF335"/>
      <c r="JG335"/>
      <c r="JH335"/>
      <c r="JI335"/>
      <c r="JJ335"/>
      <c r="JK335"/>
      <c r="JL335"/>
      <c r="JM335"/>
      <c r="JN335"/>
      <c r="JO335"/>
      <c r="JP335"/>
      <c r="JQ335"/>
      <c r="JR335"/>
      <c r="JS335"/>
      <c r="JT335"/>
      <c r="JU335"/>
      <c r="JV335"/>
      <c r="JW335"/>
      <c r="JX335"/>
      <c r="JY335"/>
      <c r="JZ335"/>
      <c r="KA335"/>
      <c r="KB335"/>
      <c r="KC335"/>
      <c r="KD335"/>
      <c r="KE335"/>
      <c r="KF335"/>
      <c r="KG335"/>
      <c r="KH335"/>
      <c r="KI335"/>
      <c r="KJ335"/>
      <c r="KK335"/>
      <c r="KL335"/>
      <c r="KM335"/>
      <c r="KN335"/>
      <c r="KO335"/>
      <c r="KP335"/>
      <c r="KQ335"/>
      <c r="KR335"/>
      <c r="KS335"/>
      <c r="KT335"/>
      <c r="KU335"/>
      <c r="KV335"/>
      <c r="KW335"/>
      <c r="KX335"/>
      <c r="KY335"/>
      <c r="KZ335"/>
      <c r="LA335"/>
      <c r="LB335"/>
      <c r="LC335"/>
      <c r="LD335"/>
      <c r="LE335"/>
      <c r="LF335"/>
      <c r="LG335"/>
      <c r="LH335"/>
      <c r="LI335"/>
      <c r="LJ335"/>
      <c r="LK335"/>
      <c r="LL335"/>
      <c r="LM335"/>
      <c r="LN335"/>
      <c r="LO335"/>
      <c r="LP335"/>
      <c r="LQ335"/>
      <c r="LR335"/>
      <c r="LS335"/>
      <c r="LT335"/>
      <c r="LU335"/>
      <c r="LV335"/>
      <c r="LW335"/>
      <c r="LX335"/>
      <c r="LY335"/>
      <c r="LZ335"/>
      <c r="MA335"/>
      <c r="MB335"/>
      <c r="MC335"/>
      <c r="MD335"/>
      <c r="ME335"/>
      <c r="MF335"/>
      <c r="MG335"/>
      <c r="MH335"/>
      <c r="MI335"/>
      <c r="MJ335"/>
      <c r="MK335"/>
      <c r="ML335"/>
      <c r="MM335"/>
      <c r="MN335"/>
      <c r="MO335"/>
      <c r="MP335"/>
      <c r="MQ335"/>
      <c r="MR335"/>
      <c r="MS335"/>
      <c r="MT335"/>
      <c r="MU335"/>
      <c r="MV335"/>
      <c r="MW335"/>
      <c r="MX335"/>
      <c r="MY335"/>
      <c r="MZ335"/>
      <c r="NA335"/>
      <c r="NB335"/>
      <c r="NC335"/>
      <c r="ND335"/>
      <c r="NE335"/>
      <c r="NF335"/>
      <c r="NG335"/>
      <c r="NH335"/>
      <c r="NI335"/>
      <c r="NJ335"/>
      <c r="NK335"/>
      <c r="NL335"/>
      <c r="NM335"/>
      <c r="NN335"/>
      <c r="NO335"/>
      <c r="NP335"/>
      <c r="NQ335"/>
      <c r="NR335"/>
      <c r="NS335"/>
      <c r="NT335"/>
      <c r="NU335"/>
      <c r="NV335"/>
      <c r="NW335"/>
      <c r="NX335"/>
      <c r="NY335"/>
      <c r="NZ335"/>
      <c r="OA335"/>
      <c r="OB335"/>
      <c r="OC335"/>
      <c r="OD335"/>
      <c r="OE335"/>
      <c r="OF335"/>
      <c r="OG335"/>
      <c r="OH335"/>
      <c r="OI335"/>
      <c r="OJ335"/>
      <c r="OK335"/>
      <c r="OL335"/>
      <c r="OM335"/>
      <c r="ON335"/>
      <c r="OO335"/>
      <c r="OP335"/>
      <c r="OQ335"/>
      <c r="OR335"/>
      <c r="OS335"/>
      <c r="OT335"/>
      <c r="OU335"/>
      <c r="OV335"/>
      <c r="OW335"/>
      <c r="OX335"/>
      <c r="OY335"/>
      <c r="OZ335"/>
      <c r="PA335"/>
      <c r="PB335"/>
      <c r="PC335"/>
      <c r="PD335"/>
      <c r="PE335"/>
      <c r="PF335"/>
      <c r="PG335"/>
      <c r="PH335"/>
      <c r="PI335"/>
      <c r="PJ335"/>
      <c r="PK335"/>
      <c r="PL335"/>
      <c r="PM335"/>
      <c r="PN335"/>
      <c r="PO335"/>
      <c r="PP335"/>
      <c r="PQ335"/>
      <c r="PR335"/>
      <c r="PS335"/>
      <c r="PT335"/>
      <c r="PU335"/>
      <c r="PV335"/>
      <c r="PW335"/>
      <c r="PX335"/>
      <c r="PY335"/>
      <c r="PZ335"/>
      <c r="QA335"/>
      <c r="QB335"/>
      <c r="QC335"/>
      <c r="QD335"/>
      <c r="QE335"/>
      <c r="QF335"/>
      <c r="QG335"/>
      <c r="QH335"/>
      <c r="QI335"/>
      <c r="QJ335"/>
      <c r="QK335"/>
      <c r="QL335"/>
      <c r="QM335"/>
      <c r="QN335"/>
      <c r="QO335"/>
      <c r="QP335"/>
      <c r="QQ335"/>
      <c r="QR335"/>
      <c r="QS335"/>
      <c r="QT335"/>
      <c r="QU335"/>
      <c r="QV335"/>
      <c r="QW335"/>
      <c r="QX335"/>
    </row>
    <row r="336" spans="1:466" x14ac:dyDescent="0.35">
      <c r="A336" s="53"/>
      <c r="B336" s="53"/>
      <c r="C336" s="55"/>
      <c r="D336" s="53"/>
      <c r="E336" s="53"/>
      <c r="F336" s="126" t="s">
        <v>1331</v>
      </c>
      <c r="G336" s="125"/>
      <c r="H336" s="125">
        <v>0</v>
      </c>
      <c r="I336" s="133">
        <v>10</v>
      </c>
      <c r="J336" s="53"/>
      <c r="K336" s="53"/>
      <c r="L336" s="53"/>
      <c r="M336" s="53"/>
      <c r="N336" s="53"/>
      <c r="O336" s="53"/>
      <c r="P336" s="53"/>
      <c r="Q336" s="53"/>
      <c r="R336" s="53"/>
      <c r="S336" s="53"/>
      <c r="T336" s="53"/>
      <c r="U336" s="53"/>
      <c r="V336" s="53"/>
      <c r="W336" s="53"/>
      <c r="X336" s="53"/>
      <c r="Y336" s="53"/>
      <c r="Z336" s="53"/>
      <c r="AA336" s="53"/>
      <c r="AB336" s="53"/>
      <c r="AC336" s="53"/>
      <c r="AD336" s="53"/>
      <c r="AE336" s="53"/>
      <c r="AF336" s="63"/>
      <c r="AG336" s="64"/>
      <c r="AH336" s="65"/>
      <c r="AI336" s="65"/>
      <c r="AJ336" s="53"/>
      <c r="AK336" s="62"/>
      <c r="AL336" s="62"/>
      <c r="AM336" s="62"/>
      <c r="AN336" s="62"/>
      <c r="AO336" s="62"/>
      <c r="AP336" s="62"/>
      <c r="AQ336" s="62"/>
      <c r="AR336" s="62"/>
      <c r="AS336" s="62"/>
      <c r="AT336" s="62"/>
      <c r="AU336" s="62"/>
      <c r="AV336" s="62"/>
      <c r="AW336" s="62"/>
      <c r="AX336" s="62"/>
      <c r="AY336" s="62"/>
      <c r="AZ336" s="62"/>
      <c r="BA336" s="62"/>
      <c r="BB336" s="62"/>
      <c r="BC336" s="62"/>
      <c r="BD336" s="62"/>
      <c r="BE336" s="62"/>
      <c r="BF336" s="62"/>
      <c r="BG336" s="62"/>
      <c r="BH336" s="62"/>
      <c r="BI336" s="62"/>
      <c r="BJ336" s="62"/>
      <c r="BK336" s="62"/>
      <c r="BL336" s="62"/>
      <c r="BM336" s="62"/>
      <c r="BN336" s="62"/>
      <c r="BO336" s="62"/>
      <c r="BP336" s="62"/>
      <c r="BQ336" s="62"/>
      <c r="BR336" s="62"/>
      <c r="BS336" s="62"/>
      <c r="BT336" s="62"/>
      <c r="BU336" s="62"/>
      <c r="BV336" s="62"/>
      <c r="BW336" s="62"/>
      <c r="BX336" s="62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  <c r="HB336"/>
      <c r="HC336"/>
      <c r="HD336"/>
      <c r="HE336"/>
      <c r="HF336"/>
      <c r="HG336"/>
      <c r="HH336"/>
      <c r="HI336"/>
      <c r="HJ336"/>
      <c r="HK336"/>
      <c r="HL336"/>
      <c r="HM336"/>
      <c r="HN336"/>
      <c r="HO336"/>
      <c r="HP336"/>
      <c r="HQ336"/>
      <c r="HR336"/>
      <c r="HS336"/>
      <c r="HT336"/>
      <c r="HU336"/>
      <c r="HV336"/>
      <c r="HW336"/>
      <c r="HX336"/>
      <c r="HY336"/>
      <c r="HZ336"/>
      <c r="IA336"/>
      <c r="IB336"/>
      <c r="IC336"/>
      <c r="ID336"/>
      <c r="IE336"/>
      <c r="IF336"/>
      <c r="IG336"/>
      <c r="IH336"/>
      <c r="II336"/>
      <c r="IJ336"/>
      <c r="IK336"/>
      <c r="IL336"/>
      <c r="IM336"/>
      <c r="IN336"/>
      <c r="IO336"/>
      <c r="IP336"/>
      <c r="IQ336"/>
      <c r="IR336"/>
      <c r="IS336"/>
      <c r="IT336"/>
      <c r="IU336"/>
      <c r="IV336"/>
      <c r="IW336"/>
      <c r="IX336"/>
      <c r="IY336"/>
      <c r="IZ336"/>
      <c r="JA336"/>
      <c r="JB336"/>
      <c r="JC336"/>
      <c r="JD336"/>
      <c r="JE336"/>
      <c r="JF336"/>
      <c r="JG336"/>
      <c r="JH336"/>
      <c r="JI336"/>
      <c r="JJ336"/>
      <c r="JK336"/>
      <c r="JL336"/>
      <c r="JM336"/>
      <c r="JN336"/>
      <c r="JO336"/>
      <c r="JP336"/>
      <c r="JQ336"/>
      <c r="JR336"/>
      <c r="JS336"/>
      <c r="JT336"/>
      <c r="JU336"/>
      <c r="JV336"/>
      <c r="JW336"/>
      <c r="JX336"/>
      <c r="JY336"/>
      <c r="JZ336"/>
      <c r="KA336"/>
      <c r="KB336"/>
      <c r="KC336"/>
      <c r="KD336"/>
      <c r="KE336"/>
      <c r="KF336"/>
      <c r="KG336"/>
      <c r="KH336"/>
      <c r="KI336"/>
      <c r="KJ336"/>
      <c r="KK336"/>
      <c r="KL336"/>
      <c r="KM336"/>
      <c r="KN336"/>
      <c r="KO336"/>
      <c r="KP336"/>
      <c r="KQ336"/>
      <c r="KR336"/>
      <c r="KS336"/>
      <c r="KT336"/>
      <c r="KU336"/>
      <c r="KV336"/>
      <c r="KW336"/>
      <c r="KX336"/>
      <c r="KY336"/>
      <c r="KZ336"/>
      <c r="LA336"/>
      <c r="LB336"/>
      <c r="LC336"/>
      <c r="LD336"/>
      <c r="LE336"/>
      <c r="LF336"/>
      <c r="LG336"/>
      <c r="LH336"/>
      <c r="LI336"/>
      <c r="LJ336"/>
      <c r="LK336"/>
      <c r="LL336"/>
      <c r="LM336"/>
      <c r="LN336"/>
      <c r="LO336"/>
      <c r="LP336"/>
      <c r="LQ336"/>
      <c r="LR336"/>
      <c r="LS336"/>
      <c r="LT336"/>
      <c r="LU336"/>
      <c r="LV336"/>
      <c r="LW336"/>
      <c r="LX336"/>
      <c r="LY336"/>
      <c r="LZ336"/>
      <c r="MA336"/>
      <c r="MB336"/>
      <c r="MC336"/>
      <c r="MD336"/>
      <c r="ME336"/>
      <c r="MF336"/>
      <c r="MG336"/>
      <c r="MH336"/>
      <c r="MI336"/>
      <c r="MJ336"/>
      <c r="MK336"/>
      <c r="ML336"/>
      <c r="MM336"/>
      <c r="MN336"/>
      <c r="MO336"/>
      <c r="MP336"/>
      <c r="MQ336"/>
      <c r="MR336"/>
      <c r="MS336"/>
      <c r="MT336"/>
      <c r="MU336"/>
      <c r="MV336"/>
      <c r="MW336"/>
      <c r="MX336"/>
      <c r="MY336"/>
      <c r="MZ336"/>
      <c r="NA336"/>
      <c r="NB336"/>
      <c r="NC336"/>
      <c r="ND336"/>
      <c r="NE336"/>
      <c r="NF336"/>
      <c r="NG336"/>
      <c r="NH336"/>
      <c r="NI336"/>
      <c r="NJ336"/>
      <c r="NK336"/>
      <c r="NL336"/>
      <c r="NM336"/>
      <c r="NN336"/>
      <c r="NO336"/>
      <c r="NP336"/>
      <c r="NQ336"/>
      <c r="NR336"/>
      <c r="NS336"/>
      <c r="NT336"/>
      <c r="NU336"/>
      <c r="NV336"/>
      <c r="NW336"/>
      <c r="NX336"/>
      <c r="NY336"/>
      <c r="NZ336"/>
      <c r="OA336"/>
      <c r="OB336"/>
      <c r="OC336"/>
      <c r="OD336"/>
      <c r="OE336"/>
      <c r="OF336"/>
      <c r="OG336"/>
      <c r="OH336"/>
      <c r="OI336"/>
      <c r="OJ336"/>
      <c r="OK336"/>
      <c r="OL336"/>
      <c r="OM336"/>
      <c r="ON336"/>
      <c r="OO336"/>
      <c r="OP336"/>
      <c r="OQ336"/>
      <c r="OR336"/>
      <c r="OS336"/>
      <c r="OT336"/>
      <c r="OU336"/>
      <c r="OV336"/>
      <c r="OW336"/>
      <c r="OX336"/>
      <c r="OY336"/>
      <c r="OZ336"/>
      <c r="PA336"/>
      <c r="PB336"/>
      <c r="PC336"/>
      <c r="PD336"/>
      <c r="PE336"/>
      <c r="PF336"/>
      <c r="PG336"/>
      <c r="PH336"/>
      <c r="PI336"/>
      <c r="PJ336"/>
      <c r="PK336"/>
      <c r="PL336"/>
      <c r="PM336"/>
      <c r="PN336"/>
      <c r="PO336"/>
      <c r="PP336"/>
      <c r="PQ336"/>
      <c r="PR336"/>
      <c r="PS336"/>
      <c r="PT336"/>
      <c r="PU336"/>
      <c r="PV336"/>
      <c r="PW336"/>
      <c r="PX336"/>
      <c r="PY336"/>
      <c r="PZ336"/>
      <c r="QA336"/>
      <c r="QB336"/>
      <c r="QC336"/>
      <c r="QD336"/>
      <c r="QE336"/>
      <c r="QF336"/>
      <c r="QG336"/>
      <c r="QH336"/>
      <c r="QI336"/>
      <c r="QJ336"/>
      <c r="QK336"/>
      <c r="QL336"/>
      <c r="QM336"/>
      <c r="QN336"/>
      <c r="QO336"/>
      <c r="QP336"/>
      <c r="QQ336"/>
      <c r="QR336"/>
      <c r="QS336"/>
      <c r="QT336"/>
      <c r="QU336"/>
      <c r="QV336"/>
      <c r="QW336"/>
      <c r="QX336"/>
    </row>
    <row r="337" spans="1:466" x14ac:dyDescent="0.35">
      <c r="A337" s="53"/>
      <c r="B337" s="53"/>
      <c r="C337" s="55"/>
      <c r="D337" s="53"/>
      <c r="E337" s="53"/>
      <c r="F337" s="126" t="s">
        <v>1327</v>
      </c>
      <c r="G337" s="125"/>
      <c r="H337" s="125">
        <v>0</v>
      </c>
      <c r="I337" s="133">
        <v>3</v>
      </c>
      <c r="J337" s="53"/>
      <c r="K337" s="53"/>
      <c r="L337" s="53"/>
      <c r="M337" s="53"/>
      <c r="N337" s="53"/>
      <c r="O337" s="53"/>
      <c r="P337" s="53"/>
      <c r="Q337" s="53"/>
      <c r="R337" s="53"/>
      <c r="S337" s="53"/>
      <c r="T337" s="53"/>
      <c r="U337" s="53"/>
      <c r="V337" s="53"/>
      <c r="W337" s="53"/>
      <c r="X337" s="53"/>
      <c r="Y337" s="53"/>
      <c r="Z337" s="53"/>
      <c r="AA337" s="53"/>
      <c r="AB337" s="53"/>
      <c r="AC337" s="53"/>
      <c r="AD337" s="53"/>
      <c r="AE337" s="53"/>
      <c r="AF337" s="63"/>
      <c r="AG337" s="64"/>
      <c r="AH337" s="65"/>
      <c r="AI337" s="65"/>
      <c r="AJ337" s="53"/>
      <c r="AK337" s="62"/>
      <c r="AL337" s="62"/>
      <c r="AM337" s="62"/>
      <c r="AN337" s="62"/>
      <c r="AO337" s="62"/>
      <c r="AP337" s="62"/>
      <c r="AQ337" s="62"/>
      <c r="AR337" s="62"/>
      <c r="AS337" s="62"/>
      <c r="AT337" s="62"/>
      <c r="AU337" s="62"/>
      <c r="AV337" s="62"/>
      <c r="AW337" s="62"/>
      <c r="AX337" s="62"/>
      <c r="AY337" s="62"/>
      <c r="AZ337" s="62"/>
      <c r="BA337" s="62"/>
      <c r="BB337" s="62"/>
      <c r="BC337" s="62"/>
      <c r="BD337" s="62"/>
      <c r="BE337" s="62"/>
      <c r="BF337" s="62"/>
      <c r="BG337" s="62"/>
      <c r="BH337" s="62"/>
      <c r="BI337" s="62"/>
      <c r="BJ337" s="62"/>
      <c r="BK337" s="62"/>
      <c r="BL337" s="62"/>
      <c r="BM337" s="62"/>
      <c r="BN337" s="62"/>
      <c r="BO337" s="62"/>
      <c r="BP337" s="62"/>
      <c r="BQ337" s="62"/>
      <c r="BR337" s="62"/>
      <c r="BS337" s="62"/>
      <c r="BT337" s="62"/>
      <c r="BU337" s="62"/>
      <c r="BV337" s="62"/>
      <c r="BW337" s="62"/>
      <c r="BX337" s="62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  <c r="HB337"/>
      <c r="HC337"/>
      <c r="HD337"/>
      <c r="HE337"/>
      <c r="HF337"/>
      <c r="HG337"/>
      <c r="HH337"/>
      <c r="HI337"/>
      <c r="HJ337"/>
      <c r="HK337"/>
      <c r="HL337"/>
      <c r="HM337"/>
      <c r="HN337"/>
      <c r="HO337"/>
      <c r="HP337"/>
      <c r="HQ337"/>
      <c r="HR337"/>
      <c r="HS337"/>
      <c r="HT337"/>
      <c r="HU337"/>
      <c r="HV337"/>
      <c r="HW337"/>
      <c r="HX337"/>
      <c r="HY337"/>
      <c r="HZ337"/>
      <c r="IA337"/>
      <c r="IB337"/>
      <c r="IC337"/>
      <c r="ID337"/>
      <c r="IE337"/>
      <c r="IF337"/>
      <c r="IG337"/>
      <c r="IH337"/>
      <c r="II337"/>
      <c r="IJ337"/>
      <c r="IK337"/>
      <c r="IL337"/>
      <c r="IM337"/>
      <c r="IN337"/>
      <c r="IO337"/>
      <c r="IP337"/>
      <c r="IQ337"/>
      <c r="IR337"/>
      <c r="IS337"/>
      <c r="IT337"/>
      <c r="IU337"/>
      <c r="IV337"/>
      <c r="IW337"/>
      <c r="IX337"/>
      <c r="IY337"/>
      <c r="IZ337"/>
      <c r="JA337"/>
      <c r="JB337"/>
      <c r="JC337"/>
      <c r="JD337"/>
      <c r="JE337"/>
      <c r="JF337"/>
      <c r="JG337"/>
      <c r="JH337"/>
      <c r="JI337"/>
      <c r="JJ337"/>
      <c r="JK337"/>
      <c r="JL337"/>
      <c r="JM337"/>
      <c r="JN337"/>
      <c r="JO337"/>
      <c r="JP337"/>
      <c r="JQ337"/>
      <c r="JR337"/>
      <c r="JS337"/>
      <c r="JT337"/>
      <c r="JU337"/>
      <c r="JV337"/>
      <c r="JW337"/>
      <c r="JX337"/>
      <c r="JY337"/>
      <c r="JZ337"/>
      <c r="KA337"/>
      <c r="KB337"/>
      <c r="KC337"/>
      <c r="KD337"/>
      <c r="KE337"/>
      <c r="KF337"/>
      <c r="KG337"/>
      <c r="KH337"/>
      <c r="KI337"/>
      <c r="KJ337"/>
      <c r="KK337"/>
      <c r="KL337"/>
      <c r="KM337"/>
      <c r="KN337"/>
      <c r="KO337"/>
      <c r="KP337"/>
      <c r="KQ337"/>
      <c r="KR337"/>
      <c r="KS337"/>
      <c r="KT337"/>
      <c r="KU337"/>
      <c r="KV337"/>
      <c r="KW337"/>
      <c r="KX337"/>
      <c r="KY337"/>
      <c r="KZ337"/>
      <c r="LA337"/>
      <c r="LB337"/>
      <c r="LC337"/>
      <c r="LD337"/>
      <c r="LE337"/>
      <c r="LF337"/>
      <c r="LG337"/>
      <c r="LH337"/>
      <c r="LI337"/>
      <c r="LJ337"/>
      <c r="LK337"/>
      <c r="LL337"/>
      <c r="LM337"/>
      <c r="LN337"/>
      <c r="LO337"/>
      <c r="LP337"/>
      <c r="LQ337"/>
      <c r="LR337"/>
      <c r="LS337"/>
      <c r="LT337"/>
      <c r="LU337"/>
      <c r="LV337"/>
      <c r="LW337"/>
      <c r="LX337"/>
      <c r="LY337"/>
      <c r="LZ337"/>
      <c r="MA337"/>
      <c r="MB337"/>
      <c r="MC337"/>
      <c r="MD337"/>
      <c r="ME337"/>
      <c r="MF337"/>
      <c r="MG337"/>
      <c r="MH337"/>
      <c r="MI337"/>
      <c r="MJ337"/>
      <c r="MK337"/>
      <c r="ML337"/>
      <c r="MM337"/>
      <c r="MN337"/>
      <c r="MO337"/>
      <c r="MP337"/>
      <c r="MQ337"/>
      <c r="MR337"/>
      <c r="MS337"/>
      <c r="MT337"/>
      <c r="MU337"/>
      <c r="MV337"/>
      <c r="MW337"/>
      <c r="MX337"/>
      <c r="MY337"/>
      <c r="MZ337"/>
      <c r="NA337"/>
      <c r="NB337"/>
      <c r="NC337"/>
      <c r="ND337"/>
      <c r="NE337"/>
      <c r="NF337"/>
      <c r="NG337"/>
      <c r="NH337"/>
      <c r="NI337"/>
      <c r="NJ337"/>
      <c r="NK337"/>
      <c r="NL337"/>
      <c r="NM337"/>
      <c r="NN337"/>
      <c r="NO337"/>
      <c r="NP337"/>
      <c r="NQ337"/>
      <c r="NR337"/>
      <c r="NS337"/>
      <c r="NT337"/>
      <c r="NU337"/>
      <c r="NV337"/>
      <c r="NW337"/>
      <c r="NX337"/>
      <c r="NY337"/>
      <c r="NZ337"/>
      <c r="OA337"/>
      <c r="OB337"/>
      <c r="OC337"/>
      <c r="OD337"/>
      <c r="OE337"/>
      <c r="OF337"/>
      <c r="OG337"/>
      <c r="OH337"/>
      <c r="OI337"/>
      <c r="OJ337"/>
      <c r="OK337"/>
      <c r="OL337"/>
      <c r="OM337"/>
      <c r="ON337"/>
      <c r="OO337"/>
      <c r="OP337"/>
      <c r="OQ337"/>
      <c r="OR337"/>
      <c r="OS337"/>
      <c r="OT337"/>
      <c r="OU337"/>
      <c r="OV337"/>
      <c r="OW337"/>
      <c r="OX337"/>
      <c r="OY337"/>
      <c r="OZ337"/>
      <c r="PA337"/>
      <c r="PB337"/>
      <c r="PC337"/>
      <c r="PD337"/>
      <c r="PE337"/>
      <c r="PF337"/>
      <c r="PG337"/>
      <c r="PH337"/>
      <c r="PI337"/>
      <c r="PJ337"/>
      <c r="PK337"/>
      <c r="PL337"/>
      <c r="PM337"/>
      <c r="PN337"/>
      <c r="PO337"/>
      <c r="PP337"/>
      <c r="PQ337"/>
      <c r="PR337"/>
      <c r="PS337"/>
      <c r="PT337"/>
      <c r="PU337"/>
      <c r="PV337"/>
      <c r="PW337"/>
      <c r="PX337"/>
      <c r="PY337"/>
      <c r="PZ337"/>
      <c r="QA337"/>
      <c r="QB337"/>
      <c r="QC337"/>
      <c r="QD337"/>
      <c r="QE337"/>
      <c r="QF337"/>
      <c r="QG337"/>
      <c r="QH337"/>
      <c r="QI337"/>
      <c r="QJ337"/>
      <c r="QK337"/>
      <c r="QL337"/>
      <c r="QM337"/>
      <c r="QN337"/>
      <c r="QO337"/>
      <c r="QP337"/>
      <c r="QQ337"/>
      <c r="QR337"/>
      <c r="QS337"/>
      <c r="QT337"/>
      <c r="QU337"/>
      <c r="QV337"/>
      <c r="QW337"/>
      <c r="QX337"/>
    </row>
    <row r="338" spans="1:466" x14ac:dyDescent="0.35">
      <c r="A338" s="53"/>
      <c r="B338" s="53"/>
      <c r="C338" s="55"/>
      <c r="D338" s="53"/>
      <c r="E338" s="53"/>
      <c r="F338" s="126" t="s">
        <v>1336</v>
      </c>
      <c r="G338" s="125"/>
      <c r="H338" s="125">
        <v>0</v>
      </c>
      <c r="I338" s="133">
        <v>1</v>
      </c>
      <c r="J338" s="53"/>
      <c r="K338" s="53"/>
      <c r="L338" s="53"/>
      <c r="M338" s="53"/>
      <c r="N338" s="53"/>
      <c r="O338" s="53"/>
      <c r="P338" s="53"/>
      <c r="Q338" s="53"/>
      <c r="R338" s="53"/>
      <c r="S338" s="53"/>
      <c r="T338" s="53"/>
      <c r="U338" s="53"/>
      <c r="V338" s="53"/>
      <c r="W338" s="53"/>
      <c r="X338" s="53"/>
      <c r="Y338" s="53"/>
      <c r="Z338" s="53"/>
      <c r="AA338" s="53"/>
      <c r="AB338" s="53"/>
      <c r="AC338" s="53"/>
      <c r="AD338" s="53"/>
      <c r="AE338" s="53"/>
      <c r="AF338" s="63"/>
      <c r="AG338" s="64"/>
      <c r="AH338" s="65"/>
      <c r="AI338" s="65"/>
      <c r="AJ338" s="53"/>
      <c r="AK338" s="62"/>
      <c r="AL338" s="62"/>
      <c r="AM338" s="62"/>
      <c r="AN338" s="62"/>
      <c r="AO338" s="62"/>
      <c r="AP338" s="62"/>
      <c r="AQ338" s="62"/>
      <c r="AR338" s="62"/>
      <c r="AS338" s="62"/>
      <c r="AT338" s="62"/>
      <c r="AU338" s="62"/>
      <c r="AV338" s="62"/>
      <c r="AW338" s="62"/>
      <c r="AX338" s="62"/>
      <c r="AY338" s="62"/>
      <c r="AZ338" s="62"/>
      <c r="BA338" s="62"/>
      <c r="BB338" s="62"/>
      <c r="BC338" s="62"/>
      <c r="BD338" s="62"/>
      <c r="BE338" s="62"/>
      <c r="BF338" s="62"/>
      <c r="BG338" s="62"/>
      <c r="BH338" s="62"/>
      <c r="BI338" s="62"/>
      <c r="BJ338" s="62"/>
      <c r="BK338" s="62"/>
      <c r="BL338" s="62"/>
      <c r="BM338" s="62"/>
      <c r="BN338" s="62"/>
      <c r="BO338" s="62"/>
      <c r="BP338" s="62"/>
      <c r="BQ338" s="62"/>
      <c r="BR338" s="62"/>
      <c r="BS338" s="62"/>
      <c r="BT338" s="62"/>
      <c r="BU338" s="62"/>
      <c r="BV338" s="62"/>
      <c r="BW338" s="62"/>
      <c r="BX338" s="62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  <c r="HB338"/>
      <c r="HC338"/>
      <c r="HD338"/>
      <c r="HE338"/>
      <c r="HF338"/>
      <c r="HG338"/>
      <c r="HH338"/>
      <c r="HI338"/>
      <c r="HJ338"/>
      <c r="HK338"/>
      <c r="HL338"/>
      <c r="HM338"/>
      <c r="HN338"/>
      <c r="HO338"/>
      <c r="HP338"/>
      <c r="HQ338"/>
      <c r="HR338"/>
      <c r="HS338"/>
      <c r="HT338"/>
      <c r="HU338"/>
      <c r="HV338"/>
      <c r="HW338"/>
      <c r="HX338"/>
      <c r="HY338"/>
      <c r="HZ338"/>
      <c r="IA338"/>
      <c r="IB338"/>
      <c r="IC338"/>
      <c r="ID338"/>
      <c r="IE338"/>
      <c r="IF338"/>
      <c r="IG338"/>
      <c r="IH338"/>
      <c r="II338"/>
      <c r="IJ338"/>
      <c r="IK338"/>
      <c r="IL338"/>
      <c r="IM338"/>
      <c r="IN338"/>
      <c r="IO338"/>
      <c r="IP338"/>
      <c r="IQ338"/>
      <c r="IR338"/>
      <c r="IS338"/>
      <c r="IT338"/>
      <c r="IU338"/>
      <c r="IV338"/>
      <c r="IW338"/>
      <c r="IX338"/>
      <c r="IY338"/>
      <c r="IZ338"/>
      <c r="JA338"/>
      <c r="JB338"/>
      <c r="JC338"/>
      <c r="JD338"/>
      <c r="JE338"/>
      <c r="JF338"/>
      <c r="JG338"/>
      <c r="JH338"/>
      <c r="JI338"/>
      <c r="JJ338"/>
      <c r="JK338"/>
      <c r="JL338"/>
      <c r="JM338"/>
      <c r="JN338"/>
      <c r="JO338"/>
      <c r="JP338"/>
      <c r="JQ338"/>
      <c r="JR338"/>
      <c r="JS338"/>
      <c r="JT338"/>
      <c r="JU338"/>
      <c r="JV338"/>
      <c r="JW338"/>
      <c r="JX338"/>
      <c r="JY338"/>
      <c r="JZ338"/>
      <c r="KA338"/>
      <c r="KB338"/>
      <c r="KC338"/>
      <c r="KD338"/>
      <c r="KE338"/>
      <c r="KF338"/>
      <c r="KG338"/>
      <c r="KH338"/>
      <c r="KI338"/>
      <c r="KJ338"/>
      <c r="KK338"/>
      <c r="KL338"/>
      <c r="KM338"/>
      <c r="KN338"/>
      <c r="KO338"/>
      <c r="KP338"/>
      <c r="KQ338"/>
      <c r="KR338"/>
      <c r="KS338"/>
      <c r="KT338"/>
      <c r="KU338"/>
      <c r="KV338"/>
      <c r="KW338"/>
      <c r="KX338"/>
      <c r="KY338"/>
      <c r="KZ338"/>
      <c r="LA338"/>
      <c r="LB338"/>
      <c r="LC338"/>
      <c r="LD338"/>
      <c r="LE338"/>
      <c r="LF338"/>
      <c r="LG338"/>
      <c r="LH338"/>
      <c r="LI338"/>
      <c r="LJ338"/>
      <c r="LK338"/>
      <c r="LL338"/>
      <c r="LM338"/>
      <c r="LN338"/>
      <c r="LO338"/>
      <c r="LP338"/>
      <c r="LQ338"/>
      <c r="LR338"/>
      <c r="LS338"/>
      <c r="LT338"/>
      <c r="LU338"/>
      <c r="LV338"/>
      <c r="LW338"/>
      <c r="LX338"/>
      <c r="LY338"/>
      <c r="LZ338"/>
      <c r="MA338"/>
      <c r="MB338"/>
      <c r="MC338"/>
      <c r="MD338"/>
      <c r="ME338"/>
      <c r="MF338"/>
      <c r="MG338"/>
      <c r="MH338"/>
      <c r="MI338"/>
      <c r="MJ338"/>
      <c r="MK338"/>
      <c r="ML338"/>
      <c r="MM338"/>
      <c r="MN338"/>
      <c r="MO338"/>
      <c r="MP338"/>
      <c r="MQ338"/>
      <c r="MR338"/>
      <c r="MS338"/>
      <c r="MT338"/>
      <c r="MU338"/>
      <c r="MV338"/>
      <c r="MW338"/>
      <c r="MX338"/>
      <c r="MY338"/>
      <c r="MZ338"/>
      <c r="NA338"/>
      <c r="NB338"/>
      <c r="NC338"/>
      <c r="ND338"/>
      <c r="NE338"/>
      <c r="NF338"/>
      <c r="NG338"/>
      <c r="NH338"/>
      <c r="NI338"/>
      <c r="NJ338"/>
      <c r="NK338"/>
      <c r="NL338"/>
      <c r="NM338"/>
      <c r="NN338"/>
      <c r="NO338"/>
      <c r="NP338"/>
      <c r="NQ338"/>
      <c r="NR338"/>
      <c r="NS338"/>
      <c r="NT338"/>
      <c r="NU338"/>
      <c r="NV338"/>
      <c r="NW338"/>
      <c r="NX338"/>
      <c r="NY338"/>
      <c r="NZ338"/>
      <c r="OA338"/>
      <c r="OB338"/>
      <c r="OC338"/>
      <c r="OD338"/>
      <c r="OE338"/>
      <c r="OF338"/>
      <c r="OG338"/>
      <c r="OH338"/>
      <c r="OI338"/>
      <c r="OJ338"/>
      <c r="OK338"/>
      <c r="OL338"/>
      <c r="OM338"/>
      <c r="ON338"/>
      <c r="OO338"/>
      <c r="OP338"/>
      <c r="OQ338"/>
      <c r="OR338"/>
      <c r="OS338"/>
      <c r="OT338"/>
      <c r="OU338"/>
      <c r="OV338"/>
      <c r="OW338"/>
      <c r="OX338"/>
      <c r="OY338"/>
      <c r="OZ338"/>
      <c r="PA338"/>
      <c r="PB338"/>
      <c r="PC338"/>
      <c r="PD338"/>
      <c r="PE338"/>
      <c r="PF338"/>
      <c r="PG338"/>
      <c r="PH338"/>
      <c r="PI338"/>
      <c r="PJ338"/>
      <c r="PK338"/>
      <c r="PL338"/>
      <c r="PM338"/>
      <c r="PN338"/>
      <c r="PO338"/>
      <c r="PP338"/>
      <c r="PQ338"/>
      <c r="PR338"/>
      <c r="PS338"/>
      <c r="PT338"/>
      <c r="PU338"/>
      <c r="PV338"/>
      <c r="PW338"/>
      <c r="PX338"/>
      <c r="PY338"/>
      <c r="PZ338"/>
      <c r="QA338"/>
      <c r="QB338"/>
      <c r="QC338"/>
      <c r="QD338"/>
      <c r="QE338"/>
      <c r="QF338"/>
      <c r="QG338"/>
      <c r="QH338"/>
      <c r="QI338"/>
      <c r="QJ338"/>
      <c r="QK338"/>
      <c r="QL338"/>
      <c r="QM338"/>
      <c r="QN338"/>
      <c r="QO338"/>
      <c r="QP338"/>
      <c r="QQ338"/>
      <c r="QR338"/>
      <c r="QS338"/>
      <c r="QT338"/>
      <c r="QU338"/>
      <c r="QV338"/>
      <c r="QW338"/>
      <c r="QX338"/>
    </row>
    <row r="339" spans="1:466" x14ac:dyDescent="0.35">
      <c r="A339" s="53"/>
      <c r="B339" s="53"/>
      <c r="C339" s="55"/>
      <c r="D339" s="53"/>
      <c r="E339" s="53"/>
      <c r="F339" s="126" t="s">
        <v>1330</v>
      </c>
      <c r="G339" s="125"/>
      <c r="H339" s="125">
        <v>0</v>
      </c>
      <c r="I339" s="133">
        <v>5</v>
      </c>
      <c r="J339" s="53"/>
      <c r="K339" s="53"/>
      <c r="L339" s="53"/>
      <c r="M339" s="53"/>
      <c r="N339" s="53"/>
      <c r="O339" s="53"/>
      <c r="P339" s="53"/>
      <c r="Q339" s="53"/>
      <c r="R339" s="53"/>
      <c r="S339" s="53"/>
      <c r="T339" s="53"/>
      <c r="U339" s="53"/>
      <c r="V339" s="53"/>
      <c r="W339" s="53"/>
      <c r="X339" s="53"/>
      <c r="Y339" s="53"/>
      <c r="Z339" s="53"/>
      <c r="AA339" s="53"/>
      <c r="AB339" s="53"/>
      <c r="AC339" s="53"/>
      <c r="AD339" s="53"/>
      <c r="AE339" s="53"/>
      <c r="AF339" s="63"/>
      <c r="AG339" s="64"/>
      <c r="AH339" s="65"/>
      <c r="AI339" s="65"/>
      <c r="AJ339" s="53"/>
      <c r="AK339" s="62"/>
      <c r="AL339" s="62"/>
      <c r="AM339" s="62"/>
      <c r="AN339" s="62"/>
      <c r="AO339" s="62"/>
      <c r="AP339" s="62"/>
      <c r="AQ339" s="62"/>
      <c r="AR339" s="62"/>
      <c r="AS339" s="62"/>
      <c r="AT339" s="62"/>
      <c r="AU339" s="62"/>
      <c r="AV339" s="62"/>
      <c r="AW339" s="62"/>
      <c r="AX339" s="62"/>
      <c r="AY339" s="62"/>
      <c r="AZ339" s="62"/>
      <c r="BA339" s="62"/>
      <c r="BB339" s="62"/>
      <c r="BC339" s="62"/>
      <c r="BD339" s="62"/>
      <c r="BE339" s="62"/>
      <c r="BF339" s="62"/>
      <c r="BG339" s="62"/>
      <c r="BH339" s="62"/>
      <c r="BI339" s="62"/>
      <c r="BJ339" s="62"/>
      <c r="BK339" s="62"/>
      <c r="BL339" s="62"/>
      <c r="BM339" s="62"/>
      <c r="BN339" s="62"/>
      <c r="BO339" s="62"/>
      <c r="BP339" s="62"/>
      <c r="BQ339" s="62"/>
      <c r="BR339" s="62"/>
      <c r="BS339" s="62"/>
      <c r="BT339" s="62"/>
      <c r="BU339" s="62"/>
      <c r="BV339" s="62"/>
      <c r="BW339" s="62"/>
      <c r="BX339" s="62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  <c r="HB339"/>
      <c r="HC339"/>
      <c r="HD339"/>
      <c r="HE339"/>
      <c r="HF339"/>
      <c r="HG339"/>
      <c r="HH339"/>
      <c r="HI339"/>
      <c r="HJ339"/>
      <c r="HK339"/>
      <c r="HL339"/>
      <c r="HM339"/>
      <c r="HN339"/>
      <c r="HO339"/>
      <c r="HP339"/>
      <c r="HQ339"/>
      <c r="HR339"/>
      <c r="HS339"/>
      <c r="HT339"/>
      <c r="HU339"/>
      <c r="HV339"/>
      <c r="HW339"/>
      <c r="HX339"/>
      <c r="HY339"/>
      <c r="HZ339"/>
      <c r="IA339"/>
      <c r="IB339"/>
      <c r="IC339"/>
      <c r="ID339"/>
      <c r="IE339"/>
      <c r="IF339"/>
      <c r="IG339"/>
      <c r="IH339"/>
      <c r="II339"/>
      <c r="IJ339"/>
      <c r="IK339"/>
      <c r="IL339"/>
      <c r="IM339"/>
      <c r="IN339"/>
      <c r="IO339"/>
      <c r="IP339"/>
      <c r="IQ339"/>
      <c r="IR339"/>
      <c r="IS339"/>
      <c r="IT339"/>
      <c r="IU339"/>
      <c r="IV339"/>
      <c r="IW339"/>
      <c r="IX339"/>
      <c r="IY339"/>
      <c r="IZ339"/>
      <c r="JA339"/>
      <c r="JB339"/>
      <c r="JC339"/>
      <c r="JD339"/>
      <c r="JE339"/>
      <c r="JF339"/>
      <c r="JG339"/>
      <c r="JH339"/>
      <c r="JI339"/>
      <c r="JJ339"/>
      <c r="JK339"/>
      <c r="JL339"/>
      <c r="JM339"/>
      <c r="JN339"/>
      <c r="JO339"/>
      <c r="JP339"/>
      <c r="JQ339"/>
      <c r="JR339"/>
      <c r="JS339"/>
      <c r="JT339"/>
      <c r="JU339"/>
      <c r="JV339"/>
      <c r="JW339"/>
      <c r="JX339"/>
      <c r="JY339"/>
      <c r="JZ339"/>
      <c r="KA339"/>
      <c r="KB339"/>
      <c r="KC339"/>
      <c r="KD339"/>
      <c r="KE339"/>
      <c r="KF339"/>
      <c r="KG339"/>
      <c r="KH339"/>
      <c r="KI339"/>
      <c r="KJ339"/>
      <c r="KK339"/>
      <c r="KL339"/>
      <c r="KM339"/>
      <c r="KN339"/>
      <c r="KO339"/>
      <c r="KP339"/>
      <c r="KQ339"/>
      <c r="KR339"/>
      <c r="KS339"/>
      <c r="KT339"/>
      <c r="KU339"/>
      <c r="KV339"/>
      <c r="KW339"/>
      <c r="KX339"/>
      <c r="KY339"/>
      <c r="KZ339"/>
      <c r="LA339"/>
      <c r="LB339"/>
      <c r="LC339"/>
      <c r="LD339"/>
      <c r="LE339"/>
      <c r="LF339"/>
      <c r="LG339"/>
      <c r="LH339"/>
      <c r="LI339"/>
      <c r="LJ339"/>
      <c r="LK339"/>
      <c r="LL339"/>
      <c r="LM339"/>
      <c r="LN339"/>
      <c r="LO339"/>
      <c r="LP339"/>
      <c r="LQ339"/>
      <c r="LR339"/>
      <c r="LS339"/>
      <c r="LT339"/>
      <c r="LU339"/>
      <c r="LV339"/>
      <c r="LW339"/>
      <c r="LX339"/>
      <c r="LY339"/>
      <c r="LZ339"/>
      <c r="MA339"/>
      <c r="MB339"/>
      <c r="MC339"/>
      <c r="MD339"/>
      <c r="ME339"/>
      <c r="MF339"/>
      <c r="MG339"/>
      <c r="MH339"/>
      <c r="MI339"/>
      <c r="MJ339"/>
      <c r="MK339"/>
      <c r="ML339"/>
      <c r="MM339"/>
      <c r="MN339"/>
      <c r="MO339"/>
      <c r="MP339"/>
      <c r="MQ339"/>
      <c r="MR339"/>
      <c r="MS339"/>
      <c r="MT339"/>
      <c r="MU339"/>
      <c r="MV339"/>
      <c r="MW339"/>
      <c r="MX339"/>
      <c r="MY339"/>
      <c r="MZ339"/>
      <c r="NA339"/>
      <c r="NB339"/>
      <c r="NC339"/>
      <c r="ND339"/>
      <c r="NE339"/>
      <c r="NF339"/>
      <c r="NG339"/>
      <c r="NH339"/>
      <c r="NI339"/>
      <c r="NJ339"/>
      <c r="NK339"/>
      <c r="NL339"/>
      <c r="NM339"/>
      <c r="NN339"/>
      <c r="NO339"/>
      <c r="NP339"/>
      <c r="NQ339"/>
      <c r="NR339"/>
      <c r="NS339"/>
      <c r="NT339"/>
      <c r="NU339"/>
      <c r="NV339"/>
      <c r="NW339"/>
      <c r="NX339"/>
      <c r="NY339"/>
      <c r="NZ339"/>
      <c r="OA339"/>
      <c r="OB339"/>
      <c r="OC339"/>
      <c r="OD339"/>
      <c r="OE339"/>
      <c r="OF339"/>
      <c r="OG339"/>
      <c r="OH339"/>
      <c r="OI339"/>
      <c r="OJ339"/>
      <c r="OK339"/>
      <c r="OL339"/>
      <c r="OM339"/>
      <c r="ON339"/>
      <c r="OO339"/>
      <c r="OP339"/>
      <c r="OQ339"/>
      <c r="OR339"/>
      <c r="OS339"/>
      <c r="OT339"/>
      <c r="OU339"/>
      <c r="OV339"/>
      <c r="OW339"/>
      <c r="OX339"/>
      <c r="OY339"/>
      <c r="OZ339"/>
      <c r="PA339"/>
      <c r="PB339"/>
      <c r="PC339"/>
      <c r="PD339"/>
      <c r="PE339"/>
      <c r="PF339"/>
      <c r="PG339"/>
      <c r="PH339"/>
      <c r="PI339"/>
      <c r="PJ339"/>
      <c r="PK339"/>
      <c r="PL339"/>
      <c r="PM339"/>
      <c r="PN339"/>
      <c r="PO339"/>
      <c r="PP339"/>
      <c r="PQ339"/>
      <c r="PR339"/>
      <c r="PS339"/>
      <c r="PT339"/>
      <c r="PU339"/>
      <c r="PV339"/>
      <c r="PW339"/>
      <c r="PX339"/>
      <c r="PY339"/>
      <c r="PZ339"/>
      <c r="QA339"/>
      <c r="QB339"/>
      <c r="QC339"/>
      <c r="QD339"/>
      <c r="QE339"/>
      <c r="QF339"/>
      <c r="QG339"/>
      <c r="QH339"/>
      <c r="QI339"/>
      <c r="QJ339"/>
      <c r="QK339"/>
      <c r="QL339"/>
      <c r="QM339"/>
      <c r="QN339"/>
      <c r="QO339"/>
      <c r="QP339"/>
      <c r="QQ339"/>
      <c r="QR339"/>
      <c r="QS339"/>
      <c r="QT339"/>
      <c r="QU339"/>
      <c r="QV339"/>
      <c r="QW339"/>
      <c r="QX339"/>
    </row>
    <row r="340" spans="1:466" x14ac:dyDescent="0.35">
      <c r="A340" s="53"/>
      <c r="B340" s="53"/>
      <c r="C340" s="55"/>
      <c r="D340" s="53"/>
      <c r="E340" s="53"/>
      <c r="F340" s="126" t="s">
        <v>1329</v>
      </c>
      <c r="G340" s="125"/>
      <c r="H340" s="125">
        <v>0</v>
      </c>
      <c r="I340" s="133">
        <v>7</v>
      </c>
      <c r="J340" s="53"/>
      <c r="K340" s="53"/>
      <c r="L340" s="53"/>
      <c r="M340" s="53"/>
      <c r="N340" s="53"/>
      <c r="O340" s="53"/>
      <c r="P340" s="53"/>
      <c r="Q340" s="53"/>
      <c r="R340" s="53"/>
      <c r="S340" s="53"/>
      <c r="T340" s="53"/>
      <c r="U340" s="53"/>
      <c r="V340" s="53"/>
      <c r="W340" s="53"/>
      <c r="X340" s="53"/>
      <c r="Y340" s="53"/>
      <c r="Z340" s="53"/>
      <c r="AA340" s="53"/>
      <c r="AB340" s="53"/>
      <c r="AC340" s="53"/>
      <c r="AD340" s="53"/>
      <c r="AE340" s="53"/>
      <c r="AF340" s="63"/>
      <c r="AG340" s="64"/>
      <c r="AH340" s="65"/>
      <c r="AI340" s="65"/>
      <c r="AJ340" s="53"/>
      <c r="AK340" s="62"/>
      <c r="AL340" s="62"/>
      <c r="AM340" s="62"/>
      <c r="AN340" s="62"/>
      <c r="AO340" s="62"/>
      <c r="AP340" s="62"/>
      <c r="AQ340" s="62"/>
      <c r="AR340" s="62"/>
      <c r="AS340" s="62"/>
      <c r="AT340" s="62"/>
      <c r="AU340" s="62"/>
      <c r="AV340" s="62"/>
      <c r="AW340" s="62"/>
      <c r="AX340" s="62"/>
      <c r="AY340" s="62"/>
      <c r="AZ340" s="62"/>
      <c r="BA340" s="62"/>
      <c r="BB340" s="62"/>
      <c r="BC340" s="62"/>
      <c r="BD340" s="62"/>
      <c r="BE340" s="62"/>
      <c r="BF340" s="62"/>
      <c r="BG340" s="62"/>
      <c r="BH340" s="62"/>
      <c r="BI340" s="62"/>
      <c r="BJ340" s="62"/>
      <c r="BK340" s="62"/>
      <c r="BL340" s="62"/>
      <c r="BM340" s="62"/>
      <c r="BN340" s="62"/>
      <c r="BO340" s="62"/>
      <c r="BP340" s="62"/>
      <c r="BQ340" s="62"/>
      <c r="BR340" s="62"/>
      <c r="BS340" s="62"/>
      <c r="BT340" s="62"/>
      <c r="BU340" s="62"/>
      <c r="BV340" s="62"/>
      <c r="BW340" s="62"/>
      <c r="BX340" s="62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  <c r="HB340"/>
      <c r="HC340"/>
      <c r="HD340"/>
      <c r="HE340"/>
      <c r="HF340"/>
      <c r="HG340"/>
      <c r="HH340"/>
      <c r="HI340"/>
      <c r="HJ340"/>
      <c r="HK340"/>
      <c r="HL340"/>
      <c r="HM340"/>
      <c r="HN340"/>
      <c r="HO340"/>
      <c r="HP340"/>
      <c r="HQ340"/>
      <c r="HR340"/>
      <c r="HS340"/>
      <c r="HT340"/>
      <c r="HU340"/>
      <c r="HV340"/>
      <c r="HW340"/>
      <c r="HX340"/>
      <c r="HY340"/>
      <c r="HZ340"/>
      <c r="IA340"/>
      <c r="IB340"/>
      <c r="IC340"/>
      <c r="ID340"/>
      <c r="IE340"/>
      <c r="IF340"/>
      <c r="IG340"/>
      <c r="IH340"/>
      <c r="II340"/>
      <c r="IJ340"/>
      <c r="IK340"/>
      <c r="IL340"/>
      <c r="IM340"/>
      <c r="IN340"/>
      <c r="IO340"/>
      <c r="IP340"/>
      <c r="IQ340"/>
      <c r="IR340"/>
      <c r="IS340"/>
      <c r="IT340"/>
      <c r="IU340"/>
      <c r="IV340"/>
      <c r="IW340"/>
      <c r="IX340"/>
      <c r="IY340"/>
      <c r="IZ340"/>
      <c r="JA340"/>
      <c r="JB340"/>
      <c r="JC340"/>
      <c r="JD340"/>
      <c r="JE340"/>
      <c r="JF340"/>
      <c r="JG340"/>
      <c r="JH340"/>
      <c r="JI340"/>
      <c r="JJ340"/>
      <c r="JK340"/>
      <c r="JL340"/>
      <c r="JM340"/>
      <c r="JN340"/>
      <c r="JO340"/>
      <c r="JP340"/>
      <c r="JQ340"/>
      <c r="JR340"/>
      <c r="JS340"/>
      <c r="JT340"/>
      <c r="JU340"/>
      <c r="JV340"/>
      <c r="JW340"/>
      <c r="JX340"/>
      <c r="JY340"/>
      <c r="JZ340"/>
      <c r="KA340"/>
      <c r="KB340"/>
      <c r="KC340"/>
      <c r="KD340"/>
      <c r="KE340"/>
      <c r="KF340"/>
      <c r="KG340"/>
      <c r="KH340"/>
      <c r="KI340"/>
      <c r="KJ340"/>
      <c r="KK340"/>
      <c r="KL340"/>
      <c r="KM340"/>
      <c r="KN340"/>
      <c r="KO340"/>
      <c r="KP340"/>
      <c r="KQ340"/>
      <c r="KR340"/>
      <c r="KS340"/>
      <c r="KT340"/>
      <c r="KU340"/>
      <c r="KV340"/>
      <c r="KW340"/>
      <c r="KX340"/>
      <c r="KY340"/>
      <c r="KZ340"/>
      <c r="LA340"/>
      <c r="LB340"/>
      <c r="LC340"/>
      <c r="LD340"/>
      <c r="LE340"/>
      <c r="LF340"/>
      <c r="LG340"/>
      <c r="LH340"/>
      <c r="LI340"/>
      <c r="LJ340"/>
      <c r="LK340"/>
      <c r="LL340"/>
      <c r="LM340"/>
      <c r="LN340"/>
      <c r="LO340"/>
      <c r="LP340"/>
      <c r="LQ340"/>
      <c r="LR340"/>
      <c r="LS340"/>
      <c r="LT340"/>
      <c r="LU340"/>
      <c r="LV340"/>
      <c r="LW340"/>
      <c r="LX340"/>
      <c r="LY340"/>
      <c r="LZ340"/>
      <c r="MA340"/>
      <c r="MB340"/>
      <c r="MC340"/>
      <c r="MD340"/>
      <c r="ME340"/>
      <c r="MF340"/>
      <c r="MG340"/>
      <c r="MH340"/>
      <c r="MI340"/>
      <c r="MJ340"/>
      <c r="MK340"/>
      <c r="ML340"/>
      <c r="MM340"/>
      <c r="MN340"/>
      <c r="MO340"/>
      <c r="MP340"/>
      <c r="MQ340"/>
      <c r="MR340"/>
      <c r="MS340"/>
      <c r="MT340"/>
      <c r="MU340"/>
      <c r="MV340"/>
      <c r="MW340"/>
      <c r="MX340"/>
      <c r="MY340"/>
      <c r="MZ340"/>
      <c r="NA340"/>
      <c r="NB340"/>
      <c r="NC340"/>
      <c r="ND340"/>
      <c r="NE340"/>
      <c r="NF340"/>
      <c r="NG340"/>
      <c r="NH340"/>
      <c r="NI340"/>
      <c r="NJ340"/>
      <c r="NK340"/>
      <c r="NL340"/>
      <c r="NM340"/>
      <c r="NN340"/>
      <c r="NO340"/>
      <c r="NP340"/>
      <c r="NQ340"/>
      <c r="NR340"/>
      <c r="NS340"/>
      <c r="NT340"/>
      <c r="NU340"/>
      <c r="NV340"/>
      <c r="NW340"/>
      <c r="NX340"/>
      <c r="NY340"/>
      <c r="NZ340"/>
      <c r="OA340"/>
      <c r="OB340"/>
      <c r="OC340"/>
      <c r="OD340"/>
      <c r="OE340"/>
      <c r="OF340"/>
      <c r="OG340"/>
      <c r="OH340"/>
      <c r="OI340"/>
      <c r="OJ340"/>
      <c r="OK340"/>
      <c r="OL340"/>
      <c r="OM340"/>
      <c r="ON340"/>
      <c r="OO340"/>
      <c r="OP340"/>
      <c r="OQ340"/>
      <c r="OR340"/>
      <c r="OS340"/>
      <c r="OT340"/>
      <c r="OU340"/>
      <c r="OV340"/>
      <c r="OW340"/>
      <c r="OX340"/>
      <c r="OY340"/>
      <c r="OZ340"/>
      <c r="PA340"/>
      <c r="PB340"/>
      <c r="PC340"/>
      <c r="PD340"/>
      <c r="PE340"/>
      <c r="PF340"/>
      <c r="PG340"/>
      <c r="PH340"/>
      <c r="PI340"/>
      <c r="PJ340"/>
      <c r="PK340"/>
      <c r="PL340"/>
      <c r="PM340"/>
      <c r="PN340"/>
      <c r="PO340"/>
      <c r="PP340"/>
      <c r="PQ340"/>
      <c r="PR340"/>
      <c r="PS340"/>
      <c r="PT340"/>
      <c r="PU340"/>
      <c r="PV340"/>
      <c r="PW340"/>
      <c r="PX340"/>
      <c r="PY340"/>
      <c r="PZ340"/>
      <c r="QA340"/>
      <c r="QB340"/>
      <c r="QC340"/>
      <c r="QD340"/>
      <c r="QE340"/>
      <c r="QF340"/>
      <c r="QG340"/>
      <c r="QH340"/>
      <c r="QI340"/>
      <c r="QJ340"/>
      <c r="QK340"/>
      <c r="QL340"/>
      <c r="QM340"/>
      <c r="QN340"/>
      <c r="QO340"/>
      <c r="QP340"/>
      <c r="QQ340"/>
      <c r="QR340"/>
      <c r="QS340"/>
      <c r="QT340"/>
      <c r="QU340"/>
      <c r="QV340"/>
      <c r="QW340"/>
      <c r="QX340"/>
    </row>
    <row r="341" spans="1:466" x14ac:dyDescent="0.35">
      <c r="A341" s="53"/>
      <c r="B341" s="53"/>
      <c r="C341" s="55"/>
      <c r="D341" s="53"/>
      <c r="E341" s="53"/>
      <c r="F341" s="126" t="s">
        <v>1322</v>
      </c>
      <c r="G341" s="125"/>
      <c r="H341" s="125">
        <v>0</v>
      </c>
      <c r="I341" s="133">
        <v>0</v>
      </c>
      <c r="J341" s="53"/>
      <c r="K341" s="53"/>
      <c r="L341" s="53"/>
      <c r="M341" s="53"/>
      <c r="N341" s="53"/>
      <c r="O341" s="53"/>
      <c r="P341" s="53"/>
      <c r="Q341" s="53"/>
      <c r="R341" s="53"/>
      <c r="S341" s="53"/>
      <c r="T341" s="53"/>
      <c r="U341" s="53"/>
      <c r="V341" s="53"/>
      <c r="W341" s="53"/>
      <c r="X341" s="53"/>
      <c r="Y341" s="53"/>
      <c r="Z341" s="53"/>
      <c r="AA341" s="53"/>
      <c r="AB341" s="53"/>
      <c r="AC341" s="53"/>
      <c r="AD341" s="53"/>
      <c r="AE341" s="53"/>
      <c r="AF341" s="63"/>
      <c r="AG341" s="64"/>
      <c r="AH341" s="65"/>
      <c r="AI341" s="65"/>
      <c r="AJ341" s="53"/>
      <c r="AK341" s="62"/>
      <c r="AL341" s="62"/>
      <c r="AM341" s="62"/>
      <c r="AN341" s="62"/>
      <c r="AO341" s="62"/>
      <c r="AP341" s="62"/>
      <c r="AQ341" s="62"/>
      <c r="AR341" s="62"/>
      <c r="AS341" s="62"/>
      <c r="AT341" s="62"/>
      <c r="AU341" s="62"/>
      <c r="AV341" s="62"/>
      <c r="AW341" s="62"/>
      <c r="AX341" s="62"/>
      <c r="AY341" s="62"/>
      <c r="AZ341" s="62"/>
      <c r="BA341" s="62"/>
      <c r="BB341" s="62"/>
      <c r="BC341" s="62"/>
      <c r="BD341" s="62"/>
      <c r="BE341" s="62"/>
      <c r="BF341" s="62"/>
      <c r="BG341" s="62"/>
      <c r="BH341" s="62"/>
      <c r="BI341" s="62"/>
      <c r="BJ341" s="62"/>
      <c r="BK341" s="62"/>
      <c r="BL341" s="62"/>
      <c r="BM341" s="62"/>
      <c r="BN341" s="62"/>
      <c r="BO341" s="62"/>
      <c r="BP341" s="62"/>
      <c r="BQ341" s="62"/>
      <c r="BR341" s="62"/>
      <c r="BS341" s="62"/>
      <c r="BT341" s="62"/>
      <c r="BU341" s="62"/>
      <c r="BV341" s="62"/>
      <c r="BW341" s="62"/>
      <c r="BX341" s="62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  <c r="HB341"/>
      <c r="HC341"/>
      <c r="HD341"/>
      <c r="HE341"/>
      <c r="HF341"/>
      <c r="HG341"/>
      <c r="HH341"/>
      <c r="HI341"/>
      <c r="HJ341"/>
      <c r="HK341"/>
      <c r="HL341"/>
      <c r="HM341"/>
      <c r="HN341"/>
      <c r="HO341"/>
      <c r="HP341"/>
      <c r="HQ341"/>
      <c r="HR341"/>
      <c r="HS341"/>
      <c r="HT341"/>
      <c r="HU341"/>
      <c r="HV341"/>
      <c r="HW341"/>
      <c r="HX341"/>
      <c r="HY341"/>
      <c r="HZ341"/>
      <c r="IA341"/>
      <c r="IB341"/>
      <c r="IC341"/>
      <c r="ID341"/>
      <c r="IE341"/>
      <c r="IF341"/>
      <c r="IG341"/>
      <c r="IH341"/>
      <c r="II341"/>
      <c r="IJ341"/>
      <c r="IK341"/>
      <c r="IL341"/>
      <c r="IM341"/>
      <c r="IN341"/>
      <c r="IO341"/>
      <c r="IP341"/>
      <c r="IQ341"/>
      <c r="IR341"/>
      <c r="IS341"/>
      <c r="IT341"/>
      <c r="IU341"/>
      <c r="IV341"/>
      <c r="IW341"/>
      <c r="IX341"/>
      <c r="IY341"/>
      <c r="IZ341"/>
      <c r="JA341"/>
      <c r="JB341"/>
      <c r="JC341"/>
      <c r="JD341"/>
      <c r="JE341"/>
      <c r="JF341"/>
      <c r="JG341"/>
      <c r="JH341"/>
      <c r="JI341"/>
      <c r="JJ341"/>
      <c r="JK341"/>
      <c r="JL341"/>
      <c r="JM341"/>
      <c r="JN341"/>
      <c r="JO341"/>
      <c r="JP341"/>
      <c r="JQ341"/>
      <c r="JR341"/>
      <c r="JS341"/>
      <c r="JT341"/>
      <c r="JU341"/>
      <c r="JV341"/>
      <c r="JW341"/>
      <c r="JX341"/>
      <c r="JY341"/>
      <c r="JZ341"/>
      <c r="KA341"/>
      <c r="KB341"/>
      <c r="KC341"/>
      <c r="KD341"/>
      <c r="KE341"/>
      <c r="KF341"/>
      <c r="KG341"/>
      <c r="KH341"/>
      <c r="KI341"/>
      <c r="KJ341"/>
      <c r="KK341"/>
      <c r="KL341"/>
      <c r="KM341"/>
      <c r="KN341"/>
      <c r="KO341"/>
      <c r="KP341"/>
      <c r="KQ341"/>
      <c r="KR341"/>
      <c r="KS341"/>
      <c r="KT341"/>
      <c r="KU341"/>
      <c r="KV341"/>
      <c r="KW341"/>
      <c r="KX341"/>
      <c r="KY341"/>
      <c r="KZ341"/>
      <c r="LA341"/>
      <c r="LB341"/>
      <c r="LC341"/>
      <c r="LD341"/>
      <c r="LE341"/>
      <c r="LF341"/>
      <c r="LG341"/>
      <c r="LH341"/>
      <c r="LI341"/>
      <c r="LJ341"/>
      <c r="LK341"/>
      <c r="LL341"/>
      <c r="LM341"/>
      <c r="LN341"/>
      <c r="LO341"/>
      <c r="LP341"/>
      <c r="LQ341"/>
      <c r="LR341"/>
      <c r="LS341"/>
      <c r="LT341"/>
      <c r="LU341"/>
      <c r="LV341"/>
      <c r="LW341"/>
      <c r="LX341"/>
      <c r="LY341"/>
      <c r="LZ341"/>
      <c r="MA341"/>
      <c r="MB341"/>
      <c r="MC341"/>
      <c r="MD341"/>
      <c r="ME341"/>
      <c r="MF341"/>
      <c r="MG341"/>
      <c r="MH341"/>
      <c r="MI341"/>
      <c r="MJ341"/>
      <c r="MK341"/>
      <c r="ML341"/>
      <c r="MM341"/>
      <c r="MN341"/>
      <c r="MO341"/>
      <c r="MP341"/>
      <c r="MQ341"/>
      <c r="MR341"/>
      <c r="MS341"/>
      <c r="MT341"/>
      <c r="MU341"/>
      <c r="MV341"/>
      <c r="MW341"/>
      <c r="MX341"/>
      <c r="MY341"/>
      <c r="MZ341"/>
      <c r="NA341"/>
      <c r="NB341"/>
      <c r="NC341"/>
      <c r="ND341"/>
      <c r="NE341"/>
      <c r="NF341"/>
      <c r="NG341"/>
      <c r="NH341"/>
      <c r="NI341"/>
      <c r="NJ341"/>
      <c r="NK341"/>
      <c r="NL341"/>
      <c r="NM341"/>
      <c r="NN341"/>
      <c r="NO341"/>
      <c r="NP341"/>
      <c r="NQ341"/>
      <c r="NR341"/>
      <c r="NS341"/>
      <c r="NT341"/>
      <c r="NU341"/>
      <c r="NV341"/>
      <c r="NW341"/>
      <c r="NX341"/>
      <c r="NY341"/>
      <c r="NZ341"/>
      <c r="OA341"/>
      <c r="OB341"/>
      <c r="OC341"/>
      <c r="OD341"/>
      <c r="OE341"/>
      <c r="OF341"/>
      <c r="OG341"/>
      <c r="OH341"/>
      <c r="OI341"/>
      <c r="OJ341"/>
      <c r="OK341"/>
      <c r="OL341"/>
      <c r="OM341"/>
      <c r="ON341"/>
      <c r="OO341"/>
      <c r="OP341"/>
      <c r="OQ341"/>
      <c r="OR341"/>
      <c r="OS341"/>
      <c r="OT341"/>
      <c r="OU341"/>
      <c r="OV341"/>
      <c r="OW341"/>
      <c r="OX341"/>
      <c r="OY341"/>
      <c r="OZ341"/>
      <c r="PA341"/>
      <c r="PB341"/>
      <c r="PC341"/>
      <c r="PD341"/>
      <c r="PE341"/>
      <c r="PF341"/>
      <c r="PG341"/>
      <c r="PH341"/>
      <c r="PI341"/>
      <c r="PJ341"/>
      <c r="PK341"/>
      <c r="PL341"/>
      <c r="PM341"/>
      <c r="PN341"/>
      <c r="PO341"/>
      <c r="PP341"/>
      <c r="PQ341"/>
      <c r="PR341"/>
      <c r="PS341"/>
      <c r="PT341"/>
      <c r="PU341"/>
      <c r="PV341"/>
      <c r="PW341"/>
      <c r="PX341"/>
      <c r="PY341"/>
      <c r="PZ341"/>
      <c r="QA341"/>
      <c r="QB341"/>
      <c r="QC341"/>
      <c r="QD341"/>
      <c r="QE341"/>
      <c r="QF341"/>
      <c r="QG341"/>
      <c r="QH341"/>
      <c r="QI341"/>
      <c r="QJ341"/>
      <c r="QK341"/>
      <c r="QL341"/>
      <c r="QM341"/>
      <c r="QN341"/>
      <c r="QO341"/>
      <c r="QP341"/>
      <c r="QQ341"/>
      <c r="QR341"/>
      <c r="QS341"/>
      <c r="QT341"/>
      <c r="QU341"/>
      <c r="QV341"/>
      <c r="QW341"/>
      <c r="QX341"/>
    </row>
    <row r="342" spans="1:466" x14ac:dyDescent="0.35">
      <c r="A342" s="53"/>
      <c r="B342" s="53"/>
      <c r="C342" s="55"/>
      <c r="D342" s="53"/>
      <c r="E342" s="53"/>
      <c r="F342" s="126" t="s">
        <v>1332</v>
      </c>
      <c r="G342" s="125"/>
      <c r="H342" s="125">
        <v>0</v>
      </c>
      <c r="I342" s="133">
        <v>223</v>
      </c>
      <c r="J342" s="53"/>
      <c r="K342" s="53"/>
      <c r="L342" s="53"/>
      <c r="M342" s="53"/>
      <c r="N342" s="53"/>
      <c r="O342" s="53"/>
      <c r="P342" s="53"/>
      <c r="Q342" s="53"/>
      <c r="R342" s="53"/>
      <c r="S342" s="53"/>
      <c r="T342" s="53"/>
      <c r="U342" s="53"/>
      <c r="V342" s="53"/>
      <c r="W342" s="53"/>
      <c r="X342" s="53"/>
      <c r="Y342" s="53"/>
      <c r="Z342" s="53"/>
      <c r="AA342" s="53"/>
      <c r="AB342" s="53"/>
      <c r="AC342" s="53"/>
      <c r="AD342" s="53"/>
      <c r="AE342" s="53"/>
      <c r="AF342" s="63"/>
      <c r="AG342" s="64"/>
      <c r="AH342" s="65"/>
      <c r="AI342" s="65"/>
      <c r="AJ342" s="53"/>
      <c r="AK342" s="62"/>
      <c r="AL342" s="62"/>
      <c r="AM342" s="62"/>
      <c r="AN342" s="62"/>
      <c r="AO342" s="62"/>
      <c r="AP342" s="62"/>
      <c r="AQ342" s="62"/>
      <c r="AR342" s="62"/>
      <c r="AS342" s="62"/>
      <c r="AT342" s="62"/>
      <c r="AU342" s="62"/>
      <c r="AV342" s="62"/>
      <c r="AW342" s="62"/>
      <c r="AX342" s="62"/>
      <c r="AY342" s="62"/>
      <c r="AZ342" s="62"/>
      <c r="BA342" s="62"/>
      <c r="BB342" s="62"/>
      <c r="BC342" s="62"/>
      <c r="BD342" s="62"/>
      <c r="BE342" s="62"/>
      <c r="BF342" s="62"/>
      <c r="BG342" s="62"/>
      <c r="BH342" s="62"/>
      <c r="BI342" s="62"/>
      <c r="BJ342" s="62"/>
      <c r="BK342" s="62"/>
      <c r="BL342" s="62"/>
      <c r="BM342" s="62"/>
      <c r="BN342" s="62"/>
      <c r="BO342" s="62"/>
      <c r="BP342" s="62"/>
      <c r="BQ342" s="62"/>
      <c r="BR342" s="62"/>
      <c r="BS342" s="62"/>
      <c r="BT342" s="62"/>
      <c r="BU342" s="62"/>
      <c r="BV342" s="62"/>
      <c r="BW342" s="62"/>
      <c r="BX342" s="6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  <c r="HB342"/>
      <c r="HC342"/>
      <c r="HD342"/>
      <c r="HE342"/>
      <c r="HF342"/>
      <c r="HG342"/>
      <c r="HH342"/>
      <c r="HI342"/>
      <c r="HJ342"/>
      <c r="HK342"/>
      <c r="HL342"/>
      <c r="HM342"/>
      <c r="HN342"/>
      <c r="HO342"/>
      <c r="HP342"/>
      <c r="HQ342"/>
      <c r="HR342"/>
      <c r="HS342"/>
      <c r="HT342"/>
      <c r="HU342"/>
      <c r="HV342"/>
      <c r="HW342"/>
      <c r="HX342"/>
      <c r="HY342"/>
      <c r="HZ342"/>
      <c r="IA342"/>
      <c r="IB342"/>
      <c r="IC342"/>
      <c r="ID342"/>
      <c r="IE342"/>
      <c r="IF342"/>
      <c r="IG342"/>
      <c r="IH342"/>
      <c r="II342"/>
      <c r="IJ342"/>
      <c r="IK342"/>
      <c r="IL342"/>
      <c r="IM342"/>
      <c r="IN342"/>
      <c r="IO342"/>
      <c r="IP342"/>
      <c r="IQ342"/>
      <c r="IR342"/>
      <c r="IS342"/>
      <c r="IT342"/>
      <c r="IU342"/>
      <c r="IV342"/>
      <c r="IW342"/>
      <c r="IX342"/>
      <c r="IY342"/>
      <c r="IZ342"/>
      <c r="JA342"/>
      <c r="JB342"/>
      <c r="JC342"/>
      <c r="JD342"/>
      <c r="JE342"/>
      <c r="JF342"/>
      <c r="JG342"/>
      <c r="JH342"/>
      <c r="JI342"/>
      <c r="JJ342"/>
      <c r="JK342"/>
      <c r="JL342"/>
      <c r="JM342"/>
      <c r="JN342"/>
      <c r="JO342"/>
      <c r="JP342"/>
      <c r="JQ342"/>
      <c r="JR342"/>
      <c r="JS342"/>
      <c r="JT342"/>
      <c r="JU342"/>
      <c r="JV342"/>
      <c r="JW342"/>
      <c r="JX342"/>
      <c r="JY342"/>
      <c r="JZ342"/>
      <c r="KA342"/>
      <c r="KB342"/>
      <c r="KC342"/>
      <c r="KD342"/>
      <c r="KE342"/>
      <c r="KF342"/>
      <c r="KG342"/>
      <c r="KH342"/>
      <c r="KI342"/>
      <c r="KJ342"/>
      <c r="KK342"/>
      <c r="KL342"/>
      <c r="KM342"/>
      <c r="KN342"/>
      <c r="KO342"/>
      <c r="KP342"/>
      <c r="KQ342"/>
      <c r="KR342"/>
      <c r="KS342"/>
      <c r="KT342"/>
      <c r="KU342"/>
      <c r="KV342"/>
      <c r="KW342"/>
      <c r="KX342"/>
      <c r="KY342"/>
      <c r="KZ342"/>
      <c r="LA342"/>
      <c r="LB342"/>
      <c r="LC342"/>
      <c r="LD342"/>
      <c r="LE342"/>
      <c r="LF342"/>
      <c r="LG342"/>
      <c r="LH342"/>
      <c r="LI342"/>
      <c r="LJ342"/>
      <c r="LK342"/>
      <c r="LL342"/>
      <c r="LM342"/>
      <c r="LN342"/>
      <c r="LO342"/>
      <c r="LP342"/>
      <c r="LQ342"/>
      <c r="LR342"/>
      <c r="LS342"/>
      <c r="LT342"/>
      <c r="LU342"/>
      <c r="LV342"/>
      <c r="LW342"/>
      <c r="LX342"/>
      <c r="LY342"/>
      <c r="LZ342"/>
      <c r="MA342"/>
      <c r="MB342"/>
      <c r="MC342"/>
      <c r="MD342"/>
      <c r="ME342"/>
      <c r="MF342"/>
      <c r="MG342"/>
      <c r="MH342"/>
      <c r="MI342"/>
      <c r="MJ342"/>
      <c r="MK342"/>
      <c r="ML342"/>
      <c r="MM342"/>
      <c r="MN342"/>
      <c r="MO342"/>
      <c r="MP342"/>
      <c r="MQ342"/>
      <c r="MR342"/>
      <c r="MS342"/>
      <c r="MT342"/>
      <c r="MU342"/>
      <c r="MV342"/>
      <c r="MW342"/>
      <c r="MX342"/>
      <c r="MY342"/>
      <c r="MZ342"/>
      <c r="NA342"/>
      <c r="NB342"/>
      <c r="NC342"/>
      <c r="ND342"/>
      <c r="NE342"/>
      <c r="NF342"/>
      <c r="NG342"/>
      <c r="NH342"/>
      <c r="NI342"/>
      <c r="NJ342"/>
      <c r="NK342"/>
      <c r="NL342"/>
      <c r="NM342"/>
      <c r="NN342"/>
      <c r="NO342"/>
      <c r="NP342"/>
      <c r="NQ342"/>
      <c r="NR342"/>
      <c r="NS342"/>
      <c r="NT342"/>
      <c r="NU342"/>
      <c r="NV342"/>
      <c r="NW342"/>
      <c r="NX342"/>
      <c r="NY342"/>
      <c r="NZ342"/>
      <c r="OA342"/>
      <c r="OB342"/>
      <c r="OC342"/>
      <c r="OD342"/>
      <c r="OE342"/>
      <c r="OF342"/>
      <c r="OG342"/>
      <c r="OH342"/>
      <c r="OI342"/>
      <c r="OJ342"/>
      <c r="OK342"/>
      <c r="OL342"/>
      <c r="OM342"/>
      <c r="ON342"/>
      <c r="OO342"/>
      <c r="OP342"/>
      <c r="OQ342"/>
      <c r="OR342"/>
      <c r="OS342"/>
      <c r="OT342"/>
      <c r="OU342"/>
      <c r="OV342"/>
      <c r="OW342"/>
      <c r="OX342"/>
      <c r="OY342"/>
      <c r="OZ342"/>
      <c r="PA342"/>
      <c r="PB342"/>
      <c r="PC342"/>
      <c r="PD342"/>
      <c r="PE342"/>
      <c r="PF342"/>
      <c r="PG342"/>
      <c r="PH342"/>
      <c r="PI342"/>
      <c r="PJ342"/>
      <c r="PK342"/>
      <c r="PL342"/>
      <c r="PM342"/>
      <c r="PN342"/>
      <c r="PO342"/>
      <c r="PP342"/>
      <c r="PQ342"/>
      <c r="PR342"/>
      <c r="PS342"/>
      <c r="PT342"/>
      <c r="PU342"/>
      <c r="PV342"/>
      <c r="PW342"/>
      <c r="PX342"/>
      <c r="PY342"/>
      <c r="PZ342"/>
      <c r="QA342"/>
      <c r="QB342"/>
      <c r="QC342"/>
      <c r="QD342"/>
      <c r="QE342"/>
      <c r="QF342"/>
      <c r="QG342"/>
      <c r="QH342"/>
      <c r="QI342"/>
      <c r="QJ342"/>
      <c r="QK342"/>
      <c r="QL342"/>
      <c r="QM342"/>
      <c r="QN342"/>
      <c r="QO342"/>
      <c r="QP342"/>
      <c r="QQ342"/>
      <c r="QR342"/>
      <c r="QS342"/>
      <c r="QT342"/>
      <c r="QU342"/>
      <c r="QV342"/>
      <c r="QW342"/>
      <c r="QX342"/>
    </row>
    <row r="343" spans="1:466" x14ac:dyDescent="0.35">
      <c r="A343" s="53"/>
      <c r="B343" s="53"/>
      <c r="C343" s="55"/>
      <c r="D343" s="53"/>
      <c r="E343" s="53"/>
      <c r="F343" s="126" t="s">
        <v>1255</v>
      </c>
      <c r="G343" s="125"/>
      <c r="H343" s="125">
        <v>0</v>
      </c>
      <c r="I343" s="133">
        <v>0</v>
      </c>
      <c r="J343" s="53"/>
      <c r="K343" s="53"/>
      <c r="L343" s="53"/>
      <c r="M343" s="53"/>
      <c r="N343" s="53"/>
      <c r="O343" s="53"/>
      <c r="P343" s="53"/>
      <c r="Q343" s="53"/>
      <c r="R343" s="53"/>
      <c r="S343" s="53"/>
      <c r="T343" s="53"/>
      <c r="U343" s="53"/>
      <c r="V343" s="53"/>
      <c r="W343" s="53"/>
      <c r="X343" s="53"/>
      <c r="Y343" s="53"/>
      <c r="Z343" s="53"/>
      <c r="AA343" s="53"/>
      <c r="AB343" s="53"/>
      <c r="AC343" s="53"/>
      <c r="AD343" s="53"/>
      <c r="AE343" s="53"/>
      <c r="AF343" s="63"/>
      <c r="AG343" s="64"/>
      <c r="AH343" s="65"/>
      <c r="AI343" s="65"/>
      <c r="AJ343" s="53"/>
      <c r="AK343" s="62"/>
      <c r="AL343" s="62"/>
      <c r="AM343" s="62"/>
      <c r="AN343" s="62"/>
      <c r="AO343" s="62"/>
      <c r="AP343" s="62"/>
      <c r="AQ343" s="62"/>
      <c r="AR343" s="62"/>
      <c r="AS343" s="62"/>
      <c r="AT343" s="62"/>
      <c r="AU343" s="62"/>
      <c r="AV343" s="62"/>
      <c r="AW343" s="62"/>
      <c r="AX343" s="62"/>
      <c r="AY343" s="62"/>
      <c r="AZ343" s="62"/>
      <c r="BA343" s="62"/>
      <c r="BB343" s="62"/>
      <c r="BC343" s="62"/>
      <c r="BD343" s="62"/>
      <c r="BE343" s="62"/>
      <c r="BF343" s="62"/>
      <c r="BG343" s="62"/>
      <c r="BH343" s="62"/>
      <c r="BI343" s="62"/>
      <c r="BJ343" s="62"/>
      <c r="BK343" s="62"/>
      <c r="BL343" s="62"/>
      <c r="BM343" s="62"/>
      <c r="BN343" s="62"/>
      <c r="BO343" s="62"/>
      <c r="BP343" s="62"/>
      <c r="BQ343" s="62"/>
      <c r="BR343" s="62"/>
      <c r="BS343" s="62"/>
      <c r="BT343" s="62"/>
      <c r="BU343" s="62"/>
      <c r="BV343" s="62"/>
      <c r="BW343" s="62"/>
      <c r="BX343" s="62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  <c r="HB343"/>
      <c r="HC343"/>
      <c r="HD343"/>
      <c r="HE343"/>
      <c r="HF343"/>
      <c r="HG343"/>
      <c r="HH343"/>
      <c r="HI343"/>
      <c r="HJ343"/>
      <c r="HK343"/>
      <c r="HL343"/>
      <c r="HM343"/>
      <c r="HN343"/>
      <c r="HO343"/>
      <c r="HP343"/>
      <c r="HQ343"/>
      <c r="HR343"/>
      <c r="HS343"/>
      <c r="HT343"/>
      <c r="HU343"/>
      <c r="HV343"/>
      <c r="HW343"/>
      <c r="HX343"/>
      <c r="HY343"/>
      <c r="HZ343"/>
      <c r="IA343"/>
      <c r="IB343"/>
      <c r="IC343"/>
      <c r="ID343"/>
      <c r="IE343"/>
      <c r="IF343"/>
      <c r="IG343"/>
      <c r="IH343"/>
      <c r="II343"/>
      <c r="IJ343"/>
      <c r="IK343"/>
      <c r="IL343"/>
      <c r="IM343"/>
      <c r="IN343"/>
      <c r="IO343"/>
      <c r="IP343"/>
      <c r="IQ343"/>
      <c r="IR343"/>
      <c r="IS343"/>
      <c r="IT343"/>
      <c r="IU343"/>
      <c r="IV343"/>
      <c r="IW343"/>
      <c r="IX343"/>
      <c r="IY343"/>
      <c r="IZ343"/>
      <c r="JA343"/>
      <c r="JB343"/>
      <c r="JC343"/>
      <c r="JD343"/>
      <c r="JE343"/>
      <c r="JF343"/>
      <c r="JG343"/>
      <c r="JH343"/>
      <c r="JI343"/>
      <c r="JJ343"/>
      <c r="JK343"/>
      <c r="JL343"/>
      <c r="JM343"/>
      <c r="JN343"/>
      <c r="JO343"/>
      <c r="JP343"/>
      <c r="JQ343"/>
      <c r="JR343"/>
      <c r="JS343"/>
      <c r="JT343"/>
      <c r="JU343"/>
      <c r="JV343"/>
      <c r="JW343"/>
      <c r="JX343"/>
      <c r="JY343"/>
      <c r="JZ343"/>
      <c r="KA343"/>
      <c r="KB343"/>
      <c r="KC343"/>
      <c r="KD343"/>
      <c r="KE343"/>
      <c r="KF343"/>
      <c r="KG343"/>
      <c r="KH343"/>
      <c r="KI343"/>
      <c r="KJ343"/>
      <c r="KK343"/>
      <c r="KL343"/>
      <c r="KM343"/>
      <c r="KN343"/>
      <c r="KO343"/>
      <c r="KP343"/>
      <c r="KQ343"/>
      <c r="KR343"/>
      <c r="KS343"/>
      <c r="KT343"/>
      <c r="KU343"/>
      <c r="KV343"/>
      <c r="KW343"/>
      <c r="KX343"/>
      <c r="KY343"/>
      <c r="KZ343"/>
      <c r="LA343"/>
      <c r="LB343"/>
      <c r="LC343"/>
      <c r="LD343"/>
      <c r="LE343"/>
      <c r="LF343"/>
      <c r="LG343"/>
      <c r="LH343"/>
      <c r="LI343"/>
      <c r="LJ343"/>
      <c r="LK343"/>
      <c r="LL343"/>
      <c r="LM343"/>
      <c r="LN343"/>
      <c r="LO343"/>
      <c r="LP343"/>
      <c r="LQ343"/>
      <c r="LR343"/>
      <c r="LS343"/>
      <c r="LT343"/>
      <c r="LU343"/>
      <c r="LV343"/>
      <c r="LW343"/>
      <c r="LX343"/>
      <c r="LY343"/>
      <c r="LZ343"/>
      <c r="MA343"/>
      <c r="MB343"/>
      <c r="MC343"/>
      <c r="MD343"/>
      <c r="ME343"/>
      <c r="MF343"/>
      <c r="MG343"/>
      <c r="MH343"/>
      <c r="MI343"/>
      <c r="MJ343"/>
      <c r="MK343"/>
      <c r="ML343"/>
      <c r="MM343"/>
      <c r="MN343"/>
      <c r="MO343"/>
      <c r="MP343"/>
      <c r="MQ343"/>
      <c r="MR343"/>
      <c r="MS343"/>
      <c r="MT343"/>
      <c r="MU343"/>
      <c r="MV343"/>
      <c r="MW343"/>
      <c r="MX343"/>
      <c r="MY343"/>
      <c r="MZ343"/>
      <c r="NA343"/>
      <c r="NB343"/>
      <c r="NC343"/>
      <c r="ND343"/>
      <c r="NE343"/>
      <c r="NF343"/>
      <c r="NG343"/>
      <c r="NH343"/>
      <c r="NI343"/>
      <c r="NJ343"/>
      <c r="NK343"/>
      <c r="NL343"/>
      <c r="NM343"/>
      <c r="NN343"/>
      <c r="NO343"/>
      <c r="NP343"/>
      <c r="NQ343"/>
      <c r="NR343"/>
      <c r="NS343"/>
      <c r="NT343"/>
      <c r="NU343"/>
      <c r="NV343"/>
      <c r="NW343"/>
      <c r="NX343"/>
      <c r="NY343"/>
      <c r="NZ343"/>
      <c r="OA343"/>
      <c r="OB343"/>
      <c r="OC343"/>
      <c r="OD343"/>
      <c r="OE343"/>
      <c r="OF343"/>
      <c r="OG343"/>
      <c r="OH343"/>
      <c r="OI343"/>
      <c r="OJ343"/>
      <c r="OK343"/>
      <c r="OL343"/>
      <c r="OM343"/>
      <c r="ON343"/>
      <c r="OO343"/>
      <c r="OP343"/>
      <c r="OQ343"/>
      <c r="OR343"/>
      <c r="OS343"/>
      <c r="OT343"/>
      <c r="OU343"/>
      <c r="OV343"/>
      <c r="OW343"/>
      <c r="OX343"/>
      <c r="OY343"/>
      <c r="OZ343"/>
      <c r="PA343"/>
      <c r="PB343"/>
      <c r="PC343"/>
      <c r="PD343"/>
      <c r="PE343"/>
      <c r="PF343"/>
      <c r="PG343"/>
      <c r="PH343"/>
      <c r="PI343"/>
      <c r="PJ343"/>
      <c r="PK343"/>
      <c r="PL343"/>
      <c r="PM343"/>
      <c r="PN343"/>
      <c r="PO343"/>
      <c r="PP343"/>
      <c r="PQ343"/>
      <c r="PR343"/>
      <c r="PS343"/>
      <c r="PT343"/>
      <c r="PU343"/>
      <c r="PV343"/>
      <c r="PW343"/>
      <c r="PX343"/>
      <c r="PY343"/>
      <c r="PZ343"/>
      <c r="QA343"/>
      <c r="QB343"/>
      <c r="QC343"/>
      <c r="QD343"/>
      <c r="QE343"/>
      <c r="QF343"/>
      <c r="QG343"/>
      <c r="QH343"/>
      <c r="QI343"/>
      <c r="QJ343"/>
      <c r="QK343"/>
      <c r="QL343"/>
      <c r="QM343"/>
      <c r="QN343"/>
      <c r="QO343"/>
      <c r="QP343"/>
      <c r="QQ343"/>
      <c r="QR343"/>
      <c r="QS343"/>
      <c r="QT343"/>
      <c r="QU343"/>
      <c r="QV343"/>
      <c r="QW343"/>
      <c r="QX343"/>
    </row>
    <row r="344" spans="1:466" x14ac:dyDescent="0.35">
      <c r="A344" s="53"/>
      <c r="B344" s="53"/>
      <c r="C344" s="55"/>
      <c r="D344" s="53"/>
      <c r="E344" s="53"/>
      <c r="F344" s="126" t="s">
        <v>554</v>
      </c>
      <c r="G344" s="125"/>
      <c r="H344" s="125">
        <v>0</v>
      </c>
      <c r="I344" s="133">
        <v>1</v>
      </c>
      <c r="J344" s="53"/>
      <c r="K344" s="53"/>
      <c r="L344" s="53"/>
      <c r="M344" s="53"/>
      <c r="N344" s="53"/>
      <c r="O344" s="53"/>
      <c r="P344" s="53"/>
      <c r="Q344" s="53"/>
      <c r="R344" s="53"/>
      <c r="S344" s="53"/>
      <c r="T344" s="53"/>
      <c r="U344" s="53"/>
      <c r="V344" s="53"/>
      <c r="W344" s="53"/>
      <c r="X344" s="53"/>
      <c r="Y344" s="53"/>
      <c r="Z344" s="53"/>
      <c r="AA344" s="53"/>
      <c r="AB344" s="53"/>
      <c r="AC344" s="53"/>
      <c r="AD344" s="53"/>
      <c r="AE344" s="53"/>
      <c r="AF344" s="63"/>
      <c r="AG344" s="64"/>
      <c r="AH344" s="65"/>
      <c r="AI344" s="65"/>
      <c r="AJ344" s="53"/>
      <c r="AK344" s="62"/>
      <c r="AL344" s="62"/>
      <c r="AM344" s="62"/>
      <c r="AN344" s="62"/>
      <c r="AO344" s="62"/>
      <c r="AP344" s="62"/>
      <c r="AQ344" s="62"/>
      <c r="AR344" s="62"/>
      <c r="AS344" s="62"/>
      <c r="AT344" s="62"/>
      <c r="AU344" s="62"/>
      <c r="AV344" s="62"/>
      <c r="AW344" s="62"/>
      <c r="AX344" s="62"/>
      <c r="AY344" s="62"/>
      <c r="AZ344" s="62"/>
      <c r="BA344" s="62"/>
      <c r="BB344" s="62"/>
      <c r="BC344" s="62"/>
      <c r="BD344" s="62"/>
      <c r="BE344" s="62"/>
      <c r="BF344" s="62"/>
      <c r="BG344" s="62"/>
      <c r="BH344" s="62"/>
      <c r="BI344" s="62"/>
      <c r="BJ344" s="62"/>
      <c r="BK344" s="62"/>
      <c r="BL344" s="62"/>
      <c r="BM344" s="62"/>
      <c r="BN344" s="62"/>
      <c r="BO344" s="62"/>
      <c r="BP344" s="62"/>
      <c r="BQ344" s="62"/>
      <c r="BR344" s="62"/>
      <c r="BS344" s="62"/>
      <c r="BT344" s="62"/>
      <c r="BU344" s="62"/>
      <c r="BV344" s="62"/>
      <c r="BW344" s="62"/>
      <c r="BX344" s="62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  <c r="HB344"/>
      <c r="HC344"/>
      <c r="HD344"/>
      <c r="HE344"/>
      <c r="HF344"/>
      <c r="HG344"/>
      <c r="HH344"/>
      <c r="HI344"/>
      <c r="HJ344"/>
      <c r="HK344"/>
      <c r="HL344"/>
      <c r="HM344"/>
      <c r="HN344"/>
      <c r="HO344"/>
      <c r="HP344"/>
      <c r="HQ344"/>
      <c r="HR344"/>
      <c r="HS344"/>
      <c r="HT344"/>
      <c r="HU344"/>
      <c r="HV344"/>
      <c r="HW344"/>
      <c r="HX344"/>
      <c r="HY344"/>
      <c r="HZ344"/>
      <c r="IA344"/>
      <c r="IB344"/>
      <c r="IC344"/>
      <c r="ID344"/>
      <c r="IE344"/>
      <c r="IF344"/>
      <c r="IG344"/>
      <c r="IH344"/>
      <c r="II344"/>
      <c r="IJ344"/>
      <c r="IK344"/>
      <c r="IL344"/>
      <c r="IM344"/>
      <c r="IN344"/>
      <c r="IO344"/>
      <c r="IP344"/>
      <c r="IQ344"/>
      <c r="IR344"/>
      <c r="IS344"/>
      <c r="IT344"/>
      <c r="IU344"/>
      <c r="IV344"/>
      <c r="IW344"/>
      <c r="IX344"/>
      <c r="IY344"/>
      <c r="IZ344"/>
      <c r="JA344"/>
      <c r="JB344"/>
      <c r="JC344"/>
      <c r="JD344"/>
      <c r="JE344"/>
      <c r="JF344"/>
      <c r="JG344"/>
      <c r="JH344"/>
      <c r="JI344"/>
      <c r="JJ344"/>
      <c r="JK344"/>
      <c r="JL344"/>
      <c r="JM344"/>
      <c r="JN344"/>
      <c r="JO344"/>
      <c r="JP344"/>
      <c r="JQ344"/>
      <c r="JR344"/>
      <c r="JS344"/>
      <c r="JT344"/>
      <c r="JU344"/>
      <c r="JV344"/>
      <c r="JW344"/>
      <c r="JX344"/>
      <c r="JY344"/>
      <c r="JZ344"/>
      <c r="KA344"/>
      <c r="KB344"/>
      <c r="KC344"/>
      <c r="KD344"/>
      <c r="KE344"/>
      <c r="KF344"/>
      <c r="KG344"/>
      <c r="KH344"/>
      <c r="KI344"/>
      <c r="KJ344"/>
      <c r="KK344"/>
      <c r="KL344"/>
      <c r="KM344"/>
      <c r="KN344"/>
      <c r="KO344"/>
      <c r="KP344"/>
      <c r="KQ344"/>
      <c r="KR344"/>
      <c r="KS344"/>
      <c r="KT344"/>
      <c r="KU344"/>
      <c r="KV344"/>
      <c r="KW344"/>
      <c r="KX344"/>
      <c r="KY344"/>
      <c r="KZ344"/>
      <c r="LA344"/>
      <c r="LB344"/>
      <c r="LC344"/>
      <c r="LD344"/>
      <c r="LE344"/>
      <c r="LF344"/>
      <c r="LG344"/>
      <c r="LH344"/>
      <c r="LI344"/>
      <c r="LJ344"/>
      <c r="LK344"/>
      <c r="LL344"/>
      <c r="LM344"/>
      <c r="LN344"/>
      <c r="LO344"/>
      <c r="LP344"/>
      <c r="LQ344"/>
      <c r="LR344"/>
      <c r="LS344"/>
      <c r="LT344"/>
      <c r="LU344"/>
      <c r="LV344"/>
      <c r="LW344"/>
      <c r="LX344"/>
      <c r="LY344"/>
      <c r="LZ344"/>
      <c r="MA344"/>
      <c r="MB344"/>
      <c r="MC344"/>
      <c r="MD344"/>
      <c r="ME344"/>
      <c r="MF344"/>
      <c r="MG344"/>
      <c r="MH344"/>
      <c r="MI344"/>
      <c r="MJ344"/>
      <c r="MK344"/>
      <c r="ML344"/>
      <c r="MM344"/>
      <c r="MN344"/>
      <c r="MO344"/>
      <c r="MP344"/>
      <c r="MQ344"/>
      <c r="MR344"/>
      <c r="MS344"/>
      <c r="MT344"/>
      <c r="MU344"/>
      <c r="MV344"/>
      <c r="MW344"/>
      <c r="MX344"/>
      <c r="MY344"/>
      <c r="MZ344"/>
      <c r="NA344"/>
      <c r="NB344"/>
      <c r="NC344"/>
      <c r="ND344"/>
      <c r="NE344"/>
      <c r="NF344"/>
      <c r="NG344"/>
      <c r="NH344"/>
      <c r="NI344"/>
      <c r="NJ344"/>
      <c r="NK344"/>
      <c r="NL344"/>
      <c r="NM344"/>
      <c r="NN344"/>
      <c r="NO344"/>
      <c r="NP344"/>
      <c r="NQ344"/>
      <c r="NR344"/>
      <c r="NS344"/>
      <c r="NT344"/>
      <c r="NU344"/>
      <c r="NV344"/>
      <c r="NW344"/>
      <c r="NX344"/>
      <c r="NY344"/>
      <c r="NZ344"/>
      <c r="OA344"/>
      <c r="OB344"/>
      <c r="OC344"/>
      <c r="OD344"/>
      <c r="OE344"/>
      <c r="OF344"/>
      <c r="OG344"/>
      <c r="OH344"/>
      <c r="OI344"/>
      <c r="OJ344"/>
      <c r="OK344"/>
      <c r="OL344"/>
      <c r="OM344"/>
      <c r="ON344"/>
      <c r="OO344"/>
      <c r="OP344"/>
      <c r="OQ344"/>
      <c r="OR344"/>
      <c r="OS344"/>
      <c r="OT344"/>
      <c r="OU344"/>
      <c r="OV344"/>
      <c r="OW344"/>
      <c r="OX344"/>
      <c r="OY344"/>
      <c r="OZ344"/>
      <c r="PA344"/>
      <c r="PB344"/>
      <c r="PC344"/>
      <c r="PD344"/>
      <c r="PE344"/>
      <c r="PF344"/>
      <c r="PG344"/>
      <c r="PH344"/>
      <c r="PI344"/>
      <c r="PJ344"/>
      <c r="PK344"/>
      <c r="PL344"/>
      <c r="PM344"/>
      <c r="PN344"/>
      <c r="PO344"/>
      <c r="PP344"/>
      <c r="PQ344"/>
      <c r="PR344"/>
      <c r="PS344"/>
      <c r="PT344"/>
      <c r="PU344"/>
      <c r="PV344"/>
      <c r="PW344"/>
      <c r="PX344"/>
      <c r="PY344"/>
      <c r="PZ344"/>
      <c r="QA344"/>
      <c r="QB344"/>
      <c r="QC344"/>
      <c r="QD344"/>
      <c r="QE344"/>
      <c r="QF344"/>
      <c r="QG344"/>
      <c r="QH344"/>
      <c r="QI344"/>
      <c r="QJ344"/>
      <c r="QK344"/>
      <c r="QL344"/>
      <c r="QM344"/>
      <c r="QN344"/>
      <c r="QO344"/>
      <c r="QP344"/>
      <c r="QQ344"/>
      <c r="QR344"/>
      <c r="QS344"/>
      <c r="QT344"/>
      <c r="QU344"/>
      <c r="QV344"/>
      <c r="QW344"/>
      <c r="QX344"/>
    </row>
    <row r="345" spans="1:466" x14ac:dyDescent="0.35">
      <c r="A345" s="53"/>
      <c r="B345" s="53"/>
      <c r="C345" s="55"/>
      <c r="D345" s="53"/>
      <c r="E345" s="53"/>
      <c r="F345" s="124" t="s">
        <v>588</v>
      </c>
      <c r="G345" s="125">
        <v>30</v>
      </c>
      <c r="H345" s="125">
        <v>120</v>
      </c>
      <c r="I345" s="133">
        <v>4</v>
      </c>
      <c r="J345" s="53"/>
      <c r="K345" s="53"/>
      <c r="L345" s="53"/>
      <c r="M345" s="53"/>
      <c r="N345" s="53"/>
      <c r="O345" s="53"/>
      <c r="P345" s="53"/>
      <c r="Q345" s="53"/>
      <c r="R345" s="53"/>
      <c r="S345" s="53"/>
      <c r="T345" s="53"/>
      <c r="U345" s="53"/>
      <c r="V345" s="53"/>
      <c r="W345" s="53"/>
      <c r="X345" s="53"/>
      <c r="Y345" s="53"/>
      <c r="Z345" s="53"/>
      <c r="AA345" s="53"/>
      <c r="AB345" s="53"/>
      <c r="AC345" s="53"/>
      <c r="AD345" s="53"/>
      <c r="AE345" s="53"/>
      <c r="AF345" s="63"/>
      <c r="AG345" s="64"/>
      <c r="AH345" s="65"/>
      <c r="AI345" s="65"/>
      <c r="AJ345" s="53"/>
      <c r="AK345" s="62"/>
      <c r="AL345" s="62"/>
      <c r="AM345" s="62"/>
      <c r="AN345" s="62"/>
      <c r="AO345" s="62"/>
      <c r="AP345" s="62"/>
      <c r="AQ345" s="62"/>
      <c r="AR345" s="62"/>
      <c r="AS345" s="62"/>
      <c r="AT345" s="62"/>
      <c r="AU345" s="62"/>
      <c r="AV345" s="62"/>
      <c r="AW345" s="62"/>
      <c r="AX345" s="62"/>
      <c r="AY345" s="62"/>
      <c r="AZ345" s="62"/>
      <c r="BA345" s="62"/>
      <c r="BB345" s="62"/>
      <c r="BC345" s="62"/>
      <c r="BD345" s="62"/>
      <c r="BE345" s="62"/>
      <c r="BF345" s="62"/>
      <c r="BG345" s="62"/>
      <c r="BH345" s="62"/>
      <c r="BI345" s="62"/>
      <c r="BJ345" s="62"/>
      <c r="BK345" s="62"/>
      <c r="BL345" s="62"/>
      <c r="BM345" s="62"/>
      <c r="BN345" s="62"/>
      <c r="BO345" s="62"/>
      <c r="BP345" s="62"/>
      <c r="BQ345" s="62"/>
      <c r="BR345" s="62"/>
      <c r="BS345" s="62"/>
      <c r="BT345" s="62"/>
      <c r="BU345" s="62"/>
      <c r="BV345" s="62"/>
      <c r="BW345" s="62"/>
      <c r="BX345" s="62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  <c r="HB345"/>
      <c r="HC345"/>
      <c r="HD345"/>
      <c r="HE345"/>
      <c r="HF345"/>
      <c r="HG345"/>
      <c r="HH345"/>
      <c r="HI345"/>
      <c r="HJ345"/>
      <c r="HK345"/>
      <c r="HL345"/>
      <c r="HM345"/>
      <c r="HN345"/>
      <c r="HO345"/>
      <c r="HP345"/>
      <c r="HQ345"/>
      <c r="HR345"/>
      <c r="HS345"/>
      <c r="HT345"/>
      <c r="HU345"/>
      <c r="HV345"/>
      <c r="HW345"/>
      <c r="HX345"/>
      <c r="HY345"/>
      <c r="HZ345"/>
      <c r="IA345"/>
      <c r="IB345"/>
      <c r="IC345"/>
      <c r="ID345"/>
      <c r="IE345"/>
      <c r="IF345"/>
      <c r="IG345"/>
      <c r="IH345"/>
      <c r="II345"/>
      <c r="IJ345"/>
      <c r="IK345"/>
      <c r="IL345"/>
      <c r="IM345"/>
      <c r="IN345"/>
      <c r="IO345"/>
      <c r="IP345"/>
      <c r="IQ345"/>
      <c r="IR345"/>
      <c r="IS345"/>
      <c r="IT345"/>
      <c r="IU345"/>
      <c r="IV345"/>
      <c r="IW345"/>
      <c r="IX345"/>
      <c r="IY345"/>
      <c r="IZ345"/>
      <c r="JA345"/>
      <c r="JB345"/>
      <c r="JC345"/>
      <c r="JD345"/>
      <c r="JE345"/>
      <c r="JF345"/>
      <c r="JG345"/>
      <c r="JH345"/>
      <c r="JI345"/>
      <c r="JJ345"/>
      <c r="JK345"/>
      <c r="JL345"/>
      <c r="JM345"/>
      <c r="JN345"/>
      <c r="JO345"/>
      <c r="JP345"/>
      <c r="JQ345"/>
      <c r="JR345"/>
      <c r="JS345"/>
      <c r="JT345"/>
      <c r="JU345"/>
      <c r="JV345"/>
      <c r="JW345"/>
      <c r="JX345"/>
      <c r="JY345"/>
      <c r="JZ345"/>
      <c r="KA345"/>
      <c r="KB345"/>
      <c r="KC345"/>
      <c r="KD345"/>
      <c r="KE345"/>
      <c r="KF345"/>
      <c r="KG345"/>
      <c r="KH345"/>
      <c r="KI345"/>
      <c r="KJ345"/>
      <c r="KK345"/>
      <c r="KL345"/>
      <c r="KM345"/>
      <c r="KN345"/>
      <c r="KO345"/>
      <c r="KP345"/>
      <c r="KQ345"/>
      <c r="KR345"/>
      <c r="KS345"/>
      <c r="KT345"/>
      <c r="KU345"/>
      <c r="KV345"/>
      <c r="KW345"/>
      <c r="KX345"/>
      <c r="KY345"/>
      <c r="KZ345"/>
      <c r="LA345"/>
      <c r="LB345"/>
      <c r="LC345"/>
      <c r="LD345"/>
      <c r="LE345"/>
      <c r="LF345"/>
      <c r="LG345"/>
      <c r="LH345"/>
      <c r="LI345"/>
      <c r="LJ345"/>
      <c r="LK345"/>
      <c r="LL345"/>
      <c r="LM345"/>
      <c r="LN345"/>
      <c r="LO345"/>
      <c r="LP345"/>
      <c r="LQ345"/>
      <c r="LR345"/>
      <c r="LS345"/>
      <c r="LT345"/>
      <c r="LU345"/>
      <c r="LV345"/>
      <c r="LW345"/>
      <c r="LX345"/>
      <c r="LY345"/>
      <c r="LZ345"/>
      <c r="MA345"/>
      <c r="MB345"/>
      <c r="MC345"/>
      <c r="MD345"/>
      <c r="ME345"/>
      <c r="MF345"/>
      <c r="MG345"/>
      <c r="MH345"/>
      <c r="MI345"/>
      <c r="MJ345"/>
      <c r="MK345"/>
      <c r="ML345"/>
      <c r="MM345"/>
      <c r="MN345"/>
      <c r="MO345"/>
      <c r="MP345"/>
      <c r="MQ345"/>
      <c r="MR345"/>
      <c r="MS345"/>
      <c r="MT345"/>
      <c r="MU345"/>
      <c r="MV345"/>
      <c r="MW345"/>
      <c r="MX345"/>
      <c r="MY345"/>
      <c r="MZ345"/>
      <c r="NA345"/>
      <c r="NB345"/>
      <c r="NC345"/>
      <c r="ND345"/>
      <c r="NE345"/>
      <c r="NF345"/>
      <c r="NG345"/>
      <c r="NH345"/>
      <c r="NI345"/>
      <c r="NJ345"/>
      <c r="NK345"/>
      <c r="NL345"/>
      <c r="NM345"/>
      <c r="NN345"/>
      <c r="NO345"/>
      <c r="NP345"/>
      <c r="NQ345"/>
      <c r="NR345"/>
      <c r="NS345"/>
      <c r="NT345"/>
      <c r="NU345"/>
      <c r="NV345"/>
      <c r="NW345"/>
      <c r="NX345"/>
      <c r="NY345"/>
      <c r="NZ345"/>
      <c r="OA345"/>
      <c r="OB345"/>
      <c r="OC345"/>
      <c r="OD345"/>
      <c r="OE345"/>
      <c r="OF345"/>
      <c r="OG345"/>
      <c r="OH345"/>
      <c r="OI345"/>
      <c r="OJ345"/>
      <c r="OK345"/>
      <c r="OL345"/>
      <c r="OM345"/>
      <c r="ON345"/>
      <c r="OO345"/>
      <c r="OP345"/>
      <c r="OQ345"/>
      <c r="OR345"/>
      <c r="OS345"/>
      <c r="OT345"/>
      <c r="OU345"/>
      <c r="OV345"/>
      <c r="OW345"/>
      <c r="OX345"/>
      <c r="OY345"/>
      <c r="OZ345"/>
      <c r="PA345"/>
      <c r="PB345"/>
      <c r="PC345"/>
      <c r="PD345"/>
      <c r="PE345"/>
      <c r="PF345"/>
      <c r="PG345"/>
      <c r="PH345"/>
      <c r="PI345"/>
      <c r="PJ345"/>
      <c r="PK345"/>
      <c r="PL345"/>
      <c r="PM345"/>
      <c r="PN345"/>
      <c r="PO345"/>
      <c r="PP345"/>
      <c r="PQ345"/>
      <c r="PR345"/>
      <c r="PS345"/>
      <c r="PT345"/>
      <c r="PU345"/>
      <c r="PV345"/>
      <c r="PW345"/>
      <c r="PX345"/>
      <c r="PY345"/>
      <c r="PZ345"/>
      <c r="QA345"/>
      <c r="QB345"/>
      <c r="QC345"/>
      <c r="QD345"/>
      <c r="QE345"/>
      <c r="QF345"/>
      <c r="QG345"/>
      <c r="QH345"/>
      <c r="QI345"/>
      <c r="QJ345"/>
      <c r="QK345"/>
      <c r="QL345"/>
      <c r="QM345"/>
      <c r="QN345"/>
      <c r="QO345"/>
      <c r="QP345"/>
      <c r="QQ345"/>
      <c r="QR345"/>
      <c r="QS345"/>
      <c r="QT345"/>
      <c r="QU345"/>
      <c r="QV345"/>
      <c r="QW345"/>
      <c r="QX345"/>
    </row>
    <row r="346" spans="1:466" x14ac:dyDescent="0.35">
      <c r="A346" s="53"/>
      <c r="B346" s="53"/>
      <c r="C346" s="55"/>
      <c r="D346" s="53"/>
      <c r="E346" s="53"/>
      <c r="F346" s="126" t="s">
        <v>586</v>
      </c>
      <c r="G346" s="125">
        <v>30</v>
      </c>
      <c r="H346" s="125">
        <v>120</v>
      </c>
      <c r="I346" s="133">
        <v>4</v>
      </c>
      <c r="J346" s="53"/>
      <c r="K346" s="53"/>
      <c r="L346" s="53"/>
      <c r="M346" s="53"/>
      <c r="N346" s="53"/>
      <c r="O346" s="53"/>
      <c r="P346" s="53"/>
      <c r="Q346" s="53"/>
      <c r="R346" s="53"/>
      <c r="S346" s="53"/>
      <c r="T346" s="53"/>
      <c r="U346" s="53"/>
      <c r="V346" s="53"/>
      <c r="W346" s="53"/>
      <c r="X346" s="53"/>
      <c r="Y346" s="53"/>
      <c r="Z346" s="53"/>
      <c r="AA346" s="53"/>
      <c r="AB346" s="53"/>
      <c r="AC346" s="53"/>
      <c r="AD346" s="53"/>
      <c r="AE346" s="53"/>
      <c r="AF346" s="63"/>
      <c r="AG346" s="64"/>
      <c r="AH346" s="65"/>
      <c r="AI346" s="65"/>
      <c r="AJ346" s="53"/>
      <c r="AK346" s="62"/>
      <c r="AL346" s="62"/>
      <c r="AM346" s="62"/>
      <c r="AN346" s="62"/>
      <c r="AO346" s="62"/>
      <c r="AP346" s="62"/>
      <c r="AQ346" s="62"/>
      <c r="AR346" s="62"/>
      <c r="AS346" s="62"/>
      <c r="AT346" s="62"/>
      <c r="AU346" s="62"/>
      <c r="AV346" s="62"/>
      <c r="AW346" s="62"/>
      <c r="AX346" s="62"/>
      <c r="AY346" s="62"/>
      <c r="AZ346" s="62"/>
      <c r="BA346" s="62"/>
      <c r="BB346" s="62"/>
      <c r="BC346" s="62"/>
      <c r="BD346" s="62"/>
      <c r="BE346" s="62"/>
      <c r="BF346" s="62"/>
      <c r="BG346" s="62"/>
      <c r="BH346" s="62"/>
      <c r="BI346" s="62"/>
      <c r="BJ346" s="62"/>
      <c r="BK346" s="62"/>
      <c r="BL346" s="62"/>
      <c r="BM346" s="62"/>
      <c r="BN346" s="62"/>
      <c r="BO346" s="62"/>
      <c r="BP346" s="62"/>
      <c r="BQ346" s="62"/>
      <c r="BR346" s="62"/>
      <c r="BS346" s="62"/>
      <c r="BT346" s="62"/>
      <c r="BU346" s="62"/>
      <c r="BV346" s="62"/>
      <c r="BW346" s="62"/>
      <c r="BX346" s="62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  <c r="HB346"/>
      <c r="HC346"/>
      <c r="HD346"/>
      <c r="HE346"/>
      <c r="HF346"/>
      <c r="HG346"/>
      <c r="HH346"/>
      <c r="HI346"/>
      <c r="HJ346"/>
      <c r="HK346"/>
      <c r="HL346"/>
      <c r="HM346"/>
      <c r="HN346"/>
      <c r="HO346"/>
      <c r="HP346"/>
      <c r="HQ346"/>
      <c r="HR346"/>
      <c r="HS346"/>
      <c r="HT346"/>
      <c r="HU346"/>
      <c r="HV346"/>
      <c r="HW346"/>
      <c r="HX346"/>
      <c r="HY346"/>
      <c r="HZ346"/>
      <c r="IA346"/>
      <c r="IB346"/>
      <c r="IC346"/>
      <c r="ID346"/>
      <c r="IE346"/>
      <c r="IF346"/>
      <c r="IG346"/>
      <c r="IH346"/>
      <c r="II346"/>
      <c r="IJ346"/>
      <c r="IK346"/>
      <c r="IL346"/>
      <c r="IM346"/>
      <c r="IN346"/>
      <c r="IO346"/>
      <c r="IP346"/>
      <c r="IQ346"/>
      <c r="IR346"/>
      <c r="IS346"/>
      <c r="IT346"/>
      <c r="IU346"/>
      <c r="IV346"/>
      <c r="IW346"/>
      <c r="IX346"/>
      <c r="IY346"/>
      <c r="IZ346"/>
      <c r="JA346"/>
      <c r="JB346"/>
      <c r="JC346"/>
      <c r="JD346"/>
      <c r="JE346"/>
      <c r="JF346"/>
      <c r="JG346"/>
      <c r="JH346"/>
      <c r="JI346"/>
      <c r="JJ346"/>
      <c r="JK346"/>
      <c r="JL346"/>
      <c r="JM346"/>
      <c r="JN346"/>
      <c r="JO346"/>
      <c r="JP346"/>
      <c r="JQ346"/>
      <c r="JR346"/>
      <c r="JS346"/>
      <c r="JT346"/>
      <c r="JU346"/>
      <c r="JV346"/>
      <c r="JW346"/>
      <c r="JX346"/>
      <c r="JY346"/>
      <c r="JZ346"/>
      <c r="KA346"/>
      <c r="KB346"/>
      <c r="KC346"/>
      <c r="KD346"/>
      <c r="KE346"/>
      <c r="KF346"/>
      <c r="KG346"/>
      <c r="KH346"/>
      <c r="KI346"/>
      <c r="KJ346"/>
      <c r="KK346"/>
      <c r="KL346"/>
      <c r="KM346"/>
      <c r="KN346"/>
      <c r="KO346"/>
      <c r="KP346"/>
      <c r="KQ346"/>
      <c r="KR346"/>
      <c r="KS346"/>
      <c r="KT346"/>
      <c r="KU346"/>
      <c r="KV346"/>
      <c r="KW346"/>
      <c r="KX346"/>
      <c r="KY346"/>
      <c r="KZ346"/>
      <c r="LA346"/>
      <c r="LB346"/>
      <c r="LC346"/>
      <c r="LD346"/>
      <c r="LE346"/>
      <c r="LF346"/>
      <c r="LG346"/>
      <c r="LH346"/>
      <c r="LI346"/>
      <c r="LJ346"/>
      <c r="LK346"/>
      <c r="LL346"/>
      <c r="LM346"/>
      <c r="LN346"/>
      <c r="LO346"/>
      <c r="LP346"/>
      <c r="LQ346"/>
      <c r="LR346"/>
      <c r="LS346"/>
      <c r="LT346"/>
      <c r="LU346"/>
      <c r="LV346"/>
      <c r="LW346"/>
      <c r="LX346"/>
      <c r="LY346"/>
      <c r="LZ346"/>
      <c r="MA346"/>
      <c r="MB346"/>
      <c r="MC346"/>
      <c r="MD346"/>
      <c r="ME346"/>
      <c r="MF346"/>
      <c r="MG346"/>
      <c r="MH346"/>
      <c r="MI346"/>
      <c r="MJ346"/>
      <c r="MK346"/>
      <c r="ML346"/>
      <c r="MM346"/>
      <c r="MN346"/>
      <c r="MO346"/>
      <c r="MP346"/>
      <c r="MQ346"/>
      <c r="MR346"/>
      <c r="MS346"/>
      <c r="MT346"/>
      <c r="MU346"/>
      <c r="MV346"/>
      <c r="MW346"/>
      <c r="MX346"/>
      <c r="MY346"/>
      <c r="MZ346"/>
      <c r="NA346"/>
      <c r="NB346"/>
      <c r="NC346"/>
      <c r="ND346"/>
      <c r="NE346"/>
      <c r="NF346"/>
      <c r="NG346"/>
      <c r="NH346"/>
      <c r="NI346"/>
      <c r="NJ346"/>
      <c r="NK346"/>
      <c r="NL346"/>
      <c r="NM346"/>
      <c r="NN346"/>
      <c r="NO346"/>
      <c r="NP346"/>
      <c r="NQ346"/>
      <c r="NR346"/>
      <c r="NS346"/>
      <c r="NT346"/>
      <c r="NU346"/>
      <c r="NV346"/>
      <c r="NW346"/>
      <c r="NX346"/>
      <c r="NY346"/>
      <c r="NZ346"/>
      <c r="OA346"/>
      <c r="OB346"/>
      <c r="OC346"/>
      <c r="OD346"/>
      <c r="OE346"/>
      <c r="OF346"/>
      <c r="OG346"/>
      <c r="OH346"/>
      <c r="OI346"/>
      <c r="OJ346"/>
      <c r="OK346"/>
      <c r="OL346"/>
      <c r="OM346"/>
      <c r="ON346"/>
      <c r="OO346"/>
      <c r="OP346"/>
      <c r="OQ346"/>
      <c r="OR346"/>
      <c r="OS346"/>
      <c r="OT346"/>
      <c r="OU346"/>
      <c r="OV346"/>
      <c r="OW346"/>
      <c r="OX346"/>
      <c r="OY346"/>
      <c r="OZ346"/>
      <c r="PA346"/>
      <c r="PB346"/>
      <c r="PC346"/>
      <c r="PD346"/>
      <c r="PE346"/>
      <c r="PF346"/>
      <c r="PG346"/>
      <c r="PH346"/>
      <c r="PI346"/>
      <c r="PJ346"/>
      <c r="PK346"/>
      <c r="PL346"/>
      <c r="PM346"/>
      <c r="PN346"/>
      <c r="PO346"/>
      <c r="PP346"/>
      <c r="PQ346"/>
      <c r="PR346"/>
      <c r="PS346"/>
      <c r="PT346"/>
      <c r="PU346"/>
      <c r="PV346"/>
      <c r="PW346"/>
      <c r="PX346"/>
      <c r="PY346"/>
      <c r="PZ346"/>
      <c r="QA346"/>
      <c r="QB346"/>
      <c r="QC346"/>
      <c r="QD346"/>
      <c r="QE346"/>
      <c r="QF346"/>
      <c r="QG346"/>
      <c r="QH346"/>
      <c r="QI346"/>
      <c r="QJ346"/>
      <c r="QK346"/>
      <c r="QL346"/>
      <c r="QM346"/>
      <c r="QN346"/>
      <c r="QO346"/>
      <c r="QP346"/>
      <c r="QQ346"/>
      <c r="QR346"/>
      <c r="QS346"/>
      <c r="QT346"/>
      <c r="QU346"/>
      <c r="QV346"/>
      <c r="QW346"/>
      <c r="QX346"/>
    </row>
    <row r="347" spans="1:466" x14ac:dyDescent="0.35">
      <c r="A347" s="53"/>
      <c r="B347" s="53"/>
      <c r="C347" s="55"/>
      <c r="D347" s="53"/>
      <c r="E347" s="53"/>
      <c r="F347" s="124" t="s">
        <v>590</v>
      </c>
      <c r="G347" s="125"/>
      <c r="H347" s="125">
        <v>0</v>
      </c>
      <c r="I347" s="133">
        <v>2893</v>
      </c>
      <c r="J347" s="53"/>
      <c r="K347" s="53"/>
      <c r="L347" s="53"/>
      <c r="M347" s="53"/>
      <c r="N347" s="53"/>
      <c r="O347" s="53"/>
      <c r="P347" s="53"/>
      <c r="Q347" s="53"/>
      <c r="R347" s="53"/>
      <c r="S347" s="53"/>
      <c r="T347" s="53"/>
      <c r="U347" s="53"/>
      <c r="V347" s="53"/>
      <c r="W347" s="53"/>
      <c r="X347" s="53"/>
      <c r="Y347" s="53"/>
      <c r="Z347" s="53"/>
      <c r="AA347" s="53"/>
      <c r="AB347" s="53"/>
      <c r="AC347" s="53"/>
      <c r="AD347" s="53"/>
      <c r="AE347" s="53"/>
      <c r="AF347" s="63"/>
      <c r="AG347" s="64"/>
      <c r="AH347" s="65"/>
      <c r="AI347" s="65"/>
      <c r="AJ347" s="53"/>
      <c r="AK347" s="62"/>
      <c r="AL347" s="62"/>
      <c r="AM347" s="62"/>
      <c r="AN347" s="62"/>
      <c r="AO347" s="62"/>
      <c r="AP347" s="62"/>
      <c r="AQ347" s="62"/>
      <c r="AR347" s="62"/>
      <c r="AS347" s="62"/>
      <c r="AT347" s="62"/>
      <c r="AU347" s="62"/>
      <c r="AV347" s="62"/>
      <c r="AW347" s="62"/>
      <c r="AX347" s="62"/>
      <c r="AY347" s="62"/>
      <c r="AZ347" s="62"/>
      <c r="BA347" s="62"/>
      <c r="BB347" s="62"/>
      <c r="BC347" s="62"/>
      <c r="BD347" s="62"/>
      <c r="BE347" s="62"/>
      <c r="BF347" s="62"/>
      <c r="BG347" s="62"/>
      <c r="BH347" s="62"/>
      <c r="BI347" s="62"/>
      <c r="BJ347" s="62"/>
      <c r="BK347" s="62"/>
      <c r="BL347" s="62"/>
      <c r="BM347" s="62"/>
      <c r="BN347" s="62"/>
      <c r="BO347" s="62"/>
      <c r="BP347" s="62"/>
      <c r="BQ347" s="62"/>
      <c r="BR347" s="62"/>
      <c r="BS347" s="62"/>
      <c r="BT347" s="62"/>
      <c r="BU347" s="62"/>
      <c r="BV347" s="62"/>
      <c r="BW347" s="62"/>
      <c r="BX347" s="62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  <c r="HB347"/>
      <c r="HC347"/>
      <c r="HD347"/>
      <c r="HE347"/>
      <c r="HF347"/>
      <c r="HG347"/>
      <c r="HH347"/>
      <c r="HI347"/>
      <c r="HJ347"/>
      <c r="HK347"/>
      <c r="HL347"/>
      <c r="HM347"/>
      <c r="HN347"/>
      <c r="HO347"/>
      <c r="HP347"/>
      <c r="HQ347"/>
      <c r="HR347"/>
      <c r="HS347"/>
      <c r="HT347"/>
      <c r="HU347"/>
      <c r="HV347"/>
      <c r="HW347"/>
      <c r="HX347"/>
      <c r="HY347"/>
      <c r="HZ347"/>
      <c r="IA347"/>
      <c r="IB347"/>
      <c r="IC347"/>
      <c r="ID347"/>
      <c r="IE347"/>
      <c r="IF347"/>
      <c r="IG347"/>
      <c r="IH347"/>
      <c r="II347"/>
      <c r="IJ347"/>
      <c r="IK347"/>
      <c r="IL347"/>
      <c r="IM347"/>
      <c r="IN347"/>
      <c r="IO347"/>
      <c r="IP347"/>
      <c r="IQ347"/>
      <c r="IR347"/>
      <c r="IS347"/>
      <c r="IT347"/>
      <c r="IU347"/>
      <c r="IV347"/>
      <c r="IW347"/>
      <c r="IX347"/>
      <c r="IY347"/>
      <c r="IZ347"/>
      <c r="JA347"/>
      <c r="JB347"/>
      <c r="JC347"/>
      <c r="JD347"/>
      <c r="JE347"/>
      <c r="JF347"/>
      <c r="JG347"/>
      <c r="JH347"/>
      <c r="JI347"/>
      <c r="JJ347"/>
      <c r="JK347"/>
      <c r="JL347"/>
      <c r="JM347"/>
      <c r="JN347"/>
      <c r="JO347"/>
      <c r="JP347"/>
      <c r="JQ347"/>
      <c r="JR347"/>
      <c r="JS347"/>
      <c r="JT347"/>
      <c r="JU347"/>
      <c r="JV347"/>
      <c r="JW347"/>
      <c r="JX347"/>
      <c r="JY347"/>
      <c r="JZ347"/>
      <c r="KA347"/>
      <c r="KB347"/>
      <c r="KC347"/>
      <c r="KD347"/>
      <c r="KE347"/>
      <c r="KF347"/>
      <c r="KG347"/>
      <c r="KH347"/>
      <c r="KI347"/>
      <c r="KJ347"/>
      <c r="KK347"/>
      <c r="KL347"/>
      <c r="KM347"/>
      <c r="KN347"/>
      <c r="KO347"/>
      <c r="KP347"/>
      <c r="KQ347"/>
      <c r="KR347"/>
      <c r="KS347"/>
      <c r="KT347"/>
      <c r="KU347"/>
      <c r="KV347"/>
      <c r="KW347"/>
      <c r="KX347"/>
      <c r="KY347"/>
      <c r="KZ347"/>
      <c r="LA347"/>
      <c r="LB347"/>
      <c r="LC347"/>
      <c r="LD347"/>
      <c r="LE347"/>
      <c r="LF347"/>
      <c r="LG347"/>
      <c r="LH347"/>
      <c r="LI347"/>
      <c r="LJ347"/>
      <c r="LK347"/>
      <c r="LL347"/>
      <c r="LM347"/>
      <c r="LN347"/>
      <c r="LO347"/>
      <c r="LP347"/>
      <c r="LQ347"/>
      <c r="LR347"/>
      <c r="LS347"/>
      <c r="LT347"/>
      <c r="LU347"/>
      <c r="LV347"/>
      <c r="LW347"/>
      <c r="LX347"/>
      <c r="LY347"/>
      <c r="LZ347"/>
      <c r="MA347"/>
      <c r="MB347"/>
      <c r="MC347"/>
      <c r="MD347"/>
      <c r="ME347"/>
      <c r="MF347"/>
      <c r="MG347"/>
      <c r="MH347"/>
      <c r="MI347"/>
      <c r="MJ347"/>
      <c r="MK347"/>
      <c r="ML347"/>
      <c r="MM347"/>
      <c r="MN347"/>
      <c r="MO347"/>
      <c r="MP347"/>
      <c r="MQ347"/>
      <c r="MR347"/>
      <c r="MS347"/>
      <c r="MT347"/>
      <c r="MU347"/>
      <c r="MV347"/>
      <c r="MW347"/>
      <c r="MX347"/>
      <c r="MY347"/>
      <c r="MZ347"/>
      <c r="NA347"/>
      <c r="NB347"/>
      <c r="NC347"/>
      <c r="ND347"/>
      <c r="NE347"/>
      <c r="NF347"/>
      <c r="NG347"/>
      <c r="NH347"/>
      <c r="NI347"/>
      <c r="NJ347"/>
      <c r="NK347"/>
      <c r="NL347"/>
      <c r="NM347"/>
      <c r="NN347"/>
      <c r="NO347"/>
      <c r="NP347"/>
      <c r="NQ347"/>
      <c r="NR347"/>
      <c r="NS347"/>
      <c r="NT347"/>
      <c r="NU347"/>
      <c r="NV347"/>
      <c r="NW347"/>
      <c r="NX347"/>
      <c r="NY347"/>
      <c r="NZ347"/>
      <c r="OA347"/>
      <c r="OB347"/>
      <c r="OC347"/>
      <c r="OD347"/>
      <c r="OE347"/>
      <c r="OF347"/>
      <c r="OG347"/>
      <c r="OH347"/>
      <c r="OI347"/>
      <c r="OJ347"/>
      <c r="OK347"/>
      <c r="OL347"/>
      <c r="OM347"/>
      <c r="ON347"/>
      <c r="OO347"/>
      <c r="OP347"/>
      <c r="OQ347"/>
      <c r="OR347"/>
      <c r="OS347"/>
      <c r="OT347"/>
      <c r="OU347"/>
      <c r="OV347"/>
      <c r="OW347"/>
      <c r="OX347"/>
      <c r="OY347"/>
      <c r="OZ347"/>
      <c r="PA347"/>
      <c r="PB347"/>
      <c r="PC347"/>
      <c r="PD347"/>
      <c r="PE347"/>
      <c r="PF347"/>
      <c r="PG347"/>
      <c r="PH347"/>
      <c r="PI347"/>
      <c r="PJ347"/>
      <c r="PK347"/>
      <c r="PL347"/>
      <c r="PM347"/>
      <c r="PN347"/>
      <c r="PO347"/>
      <c r="PP347"/>
      <c r="PQ347"/>
      <c r="PR347"/>
      <c r="PS347"/>
      <c r="PT347"/>
      <c r="PU347"/>
      <c r="PV347"/>
      <c r="PW347"/>
      <c r="PX347"/>
      <c r="PY347"/>
      <c r="PZ347"/>
      <c r="QA347"/>
      <c r="QB347"/>
      <c r="QC347"/>
      <c r="QD347"/>
      <c r="QE347"/>
      <c r="QF347"/>
      <c r="QG347"/>
      <c r="QH347"/>
      <c r="QI347"/>
      <c r="QJ347"/>
      <c r="QK347"/>
      <c r="QL347"/>
      <c r="QM347"/>
      <c r="QN347"/>
      <c r="QO347"/>
      <c r="QP347"/>
      <c r="QQ347"/>
      <c r="QR347"/>
      <c r="QS347"/>
      <c r="QT347"/>
      <c r="QU347"/>
      <c r="QV347"/>
      <c r="QW347"/>
      <c r="QX347"/>
    </row>
    <row r="348" spans="1:466" x14ac:dyDescent="0.35">
      <c r="A348" s="53"/>
      <c r="B348" s="53"/>
      <c r="C348" s="55"/>
      <c r="D348" s="53"/>
      <c r="E348" s="53"/>
      <c r="F348" s="126">
        <v>20030658</v>
      </c>
      <c r="G348" s="125"/>
      <c r="H348" s="125">
        <v>0</v>
      </c>
      <c r="I348" s="133">
        <v>2893</v>
      </c>
      <c r="J348" s="53"/>
      <c r="K348" s="53"/>
      <c r="L348" s="53"/>
      <c r="M348" s="53"/>
      <c r="N348" s="53"/>
      <c r="O348" s="53"/>
      <c r="P348" s="53"/>
      <c r="Q348" s="53"/>
      <c r="R348" s="53"/>
      <c r="S348" s="53"/>
      <c r="T348" s="53"/>
      <c r="U348" s="53"/>
      <c r="V348" s="53"/>
      <c r="W348" s="53"/>
      <c r="X348" s="53"/>
      <c r="Y348" s="53"/>
      <c r="Z348" s="53"/>
      <c r="AA348" s="53"/>
      <c r="AB348" s="53"/>
      <c r="AC348" s="53"/>
      <c r="AD348" s="53"/>
      <c r="AE348" s="53"/>
      <c r="AF348" s="63"/>
      <c r="AG348" s="64"/>
      <c r="AH348" s="65"/>
      <c r="AI348" s="65"/>
      <c r="AJ348" s="53"/>
      <c r="AK348" s="62"/>
      <c r="AL348" s="62"/>
      <c r="AM348" s="62"/>
      <c r="AN348" s="62"/>
      <c r="AO348" s="62"/>
      <c r="AP348" s="62"/>
      <c r="AQ348" s="62"/>
      <c r="AR348" s="62"/>
      <c r="AS348" s="62"/>
      <c r="AT348" s="62"/>
      <c r="AU348" s="62"/>
      <c r="AV348" s="62"/>
      <c r="AW348" s="62"/>
      <c r="AX348" s="62"/>
      <c r="AY348" s="62"/>
      <c r="AZ348" s="62"/>
      <c r="BA348" s="62"/>
      <c r="BB348" s="62"/>
      <c r="BC348" s="62"/>
      <c r="BD348" s="62"/>
      <c r="BE348" s="62"/>
      <c r="BF348" s="62"/>
      <c r="BG348" s="62"/>
      <c r="BH348" s="62"/>
      <c r="BI348" s="62"/>
      <c r="BJ348" s="62"/>
      <c r="BK348" s="62"/>
      <c r="BL348" s="62"/>
      <c r="BM348" s="62"/>
      <c r="BN348" s="62"/>
      <c r="BO348" s="62"/>
      <c r="BP348" s="62"/>
      <c r="BQ348" s="62"/>
      <c r="BR348" s="62"/>
      <c r="BS348" s="62"/>
      <c r="BT348" s="62"/>
      <c r="BU348" s="62"/>
      <c r="BV348" s="62"/>
      <c r="BW348" s="62"/>
      <c r="BX348" s="62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  <c r="HB348"/>
      <c r="HC348"/>
      <c r="HD348"/>
      <c r="HE348"/>
      <c r="HF348"/>
      <c r="HG348"/>
      <c r="HH348"/>
      <c r="HI348"/>
      <c r="HJ348"/>
      <c r="HK348"/>
      <c r="HL348"/>
      <c r="HM348"/>
      <c r="HN348"/>
      <c r="HO348"/>
      <c r="HP348"/>
      <c r="HQ348"/>
      <c r="HR348"/>
      <c r="HS348"/>
      <c r="HT348"/>
      <c r="HU348"/>
      <c r="HV348"/>
      <c r="HW348"/>
      <c r="HX348"/>
      <c r="HY348"/>
      <c r="HZ348"/>
      <c r="IA348"/>
      <c r="IB348"/>
      <c r="IC348"/>
      <c r="ID348"/>
      <c r="IE348"/>
      <c r="IF348"/>
      <c r="IG348"/>
      <c r="IH348"/>
      <c r="II348"/>
      <c r="IJ348"/>
      <c r="IK348"/>
      <c r="IL348"/>
      <c r="IM348"/>
      <c r="IN348"/>
      <c r="IO348"/>
      <c r="IP348"/>
      <c r="IQ348"/>
      <c r="IR348"/>
      <c r="IS348"/>
      <c r="IT348"/>
      <c r="IU348"/>
      <c r="IV348"/>
      <c r="IW348"/>
      <c r="IX348"/>
      <c r="IY348"/>
      <c r="IZ348"/>
      <c r="JA348"/>
      <c r="JB348"/>
      <c r="JC348"/>
      <c r="JD348"/>
      <c r="JE348"/>
      <c r="JF348"/>
      <c r="JG348"/>
      <c r="JH348"/>
      <c r="JI348"/>
      <c r="JJ348"/>
      <c r="JK348"/>
      <c r="JL348"/>
      <c r="JM348"/>
      <c r="JN348"/>
      <c r="JO348"/>
      <c r="JP348"/>
      <c r="JQ348"/>
      <c r="JR348"/>
      <c r="JS348"/>
      <c r="JT348"/>
      <c r="JU348"/>
      <c r="JV348"/>
      <c r="JW348"/>
      <c r="JX348"/>
      <c r="JY348"/>
      <c r="JZ348"/>
      <c r="KA348"/>
      <c r="KB348"/>
      <c r="KC348"/>
      <c r="KD348"/>
      <c r="KE348"/>
      <c r="KF348"/>
      <c r="KG348"/>
      <c r="KH348"/>
      <c r="KI348"/>
      <c r="KJ348"/>
      <c r="KK348"/>
      <c r="KL348"/>
      <c r="KM348"/>
      <c r="KN348"/>
      <c r="KO348"/>
      <c r="KP348"/>
      <c r="KQ348"/>
      <c r="KR348"/>
      <c r="KS348"/>
      <c r="KT348"/>
      <c r="KU348"/>
      <c r="KV348"/>
      <c r="KW348"/>
      <c r="KX348"/>
      <c r="KY348"/>
      <c r="KZ348"/>
      <c r="LA348"/>
      <c r="LB348"/>
      <c r="LC348"/>
      <c r="LD348"/>
      <c r="LE348"/>
      <c r="LF348"/>
      <c r="LG348"/>
      <c r="LH348"/>
      <c r="LI348"/>
      <c r="LJ348"/>
      <c r="LK348"/>
      <c r="LL348"/>
      <c r="LM348"/>
      <c r="LN348"/>
      <c r="LO348"/>
      <c r="LP348"/>
      <c r="LQ348"/>
      <c r="LR348"/>
      <c r="LS348"/>
      <c r="LT348"/>
      <c r="LU348"/>
      <c r="LV348"/>
      <c r="LW348"/>
      <c r="LX348"/>
      <c r="LY348"/>
      <c r="LZ348"/>
      <c r="MA348"/>
      <c r="MB348"/>
      <c r="MC348"/>
      <c r="MD348"/>
      <c r="ME348"/>
      <c r="MF348"/>
      <c r="MG348"/>
      <c r="MH348"/>
      <c r="MI348"/>
      <c r="MJ348"/>
      <c r="MK348"/>
      <c r="ML348"/>
      <c r="MM348"/>
      <c r="MN348"/>
      <c r="MO348"/>
      <c r="MP348"/>
      <c r="MQ348"/>
      <c r="MR348"/>
      <c r="MS348"/>
      <c r="MT348"/>
      <c r="MU348"/>
      <c r="MV348"/>
      <c r="MW348"/>
      <c r="MX348"/>
      <c r="MY348"/>
      <c r="MZ348"/>
      <c r="NA348"/>
      <c r="NB348"/>
      <c r="NC348"/>
      <c r="ND348"/>
      <c r="NE348"/>
      <c r="NF348"/>
      <c r="NG348"/>
      <c r="NH348"/>
      <c r="NI348"/>
      <c r="NJ348"/>
      <c r="NK348"/>
      <c r="NL348"/>
      <c r="NM348"/>
      <c r="NN348"/>
      <c r="NO348"/>
      <c r="NP348"/>
      <c r="NQ348"/>
      <c r="NR348"/>
      <c r="NS348"/>
      <c r="NT348"/>
      <c r="NU348"/>
      <c r="NV348"/>
      <c r="NW348"/>
      <c r="NX348"/>
      <c r="NY348"/>
      <c r="NZ348"/>
      <c r="OA348"/>
      <c r="OB348"/>
      <c r="OC348"/>
      <c r="OD348"/>
      <c r="OE348"/>
      <c r="OF348"/>
      <c r="OG348"/>
      <c r="OH348"/>
      <c r="OI348"/>
      <c r="OJ348"/>
      <c r="OK348"/>
      <c r="OL348"/>
      <c r="OM348"/>
      <c r="ON348"/>
      <c r="OO348"/>
      <c r="OP348"/>
      <c r="OQ348"/>
      <c r="OR348"/>
      <c r="OS348"/>
      <c r="OT348"/>
      <c r="OU348"/>
      <c r="OV348"/>
      <c r="OW348"/>
      <c r="OX348"/>
      <c r="OY348"/>
      <c r="OZ348"/>
      <c r="PA348"/>
      <c r="PB348"/>
      <c r="PC348"/>
      <c r="PD348"/>
      <c r="PE348"/>
      <c r="PF348"/>
      <c r="PG348"/>
      <c r="PH348"/>
      <c r="PI348"/>
      <c r="PJ348"/>
      <c r="PK348"/>
      <c r="PL348"/>
      <c r="PM348"/>
      <c r="PN348"/>
      <c r="PO348"/>
      <c r="PP348"/>
      <c r="PQ348"/>
      <c r="PR348"/>
      <c r="PS348"/>
      <c r="PT348"/>
      <c r="PU348"/>
      <c r="PV348"/>
      <c r="PW348"/>
      <c r="PX348"/>
      <c r="PY348"/>
      <c r="PZ348"/>
      <c r="QA348"/>
      <c r="QB348"/>
      <c r="QC348"/>
      <c r="QD348"/>
      <c r="QE348"/>
      <c r="QF348"/>
      <c r="QG348"/>
      <c r="QH348"/>
      <c r="QI348"/>
      <c r="QJ348"/>
      <c r="QK348"/>
      <c r="QL348"/>
      <c r="QM348"/>
      <c r="QN348"/>
      <c r="QO348"/>
      <c r="QP348"/>
      <c r="QQ348"/>
      <c r="QR348"/>
      <c r="QS348"/>
      <c r="QT348"/>
      <c r="QU348"/>
      <c r="QV348"/>
      <c r="QW348"/>
      <c r="QX348"/>
    </row>
    <row r="349" spans="1:466" x14ac:dyDescent="0.35">
      <c r="A349" s="53"/>
      <c r="B349" s="53"/>
      <c r="C349" s="55"/>
      <c r="D349" s="53"/>
      <c r="E349" s="53"/>
      <c r="F349" s="124" t="s">
        <v>594</v>
      </c>
      <c r="G349" s="125">
        <v>48108.034000000007</v>
      </c>
      <c r="H349" s="125">
        <v>189160.78999999998</v>
      </c>
      <c r="I349" s="133">
        <v>649</v>
      </c>
      <c r="J349" s="53"/>
      <c r="K349" s="53"/>
      <c r="L349" s="53"/>
      <c r="M349" s="53"/>
      <c r="N349" s="53"/>
      <c r="O349" s="53"/>
      <c r="P349" s="53"/>
      <c r="Q349" s="53"/>
      <c r="R349" s="53"/>
      <c r="S349" s="53"/>
      <c r="T349" s="53"/>
      <c r="U349" s="53"/>
      <c r="V349" s="53"/>
      <c r="W349" s="53"/>
      <c r="X349" s="53"/>
      <c r="Y349" s="53"/>
      <c r="Z349" s="53"/>
      <c r="AA349" s="53"/>
      <c r="AB349" s="53"/>
      <c r="AC349" s="53"/>
      <c r="AD349" s="53"/>
      <c r="AE349" s="53"/>
      <c r="AF349" s="63"/>
      <c r="AG349" s="64"/>
      <c r="AH349" s="65"/>
      <c r="AI349" s="65"/>
      <c r="AJ349" s="53"/>
      <c r="AK349" s="62"/>
      <c r="AL349" s="62"/>
      <c r="AM349" s="62"/>
      <c r="AN349" s="62"/>
      <c r="AO349" s="62"/>
      <c r="AP349" s="62"/>
      <c r="AQ349" s="62"/>
      <c r="AR349" s="62"/>
      <c r="AS349" s="62"/>
      <c r="AT349" s="62"/>
      <c r="AU349" s="62"/>
      <c r="AV349" s="62"/>
      <c r="AW349" s="62"/>
      <c r="AX349" s="62"/>
      <c r="AY349" s="62"/>
      <c r="AZ349" s="62"/>
      <c r="BA349" s="62"/>
      <c r="BB349" s="62"/>
      <c r="BC349" s="62"/>
      <c r="BD349" s="62"/>
      <c r="BE349" s="62"/>
      <c r="BF349" s="62"/>
      <c r="BG349" s="62"/>
      <c r="BH349" s="62"/>
      <c r="BI349" s="62"/>
      <c r="BJ349" s="62"/>
      <c r="BK349" s="62"/>
      <c r="BL349" s="62"/>
      <c r="BM349" s="62"/>
      <c r="BN349" s="62"/>
      <c r="BO349" s="62"/>
      <c r="BP349" s="62"/>
      <c r="BQ349" s="62"/>
      <c r="BR349" s="62"/>
      <c r="BS349" s="62"/>
      <c r="BT349" s="62"/>
      <c r="BU349" s="62"/>
      <c r="BV349" s="62"/>
      <c r="BW349" s="62"/>
      <c r="BX349" s="62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  <c r="HB349"/>
      <c r="HC349"/>
      <c r="HD349"/>
      <c r="HE349"/>
      <c r="HF349"/>
      <c r="HG349"/>
      <c r="HH349"/>
      <c r="HI349"/>
      <c r="HJ349"/>
      <c r="HK349"/>
      <c r="HL349"/>
      <c r="HM349"/>
      <c r="HN349"/>
      <c r="HO349"/>
      <c r="HP349"/>
      <c r="HQ349"/>
      <c r="HR349"/>
      <c r="HS349"/>
      <c r="HT349"/>
      <c r="HU349"/>
      <c r="HV349"/>
      <c r="HW349"/>
      <c r="HX349"/>
      <c r="HY349"/>
      <c r="HZ349"/>
      <c r="IA349"/>
      <c r="IB349"/>
      <c r="IC349"/>
      <c r="ID349"/>
      <c r="IE349"/>
      <c r="IF349"/>
      <c r="IG349"/>
      <c r="IH349"/>
      <c r="II349"/>
      <c r="IJ349"/>
      <c r="IK349"/>
      <c r="IL349"/>
      <c r="IM349"/>
      <c r="IN349"/>
      <c r="IO349"/>
      <c r="IP349"/>
      <c r="IQ349"/>
      <c r="IR349"/>
      <c r="IS349"/>
      <c r="IT349"/>
      <c r="IU349"/>
      <c r="IV349"/>
      <c r="IW349"/>
      <c r="IX349"/>
      <c r="IY349"/>
      <c r="IZ349"/>
      <c r="JA349"/>
      <c r="JB349"/>
      <c r="JC349"/>
      <c r="JD349"/>
      <c r="JE349"/>
      <c r="JF349"/>
      <c r="JG349"/>
      <c r="JH349"/>
      <c r="JI349"/>
      <c r="JJ349"/>
      <c r="JK349"/>
      <c r="JL349"/>
      <c r="JM349"/>
      <c r="JN349"/>
      <c r="JO349"/>
      <c r="JP349"/>
      <c r="JQ349"/>
      <c r="JR349"/>
      <c r="JS349"/>
      <c r="JT349"/>
      <c r="JU349"/>
      <c r="JV349"/>
      <c r="JW349"/>
      <c r="JX349"/>
      <c r="JY349"/>
      <c r="JZ349"/>
      <c r="KA349"/>
      <c r="KB349"/>
      <c r="KC349"/>
      <c r="KD349"/>
      <c r="KE349"/>
      <c r="KF349"/>
      <c r="KG349"/>
      <c r="KH349"/>
      <c r="KI349"/>
      <c r="KJ349"/>
      <c r="KK349"/>
      <c r="KL349"/>
      <c r="KM349"/>
      <c r="KN349"/>
      <c r="KO349"/>
      <c r="KP349"/>
      <c r="KQ349"/>
      <c r="KR349"/>
      <c r="KS349"/>
      <c r="KT349"/>
      <c r="KU349"/>
      <c r="KV349"/>
      <c r="KW349"/>
      <c r="KX349"/>
      <c r="KY349"/>
      <c r="KZ349"/>
      <c r="LA349"/>
      <c r="LB349"/>
      <c r="LC349"/>
      <c r="LD349"/>
      <c r="LE349"/>
      <c r="LF349"/>
      <c r="LG349"/>
      <c r="LH349"/>
      <c r="LI349"/>
      <c r="LJ349"/>
      <c r="LK349"/>
      <c r="LL349"/>
      <c r="LM349"/>
      <c r="LN349"/>
      <c r="LO349"/>
      <c r="LP349"/>
      <c r="LQ349"/>
      <c r="LR349"/>
      <c r="LS349"/>
      <c r="LT349"/>
      <c r="LU349"/>
      <c r="LV349"/>
      <c r="LW349"/>
      <c r="LX349"/>
      <c r="LY349"/>
      <c r="LZ349"/>
      <c r="MA349"/>
      <c r="MB349"/>
      <c r="MC349"/>
      <c r="MD349"/>
      <c r="ME349"/>
      <c r="MF349"/>
      <c r="MG349"/>
      <c r="MH349"/>
      <c r="MI349"/>
      <c r="MJ349"/>
      <c r="MK349"/>
      <c r="ML349"/>
      <c r="MM349"/>
      <c r="MN349"/>
      <c r="MO349"/>
      <c r="MP349"/>
      <c r="MQ349"/>
      <c r="MR349"/>
      <c r="MS349"/>
      <c r="MT349"/>
      <c r="MU349"/>
      <c r="MV349"/>
      <c r="MW349"/>
      <c r="MX349"/>
      <c r="MY349"/>
      <c r="MZ349"/>
      <c r="NA349"/>
      <c r="NB349"/>
      <c r="NC349"/>
      <c r="ND349"/>
      <c r="NE349"/>
      <c r="NF349"/>
      <c r="NG349"/>
      <c r="NH349"/>
      <c r="NI349"/>
      <c r="NJ349"/>
      <c r="NK349"/>
      <c r="NL349"/>
      <c r="NM349"/>
      <c r="NN349"/>
      <c r="NO349"/>
      <c r="NP349"/>
      <c r="NQ349"/>
      <c r="NR349"/>
      <c r="NS349"/>
      <c r="NT349"/>
      <c r="NU349"/>
      <c r="NV349"/>
      <c r="NW349"/>
      <c r="NX349"/>
      <c r="NY349"/>
      <c r="NZ349"/>
      <c r="OA349"/>
      <c r="OB349"/>
      <c r="OC349"/>
      <c r="OD349"/>
      <c r="OE349"/>
      <c r="OF349"/>
      <c r="OG349"/>
      <c r="OH349"/>
      <c r="OI349"/>
      <c r="OJ349"/>
      <c r="OK349"/>
      <c r="OL349"/>
      <c r="OM349"/>
      <c r="ON349"/>
      <c r="OO349"/>
      <c r="OP349"/>
      <c r="OQ349"/>
      <c r="OR349"/>
      <c r="OS349"/>
      <c r="OT349"/>
      <c r="OU349"/>
      <c r="OV349"/>
      <c r="OW349"/>
      <c r="OX349"/>
      <c r="OY349"/>
      <c r="OZ349"/>
      <c r="PA349"/>
      <c r="PB349"/>
      <c r="PC349"/>
      <c r="PD349"/>
      <c r="PE349"/>
      <c r="PF349"/>
      <c r="PG349"/>
      <c r="PH349"/>
      <c r="PI349"/>
      <c r="PJ349"/>
      <c r="PK349"/>
      <c r="PL349"/>
      <c r="PM349"/>
      <c r="PN349"/>
      <c r="PO349"/>
      <c r="PP349"/>
      <c r="PQ349"/>
      <c r="PR349"/>
      <c r="PS349"/>
      <c r="PT349"/>
      <c r="PU349"/>
      <c r="PV349"/>
      <c r="PW349"/>
      <c r="PX349"/>
      <c r="PY349"/>
      <c r="PZ349"/>
      <c r="QA349"/>
      <c r="QB349"/>
      <c r="QC349"/>
      <c r="QD349"/>
      <c r="QE349"/>
      <c r="QF349"/>
      <c r="QG349"/>
      <c r="QH349"/>
      <c r="QI349"/>
      <c r="QJ349"/>
      <c r="QK349"/>
      <c r="QL349"/>
      <c r="QM349"/>
      <c r="QN349"/>
      <c r="QO349"/>
      <c r="QP349"/>
      <c r="QQ349"/>
      <c r="QR349"/>
      <c r="QS349"/>
      <c r="QT349"/>
      <c r="QU349"/>
      <c r="QV349"/>
      <c r="QW349"/>
      <c r="QX349"/>
    </row>
    <row r="350" spans="1:466" x14ac:dyDescent="0.35">
      <c r="A350" s="53"/>
      <c r="B350" s="53"/>
      <c r="C350" s="55"/>
      <c r="D350" s="53"/>
      <c r="E350" s="53"/>
      <c r="F350" s="134" t="s">
        <v>592</v>
      </c>
      <c r="G350" s="125"/>
      <c r="H350" s="125">
        <v>0</v>
      </c>
      <c r="I350" s="133">
        <v>2</v>
      </c>
      <c r="J350" s="53"/>
      <c r="K350" s="53"/>
      <c r="L350" s="53"/>
      <c r="M350" s="53"/>
      <c r="N350" s="53"/>
      <c r="O350" s="53"/>
      <c r="P350" s="53"/>
      <c r="Q350" s="53"/>
      <c r="R350" s="53"/>
      <c r="S350" s="53"/>
      <c r="T350" s="53"/>
      <c r="U350" s="53"/>
      <c r="V350" s="53"/>
      <c r="W350" s="53"/>
      <c r="X350" s="53"/>
      <c r="Y350" s="53"/>
      <c r="Z350" s="53"/>
      <c r="AA350" s="53"/>
      <c r="AB350" s="53"/>
      <c r="AC350" s="53"/>
      <c r="AD350" s="53"/>
      <c r="AE350" s="53"/>
      <c r="AF350" s="63"/>
      <c r="AG350" s="64"/>
      <c r="AH350" s="65"/>
      <c r="AI350" s="65"/>
      <c r="AJ350" s="53"/>
      <c r="AK350" s="62"/>
      <c r="AL350" s="62"/>
      <c r="AM350" s="62"/>
      <c r="AN350" s="62"/>
      <c r="AO350" s="62"/>
      <c r="AP350" s="62"/>
      <c r="AQ350" s="62"/>
      <c r="AR350" s="62"/>
      <c r="AS350" s="62"/>
      <c r="AT350" s="62"/>
      <c r="AU350" s="62"/>
      <c r="AV350" s="62"/>
      <c r="AW350" s="62"/>
      <c r="AX350" s="62"/>
      <c r="AY350" s="62"/>
      <c r="AZ350" s="62"/>
      <c r="BA350" s="62"/>
      <c r="BB350" s="62"/>
      <c r="BC350" s="62"/>
      <c r="BD350" s="62"/>
      <c r="BE350" s="62"/>
      <c r="BF350" s="62"/>
      <c r="BG350" s="62"/>
      <c r="BH350" s="62"/>
      <c r="BI350" s="62"/>
      <c r="BJ350" s="62"/>
      <c r="BK350" s="62"/>
      <c r="BL350" s="62"/>
      <c r="BM350" s="62"/>
      <c r="BN350" s="62"/>
      <c r="BO350" s="62"/>
      <c r="BP350" s="62"/>
      <c r="BQ350" s="62"/>
      <c r="BR350" s="62"/>
      <c r="BS350" s="62"/>
      <c r="BT350" s="62"/>
      <c r="BU350" s="62"/>
      <c r="BV350" s="62"/>
      <c r="BW350" s="62"/>
      <c r="BX350" s="62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  <c r="HB350"/>
      <c r="HC350"/>
      <c r="HD350"/>
      <c r="HE350"/>
      <c r="HF350"/>
      <c r="HG350"/>
      <c r="HH350"/>
      <c r="HI350"/>
      <c r="HJ350"/>
      <c r="HK350"/>
      <c r="HL350"/>
      <c r="HM350"/>
      <c r="HN350"/>
      <c r="HO350"/>
      <c r="HP350"/>
      <c r="HQ350"/>
      <c r="HR350"/>
      <c r="HS350"/>
      <c r="HT350"/>
      <c r="HU350"/>
      <c r="HV350"/>
      <c r="HW350"/>
      <c r="HX350"/>
      <c r="HY350"/>
      <c r="HZ350"/>
      <c r="IA350"/>
      <c r="IB350"/>
      <c r="IC350"/>
      <c r="ID350"/>
      <c r="IE350"/>
      <c r="IF350"/>
      <c r="IG350"/>
      <c r="IH350"/>
      <c r="II350"/>
      <c r="IJ350"/>
      <c r="IK350"/>
      <c r="IL350"/>
      <c r="IM350"/>
      <c r="IN350"/>
      <c r="IO350"/>
      <c r="IP350"/>
      <c r="IQ350"/>
      <c r="IR350"/>
      <c r="IS350"/>
      <c r="IT350"/>
      <c r="IU350"/>
      <c r="IV350"/>
      <c r="IW350"/>
      <c r="IX350"/>
      <c r="IY350"/>
      <c r="IZ350"/>
      <c r="JA350"/>
      <c r="JB350"/>
      <c r="JC350"/>
      <c r="JD350"/>
      <c r="JE350"/>
      <c r="JF350"/>
      <c r="JG350"/>
      <c r="JH350"/>
      <c r="JI350"/>
      <c r="JJ350"/>
      <c r="JK350"/>
      <c r="JL350"/>
      <c r="JM350"/>
      <c r="JN350"/>
      <c r="JO350"/>
      <c r="JP350"/>
      <c r="JQ350"/>
      <c r="JR350"/>
      <c r="JS350"/>
      <c r="JT350"/>
      <c r="JU350"/>
      <c r="JV350"/>
      <c r="JW350"/>
      <c r="JX350"/>
      <c r="JY350"/>
      <c r="JZ350"/>
      <c r="KA350"/>
      <c r="KB350"/>
      <c r="KC350"/>
      <c r="KD350"/>
      <c r="KE350"/>
      <c r="KF350"/>
      <c r="KG350"/>
      <c r="KH350"/>
      <c r="KI350"/>
      <c r="KJ350"/>
      <c r="KK350"/>
      <c r="KL350"/>
      <c r="KM350"/>
      <c r="KN350"/>
      <c r="KO350"/>
      <c r="KP350"/>
      <c r="KQ350"/>
      <c r="KR350"/>
      <c r="KS350"/>
      <c r="KT350"/>
      <c r="KU350"/>
      <c r="KV350"/>
      <c r="KW350"/>
      <c r="KX350"/>
      <c r="KY350"/>
      <c r="KZ350"/>
      <c r="LA350"/>
      <c r="LB350"/>
      <c r="LC350"/>
      <c r="LD350"/>
      <c r="LE350"/>
      <c r="LF350"/>
      <c r="LG350"/>
      <c r="LH350"/>
      <c r="LI350"/>
      <c r="LJ350"/>
      <c r="LK350"/>
      <c r="LL350"/>
      <c r="LM350"/>
      <c r="LN350"/>
      <c r="LO350"/>
      <c r="LP350"/>
      <c r="LQ350"/>
      <c r="LR350"/>
      <c r="LS350"/>
      <c r="LT350"/>
      <c r="LU350"/>
      <c r="LV350"/>
      <c r="LW350"/>
      <c r="LX350"/>
      <c r="LY350"/>
      <c r="LZ350"/>
      <c r="MA350"/>
      <c r="MB350"/>
      <c r="MC350"/>
      <c r="MD350"/>
      <c r="ME350"/>
      <c r="MF350"/>
      <c r="MG350"/>
      <c r="MH350"/>
      <c r="MI350"/>
      <c r="MJ350"/>
      <c r="MK350"/>
      <c r="ML350"/>
      <c r="MM350"/>
      <c r="MN350"/>
      <c r="MO350"/>
      <c r="MP350"/>
      <c r="MQ350"/>
      <c r="MR350"/>
      <c r="MS350"/>
      <c r="MT350"/>
      <c r="MU350"/>
      <c r="MV350"/>
      <c r="MW350"/>
      <c r="MX350"/>
      <c r="MY350"/>
      <c r="MZ350"/>
      <c r="NA350"/>
      <c r="NB350"/>
      <c r="NC350"/>
      <c r="ND350"/>
      <c r="NE350"/>
      <c r="NF350"/>
      <c r="NG350"/>
      <c r="NH350"/>
      <c r="NI350"/>
      <c r="NJ350"/>
      <c r="NK350"/>
      <c r="NL350"/>
      <c r="NM350"/>
      <c r="NN350"/>
      <c r="NO350"/>
      <c r="NP350"/>
      <c r="NQ350"/>
      <c r="NR350"/>
      <c r="NS350"/>
      <c r="NT350"/>
      <c r="NU350"/>
      <c r="NV350"/>
      <c r="NW350"/>
      <c r="NX350"/>
      <c r="NY350"/>
      <c r="NZ350"/>
      <c r="OA350"/>
      <c r="OB350"/>
      <c r="OC350"/>
      <c r="OD350"/>
      <c r="OE350"/>
      <c r="OF350"/>
      <c r="OG350"/>
      <c r="OH350"/>
      <c r="OI350"/>
      <c r="OJ350"/>
      <c r="OK350"/>
      <c r="OL350"/>
      <c r="OM350"/>
      <c r="ON350"/>
      <c r="OO350"/>
      <c r="OP350"/>
      <c r="OQ350"/>
      <c r="OR350"/>
      <c r="OS350"/>
      <c r="OT350"/>
      <c r="OU350"/>
      <c r="OV350"/>
      <c r="OW350"/>
      <c r="OX350"/>
      <c r="OY350"/>
      <c r="OZ350"/>
      <c r="PA350"/>
      <c r="PB350"/>
      <c r="PC350"/>
      <c r="PD350"/>
      <c r="PE350"/>
      <c r="PF350"/>
      <c r="PG350"/>
      <c r="PH350"/>
      <c r="PI350"/>
      <c r="PJ350"/>
      <c r="PK350"/>
      <c r="PL350"/>
      <c r="PM350"/>
      <c r="PN350"/>
      <c r="PO350"/>
      <c r="PP350"/>
      <c r="PQ350"/>
      <c r="PR350"/>
      <c r="PS350"/>
      <c r="PT350"/>
      <c r="PU350"/>
      <c r="PV350"/>
      <c r="PW350"/>
      <c r="PX350"/>
      <c r="PY350"/>
      <c r="PZ350"/>
      <c r="QA350"/>
      <c r="QB350"/>
      <c r="QC350"/>
      <c r="QD350"/>
      <c r="QE350"/>
      <c r="QF350"/>
      <c r="QG350"/>
      <c r="QH350"/>
      <c r="QI350"/>
      <c r="QJ350"/>
      <c r="QK350"/>
      <c r="QL350"/>
      <c r="QM350"/>
      <c r="QN350"/>
      <c r="QO350"/>
      <c r="QP350"/>
      <c r="QQ350"/>
      <c r="QR350"/>
      <c r="QS350"/>
      <c r="QT350"/>
      <c r="QU350"/>
      <c r="QV350"/>
      <c r="QW350"/>
      <c r="QX350"/>
    </row>
    <row r="351" spans="1:466" x14ac:dyDescent="0.35">
      <c r="A351" s="53"/>
      <c r="B351" s="53"/>
      <c r="C351" s="55"/>
      <c r="D351" s="53"/>
      <c r="E351" s="53"/>
      <c r="F351" s="134" t="s">
        <v>595</v>
      </c>
      <c r="G351" s="125">
        <v>25.89</v>
      </c>
      <c r="H351" s="125">
        <v>517.79999999999995</v>
      </c>
      <c r="I351" s="133">
        <v>20</v>
      </c>
      <c r="J351" s="53"/>
      <c r="K351" s="53"/>
      <c r="L351" s="53"/>
      <c r="M351" s="53"/>
      <c r="N351" s="53"/>
      <c r="O351" s="53"/>
      <c r="P351" s="53"/>
      <c r="Q351" s="53"/>
      <c r="R351" s="53"/>
      <c r="S351" s="53"/>
      <c r="T351" s="53"/>
      <c r="U351" s="53"/>
      <c r="V351" s="53"/>
      <c r="W351" s="53"/>
      <c r="X351" s="53"/>
      <c r="Y351" s="53"/>
      <c r="Z351" s="53"/>
      <c r="AA351" s="53"/>
      <c r="AB351" s="53"/>
      <c r="AC351" s="53"/>
      <c r="AD351" s="53"/>
      <c r="AE351" s="53"/>
      <c r="AF351" s="63"/>
      <c r="AG351" s="64"/>
      <c r="AH351" s="65"/>
      <c r="AI351" s="65"/>
      <c r="AJ351" s="53"/>
      <c r="AK351" s="62"/>
      <c r="AL351" s="62"/>
      <c r="AM351" s="62"/>
      <c r="AN351" s="62"/>
      <c r="AO351" s="62"/>
      <c r="AP351" s="62"/>
      <c r="AQ351" s="62"/>
      <c r="AR351" s="62"/>
      <c r="AS351" s="62"/>
      <c r="AT351" s="62"/>
      <c r="AU351" s="62"/>
      <c r="AV351" s="62"/>
      <c r="AW351" s="62"/>
      <c r="AX351" s="62"/>
      <c r="AY351" s="62"/>
      <c r="AZ351" s="62"/>
      <c r="BA351" s="62"/>
      <c r="BB351" s="62"/>
      <c r="BC351" s="62"/>
      <c r="BD351" s="62"/>
      <c r="BE351" s="62"/>
      <c r="BF351" s="62"/>
      <c r="BG351" s="62"/>
      <c r="BH351" s="62"/>
      <c r="BI351" s="62"/>
      <c r="BJ351" s="62"/>
      <c r="BK351" s="62"/>
      <c r="BL351" s="62"/>
      <c r="BM351" s="62"/>
      <c r="BN351" s="62"/>
      <c r="BO351" s="62"/>
      <c r="BP351" s="62"/>
      <c r="BQ351" s="62"/>
      <c r="BR351" s="62"/>
      <c r="BS351" s="62"/>
      <c r="BT351" s="62"/>
      <c r="BU351" s="62"/>
      <c r="BV351" s="62"/>
      <c r="BW351" s="62"/>
      <c r="BX351" s="62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  <c r="HB351"/>
      <c r="HC351"/>
      <c r="HD351"/>
      <c r="HE351"/>
      <c r="HF351"/>
      <c r="HG351"/>
      <c r="HH351"/>
      <c r="HI351"/>
      <c r="HJ351"/>
      <c r="HK351"/>
      <c r="HL351"/>
      <c r="HM351"/>
      <c r="HN351"/>
      <c r="HO351"/>
      <c r="HP351"/>
      <c r="HQ351"/>
      <c r="HR351"/>
      <c r="HS351"/>
      <c r="HT351"/>
      <c r="HU351"/>
      <c r="HV351"/>
      <c r="HW351"/>
      <c r="HX351"/>
      <c r="HY351"/>
      <c r="HZ351"/>
      <c r="IA351"/>
      <c r="IB351"/>
      <c r="IC351"/>
      <c r="ID351"/>
      <c r="IE351"/>
      <c r="IF351"/>
      <c r="IG351"/>
      <c r="IH351"/>
      <c r="II351"/>
      <c r="IJ351"/>
      <c r="IK351"/>
      <c r="IL351"/>
      <c r="IM351"/>
      <c r="IN351"/>
      <c r="IO351"/>
      <c r="IP351"/>
      <c r="IQ351"/>
      <c r="IR351"/>
      <c r="IS351"/>
      <c r="IT351"/>
      <c r="IU351"/>
      <c r="IV351"/>
      <c r="IW351"/>
      <c r="IX351"/>
      <c r="IY351"/>
      <c r="IZ351"/>
      <c r="JA351"/>
      <c r="JB351"/>
      <c r="JC351"/>
      <c r="JD351"/>
      <c r="JE351"/>
      <c r="JF351"/>
      <c r="JG351"/>
      <c r="JH351"/>
      <c r="JI351"/>
      <c r="JJ351"/>
      <c r="JK351"/>
      <c r="JL351"/>
      <c r="JM351"/>
      <c r="JN351"/>
      <c r="JO351"/>
      <c r="JP351"/>
      <c r="JQ351"/>
      <c r="JR351"/>
      <c r="JS351"/>
      <c r="JT351"/>
      <c r="JU351"/>
      <c r="JV351"/>
      <c r="JW351"/>
      <c r="JX351"/>
      <c r="JY351"/>
      <c r="JZ351"/>
      <c r="KA351"/>
      <c r="KB351"/>
      <c r="KC351"/>
      <c r="KD351"/>
      <c r="KE351"/>
      <c r="KF351"/>
      <c r="KG351"/>
      <c r="KH351"/>
      <c r="KI351"/>
      <c r="KJ351"/>
      <c r="KK351"/>
      <c r="KL351"/>
      <c r="KM351"/>
      <c r="KN351"/>
      <c r="KO351"/>
      <c r="KP351"/>
      <c r="KQ351"/>
      <c r="KR351"/>
      <c r="KS351"/>
      <c r="KT351"/>
      <c r="KU351"/>
      <c r="KV351"/>
      <c r="KW351"/>
      <c r="KX351"/>
      <c r="KY351"/>
      <c r="KZ351"/>
      <c r="LA351"/>
      <c r="LB351"/>
      <c r="LC351"/>
      <c r="LD351"/>
      <c r="LE351"/>
      <c r="LF351"/>
      <c r="LG351"/>
      <c r="LH351"/>
      <c r="LI351"/>
      <c r="LJ351"/>
      <c r="LK351"/>
      <c r="LL351"/>
      <c r="LM351"/>
      <c r="LN351"/>
      <c r="LO351"/>
      <c r="LP351"/>
      <c r="LQ351"/>
      <c r="LR351"/>
      <c r="LS351"/>
      <c r="LT351"/>
      <c r="LU351"/>
      <c r="LV351"/>
      <c r="LW351"/>
      <c r="LX351"/>
      <c r="LY351"/>
      <c r="LZ351"/>
      <c r="MA351"/>
      <c r="MB351"/>
      <c r="MC351"/>
      <c r="MD351"/>
      <c r="ME351"/>
      <c r="MF351"/>
      <c r="MG351"/>
      <c r="MH351"/>
      <c r="MI351"/>
      <c r="MJ351"/>
      <c r="MK351"/>
      <c r="ML351"/>
      <c r="MM351"/>
      <c r="MN351"/>
      <c r="MO351"/>
      <c r="MP351"/>
      <c r="MQ351"/>
      <c r="MR351"/>
      <c r="MS351"/>
      <c r="MT351"/>
      <c r="MU351"/>
      <c r="MV351"/>
      <c r="MW351"/>
      <c r="MX351"/>
      <c r="MY351"/>
      <c r="MZ351"/>
      <c r="NA351"/>
      <c r="NB351"/>
      <c r="NC351"/>
      <c r="ND351"/>
      <c r="NE351"/>
      <c r="NF351"/>
      <c r="NG351"/>
      <c r="NH351"/>
      <c r="NI351"/>
      <c r="NJ351"/>
      <c r="NK351"/>
      <c r="NL351"/>
      <c r="NM351"/>
      <c r="NN351"/>
      <c r="NO351"/>
      <c r="NP351"/>
      <c r="NQ351"/>
      <c r="NR351"/>
      <c r="NS351"/>
      <c r="NT351"/>
      <c r="NU351"/>
      <c r="NV351"/>
      <c r="NW351"/>
      <c r="NX351"/>
      <c r="NY351"/>
      <c r="NZ351"/>
      <c r="OA351"/>
      <c r="OB351"/>
      <c r="OC351"/>
      <c r="OD351"/>
      <c r="OE351"/>
      <c r="OF351"/>
      <c r="OG351"/>
      <c r="OH351"/>
      <c r="OI351"/>
      <c r="OJ351"/>
      <c r="OK351"/>
      <c r="OL351"/>
      <c r="OM351"/>
      <c r="ON351"/>
      <c r="OO351"/>
      <c r="OP351"/>
      <c r="OQ351"/>
      <c r="OR351"/>
      <c r="OS351"/>
      <c r="OT351"/>
      <c r="OU351"/>
      <c r="OV351"/>
      <c r="OW351"/>
      <c r="OX351"/>
      <c r="OY351"/>
      <c r="OZ351"/>
      <c r="PA351"/>
      <c r="PB351"/>
      <c r="PC351"/>
      <c r="PD351"/>
      <c r="PE351"/>
      <c r="PF351"/>
      <c r="PG351"/>
      <c r="PH351"/>
      <c r="PI351"/>
      <c r="PJ351"/>
      <c r="PK351"/>
      <c r="PL351"/>
      <c r="PM351"/>
      <c r="PN351"/>
      <c r="PO351"/>
      <c r="PP351"/>
      <c r="PQ351"/>
      <c r="PR351"/>
      <c r="PS351"/>
      <c r="PT351"/>
      <c r="PU351"/>
      <c r="PV351"/>
      <c r="PW351"/>
      <c r="PX351"/>
      <c r="PY351"/>
      <c r="PZ351"/>
      <c r="QA351"/>
      <c r="QB351"/>
      <c r="QC351"/>
      <c r="QD351"/>
      <c r="QE351"/>
      <c r="QF351"/>
      <c r="QG351"/>
      <c r="QH351"/>
      <c r="QI351"/>
      <c r="QJ351"/>
      <c r="QK351"/>
      <c r="QL351"/>
      <c r="QM351"/>
      <c r="QN351"/>
      <c r="QO351"/>
      <c r="QP351"/>
      <c r="QQ351"/>
      <c r="QR351"/>
      <c r="QS351"/>
      <c r="QT351"/>
      <c r="QU351"/>
      <c r="QV351"/>
      <c r="QW351"/>
      <c r="QX351"/>
    </row>
    <row r="352" spans="1:466" x14ac:dyDescent="0.35">
      <c r="A352" s="53"/>
      <c r="B352" s="53"/>
      <c r="C352" s="55"/>
      <c r="D352" s="53"/>
      <c r="E352" s="53"/>
      <c r="F352" s="134" t="s">
        <v>596</v>
      </c>
      <c r="G352" s="125">
        <v>39.15</v>
      </c>
      <c r="H352" s="125">
        <v>0</v>
      </c>
      <c r="I352" s="133">
        <v>0</v>
      </c>
      <c r="J352" s="53"/>
      <c r="K352" s="53"/>
      <c r="L352" s="53"/>
      <c r="M352" s="53"/>
      <c r="N352" s="53"/>
      <c r="O352" s="53"/>
      <c r="P352" s="53"/>
      <c r="Q352" s="53"/>
      <c r="R352" s="53"/>
      <c r="S352" s="53"/>
      <c r="T352" s="53"/>
      <c r="U352" s="53"/>
      <c r="V352" s="53"/>
      <c r="W352" s="53"/>
      <c r="X352" s="53"/>
      <c r="Y352" s="53"/>
      <c r="Z352" s="53"/>
      <c r="AA352" s="53"/>
      <c r="AB352" s="53"/>
      <c r="AC352" s="53"/>
      <c r="AD352" s="53"/>
      <c r="AE352" s="53"/>
      <c r="AF352" s="63"/>
      <c r="AG352" s="64"/>
      <c r="AH352" s="65"/>
      <c r="AI352" s="65"/>
      <c r="AJ352" s="53"/>
      <c r="AK352" s="62"/>
      <c r="AL352" s="62"/>
      <c r="AM352" s="62"/>
      <c r="AN352" s="62"/>
      <c r="AO352" s="62"/>
      <c r="AP352" s="62"/>
      <c r="AQ352" s="62"/>
      <c r="AR352" s="62"/>
      <c r="AS352" s="62"/>
      <c r="AT352" s="62"/>
      <c r="AU352" s="62"/>
      <c r="AV352" s="62"/>
      <c r="AW352" s="62"/>
      <c r="AX352" s="62"/>
      <c r="AY352" s="62"/>
      <c r="AZ352" s="62"/>
      <c r="BA352" s="62"/>
      <c r="BB352" s="62"/>
      <c r="BC352" s="62"/>
      <c r="BD352" s="62"/>
      <c r="BE352" s="62"/>
      <c r="BF352" s="62"/>
      <c r="BG352" s="62"/>
      <c r="BH352" s="62"/>
      <c r="BI352" s="62"/>
      <c r="BJ352" s="62"/>
      <c r="BK352" s="62"/>
      <c r="BL352" s="62"/>
      <c r="BM352" s="62"/>
      <c r="BN352" s="62"/>
      <c r="BO352" s="62"/>
      <c r="BP352" s="62"/>
      <c r="BQ352" s="62"/>
      <c r="BR352" s="62"/>
      <c r="BS352" s="62"/>
      <c r="BT352" s="62"/>
      <c r="BU352" s="62"/>
      <c r="BV352" s="62"/>
      <c r="BW352" s="62"/>
      <c r="BX352" s="6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  <c r="HB352"/>
      <c r="HC352"/>
      <c r="HD352"/>
      <c r="HE352"/>
      <c r="HF352"/>
      <c r="HG352"/>
      <c r="HH352"/>
      <c r="HI352"/>
      <c r="HJ352"/>
      <c r="HK352"/>
      <c r="HL352"/>
      <c r="HM352"/>
      <c r="HN352"/>
      <c r="HO352"/>
      <c r="HP352"/>
      <c r="HQ352"/>
      <c r="HR352"/>
      <c r="HS352"/>
      <c r="HT352"/>
      <c r="HU352"/>
      <c r="HV352"/>
      <c r="HW352"/>
      <c r="HX352"/>
      <c r="HY352"/>
      <c r="HZ352"/>
      <c r="IA352"/>
      <c r="IB352"/>
      <c r="IC352"/>
      <c r="ID352"/>
      <c r="IE352"/>
      <c r="IF352"/>
      <c r="IG352"/>
      <c r="IH352"/>
      <c r="II352"/>
      <c r="IJ352"/>
      <c r="IK352"/>
      <c r="IL352"/>
      <c r="IM352"/>
      <c r="IN352"/>
      <c r="IO352"/>
      <c r="IP352"/>
      <c r="IQ352"/>
      <c r="IR352"/>
      <c r="IS352"/>
      <c r="IT352"/>
      <c r="IU352"/>
      <c r="IV352"/>
      <c r="IW352"/>
      <c r="IX352"/>
      <c r="IY352"/>
      <c r="IZ352"/>
      <c r="JA352"/>
      <c r="JB352"/>
      <c r="JC352"/>
      <c r="JD352"/>
      <c r="JE352"/>
      <c r="JF352"/>
      <c r="JG352"/>
      <c r="JH352"/>
      <c r="JI352"/>
      <c r="JJ352"/>
      <c r="JK352"/>
      <c r="JL352"/>
      <c r="JM352"/>
      <c r="JN352"/>
      <c r="JO352"/>
      <c r="JP352"/>
      <c r="JQ352"/>
      <c r="JR352"/>
      <c r="JS352"/>
      <c r="JT352"/>
      <c r="JU352"/>
      <c r="JV352"/>
      <c r="JW352"/>
      <c r="JX352"/>
      <c r="JY352"/>
      <c r="JZ352"/>
      <c r="KA352"/>
      <c r="KB352"/>
      <c r="KC352"/>
      <c r="KD352"/>
      <c r="KE352"/>
      <c r="KF352"/>
      <c r="KG352"/>
      <c r="KH352"/>
      <c r="KI352"/>
      <c r="KJ352"/>
      <c r="KK352"/>
      <c r="KL352"/>
      <c r="KM352"/>
      <c r="KN352"/>
      <c r="KO352"/>
      <c r="KP352"/>
      <c r="KQ352"/>
      <c r="KR352"/>
      <c r="KS352"/>
      <c r="KT352"/>
      <c r="KU352"/>
      <c r="KV352"/>
      <c r="KW352"/>
      <c r="KX352"/>
      <c r="KY352"/>
      <c r="KZ352"/>
      <c r="LA352"/>
      <c r="LB352"/>
      <c r="LC352"/>
      <c r="LD352"/>
      <c r="LE352"/>
      <c r="LF352"/>
      <c r="LG352"/>
      <c r="LH352"/>
      <c r="LI352"/>
      <c r="LJ352"/>
      <c r="LK352"/>
      <c r="LL352"/>
      <c r="LM352"/>
      <c r="LN352"/>
      <c r="LO352"/>
      <c r="LP352"/>
      <c r="LQ352"/>
      <c r="LR352"/>
      <c r="LS352"/>
      <c r="LT352"/>
      <c r="LU352"/>
      <c r="LV352"/>
      <c r="LW352"/>
      <c r="LX352"/>
      <c r="LY352"/>
      <c r="LZ352"/>
      <c r="MA352"/>
      <c r="MB352"/>
      <c r="MC352"/>
      <c r="MD352"/>
      <c r="ME352"/>
      <c r="MF352"/>
      <c r="MG352"/>
      <c r="MH352"/>
      <c r="MI352"/>
      <c r="MJ352"/>
      <c r="MK352"/>
      <c r="ML352"/>
      <c r="MM352"/>
      <c r="MN352"/>
      <c r="MO352"/>
      <c r="MP352"/>
      <c r="MQ352"/>
      <c r="MR352"/>
      <c r="MS352"/>
      <c r="MT352"/>
      <c r="MU352"/>
      <c r="MV352"/>
      <c r="MW352"/>
      <c r="MX352"/>
      <c r="MY352"/>
      <c r="MZ352"/>
      <c r="NA352"/>
      <c r="NB352"/>
      <c r="NC352"/>
      <c r="ND352"/>
      <c r="NE352"/>
      <c r="NF352"/>
      <c r="NG352"/>
      <c r="NH352"/>
      <c r="NI352"/>
      <c r="NJ352"/>
      <c r="NK352"/>
      <c r="NL352"/>
      <c r="NM352"/>
      <c r="NN352"/>
      <c r="NO352"/>
      <c r="NP352"/>
      <c r="NQ352"/>
      <c r="NR352"/>
      <c r="NS352"/>
      <c r="NT352"/>
      <c r="NU352"/>
      <c r="NV352"/>
      <c r="NW352"/>
      <c r="NX352"/>
      <c r="NY352"/>
      <c r="NZ352"/>
      <c r="OA352"/>
      <c r="OB352"/>
      <c r="OC352"/>
      <c r="OD352"/>
      <c r="OE352"/>
      <c r="OF352"/>
      <c r="OG352"/>
      <c r="OH352"/>
      <c r="OI352"/>
      <c r="OJ352"/>
      <c r="OK352"/>
      <c r="OL352"/>
      <c r="OM352"/>
      <c r="ON352"/>
      <c r="OO352"/>
      <c r="OP352"/>
      <c r="OQ352"/>
      <c r="OR352"/>
      <c r="OS352"/>
      <c r="OT352"/>
      <c r="OU352"/>
      <c r="OV352"/>
      <c r="OW352"/>
      <c r="OX352"/>
      <c r="OY352"/>
      <c r="OZ352"/>
      <c r="PA352"/>
      <c r="PB352"/>
      <c r="PC352"/>
      <c r="PD352"/>
      <c r="PE352"/>
      <c r="PF352"/>
      <c r="PG352"/>
      <c r="PH352"/>
      <c r="PI352"/>
      <c r="PJ352"/>
      <c r="PK352"/>
      <c r="PL352"/>
      <c r="PM352"/>
      <c r="PN352"/>
      <c r="PO352"/>
      <c r="PP352"/>
      <c r="PQ352"/>
      <c r="PR352"/>
      <c r="PS352"/>
      <c r="PT352"/>
      <c r="PU352"/>
      <c r="PV352"/>
      <c r="PW352"/>
      <c r="PX352"/>
      <c r="PY352"/>
      <c r="PZ352"/>
      <c r="QA352"/>
      <c r="QB352"/>
      <c r="QC352"/>
      <c r="QD352"/>
      <c r="QE352"/>
      <c r="QF352"/>
      <c r="QG352"/>
      <c r="QH352"/>
      <c r="QI352"/>
      <c r="QJ352"/>
      <c r="QK352"/>
      <c r="QL352"/>
      <c r="QM352"/>
      <c r="QN352"/>
      <c r="QO352"/>
      <c r="QP352"/>
      <c r="QQ352"/>
      <c r="QR352"/>
      <c r="QS352"/>
      <c r="QT352"/>
      <c r="QU352"/>
      <c r="QV352"/>
      <c r="QW352"/>
      <c r="QX352"/>
    </row>
    <row r="353" spans="1:466" x14ac:dyDescent="0.35">
      <c r="A353" s="53"/>
      <c r="B353" s="53"/>
      <c r="C353" s="55"/>
      <c r="D353" s="53"/>
      <c r="E353" s="53"/>
      <c r="F353" s="134" t="s">
        <v>597</v>
      </c>
      <c r="G353" s="125">
        <v>205</v>
      </c>
      <c r="H353" s="125">
        <v>1230</v>
      </c>
      <c r="I353" s="133">
        <v>6</v>
      </c>
      <c r="J353" s="53"/>
      <c r="K353" s="53"/>
      <c r="L353" s="53"/>
      <c r="M353" s="53"/>
      <c r="N353" s="53"/>
      <c r="O353" s="53"/>
      <c r="P353" s="53"/>
      <c r="Q353" s="53"/>
      <c r="R353" s="53"/>
      <c r="S353" s="53"/>
      <c r="T353" s="53"/>
      <c r="U353" s="53"/>
      <c r="V353" s="53"/>
      <c r="W353" s="53"/>
      <c r="X353" s="53"/>
      <c r="Y353" s="53"/>
      <c r="Z353" s="53"/>
      <c r="AA353" s="53"/>
      <c r="AB353" s="53"/>
      <c r="AC353" s="53"/>
      <c r="AD353" s="53"/>
      <c r="AE353" s="53"/>
      <c r="AF353" s="63"/>
      <c r="AG353" s="64"/>
      <c r="AH353" s="65"/>
      <c r="AI353" s="65"/>
      <c r="AJ353" s="53"/>
      <c r="AK353" s="62"/>
      <c r="AL353" s="62"/>
      <c r="AM353" s="62"/>
      <c r="AN353" s="62"/>
      <c r="AO353" s="62"/>
      <c r="AP353" s="62"/>
      <c r="AQ353" s="62"/>
      <c r="AR353" s="62"/>
      <c r="AS353" s="62"/>
      <c r="AT353" s="62"/>
      <c r="AU353" s="62"/>
      <c r="AV353" s="62"/>
      <c r="AW353" s="62"/>
      <c r="AX353" s="62"/>
      <c r="AY353" s="62"/>
      <c r="AZ353" s="62"/>
      <c r="BA353" s="62"/>
      <c r="BB353" s="62"/>
      <c r="BC353" s="62"/>
      <c r="BD353" s="62"/>
      <c r="BE353" s="62"/>
      <c r="BF353" s="62"/>
      <c r="BG353" s="62"/>
      <c r="BH353" s="62"/>
      <c r="BI353" s="62"/>
      <c r="BJ353" s="62"/>
      <c r="BK353" s="62"/>
      <c r="BL353" s="62"/>
      <c r="BM353" s="62"/>
      <c r="BN353" s="62"/>
      <c r="BO353" s="62"/>
      <c r="BP353" s="62"/>
      <c r="BQ353" s="62"/>
      <c r="BR353" s="62"/>
      <c r="BS353" s="62"/>
      <c r="BT353" s="62"/>
      <c r="BU353" s="62"/>
      <c r="BV353" s="62"/>
      <c r="BW353" s="62"/>
      <c r="BX353" s="62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  <c r="HB353"/>
      <c r="HC353"/>
      <c r="HD353"/>
      <c r="HE353"/>
      <c r="HF353"/>
      <c r="HG353"/>
      <c r="HH353"/>
      <c r="HI353"/>
      <c r="HJ353"/>
      <c r="HK353"/>
      <c r="HL353"/>
      <c r="HM353"/>
      <c r="HN353"/>
      <c r="HO353"/>
      <c r="HP353"/>
      <c r="HQ353"/>
      <c r="HR353"/>
      <c r="HS353"/>
      <c r="HT353"/>
      <c r="HU353"/>
      <c r="HV353"/>
      <c r="HW353"/>
      <c r="HX353"/>
      <c r="HY353"/>
      <c r="HZ353"/>
      <c r="IA353"/>
      <c r="IB353"/>
      <c r="IC353"/>
      <c r="ID353"/>
      <c r="IE353"/>
      <c r="IF353"/>
      <c r="IG353"/>
      <c r="IH353"/>
      <c r="II353"/>
      <c r="IJ353"/>
      <c r="IK353"/>
      <c r="IL353"/>
      <c r="IM353"/>
      <c r="IN353"/>
      <c r="IO353"/>
      <c r="IP353"/>
      <c r="IQ353"/>
      <c r="IR353"/>
      <c r="IS353"/>
      <c r="IT353"/>
      <c r="IU353"/>
      <c r="IV353"/>
      <c r="IW353"/>
      <c r="IX353"/>
      <c r="IY353"/>
      <c r="IZ353"/>
      <c r="JA353"/>
      <c r="JB353"/>
      <c r="JC353"/>
      <c r="JD353"/>
      <c r="JE353"/>
      <c r="JF353"/>
      <c r="JG353"/>
      <c r="JH353"/>
      <c r="JI353"/>
      <c r="JJ353"/>
      <c r="JK353"/>
      <c r="JL353"/>
      <c r="JM353"/>
      <c r="JN353"/>
      <c r="JO353"/>
      <c r="JP353"/>
      <c r="JQ353"/>
      <c r="JR353"/>
      <c r="JS353"/>
      <c r="JT353"/>
      <c r="JU353"/>
      <c r="JV353"/>
      <c r="JW353"/>
      <c r="JX353"/>
      <c r="JY353"/>
      <c r="JZ353"/>
      <c r="KA353"/>
      <c r="KB353"/>
      <c r="KC353"/>
      <c r="KD353"/>
      <c r="KE353"/>
      <c r="KF353"/>
      <c r="KG353"/>
      <c r="KH353"/>
      <c r="KI353"/>
      <c r="KJ353"/>
      <c r="KK353"/>
      <c r="KL353"/>
      <c r="KM353"/>
      <c r="KN353"/>
      <c r="KO353"/>
      <c r="KP353"/>
      <c r="KQ353"/>
      <c r="KR353"/>
      <c r="KS353"/>
      <c r="KT353"/>
      <c r="KU353"/>
      <c r="KV353"/>
      <c r="KW353"/>
      <c r="KX353"/>
      <c r="KY353"/>
      <c r="KZ353"/>
      <c r="LA353"/>
      <c r="LB353"/>
      <c r="LC353"/>
      <c r="LD353"/>
      <c r="LE353"/>
      <c r="LF353"/>
      <c r="LG353"/>
      <c r="LH353"/>
      <c r="LI353"/>
      <c r="LJ353"/>
      <c r="LK353"/>
      <c r="LL353"/>
      <c r="LM353"/>
      <c r="LN353"/>
      <c r="LO353"/>
      <c r="LP353"/>
      <c r="LQ353"/>
      <c r="LR353"/>
      <c r="LS353"/>
      <c r="LT353"/>
      <c r="LU353"/>
      <c r="LV353"/>
      <c r="LW353"/>
      <c r="LX353"/>
      <c r="LY353"/>
      <c r="LZ353"/>
      <c r="MA353"/>
      <c r="MB353"/>
      <c r="MC353"/>
      <c r="MD353"/>
      <c r="ME353"/>
      <c r="MF353"/>
      <c r="MG353"/>
      <c r="MH353"/>
      <c r="MI353"/>
      <c r="MJ353"/>
      <c r="MK353"/>
      <c r="ML353"/>
      <c r="MM353"/>
      <c r="MN353"/>
      <c r="MO353"/>
      <c r="MP353"/>
      <c r="MQ353"/>
      <c r="MR353"/>
      <c r="MS353"/>
      <c r="MT353"/>
      <c r="MU353"/>
      <c r="MV353"/>
      <c r="MW353"/>
      <c r="MX353"/>
      <c r="MY353"/>
      <c r="MZ353"/>
      <c r="NA353"/>
      <c r="NB353"/>
      <c r="NC353"/>
      <c r="ND353"/>
      <c r="NE353"/>
      <c r="NF353"/>
      <c r="NG353"/>
      <c r="NH353"/>
      <c r="NI353"/>
      <c r="NJ353"/>
      <c r="NK353"/>
      <c r="NL353"/>
      <c r="NM353"/>
      <c r="NN353"/>
      <c r="NO353"/>
      <c r="NP353"/>
      <c r="NQ353"/>
      <c r="NR353"/>
      <c r="NS353"/>
      <c r="NT353"/>
      <c r="NU353"/>
      <c r="NV353"/>
      <c r="NW353"/>
      <c r="NX353"/>
      <c r="NY353"/>
      <c r="NZ353"/>
      <c r="OA353"/>
      <c r="OB353"/>
      <c r="OC353"/>
      <c r="OD353"/>
      <c r="OE353"/>
      <c r="OF353"/>
      <c r="OG353"/>
      <c r="OH353"/>
      <c r="OI353"/>
      <c r="OJ353"/>
      <c r="OK353"/>
      <c r="OL353"/>
      <c r="OM353"/>
      <c r="ON353"/>
      <c r="OO353"/>
      <c r="OP353"/>
      <c r="OQ353"/>
      <c r="OR353"/>
      <c r="OS353"/>
      <c r="OT353"/>
      <c r="OU353"/>
      <c r="OV353"/>
      <c r="OW353"/>
      <c r="OX353"/>
      <c r="OY353"/>
      <c r="OZ353"/>
      <c r="PA353"/>
      <c r="PB353"/>
      <c r="PC353"/>
      <c r="PD353"/>
      <c r="PE353"/>
      <c r="PF353"/>
      <c r="PG353"/>
      <c r="PH353"/>
      <c r="PI353"/>
      <c r="PJ353"/>
      <c r="PK353"/>
      <c r="PL353"/>
      <c r="PM353"/>
      <c r="PN353"/>
      <c r="PO353"/>
      <c r="PP353"/>
      <c r="PQ353"/>
      <c r="PR353"/>
      <c r="PS353"/>
      <c r="PT353"/>
      <c r="PU353"/>
      <c r="PV353"/>
      <c r="PW353"/>
      <c r="PX353"/>
      <c r="PY353"/>
      <c r="PZ353"/>
      <c r="QA353"/>
      <c r="QB353"/>
      <c r="QC353"/>
      <c r="QD353"/>
      <c r="QE353"/>
      <c r="QF353"/>
      <c r="QG353"/>
      <c r="QH353"/>
      <c r="QI353"/>
      <c r="QJ353"/>
      <c r="QK353"/>
      <c r="QL353"/>
      <c r="QM353"/>
      <c r="QN353"/>
      <c r="QO353"/>
      <c r="QP353"/>
      <c r="QQ353"/>
      <c r="QR353"/>
      <c r="QS353"/>
      <c r="QT353"/>
      <c r="QU353"/>
      <c r="QV353"/>
      <c r="QW353"/>
      <c r="QX353"/>
    </row>
    <row r="354" spans="1:466" x14ac:dyDescent="0.35">
      <c r="A354" s="53"/>
      <c r="B354" s="53"/>
      <c r="C354" s="55"/>
      <c r="D354" s="53"/>
      <c r="E354" s="53"/>
      <c r="F354" s="134" t="s">
        <v>599</v>
      </c>
      <c r="G354" s="125"/>
      <c r="H354" s="125">
        <v>0</v>
      </c>
      <c r="I354" s="133">
        <v>2</v>
      </c>
      <c r="J354" s="53"/>
      <c r="K354" s="53"/>
      <c r="L354" s="53"/>
      <c r="M354" s="53"/>
      <c r="N354" s="53"/>
      <c r="O354" s="53"/>
      <c r="P354" s="53"/>
      <c r="Q354" s="53"/>
      <c r="R354" s="53"/>
      <c r="S354" s="53"/>
      <c r="T354" s="53"/>
      <c r="U354" s="53"/>
      <c r="V354" s="53"/>
      <c r="W354" s="53"/>
      <c r="X354" s="53"/>
      <c r="Y354" s="53"/>
      <c r="Z354" s="53"/>
      <c r="AA354" s="53"/>
      <c r="AB354" s="53"/>
      <c r="AC354" s="53"/>
      <c r="AD354" s="53"/>
      <c r="AE354" s="53"/>
      <c r="AF354" s="63"/>
      <c r="AG354" s="64"/>
      <c r="AH354" s="65"/>
      <c r="AI354" s="65"/>
      <c r="AJ354" s="53"/>
      <c r="AK354" s="62"/>
      <c r="AL354" s="62"/>
      <c r="AM354" s="62"/>
      <c r="AN354" s="62"/>
      <c r="AO354" s="62"/>
      <c r="AP354" s="62"/>
      <c r="AQ354" s="62"/>
      <c r="AR354" s="62"/>
      <c r="AS354" s="62"/>
      <c r="AT354" s="62"/>
      <c r="AU354" s="62"/>
      <c r="AV354" s="62"/>
      <c r="AW354" s="62"/>
      <c r="AX354" s="62"/>
      <c r="AY354" s="62"/>
      <c r="AZ354" s="62"/>
      <c r="BA354" s="62"/>
      <c r="BB354" s="62"/>
      <c r="BC354" s="62"/>
      <c r="BD354" s="62"/>
      <c r="BE354" s="62"/>
      <c r="BF354" s="62"/>
      <c r="BG354" s="62"/>
      <c r="BH354" s="62"/>
      <c r="BI354" s="62"/>
      <c r="BJ354" s="62"/>
      <c r="BK354" s="62"/>
      <c r="BL354" s="62"/>
      <c r="BM354" s="62"/>
      <c r="BN354" s="62"/>
      <c r="BO354" s="62"/>
      <c r="BP354" s="62"/>
      <c r="BQ354" s="62"/>
      <c r="BR354" s="62"/>
      <c r="BS354" s="62"/>
      <c r="BT354" s="62"/>
      <c r="BU354" s="62"/>
      <c r="BV354" s="62"/>
      <c r="BW354" s="62"/>
      <c r="BX354" s="62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  <c r="HB354"/>
      <c r="HC354"/>
      <c r="HD354"/>
      <c r="HE354"/>
      <c r="HF354"/>
      <c r="HG354"/>
      <c r="HH354"/>
      <c r="HI354"/>
      <c r="HJ354"/>
      <c r="HK354"/>
      <c r="HL354"/>
      <c r="HM354"/>
      <c r="HN354"/>
      <c r="HO354"/>
      <c r="HP354"/>
      <c r="HQ354"/>
      <c r="HR354"/>
      <c r="HS354"/>
      <c r="HT354"/>
      <c r="HU354"/>
      <c r="HV354"/>
      <c r="HW354"/>
      <c r="HX354"/>
      <c r="HY354"/>
      <c r="HZ354"/>
      <c r="IA354"/>
      <c r="IB354"/>
      <c r="IC354"/>
      <c r="ID354"/>
      <c r="IE354"/>
      <c r="IF354"/>
      <c r="IG354"/>
      <c r="IH354"/>
      <c r="II354"/>
      <c r="IJ354"/>
      <c r="IK354"/>
      <c r="IL354"/>
      <c r="IM354"/>
      <c r="IN354"/>
      <c r="IO354"/>
      <c r="IP354"/>
      <c r="IQ354"/>
      <c r="IR354"/>
      <c r="IS354"/>
      <c r="IT354"/>
      <c r="IU354"/>
      <c r="IV354"/>
      <c r="IW354"/>
      <c r="IX354"/>
      <c r="IY354"/>
      <c r="IZ354"/>
      <c r="JA354"/>
      <c r="JB354"/>
      <c r="JC354"/>
      <c r="JD354"/>
      <c r="JE354"/>
      <c r="JF354"/>
      <c r="JG354"/>
      <c r="JH354"/>
      <c r="JI354"/>
      <c r="JJ354"/>
      <c r="JK354"/>
      <c r="JL354"/>
      <c r="JM354"/>
      <c r="JN354"/>
      <c r="JO354"/>
      <c r="JP354"/>
      <c r="JQ354"/>
      <c r="JR354"/>
      <c r="JS354"/>
      <c r="JT354"/>
      <c r="JU354"/>
      <c r="JV354"/>
      <c r="JW354"/>
      <c r="JX354"/>
      <c r="JY354"/>
      <c r="JZ354"/>
      <c r="KA354"/>
      <c r="KB354"/>
      <c r="KC354"/>
      <c r="KD354"/>
      <c r="KE354"/>
      <c r="KF354"/>
      <c r="KG354"/>
      <c r="KH354"/>
      <c r="KI354"/>
      <c r="KJ354"/>
      <c r="KK354"/>
      <c r="KL354"/>
      <c r="KM354"/>
      <c r="KN354"/>
      <c r="KO354"/>
      <c r="KP354"/>
      <c r="KQ354"/>
      <c r="KR354"/>
      <c r="KS354"/>
      <c r="KT354"/>
      <c r="KU354"/>
      <c r="KV354"/>
      <c r="KW354"/>
      <c r="KX354"/>
      <c r="KY354"/>
      <c r="KZ354"/>
      <c r="LA354"/>
      <c r="LB354"/>
      <c r="LC354"/>
      <c r="LD354"/>
      <c r="LE354"/>
      <c r="LF354"/>
      <c r="LG354"/>
      <c r="LH354"/>
      <c r="LI354"/>
      <c r="LJ354"/>
      <c r="LK354"/>
      <c r="LL354"/>
      <c r="LM354"/>
      <c r="LN354"/>
      <c r="LO354"/>
      <c r="LP354"/>
      <c r="LQ354"/>
      <c r="LR354"/>
      <c r="LS354"/>
      <c r="LT354"/>
      <c r="LU354"/>
      <c r="LV354"/>
      <c r="LW354"/>
      <c r="LX354"/>
      <c r="LY354"/>
      <c r="LZ354"/>
      <c r="MA354"/>
      <c r="MB354"/>
      <c r="MC354"/>
      <c r="MD354"/>
      <c r="ME354"/>
      <c r="MF354"/>
      <c r="MG354"/>
      <c r="MH354"/>
      <c r="MI354"/>
      <c r="MJ354"/>
      <c r="MK354"/>
      <c r="ML354"/>
      <c r="MM354"/>
      <c r="MN354"/>
      <c r="MO354"/>
      <c r="MP354"/>
      <c r="MQ354"/>
      <c r="MR354"/>
      <c r="MS354"/>
      <c r="MT354"/>
      <c r="MU354"/>
      <c r="MV354"/>
      <c r="MW354"/>
      <c r="MX354"/>
      <c r="MY354"/>
      <c r="MZ354"/>
      <c r="NA354"/>
      <c r="NB354"/>
      <c r="NC354"/>
      <c r="ND354"/>
      <c r="NE354"/>
      <c r="NF354"/>
      <c r="NG354"/>
      <c r="NH354"/>
      <c r="NI354"/>
      <c r="NJ354"/>
      <c r="NK354"/>
      <c r="NL354"/>
      <c r="NM354"/>
      <c r="NN354"/>
      <c r="NO354"/>
      <c r="NP354"/>
      <c r="NQ354"/>
      <c r="NR354"/>
      <c r="NS354"/>
      <c r="NT354"/>
      <c r="NU354"/>
      <c r="NV354"/>
      <c r="NW354"/>
      <c r="NX354"/>
      <c r="NY354"/>
      <c r="NZ354"/>
      <c r="OA354"/>
      <c r="OB354"/>
      <c r="OC354"/>
      <c r="OD354"/>
      <c r="OE354"/>
      <c r="OF354"/>
      <c r="OG354"/>
      <c r="OH354"/>
      <c r="OI354"/>
      <c r="OJ354"/>
      <c r="OK354"/>
      <c r="OL354"/>
      <c r="OM354"/>
      <c r="ON354"/>
      <c r="OO354"/>
      <c r="OP354"/>
      <c r="OQ354"/>
      <c r="OR354"/>
      <c r="OS354"/>
      <c r="OT354"/>
      <c r="OU354"/>
      <c r="OV354"/>
      <c r="OW354"/>
      <c r="OX354"/>
      <c r="OY354"/>
      <c r="OZ354"/>
      <c r="PA354"/>
      <c r="PB354"/>
      <c r="PC354"/>
      <c r="PD354"/>
      <c r="PE354"/>
      <c r="PF354"/>
      <c r="PG354"/>
      <c r="PH354"/>
      <c r="PI354"/>
      <c r="PJ354"/>
      <c r="PK354"/>
      <c r="PL354"/>
      <c r="PM354"/>
      <c r="PN354"/>
      <c r="PO354"/>
      <c r="PP354"/>
      <c r="PQ354"/>
      <c r="PR354"/>
      <c r="PS354"/>
      <c r="PT354"/>
      <c r="PU354"/>
      <c r="PV354"/>
      <c r="PW354"/>
      <c r="PX354"/>
      <c r="PY354"/>
      <c r="PZ354"/>
      <c r="QA354"/>
      <c r="QB354"/>
      <c r="QC354"/>
      <c r="QD354"/>
      <c r="QE354"/>
      <c r="QF354"/>
      <c r="QG354"/>
      <c r="QH354"/>
      <c r="QI354"/>
      <c r="QJ354"/>
      <c r="QK354"/>
      <c r="QL354"/>
      <c r="QM354"/>
      <c r="QN354"/>
      <c r="QO354"/>
      <c r="QP354"/>
      <c r="QQ354"/>
      <c r="QR354"/>
      <c r="QS354"/>
      <c r="QT354"/>
      <c r="QU354"/>
      <c r="QV354"/>
      <c r="QW354"/>
      <c r="QX354"/>
    </row>
    <row r="355" spans="1:466" x14ac:dyDescent="0.35">
      <c r="A355" s="53"/>
      <c r="B355" s="53"/>
      <c r="C355" s="55"/>
      <c r="D355" s="53"/>
      <c r="E355" s="53"/>
      <c r="F355" s="134" t="s">
        <v>1267</v>
      </c>
      <c r="G355" s="125">
        <v>190.36</v>
      </c>
      <c r="H355" s="125">
        <v>17893.84</v>
      </c>
      <c r="I355" s="133">
        <v>94</v>
      </c>
      <c r="J355" s="53"/>
      <c r="K355" s="53"/>
      <c r="L355" s="53"/>
      <c r="M355" s="53"/>
      <c r="N355" s="53"/>
      <c r="O355" s="53"/>
      <c r="P355" s="53"/>
      <c r="Q355" s="53"/>
      <c r="R355" s="53"/>
      <c r="S355" s="53"/>
      <c r="T355" s="53"/>
      <c r="U355" s="53"/>
      <c r="V355" s="53"/>
      <c r="W355" s="53"/>
      <c r="X355" s="53"/>
      <c r="Y355" s="53"/>
      <c r="Z355" s="53"/>
      <c r="AA355" s="53"/>
      <c r="AB355" s="53"/>
      <c r="AC355" s="53"/>
      <c r="AD355" s="53"/>
      <c r="AE355" s="53"/>
      <c r="AF355" s="63"/>
      <c r="AG355" s="64"/>
      <c r="AH355" s="65"/>
      <c r="AI355" s="65"/>
      <c r="AJ355" s="53"/>
      <c r="AK355" s="53"/>
      <c r="AL355" s="53"/>
      <c r="AM355" s="53"/>
      <c r="AN355" s="53"/>
      <c r="AO355" s="53"/>
      <c r="AP355" s="53"/>
      <c r="AQ355" s="53"/>
      <c r="AR355" s="53"/>
      <c r="AS355" s="53"/>
      <c r="AT355" s="53"/>
      <c r="AU355" s="53"/>
      <c r="AV355" s="53"/>
      <c r="AW355" s="53"/>
      <c r="AX355" s="53"/>
      <c r="AY355" s="53"/>
      <c r="AZ355" s="53"/>
      <c r="BA355" s="53"/>
      <c r="BB355" s="53"/>
      <c r="BC355" s="53"/>
      <c r="BD355" s="53"/>
      <c r="BE355" s="53"/>
      <c r="BF355" s="53"/>
      <c r="BG355" s="53"/>
      <c r="BH355" s="53"/>
      <c r="BI355" s="53"/>
      <c r="BJ355" s="53"/>
      <c r="BK355" s="53"/>
      <c r="BL355" s="53"/>
      <c r="BM355" s="53"/>
      <c r="BN355" s="53"/>
      <c r="BO355" s="53"/>
      <c r="BP355" s="53"/>
      <c r="BQ355" s="53"/>
      <c r="BR355" s="53"/>
      <c r="BS355" s="53"/>
      <c r="BT355" s="53"/>
      <c r="BU355" s="53"/>
      <c r="BV355" s="53"/>
      <c r="BW355" s="53"/>
      <c r="BX355" s="53"/>
    </row>
    <row r="356" spans="1:466" x14ac:dyDescent="0.35">
      <c r="A356" s="53"/>
      <c r="B356" s="53"/>
      <c r="C356" s="55"/>
      <c r="D356" s="53"/>
      <c r="E356" s="53"/>
      <c r="F356" s="134" t="s">
        <v>605</v>
      </c>
      <c r="G356" s="125">
        <v>324.52999999999997</v>
      </c>
      <c r="H356" s="125">
        <v>324.52999999999997</v>
      </c>
      <c r="I356" s="133">
        <v>1</v>
      </c>
      <c r="J356" s="53"/>
      <c r="K356" s="53"/>
      <c r="L356" s="53"/>
      <c r="M356" s="53"/>
      <c r="N356" s="53"/>
      <c r="O356" s="53"/>
      <c r="P356" s="53"/>
      <c r="Q356" s="53"/>
      <c r="R356" s="53"/>
      <c r="S356" s="53"/>
      <c r="T356" s="53"/>
      <c r="U356" s="53"/>
      <c r="V356" s="53"/>
      <c r="W356" s="53"/>
      <c r="X356" s="53"/>
      <c r="Y356" s="53"/>
      <c r="Z356" s="53"/>
      <c r="AA356" s="53"/>
      <c r="AB356" s="53"/>
      <c r="AC356" s="53"/>
      <c r="AD356" s="53"/>
      <c r="AE356" s="53"/>
      <c r="AF356" s="63"/>
      <c r="AG356" s="64"/>
      <c r="AH356" s="65"/>
      <c r="AI356" s="65"/>
      <c r="AJ356" s="53"/>
      <c r="AK356" s="53"/>
      <c r="AL356" s="53"/>
      <c r="AM356" s="53"/>
      <c r="AN356" s="53"/>
      <c r="AO356" s="53"/>
      <c r="AP356" s="53"/>
      <c r="AQ356" s="53"/>
      <c r="AR356" s="53"/>
      <c r="AS356" s="53"/>
      <c r="AT356" s="53"/>
      <c r="AU356" s="53"/>
      <c r="AV356" s="53"/>
      <c r="AW356" s="53"/>
      <c r="AX356" s="53"/>
      <c r="AY356" s="53"/>
      <c r="AZ356" s="53"/>
      <c r="BA356" s="53"/>
      <c r="BB356" s="53"/>
      <c r="BC356" s="53"/>
      <c r="BD356" s="53"/>
      <c r="BE356" s="53"/>
      <c r="BF356" s="53"/>
      <c r="BG356" s="53"/>
      <c r="BH356" s="53"/>
      <c r="BI356" s="53"/>
      <c r="BJ356" s="53"/>
      <c r="BK356" s="53"/>
      <c r="BL356" s="53"/>
      <c r="BM356" s="53"/>
      <c r="BN356" s="53"/>
      <c r="BO356" s="53"/>
      <c r="BP356" s="53"/>
      <c r="BQ356" s="53"/>
      <c r="BR356" s="53"/>
      <c r="BS356" s="53"/>
      <c r="BT356" s="53"/>
      <c r="BU356" s="53"/>
      <c r="BV356" s="53"/>
      <c r="BW356" s="53"/>
      <c r="BX356" s="53"/>
    </row>
    <row r="357" spans="1:466" x14ac:dyDescent="0.35">
      <c r="A357" s="53"/>
      <c r="B357" s="53"/>
      <c r="C357" s="55"/>
      <c r="D357" s="53"/>
      <c r="E357" s="53"/>
      <c r="F357" s="134" t="s">
        <v>1243</v>
      </c>
      <c r="G357" s="125"/>
      <c r="H357" s="125">
        <v>0</v>
      </c>
      <c r="I357" s="133">
        <v>0</v>
      </c>
      <c r="J357" s="53"/>
      <c r="K357" s="53"/>
      <c r="L357" s="53"/>
      <c r="M357" s="53"/>
      <c r="N357" s="53"/>
      <c r="O357" s="53"/>
      <c r="P357" s="53"/>
      <c r="Q357" s="53"/>
      <c r="R357" s="53"/>
      <c r="S357" s="53"/>
      <c r="T357" s="53"/>
      <c r="U357" s="53"/>
      <c r="V357" s="53"/>
      <c r="W357" s="53"/>
      <c r="X357" s="53"/>
      <c r="Y357" s="53"/>
      <c r="Z357" s="53"/>
      <c r="AA357" s="53"/>
      <c r="AB357" s="53"/>
      <c r="AC357" s="53"/>
      <c r="AD357" s="53"/>
      <c r="AE357" s="53"/>
      <c r="AF357" s="63"/>
      <c r="AG357" s="64"/>
      <c r="AH357" s="65"/>
      <c r="AI357" s="65"/>
      <c r="AJ357" s="53"/>
      <c r="AK357" s="53"/>
      <c r="AL357" s="53"/>
      <c r="AM357" s="53"/>
      <c r="AN357" s="53"/>
      <c r="AO357" s="53"/>
      <c r="AP357" s="53"/>
      <c r="AQ357" s="53"/>
      <c r="AR357" s="53"/>
      <c r="AS357" s="53"/>
      <c r="AT357" s="53"/>
      <c r="AU357" s="53"/>
      <c r="AV357" s="53"/>
      <c r="AW357" s="53"/>
      <c r="AX357" s="53"/>
      <c r="AY357" s="53"/>
      <c r="AZ357" s="53"/>
      <c r="BA357" s="53"/>
      <c r="BB357" s="53"/>
      <c r="BC357" s="53"/>
      <c r="BD357" s="53"/>
      <c r="BE357" s="53"/>
      <c r="BF357" s="53"/>
      <c r="BG357" s="53"/>
      <c r="BH357" s="53"/>
      <c r="BI357" s="53"/>
      <c r="BJ357" s="53"/>
      <c r="BK357" s="53"/>
      <c r="BL357" s="53"/>
      <c r="BM357" s="53"/>
      <c r="BN357" s="53"/>
      <c r="BO357" s="53"/>
      <c r="BP357" s="53"/>
      <c r="BQ357" s="53"/>
      <c r="BR357" s="53"/>
      <c r="BS357" s="53"/>
      <c r="BT357" s="53"/>
      <c r="BU357" s="53"/>
      <c r="BV357" s="53"/>
      <c r="BW357" s="53"/>
      <c r="BX357" s="53"/>
    </row>
    <row r="358" spans="1:466" x14ac:dyDescent="0.35">
      <c r="A358" s="53"/>
      <c r="B358" s="53"/>
      <c r="C358" s="55"/>
      <c r="D358" s="53"/>
      <c r="E358" s="53"/>
      <c r="F358" s="134" t="s">
        <v>607</v>
      </c>
      <c r="G358" s="125">
        <v>559.26</v>
      </c>
      <c r="H358" s="125">
        <v>559.26</v>
      </c>
      <c r="I358" s="133">
        <v>1</v>
      </c>
      <c r="J358" s="53"/>
      <c r="K358" s="53"/>
      <c r="L358" s="53"/>
      <c r="M358" s="53"/>
      <c r="N358" s="53"/>
      <c r="O358" s="53"/>
      <c r="P358" s="53"/>
      <c r="Q358" s="53"/>
      <c r="R358" s="53"/>
      <c r="S358" s="53"/>
      <c r="T358" s="53"/>
      <c r="U358" s="53"/>
      <c r="V358" s="53"/>
      <c r="W358" s="53"/>
      <c r="X358" s="53"/>
      <c r="Y358" s="53"/>
      <c r="Z358" s="53"/>
      <c r="AA358" s="53"/>
      <c r="AB358" s="53"/>
      <c r="AC358" s="53"/>
      <c r="AD358" s="53"/>
      <c r="AE358" s="53"/>
      <c r="AF358" s="63"/>
      <c r="AG358" s="64"/>
      <c r="AH358" s="65"/>
      <c r="AI358" s="65"/>
      <c r="AJ358" s="53"/>
      <c r="AK358" s="53"/>
      <c r="AL358" s="53"/>
      <c r="AM358" s="53"/>
      <c r="AN358" s="53"/>
      <c r="AO358" s="53"/>
      <c r="AP358" s="53"/>
      <c r="AQ358" s="53"/>
      <c r="AR358" s="53"/>
      <c r="AS358" s="53"/>
      <c r="AT358" s="53"/>
      <c r="AU358" s="53"/>
      <c r="AV358" s="53"/>
      <c r="AW358" s="53"/>
      <c r="AX358" s="53"/>
      <c r="AY358" s="53"/>
      <c r="AZ358" s="53"/>
      <c r="BA358" s="53"/>
      <c r="BB358" s="53"/>
      <c r="BC358" s="53"/>
      <c r="BD358" s="53"/>
      <c r="BE358" s="53"/>
      <c r="BF358" s="53"/>
      <c r="BG358" s="53"/>
      <c r="BH358" s="53"/>
      <c r="BI358" s="53"/>
      <c r="BJ358" s="53"/>
      <c r="BK358" s="53"/>
      <c r="BL358" s="53"/>
      <c r="BM358" s="53"/>
      <c r="BN358" s="53"/>
      <c r="BO358" s="53"/>
      <c r="BP358" s="53"/>
      <c r="BQ358" s="53"/>
      <c r="BR358" s="53"/>
      <c r="BS358" s="53"/>
      <c r="BT358" s="53"/>
      <c r="BU358" s="53"/>
      <c r="BV358" s="53"/>
      <c r="BW358" s="53"/>
      <c r="BX358" s="53"/>
    </row>
    <row r="359" spans="1:466" x14ac:dyDescent="0.35">
      <c r="A359" s="53"/>
      <c r="B359" s="53"/>
      <c r="C359" s="55"/>
      <c r="D359" s="53"/>
      <c r="E359" s="53"/>
      <c r="F359" s="134" t="s">
        <v>609</v>
      </c>
      <c r="G359" s="125"/>
      <c r="H359" s="125">
        <v>0</v>
      </c>
      <c r="I359" s="133">
        <v>1</v>
      </c>
      <c r="J359" s="53"/>
      <c r="K359" s="53"/>
      <c r="L359" s="53"/>
      <c r="M359" s="53"/>
      <c r="N359" s="53"/>
      <c r="O359" s="53"/>
      <c r="P359" s="53"/>
      <c r="Q359" s="53"/>
      <c r="R359" s="53"/>
      <c r="S359" s="53"/>
      <c r="T359" s="53"/>
      <c r="U359" s="53"/>
      <c r="V359" s="53"/>
      <c r="W359" s="53"/>
      <c r="X359" s="53"/>
      <c r="Y359" s="53"/>
      <c r="Z359" s="53"/>
      <c r="AA359" s="53"/>
      <c r="AB359" s="53"/>
      <c r="AC359" s="53"/>
      <c r="AD359" s="53"/>
      <c r="AE359" s="53"/>
      <c r="AF359" s="63"/>
      <c r="AG359" s="64"/>
      <c r="AH359" s="65"/>
      <c r="AI359" s="65"/>
      <c r="AJ359" s="53"/>
      <c r="AK359" s="53"/>
      <c r="AL359" s="53"/>
      <c r="AM359" s="53"/>
      <c r="AN359" s="53"/>
      <c r="AO359" s="53"/>
      <c r="AP359" s="53"/>
      <c r="AQ359" s="53"/>
      <c r="AR359" s="53"/>
      <c r="AS359" s="53"/>
      <c r="AT359" s="53"/>
      <c r="AU359" s="53"/>
      <c r="AV359" s="53"/>
      <c r="AW359" s="53"/>
      <c r="AX359" s="53"/>
      <c r="AY359" s="53"/>
      <c r="AZ359" s="53"/>
      <c r="BA359" s="53"/>
      <c r="BB359" s="53"/>
      <c r="BC359" s="53"/>
      <c r="BD359" s="53"/>
      <c r="BE359" s="53"/>
      <c r="BF359" s="53"/>
      <c r="BG359" s="53"/>
      <c r="BH359" s="53"/>
      <c r="BI359" s="53"/>
      <c r="BJ359" s="53"/>
      <c r="BK359" s="53"/>
      <c r="BL359" s="53"/>
      <c r="BM359" s="53"/>
      <c r="BN359" s="53"/>
      <c r="BO359" s="53"/>
      <c r="BP359" s="53"/>
      <c r="BQ359" s="53"/>
      <c r="BR359" s="53"/>
      <c r="BS359" s="53"/>
      <c r="BT359" s="53"/>
      <c r="BU359" s="53"/>
      <c r="BV359" s="53"/>
      <c r="BW359" s="53"/>
      <c r="BX359" s="53"/>
    </row>
    <row r="360" spans="1:466" x14ac:dyDescent="0.35">
      <c r="A360" s="53"/>
      <c r="B360" s="53"/>
      <c r="C360" s="55"/>
      <c r="D360" s="53"/>
      <c r="E360" s="53"/>
      <c r="F360" s="134" t="s">
        <v>611</v>
      </c>
      <c r="G360" s="125">
        <v>249</v>
      </c>
      <c r="H360" s="125">
        <v>0</v>
      </c>
      <c r="I360" s="133">
        <v>0</v>
      </c>
      <c r="J360" s="53"/>
      <c r="K360" s="53"/>
      <c r="L360" s="53"/>
      <c r="M360" s="53"/>
      <c r="N360" s="53"/>
      <c r="O360" s="53"/>
      <c r="P360" s="53"/>
      <c r="Q360" s="53"/>
      <c r="R360" s="53"/>
      <c r="S360" s="53"/>
      <c r="T360" s="53"/>
      <c r="U360" s="53"/>
      <c r="V360" s="53"/>
      <c r="W360" s="53"/>
      <c r="X360" s="53"/>
      <c r="Y360" s="53"/>
      <c r="Z360" s="53"/>
      <c r="AA360" s="53"/>
      <c r="AB360" s="53"/>
      <c r="AC360" s="53"/>
      <c r="AD360" s="53"/>
      <c r="AE360" s="53"/>
      <c r="AF360" s="63"/>
      <c r="AG360" s="64"/>
      <c r="AH360" s="65"/>
      <c r="AI360" s="65"/>
      <c r="AJ360" s="53"/>
      <c r="AK360" s="53"/>
      <c r="AL360" s="53"/>
      <c r="AM360" s="53"/>
      <c r="AN360" s="53"/>
      <c r="AO360" s="53"/>
      <c r="AP360" s="53"/>
      <c r="AQ360" s="53"/>
      <c r="AR360" s="53"/>
      <c r="AS360" s="53"/>
      <c r="AT360" s="53"/>
      <c r="AU360" s="53"/>
      <c r="AV360" s="53"/>
      <c r="AW360" s="53"/>
      <c r="AX360" s="53"/>
      <c r="AY360" s="53"/>
      <c r="AZ360" s="53"/>
      <c r="BA360" s="53"/>
      <c r="BB360" s="53"/>
      <c r="BC360" s="53"/>
      <c r="BD360" s="53"/>
      <c r="BE360" s="53"/>
      <c r="BF360" s="53"/>
      <c r="BG360" s="53"/>
      <c r="BH360" s="53"/>
      <c r="BI360" s="53"/>
      <c r="BJ360" s="53"/>
      <c r="BK360" s="53"/>
      <c r="BL360" s="53"/>
      <c r="BM360" s="53"/>
      <c r="BN360" s="53"/>
      <c r="BO360" s="53"/>
      <c r="BP360" s="53"/>
      <c r="BQ360" s="53"/>
      <c r="BR360" s="53"/>
      <c r="BS360" s="53"/>
      <c r="BT360" s="53"/>
      <c r="BU360" s="53"/>
      <c r="BV360" s="53"/>
      <c r="BW360" s="53"/>
      <c r="BX360" s="53"/>
    </row>
    <row r="361" spans="1:466" x14ac:dyDescent="0.35">
      <c r="A361" s="53"/>
      <c r="B361" s="53"/>
      <c r="C361" s="55"/>
      <c r="D361" s="53"/>
      <c r="E361" s="53"/>
      <c r="F361" s="134" t="s">
        <v>613</v>
      </c>
      <c r="G361" s="125">
        <v>264.27</v>
      </c>
      <c r="H361" s="125">
        <v>2114.16</v>
      </c>
      <c r="I361" s="133">
        <v>8</v>
      </c>
      <c r="J361" s="53"/>
      <c r="K361" s="53"/>
      <c r="L361" s="53"/>
      <c r="M361" s="53"/>
      <c r="N361" s="53"/>
      <c r="O361" s="53"/>
      <c r="P361" s="53"/>
      <c r="Q361" s="53"/>
      <c r="R361" s="53"/>
      <c r="S361" s="53"/>
      <c r="T361" s="53"/>
      <c r="U361" s="53"/>
      <c r="V361" s="53"/>
      <c r="W361" s="53"/>
      <c r="X361" s="53"/>
      <c r="Y361" s="53"/>
      <c r="Z361" s="53"/>
      <c r="AA361" s="53"/>
      <c r="AB361" s="53"/>
      <c r="AC361" s="53"/>
      <c r="AD361" s="53"/>
      <c r="AE361" s="53"/>
      <c r="AF361" s="63"/>
      <c r="AG361" s="64"/>
      <c r="AH361" s="65"/>
      <c r="AI361" s="65"/>
      <c r="AJ361" s="53"/>
      <c r="AK361" s="53"/>
      <c r="AL361" s="53"/>
      <c r="AM361" s="53"/>
      <c r="AN361" s="53"/>
      <c r="AO361" s="53"/>
      <c r="AP361" s="53"/>
      <c r="AQ361" s="53"/>
      <c r="AR361" s="53"/>
      <c r="AS361" s="53"/>
      <c r="AT361" s="53"/>
      <c r="AU361" s="53"/>
      <c r="AV361" s="53"/>
      <c r="AW361" s="53"/>
      <c r="AX361" s="53"/>
      <c r="AY361" s="53"/>
      <c r="AZ361" s="53"/>
      <c r="BA361" s="53"/>
      <c r="BB361" s="53"/>
      <c r="BC361" s="53"/>
      <c r="BD361" s="53"/>
      <c r="BE361" s="53"/>
      <c r="BF361" s="53"/>
      <c r="BG361" s="53"/>
      <c r="BH361" s="53"/>
      <c r="BI361" s="53"/>
      <c r="BJ361" s="53"/>
      <c r="BK361" s="53"/>
      <c r="BL361" s="53"/>
      <c r="BM361" s="53"/>
      <c r="BN361" s="53"/>
      <c r="BO361" s="53"/>
      <c r="BP361" s="53"/>
      <c r="BQ361" s="53"/>
      <c r="BR361" s="53"/>
      <c r="BS361" s="53"/>
      <c r="BT361" s="53"/>
      <c r="BU361" s="53"/>
      <c r="BV361" s="53"/>
      <c r="BW361" s="53"/>
      <c r="BX361" s="53"/>
    </row>
    <row r="362" spans="1:466" x14ac:dyDescent="0.35">
      <c r="A362" s="53"/>
      <c r="B362" s="53"/>
      <c r="C362" s="55"/>
      <c r="D362" s="53"/>
      <c r="E362" s="53"/>
      <c r="F362" s="134" t="s">
        <v>615</v>
      </c>
      <c r="G362" s="125">
        <v>392.16</v>
      </c>
      <c r="H362" s="125">
        <v>34117.920000000006</v>
      </c>
      <c r="I362" s="133">
        <v>87</v>
      </c>
      <c r="J362" s="53"/>
      <c r="K362" s="53"/>
      <c r="L362" s="53"/>
      <c r="M362" s="53"/>
      <c r="N362" s="53"/>
      <c r="O362" s="53"/>
      <c r="P362" s="53"/>
      <c r="Q362" s="53"/>
      <c r="R362" s="53"/>
      <c r="S362" s="53"/>
      <c r="T362" s="53"/>
      <c r="U362" s="53"/>
      <c r="V362" s="53"/>
      <c r="W362" s="53"/>
      <c r="X362" s="53"/>
      <c r="Y362" s="53"/>
      <c r="Z362" s="53"/>
      <c r="AA362" s="53"/>
      <c r="AB362" s="53"/>
      <c r="AC362" s="53"/>
      <c r="AD362" s="53"/>
      <c r="AE362" s="53"/>
      <c r="AF362" s="63"/>
      <c r="AG362" s="64"/>
      <c r="AH362" s="65"/>
      <c r="AI362" s="65"/>
      <c r="AJ362" s="53"/>
      <c r="AK362" s="53"/>
      <c r="AL362" s="53"/>
      <c r="AM362" s="53"/>
      <c r="AN362" s="53"/>
      <c r="AO362" s="53"/>
      <c r="AP362" s="53"/>
      <c r="AQ362" s="53"/>
      <c r="AR362" s="53"/>
      <c r="AS362" s="53"/>
      <c r="AT362" s="53"/>
      <c r="AU362" s="53"/>
      <c r="AV362" s="53"/>
      <c r="AW362" s="53"/>
      <c r="AX362" s="53"/>
      <c r="AY362" s="53"/>
      <c r="AZ362" s="53"/>
      <c r="BA362" s="53"/>
      <c r="BB362" s="53"/>
      <c r="BC362" s="53"/>
      <c r="BD362" s="53"/>
      <c r="BE362" s="53"/>
      <c r="BF362" s="53"/>
      <c r="BG362" s="53"/>
      <c r="BH362" s="53"/>
      <c r="BI362" s="53"/>
      <c r="BJ362" s="53"/>
      <c r="BK362" s="53"/>
      <c r="BL362" s="53"/>
      <c r="BM362" s="53"/>
      <c r="BN362" s="53"/>
      <c r="BO362" s="53"/>
      <c r="BP362" s="53"/>
      <c r="BQ362" s="53"/>
      <c r="BR362" s="53"/>
      <c r="BS362" s="53"/>
      <c r="BT362" s="53"/>
      <c r="BU362" s="53"/>
      <c r="BV362" s="53"/>
      <c r="BW362" s="53"/>
      <c r="BX362" s="53"/>
    </row>
    <row r="363" spans="1:466" x14ac:dyDescent="0.35">
      <c r="A363" s="53"/>
      <c r="B363" s="53"/>
      <c r="C363" s="55"/>
      <c r="D363" s="53"/>
      <c r="E363" s="53"/>
      <c r="F363" s="134" t="s">
        <v>1268</v>
      </c>
      <c r="G363" s="125"/>
      <c r="H363" s="125">
        <v>0</v>
      </c>
      <c r="I363" s="133">
        <v>0</v>
      </c>
      <c r="J363" s="53"/>
      <c r="K363" s="53"/>
      <c r="L363" s="53"/>
      <c r="M363" s="53"/>
      <c r="N363" s="53"/>
      <c r="O363" s="53"/>
      <c r="P363" s="53"/>
      <c r="Q363" s="53"/>
      <c r="R363" s="53"/>
      <c r="S363" s="53"/>
      <c r="T363" s="53"/>
      <c r="U363" s="53"/>
      <c r="V363" s="53"/>
      <c r="W363" s="53"/>
      <c r="X363" s="53"/>
      <c r="Y363" s="53"/>
      <c r="Z363" s="53"/>
      <c r="AA363" s="53"/>
      <c r="AB363" s="53"/>
      <c r="AC363" s="53"/>
      <c r="AD363" s="53"/>
      <c r="AE363" s="53"/>
      <c r="AF363" s="63"/>
      <c r="AG363" s="64"/>
      <c r="AH363" s="65"/>
      <c r="AI363" s="65"/>
      <c r="AJ363" s="53"/>
      <c r="AK363" s="53"/>
      <c r="AL363" s="53"/>
      <c r="AM363" s="53"/>
      <c r="AN363" s="53"/>
      <c r="AO363" s="53"/>
      <c r="AP363" s="53"/>
      <c r="AQ363" s="53"/>
      <c r="AR363" s="53"/>
      <c r="AS363" s="53"/>
      <c r="AT363" s="53"/>
      <c r="AU363" s="53"/>
      <c r="AV363" s="53"/>
      <c r="AW363" s="53"/>
      <c r="AX363" s="53"/>
      <c r="AY363" s="53"/>
      <c r="AZ363" s="53"/>
      <c r="BA363" s="53"/>
      <c r="BB363" s="53"/>
      <c r="BC363" s="53"/>
      <c r="BD363" s="53"/>
      <c r="BE363" s="53"/>
      <c r="BF363" s="53"/>
      <c r="BG363" s="53"/>
      <c r="BH363" s="53"/>
      <c r="BI363" s="53"/>
      <c r="BJ363" s="53"/>
      <c r="BK363" s="53"/>
      <c r="BL363" s="53"/>
      <c r="BM363" s="53"/>
      <c r="BN363" s="53"/>
      <c r="BO363" s="53"/>
      <c r="BP363" s="53"/>
      <c r="BQ363" s="53"/>
      <c r="BR363" s="53"/>
      <c r="BS363" s="53"/>
      <c r="BT363" s="53"/>
      <c r="BU363" s="53"/>
      <c r="BV363" s="53"/>
      <c r="BW363" s="53"/>
      <c r="BX363" s="53"/>
    </row>
    <row r="364" spans="1:466" x14ac:dyDescent="0.35">
      <c r="A364" s="53"/>
      <c r="B364" s="53"/>
      <c r="C364" s="55"/>
      <c r="D364" s="53"/>
      <c r="E364" s="53"/>
      <c r="F364" s="134" t="s">
        <v>618</v>
      </c>
      <c r="G364" s="125">
        <v>350</v>
      </c>
      <c r="H364" s="125">
        <v>0</v>
      </c>
      <c r="I364" s="133">
        <v>0</v>
      </c>
      <c r="J364" s="53"/>
      <c r="K364" s="53"/>
      <c r="L364" s="53"/>
      <c r="M364" s="53"/>
      <c r="N364" s="53"/>
      <c r="O364" s="53"/>
      <c r="P364" s="53"/>
      <c r="Q364" s="53"/>
      <c r="R364" s="53"/>
      <c r="S364" s="53"/>
      <c r="T364" s="53"/>
      <c r="U364" s="53"/>
      <c r="V364" s="53"/>
      <c r="W364" s="53"/>
      <c r="X364" s="53"/>
      <c r="Y364" s="53"/>
      <c r="Z364" s="53"/>
      <c r="AA364" s="53"/>
      <c r="AB364" s="53"/>
      <c r="AC364" s="53"/>
      <c r="AD364" s="53"/>
      <c r="AE364" s="53"/>
      <c r="AF364" s="63"/>
      <c r="AG364" s="64"/>
      <c r="AH364" s="65"/>
      <c r="AI364" s="65"/>
      <c r="AJ364" s="53"/>
      <c r="AK364" s="53"/>
      <c r="AL364" s="53"/>
      <c r="AM364" s="53"/>
      <c r="AN364" s="53"/>
      <c r="AO364" s="53"/>
      <c r="AP364" s="53"/>
      <c r="AQ364" s="53"/>
      <c r="AR364" s="53"/>
      <c r="AS364" s="53"/>
      <c r="AT364" s="53"/>
      <c r="AU364" s="53"/>
      <c r="AV364" s="53"/>
      <c r="AW364" s="53"/>
      <c r="AX364" s="53"/>
      <c r="AY364" s="53"/>
      <c r="AZ364" s="53"/>
      <c r="BA364" s="53"/>
      <c r="BB364" s="53"/>
      <c r="BC364" s="53"/>
      <c r="BD364" s="53"/>
      <c r="BE364" s="53"/>
      <c r="BF364" s="53"/>
      <c r="BG364" s="53"/>
      <c r="BH364" s="53"/>
      <c r="BI364" s="53"/>
      <c r="BJ364" s="53"/>
      <c r="BK364" s="53"/>
      <c r="BL364" s="53"/>
      <c r="BM364" s="53"/>
      <c r="BN364" s="53"/>
      <c r="BO364" s="53"/>
      <c r="BP364" s="53"/>
      <c r="BQ364" s="53"/>
      <c r="BR364" s="53"/>
      <c r="BS364" s="53"/>
      <c r="BT364" s="53"/>
      <c r="BU364" s="53"/>
      <c r="BV364" s="53"/>
      <c r="BW364" s="53"/>
      <c r="BX364" s="53"/>
    </row>
    <row r="365" spans="1:466" x14ac:dyDescent="0.35">
      <c r="A365" s="53"/>
      <c r="B365" s="53"/>
      <c r="C365" s="55"/>
      <c r="D365" s="53"/>
      <c r="E365" s="53"/>
      <c r="F365" s="134" t="s">
        <v>621</v>
      </c>
      <c r="G365" s="125"/>
      <c r="H365" s="125">
        <v>0</v>
      </c>
      <c r="I365" s="133">
        <v>1</v>
      </c>
      <c r="J365" s="53"/>
      <c r="K365" s="53"/>
      <c r="L365" s="53"/>
      <c r="M365" s="53"/>
      <c r="N365" s="53"/>
      <c r="O365" s="53"/>
      <c r="P365" s="53"/>
      <c r="Q365" s="53"/>
      <c r="R365" s="53"/>
      <c r="S365" s="53"/>
      <c r="T365" s="53"/>
      <c r="U365" s="53"/>
      <c r="V365" s="53"/>
      <c r="W365" s="53"/>
      <c r="X365" s="53"/>
      <c r="Y365" s="53"/>
      <c r="Z365" s="53"/>
      <c r="AA365" s="53"/>
      <c r="AB365" s="53"/>
      <c r="AC365" s="53"/>
      <c r="AD365" s="53"/>
      <c r="AE365" s="53"/>
      <c r="AF365" s="63"/>
      <c r="AG365" s="64"/>
      <c r="AH365" s="65"/>
      <c r="AI365" s="65"/>
      <c r="AJ365" s="53"/>
      <c r="AK365" s="53"/>
      <c r="AL365" s="53"/>
      <c r="AM365" s="53"/>
      <c r="AN365" s="53"/>
      <c r="AO365" s="53"/>
      <c r="AP365" s="53"/>
      <c r="AQ365" s="53"/>
      <c r="AR365" s="53"/>
      <c r="AS365" s="53"/>
      <c r="AT365" s="53"/>
      <c r="AU365" s="53"/>
      <c r="AV365" s="53"/>
      <c r="AW365" s="53"/>
      <c r="AX365" s="53"/>
      <c r="AY365" s="53"/>
      <c r="AZ365" s="53"/>
      <c r="BA365" s="53"/>
      <c r="BB365" s="53"/>
      <c r="BC365" s="53"/>
      <c r="BD365" s="53"/>
      <c r="BE365" s="53"/>
      <c r="BF365" s="53"/>
      <c r="BG365" s="53"/>
      <c r="BH365" s="53"/>
      <c r="BI365" s="53"/>
      <c r="BJ365" s="53"/>
      <c r="BK365" s="53"/>
      <c r="BL365" s="53"/>
      <c r="BM365" s="53"/>
      <c r="BN365" s="53"/>
      <c r="BO365" s="53"/>
      <c r="BP365" s="53"/>
      <c r="BQ365" s="53"/>
      <c r="BR365" s="53"/>
      <c r="BS365" s="53"/>
      <c r="BT365" s="53"/>
      <c r="BU365" s="53"/>
      <c r="BV365" s="53"/>
      <c r="BW365" s="53"/>
      <c r="BX365" s="53"/>
    </row>
    <row r="366" spans="1:466" x14ac:dyDescent="0.35">
      <c r="A366" s="53"/>
      <c r="B366" s="53"/>
      <c r="C366" s="55"/>
      <c r="D366" s="53"/>
      <c r="E366" s="53"/>
      <c r="F366" s="134" t="s">
        <v>623</v>
      </c>
      <c r="G366" s="125">
        <v>724.8</v>
      </c>
      <c r="H366" s="125">
        <v>0</v>
      </c>
      <c r="I366" s="133">
        <v>0</v>
      </c>
      <c r="J366" s="53"/>
      <c r="K366" s="53"/>
      <c r="L366" s="53"/>
      <c r="M366" s="53"/>
      <c r="N366" s="53"/>
      <c r="O366" s="53"/>
      <c r="P366" s="53"/>
      <c r="Q366" s="53"/>
      <c r="R366" s="53"/>
      <c r="S366" s="53"/>
      <c r="T366" s="53"/>
      <c r="U366" s="53"/>
      <c r="V366" s="53"/>
      <c r="W366" s="53"/>
      <c r="X366" s="53"/>
      <c r="Y366" s="53"/>
      <c r="Z366" s="53"/>
      <c r="AA366" s="53"/>
      <c r="AB366" s="53"/>
      <c r="AC366" s="53"/>
      <c r="AD366" s="53"/>
      <c r="AE366" s="53"/>
      <c r="AF366" s="63"/>
      <c r="AG366" s="64"/>
      <c r="AH366" s="65"/>
      <c r="AI366" s="65"/>
      <c r="AJ366" s="53"/>
      <c r="AK366" s="53"/>
      <c r="AL366" s="53"/>
      <c r="AM366" s="53"/>
      <c r="AN366" s="53"/>
      <c r="AO366" s="53"/>
      <c r="AP366" s="53"/>
      <c r="AQ366" s="53"/>
      <c r="AR366" s="53"/>
      <c r="AS366" s="53"/>
      <c r="AT366" s="53"/>
      <c r="AU366" s="53"/>
      <c r="AV366" s="53"/>
      <c r="AW366" s="53"/>
      <c r="AX366" s="53"/>
      <c r="AY366" s="53"/>
      <c r="AZ366" s="53"/>
      <c r="BA366" s="53"/>
      <c r="BB366" s="53"/>
      <c r="BC366" s="53"/>
      <c r="BD366" s="53"/>
      <c r="BE366" s="53"/>
      <c r="BF366" s="53"/>
      <c r="BG366" s="53"/>
      <c r="BH366" s="53"/>
      <c r="BI366" s="53"/>
      <c r="BJ366" s="53"/>
      <c r="BK366" s="53"/>
      <c r="BL366" s="53"/>
      <c r="BM366" s="53"/>
      <c r="BN366" s="53"/>
      <c r="BO366" s="53"/>
      <c r="BP366" s="53"/>
      <c r="BQ366" s="53"/>
      <c r="BR366" s="53"/>
      <c r="BS366" s="53"/>
      <c r="BT366" s="53"/>
      <c r="BU366" s="53"/>
      <c r="BV366" s="53"/>
      <c r="BW366" s="53"/>
      <c r="BX366" s="53"/>
    </row>
    <row r="367" spans="1:466" x14ac:dyDescent="0.35">
      <c r="A367" s="53"/>
      <c r="B367" s="53"/>
      <c r="C367" s="55"/>
      <c r="D367" s="53"/>
      <c r="E367" s="53"/>
      <c r="F367" s="134" t="s">
        <v>625</v>
      </c>
      <c r="G367" s="125">
        <v>525</v>
      </c>
      <c r="H367" s="125">
        <v>525</v>
      </c>
      <c r="I367" s="133">
        <v>1</v>
      </c>
      <c r="J367" s="53"/>
      <c r="K367" s="53"/>
      <c r="L367" s="53"/>
      <c r="M367" s="53"/>
      <c r="N367" s="53"/>
      <c r="O367" s="53"/>
      <c r="P367" s="53"/>
      <c r="Q367" s="53"/>
      <c r="R367" s="53"/>
      <c r="S367" s="53"/>
      <c r="T367" s="53"/>
      <c r="U367" s="53"/>
      <c r="V367" s="53"/>
      <c r="W367" s="53"/>
      <c r="X367" s="53"/>
      <c r="Y367" s="53"/>
      <c r="Z367" s="53"/>
      <c r="AA367" s="53"/>
      <c r="AB367" s="53"/>
      <c r="AC367" s="53"/>
      <c r="AD367" s="53"/>
      <c r="AE367" s="53"/>
      <c r="AF367" s="63"/>
      <c r="AG367" s="64"/>
      <c r="AH367" s="65"/>
      <c r="AI367" s="65"/>
      <c r="AJ367" s="53"/>
      <c r="AK367" s="53"/>
      <c r="AL367" s="53"/>
      <c r="AM367" s="53"/>
      <c r="AN367" s="53"/>
      <c r="AO367" s="53"/>
      <c r="AP367" s="53"/>
      <c r="AQ367" s="53"/>
      <c r="AR367" s="53"/>
      <c r="AS367" s="53"/>
      <c r="AT367" s="53"/>
      <c r="AU367" s="53"/>
      <c r="AV367" s="53"/>
      <c r="AW367" s="53"/>
      <c r="AX367" s="53"/>
      <c r="AY367" s="53"/>
      <c r="AZ367" s="53"/>
      <c r="BA367" s="53"/>
      <c r="BB367" s="53"/>
      <c r="BC367" s="53"/>
      <c r="BD367" s="53"/>
      <c r="BE367" s="53"/>
      <c r="BF367" s="53"/>
      <c r="BG367" s="53"/>
      <c r="BH367" s="53"/>
      <c r="BI367" s="53"/>
      <c r="BJ367" s="53"/>
      <c r="BK367" s="53"/>
      <c r="BL367" s="53"/>
      <c r="BM367" s="53"/>
      <c r="BN367" s="53"/>
      <c r="BO367" s="53"/>
      <c r="BP367" s="53"/>
      <c r="BQ367" s="53"/>
      <c r="BR367" s="53"/>
      <c r="BS367" s="53"/>
      <c r="BT367" s="53"/>
      <c r="BU367" s="53"/>
      <c r="BV367" s="53"/>
      <c r="BW367" s="53"/>
      <c r="BX367" s="53"/>
    </row>
    <row r="368" spans="1:466" x14ac:dyDescent="0.35">
      <c r="A368" s="53"/>
      <c r="B368" s="53"/>
      <c r="C368" s="55"/>
      <c r="D368" s="53"/>
      <c r="E368" s="53"/>
      <c r="F368" s="134" t="s">
        <v>627</v>
      </c>
      <c r="G368" s="125">
        <v>433.49</v>
      </c>
      <c r="H368" s="125">
        <v>26876.38</v>
      </c>
      <c r="I368" s="133">
        <v>62</v>
      </c>
      <c r="J368" s="53"/>
      <c r="K368" s="53"/>
      <c r="L368" s="53"/>
      <c r="M368" s="53"/>
      <c r="N368" s="53"/>
      <c r="O368" s="53"/>
      <c r="P368" s="53"/>
      <c r="Q368" s="53"/>
      <c r="R368" s="53"/>
      <c r="S368" s="53"/>
      <c r="T368" s="53"/>
      <c r="U368" s="53"/>
      <c r="V368" s="53"/>
      <c r="W368" s="53"/>
      <c r="X368" s="53"/>
      <c r="Y368" s="53"/>
      <c r="Z368" s="53"/>
      <c r="AA368" s="53"/>
      <c r="AB368" s="53"/>
      <c r="AC368" s="53"/>
      <c r="AD368" s="53"/>
      <c r="AE368" s="53"/>
      <c r="AF368" s="63"/>
      <c r="AG368" s="64"/>
      <c r="AH368" s="65"/>
      <c r="AI368" s="65"/>
      <c r="AJ368" s="53"/>
      <c r="AK368" s="53"/>
      <c r="AL368" s="53"/>
      <c r="AM368" s="53"/>
      <c r="AN368" s="53"/>
      <c r="AO368" s="53"/>
      <c r="AP368" s="53"/>
      <c r="AQ368" s="53"/>
      <c r="AR368" s="53"/>
      <c r="AS368" s="53"/>
      <c r="AT368" s="53"/>
      <c r="AU368" s="53"/>
      <c r="AV368" s="53"/>
      <c r="AW368" s="53"/>
      <c r="AX368" s="53"/>
      <c r="AY368" s="53"/>
      <c r="AZ368" s="53"/>
      <c r="BA368" s="53"/>
      <c r="BB368" s="53"/>
      <c r="BC368" s="53"/>
      <c r="BD368" s="53"/>
      <c r="BE368" s="53"/>
      <c r="BF368" s="53"/>
      <c r="BG368" s="53"/>
      <c r="BH368" s="53"/>
      <c r="BI368" s="53"/>
      <c r="BJ368" s="53"/>
      <c r="BK368" s="53"/>
      <c r="BL368" s="53"/>
      <c r="BM368" s="53"/>
      <c r="BN368" s="53"/>
      <c r="BO368" s="53"/>
      <c r="BP368" s="53"/>
      <c r="BQ368" s="53"/>
      <c r="BR368" s="53"/>
      <c r="BS368" s="53"/>
      <c r="BT368" s="53"/>
      <c r="BU368" s="53"/>
      <c r="BV368" s="53"/>
      <c r="BW368" s="53"/>
      <c r="BX368" s="53"/>
    </row>
    <row r="369" spans="1:76" x14ac:dyDescent="0.35">
      <c r="A369" s="53"/>
      <c r="B369" s="53"/>
      <c r="C369" s="55"/>
      <c r="D369" s="53"/>
      <c r="E369" s="53"/>
      <c r="F369" s="134" t="s">
        <v>630</v>
      </c>
      <c r="G369" s="125"/>
      <c r="H369" s="125">
        <v>0</v>
      </c>
      <c r="I369" s="133">
        <v>0</v>
      </c>
      <c r="J369" s="53"/>
      <c r="K369" s="53"/>
      <c r="L369" s="53"/>
      <c r="M369" s="53"/>
      <c r="N369" s="53"/>
      <c r="O369" s="53"/>
      <c r="P369" s="53"/>
      <c r="Q369" s="53"/>
      <c r="R369" s="53"/>
      <c r="S369" s="53"/>
      <c r="T369" s="53"/>
      <c r="U369" s="53"/>
      <c r="V369" s="53"/>
      <c r="W369" s="53"/>
      <c r="X369" s="53"/>
      <c r="Y369" s="53"/>
      <c r="Z369" s="53"/>
      <c r="AA369" s="53"/>
      <c r="AB369" s="53"/>
      <c r="AC369" s="53"/>
      <c r="AD369" s="53"/>
      <c r="AE369" s="53"/>
      <c r="AF369" s="63"/>
      <c r="AG369" s="64"/>
      <c r="AH369" s="65"/>
      <c r="AI369" s="65"/>
      <c r="AJ369" s="53"/>
      <c r="AK369" s="53"/>
      <c r="AL369" s="53"/>
      <c r="AM369" s="53"/>
      <c r="AN369" s="53"/>
      <c r="AO369" s="53"/>
      <c r="AP369" s="53"/>
      <c r="AQ369" s="53"/>
      <c r="AR369" s="53"/>
      <c r="AS369" s="53"/>
      <c r="AT369" s="53"/>
      <c r="AU369" s="53"/>
      <c r="AV369" s="53"/>
      <c r="AW369" s="53"/>
      <c r="AX369" s="53"/>
      <c r="AY369" s="53"/>
      <c r="AZ369" s="53"/>
      <c r="BA369" s="53"/>
      <c r="BB369" s="53"/>
      <c r="BC369" s="53"/>
      <c r="BD369" s="53"/>
      <c r="BE369" s="53"/>
      <c r="BF369" s="53"/>
      <c r="BG369" s="53"/>
      <c r="BH369" s="53"/>
      <c r="BI369" s="53"/>
      <c r="BJ369" s="53"/>
      <c r="BK369" s="53"/>
      <c r="BL369" s="53"/>
      <c r="BM369" s="53"/>
      <c r="BN369" s="53"/>
      <c r="BO369" s="53"/>
      <c r="BP369" s="53"/>
      <c r="BQ369" s="53"/>
      <c r="BR369" s="53"/>
      <c r="BS369" s="53"/>
      <c r="BT369" s="53"/>
      <c r="BU369" s="53"/>
      <c r="BV369" s="53"/>
      <c r="BW369" s="53"/>
      <c r="BX369" s="53"/>
    </row>
    <row r="370" spans="1:76" x14ac:dyDescent="0.35">
      <c r="A370" s="53"/>
      <c r="B370" s="53"/>
      <c r="C370" s="55"/>
      <c r="D370" s="53"/>
      <c r="E370" s="53"/>
      <c r="F370" s="134" t="s">
        <v>633</v>
      </c>
      <c r="G370" s="125">
        <v>813.96</v>
      </c>
      <c r="H370" s="125">
        <v>0</v>
      </c>
      <c r="I370" s="133">
        <v>0</v>
      </c>
      <c r="J370" s="53"/>
      <c r="K370" s="53"/>
      <c r="L370" s="53"/>
      <c r="M370" s="53"/>
      <c r="N370" s="53"/>
      <c r="O370" s="53"/>
      <c r="P370" s="53"/>
      <c r="Q370" s="53"/>
      <c r="R370" s="53"/>
      <c r="S370" s="53"/>
      <c r="T370" s="53"/>
      <c r="U370" s="53"/>
      <c r="V370" s="53"/>
      <c r="W370" s="53"/>
      <c r="X370" s="53"/>
      <c r="Y370" s="53"/>
      <c r="Z370" s="53"/>
      <c r="AA370" s="53"/>
      <c r="AB370" s="53"/>
      <c r="AC370" s="53"/>
      <c r="AD370" s="53"/>
      <c r="AE370" s="53"/>
      <c r="AF370" s="63"/>
      <c r="AG370" s="64"/>
      <c r="AH370" s="65"/>
      <c r="AI370" s="65"/>
      <c r="AJ370" s="53"/>
      <c r="AK370" s="53"/>
      <c r="AL370" s="53"/>
      <c r="AM370" s="53"/>
      <c r="AN370" s="53"/>
      <c r="AO370" s="53"/>
      <c r="AP370" s="53"/>
      <c r="AQ370" s="53"/>
      <c r="AR370" s="53"/>
      <c r="AS370" s="53"/>
      <c r="AT370" s="53"/>
      <c r="AU370" s="53"/>
      <c r="AV370" s="53"/>
      <c r="AW370" s="53"/>
      <c r="AX370" s="53"/>
      <c r="AY370" s="53"/>
      <c r="AZ370" s="53"/>
      <c r="BA370" s="53"/>
      <c r="BB370" s="53"/>
      <c r="BC370" s="53"/>
      <c r="BD370" s="53"/>
      <c r="BE370" s="53"/>
      <c r="BF370" s="53"/>
      <c r="BG370" s="53"/>
      <c r="BH370" s="53"/>
      <c r="BI370" s="53"/>
      <c r="BJ370" s="53"/>
      <c r="BK370" s="53"/>
      <c r="BL370" s="53"/>
      <c r="BM370" s="53"/>
      <c r="BN370" s="53"/>
      <c r="BO370" s="53"/>
      <c r="BP370" s="53"/>
      <c r="BQ370" s="53"/>
      <c r="BR370" s="53"/>
      <c r="BS370" s="53"/>
      <c r="BT370" s="53"/>
      <c r="BU370" s="53"/>
      <c r="BV370" s="53"/>
      <c r="BW370" s="53"/>
      <c r="BX370" s="53"/>
    </row>
    <row r="371" spans="1:76" x14ac:dyDescent="0.35">
      <c r="A371" s="53"/>
      <c r="B371" s="53"/>
      <c r="C371" s="55"/>
      <c r="D371" s="53"/>
      <c r="E371" s="53"/>
      <c r="F371" s="126" t="s">
        <v>635</v>
      </c>
      <c r="G371" s="125"/>
      <c r="H371" s="125">
        <v>0</v>
      </c>
      <c r="I371" s="133">
        <v>52</v>
      </c>
      <c r="J371" s="53"/>
      <c r="K371" s="53"/>
      <c r="L371" s="53"/>
      <c r="M371" s="53"/>
      <c r="N371" s="53"/>
      <c r="O371" s="53"/>
      <c r="P371" s="53"/>
      <c r="Q371" s="53"/>
      <c r="R371" s="53"/>
      <c r="S371" s="53"/>
      <c r="T371" s="53"/>
      <c r="U371" s="53"/>
      <c r="V371" s="53"/>
      <c r="W371" s="53"/>
      <c r="X371" s="53"/>
      <c r="Y371" s="53"/>
      <c r="Z371" s="53"/>
      <c r="AA371" s="53"/>
      <c r="AB371" s="53"/>
      <c r="AC371" s="53"/>
      <c r="AD371" s="53"/>
      <c r="AE371" s="53"/>
      <c r="AF371" s="63"/>
      <c r="AG371" s="64"/>
      <c r="AH371" s="65"/>
      <c r="AI371" s="65"/>
      <c r="AJ371" s="53"/>
      <c r="AK371" s="53"/>
      <c r="AL371" s="53"/>
      <c r="AM371" s="53"/>
      <c r="AN371" s="53"/>
      <c r="AO371" s="53"/>
      <c r="AP371" s="53"/>
      <c r="AQ371" s="53"/>
      <c r="AR371" s="53"/>
      <c r="AS371" s="53"/>
      <c r="AT371" s="53"/>
      <c r="AU371" s="53"/>
      <c r="AV371" s="53"/>
      <c r="AW371" s="53"/>
      <c r="AX371" s="53"/>
      <c r="AY371" s="53"/>
      <c r="AZ371" s="53"/>
      <c r="BA371" s="53"/>
      <c r="BB371" s="53"/>
      <c r="BC371" s="53"/>
      <c r="BD371" s="53"/>
      <c r="BE371" s="53"/>
      <c r="BF371" s="53"/>
      <c r="BG371" s="53"/>
      <c r="BH371" s="53"/>
      <c r="BI371" s="53"/>
      <c r="BJ371" s="53"/>
      <c r="BK371" s="53"/>
      <c r="BL371" s="53"/>
      <c r="BM371" s="53"/>
      <c r="BN371" s="53"/>
      <c r="BO371" s="53"/>
      <c r="BP371" s="53"/>
      <c r="BQ371" s="53"/>
      <c r="BR371" s="53"/>
      <c r="BS371" s="53"/>
      <c r="BT371" s="53"/>
      <c r="BU371" s="53"/>
      <c r="BV371" s="53"/>
      <c r="BW371" s="53"/>
      <c r="BX371" s="53"/>
    </row>
    <row r="372" spans="1:76" x14ac:dyDescent="0.35">
      <c r="A372" s="53"/>
      <c r="B372" s="53"/>
      <c r="C372" s="55"/>
      <c r="D372" s="53"/>
      <c r="E372" s="53"/>
      <c r="F372" s="134" t="s">
        <v>637</v>
      </c>
      <c r="G372" s="135">
        <v>17</v>
      </c>
      <c r="H372" s="135">
        <v>0</v>
      </c>
      <c r="I372" s="136">
        <v>0</v>
      </c>
      <c r="J372" s="53"/>
      <c r="K372" s="53"/>
      <c r="L372" s="53"/>
      <c r="M372" s="53"/>
      <c r="N372" s="53"/>
      <c r="O372" s="53"/>
      <c r="P372" s="53"/>
      <c r="Q372" s="53"/>
      <c r="R372" s="53"/>
      <c r="S372" s="53"/>
      <c r="T372" s="53"/>
      <c r="U372" s="53"/>
      <c r="V372" s="53"/>
      <c r="W372" s="53"/>
      <c r="X372" s="53"/>
      <c r="Y372" s="53"/>
      <c r="Z372" s="53"/>
      <c r="AA372" s="53"/>
      <c r="AB372" s="53"/>
      <c r="AC372" s="53"/>
      <c r="AD372" s="53"/>
      <c r="AE372" s="53"/>
      <c r="AF372" s="63"/>
      <c r="AG372" s="64"/>
      <c r="AH372" s="65"/>
      <c r="AI372" s="65"/>
      <c r="AJ372" s="53"/>
      <c r="AK372" s="53"/>
      <c r="AL372" s="53"/>
      <c r="AM372" s="53"/>
      <c r="AN372" s="53"/>
      <c r="AO372" s="53"/>
      <c r="AP372" s="53"/>
      <c r="AQ372" s="53"/>
      <c r="AR372" s="53"/>
      <c r="AS372" s="53"/>
      <c r="AT372" s="53"/>
      <c r="AU372" s="53"/>
      <c r="AV372" s="53"/>
      <c r="AW372" s="53"/>
      <c r="AX372" s="53"/>
      <c r="AY372" s="53"/>
      <c r="AZ372" s="53"/>
      <c r="BA372" s="53"/>
      <c r="BB372" s="53"/>
      <c r="BC372" s="53"/>
      <c r="BD372" s="53"/>
      <c r="BE372" s="53"/>
      <c r="BF372" s="53"/>
      <c r="BG372" s="53"/>
      <c r="BH372" s="53"/>
      <c r="BI372" s="53"/>
      <c r="BJ372" s="53"/>
      <c r="BK372" s="53"/>
      <c r="BL372" s="53"/>
      <c r="BM372" s="53"/>
      <c r="BN372" s="53"/>
      <c r="BO372" s="53"/>
      <c r="BP372" s="53"/>
      <c r="BQ372" s="53"/>
      <c r="BR372" s="53"/>
      <c r="BS372" s="53"/>
      <c r="BT372" s="53"/>
      <c r="BU372" s="53"/>
      <c r="BV372" s="53"/>
      <c r="BW372" s="53"/>
      <c r="BX372" s="53"/>
    </row>
    <row r="373" spans="1:76" x14ac:dyDescent="0.35">
      <c r="A373" s="53"/>
      <c r="B373" s="53"/>
      <c r="C373" s="55"/>
      <c r="D373" s="53"/>
      <c r="E373" s="53"/>
      <c r="F373" s="126" t="s">
        <v>1351</v>
      </c>
      <c r="G373" s="125"/>
      <c r="H373" s="125">
        <v>0</v>
      </c>
      <c r="I373" s="133">
        <v>7</v>
      </c>
      <c r="J373" s="53"/>
      <c r="K373" s="53"/>
      <c r="L373" s="53"/>
      <c r="M373" s="53"/>
      <c r="N373" s="53"/>
      <c r="O373" s="53"/>
      <c r="P373" s="53"/>
      <c r="Q373" s="53"/>
      <c r="R373" s="53"/>
      <c r="S373" s="53"/>
      <c r="T373" s="53"/>
      <c r="U373" s="53"/>
      <c r="V373" s="53"/>
      <c r="W373" s="53"/>
      <c r="X373" s="53"/>
      <c r="Y373" s="53"/>
      <c r="Z373" s="53"/>
      <c r="AA373" s="53"/>
      <c r="AB373" s="53"/>
      <c r="AC373" s="53"/>
      <c r="AD373" s="53"/>
      <c r="AE373" s="53"/>
      <c r="AF373" s="63"/>
      <c r="AG373" s="64"/>
      <c r="AH373" s="65"/>
      <c r="AI373" s="65"/>
      <c r="AJ373" s="53"/>
      <c r="AK373" s="53"/>
      <c r="AL373" s="53"/>
      <c r="AM373" s="53"/>
      <c r="AN373" s="53"/>
      <c r="AO373" s="53"/>
      <c r="AP373" s="53"/>
      <c r="AQ373" s="53"/>
      <c r="AR373" s="53"/>
      <c r="AS373" s="53"/>
      <c r="AT373" s="53"/>
      <c r="AU373" s="53"/>
      <c r="AV373" s="53"/>
      <c r="AW373" s="53"/>
      <c r="AX373" s="53"/>
      <c r="AY373" s="53"/>
      <c r="AZ373" s="53"/>
      <c r="BA373" s="53"/>
      <c r="BB373" s="53"/>
      <c r="BC373" s="53"/>
      <c r="BD373" s="53"/>
      <c r="BE373" s="53"/>
      <c r="BF373" s="53"/>
      <c r="BG373" s="53"/>
      <c r="BH373" s="53"/>
      <c r="BI373" s="53"/>
      <c r="BJ373" s="53"/>
      <c r="BK373" s="53"/>
      <c r="BL373" s="53"/>
      <c r="BM373" s="53"/>
      <c r="BN373" s="53"/>
      <c r="BO373" s="53"/>
      <c r="BP373" s="53"/>
      <c r="BQ373" s="53"/>
      <c r="BR373" s="53"/>
      <c r="BS373" s="53"/>
      <c r="BT373" s="53"/>
      <c r="BU373" s="53"/>
      <c r="BV373" s="53"/>
      <c r="BW373" s="53"/>
      <c r="BX373" s="53"/>
    </row>
    <row r="374" spans="1:76" x14ac:dyDescent="0.35">
      <c r="A374" s="53"/>
      <c r="B374" s="53"/>
      <c r="C374" s="55"/>
      <c r="D374" s="53"/>
      <c r="E374" s="53"/>
      <c r="F374" s="134" t="s">
        <v>1352</v>
      </c>
      <c r="G374" s="125">
        <v>200</v>
      </c>
      <c r="H374" s="125">
        <v>400</v>
      </c>
      <c r="I374" s="133">
        <v>2</v>
      </c>
      <c r="J374" s="53"/>
      <c r="K374" s="53"/>
      <c r="L374" s="53"/>
      <c r="M374" s="53"/>
      <c r="N374" s="53"/>
      <c r="O374" s="53"/>
      <c r="P374" s="53"/>
      <c r="Q374" s="53"/>
      <c r="R374" s="53"/>
      <c r="S374" s="53"/>
      <c r="T374" s="53"/>
      <c r="U374" s="53"/>
      <c r="V374" s="53"/>
      <c r="W374" s="53"/>
      <c r="X374" s="53"/>
      <c r="Y374" s="53"/>
      <c r="Z374" s="53"/>
      <c r="AA374" s="53"/>
      <c r="AB374" s="53"/>
      <c r="AC374" s="53"/>
      <c r="AD374" s="53"/>
      <c r="AE374" s="53"/>
      <c r="AF374" s="63"/>
      <c r="AG374" s="64"/>
      <c r="AH374" s="65"/>
      <c r="AI374" s="65"/>
      <c r="AJ374" s="53"/>
      <c r="AK374" s="53"/>
      <c r="AL374" s="53"/>
      <c r="AM374" s="53"/>
      <c r="AN374" s="53"/>
      <c r="AO374" s="53"/>
      <c r="AP374" s="53"/>
      <c r="AQ374" s="53"/>
      <c r="AR374" s="53"/>
      <c r="AS374" s="53"/>
      <c r="AT374" s="53"/>
      <c r="AU374" s="53"/>
      <c r="AV374" s="53"/>
      <c r="AW374" s="53"/>
      <c r="AX374" s="53"/>
      <c r="AY374" s="53"/>
      <c r="AZ374" s="53"/>
      <c r="BA374" s="53"/>
      <c r="BB374" s="53"/>
      <c r="BC374" s="53"/>
      <c r="BD374" s="53"/>
      <c r="BE374" s="53"/>
      <c r="BF374" s="53"/>
      <c r="BG374" s="53"/>
      <c r="BH374" s="53"/>
      <c r="BI374" s="53"/>
      <c r="BJ374" s="53"/>
      <c r="BK374" s="53"/>
      <c r="BL374" s="53"/>
      <c r="BM374" s="53"/>
      <c r="BN374" s="53"/>
      <c r="BO374" s="53"/>
      <c r="BP374" s="53"/>
      <c r="BQ374" s="53"/>
      <c r="BR374" s="53"/>
      <c r="BS374" s="53"/>
      <c r="BT374" s="53"/>
      <c r="BU374" s="53"/>
      <c r="BV374" s="53"/>
      <c r="BW374" s="53"/>
      <c r="BX374" s="53"/>
    </row>
    <row r="375" spans="1:76" x14ac:dyDescent="0.35">
      <c r="A375" s="53"/>
      <c r="B375" s="53"/>
      <c r="C375" s="55"/>
      <c r="D375" s="53"/>
      <c r="E375" s="53"/>
      <c r="F375" s="134" t="s">
        <v>1171</v>
      </c>
      <c r="G375" s="125">
        <v>207.53</v>
      </c>
      <c r="H375" s="125">
        <v>0</v>
      </c>
      <c r="I375" s="133">
        <v>0</v>
      </c>
      <c r="J375" s="53"/>
      <c r="K375" s="53"/>
      <c r="L375" s="53"/>
      <c r="M375" s="53"/>
      <c r="N375" s="53"/>
      <c r="O375" s="53"/>
      <c r="P375" s="53"/>
      <c r="Q375" s="53"/>
      <c r="R375" s="53"/>
      <c r="S375" s="53"/>
      <c r="T375" s="53"/>
      <c r="U375" s="53"/>
      <c r="V375" s="53"/>
      <c r="W375" s="53"/>
      <c r="X375" s="53"/>
      <c r="Y375" s="53"/>
      <c r="Z375" s="53"/>
      <c r="AA375" s="53"/>
      <c r="AB375" s="53"/>
      <c r="AC375" s="53"/>
      <c r="AD375" s="53"/>
      <c r="AE375" s="53"/>
      <c r="AF375" s="63"/>
      <c r="AG375" s="64"/>
      <c r="AH375" s="65"/>
      <c r="AI375" s="65"/>
      <c r="AJ375" s="53"/>
      <c r="AK375" s="53"/>
      <c r="AL375" s="53"/>
      <c r="AM375" s="53"/>
      <c r="AN375" s="53"/>
      <c r="AO375" s="53"/>
      <c r="AP375" s="53"/>
      <c r="AQ375" s="53"/>
      <c r="AR375" s="53"/>
      <c r="AS375" s="53"/>
      <c r="AT375" s="53"/>
      <c r="AU375" s="53"/>
      <c r="AV375" s="53"/>
      <c r="AW375" s="53"/>
      <c r="AX375" s="53"/>
      <c r="AY375" s="53"/>
      <c r="AZ375" s="53"/>
      <c r="BA375" s="53"/>
      <c r="BB375" s="53"/>
      <c r="BC375" s="53"/>
      <c r="BD375" s="53"/>
      <c r="BE375" s="53"/>
      <c r="BF375" s="53"/>
      <c r="BG375" s="53"/>
      <c r="BH375" s="53"/>
      <c r="BI375" s="53"/>
      <c r="BJ375" s="53"/>
      <c r="BK375" s="53"/>
      <c r="BL375" s="53"/>
      <c r="BM375" s="53"/>
      <c r="BN375" s="53"/>
      <c r="BO375" s="53"/>
      <c r="BP375" s="53"/>
      <c r="BQ375" s="53"/>
      <c r="BR375" s="53"/>
      <c r="BS375" s="53"/>
      <c r="BT375" s="53"/>
      <c r="BU375" s="53"/>
      <c r="BV375" s="53"/>
      <c r="BW375" s="53"/>
      <c r="BX375" s="53"/>
    </row>
    <row r="376" spans="1:76" x14ac:dyDescent="0.35">
      <c r="A376" s="53"/>
      <c r="B376" s="53"/>
      <c r="C376" s="55"/>
      <c r="D376" s="53"/>
      <c r="E376" s="53"/>
      <c r="F376" s="126" t="s">
        <v>1486</v>
      </c>
      <c r="G376" s="125">
        <v>131.33000000000001</v>
      </c>
      <c r="H376" s="125">
        <v>34145.800000000003</v>
      </c>
      <c r="I376" s="133">
        <v>260</v>
      </c>
      <c r="J376" s="53"/>
      <c r="K376" s="53"/>
      <c r="L376" s="53"/>
      <c r="M376" s="53"/>
      <c r="N376" s="53"/>
      <c r="O376" s="53"/>
      <c r="P376" s="53"/>
      <c r="Q376" s="53"/>
      <c r="R376" s="53"/>
      <c r="S376" s="53"/>
      <c r="T376" s="53"/>
      <c r="U376" s="53"/>
      <c r="V376" s="53"/>
      <c r="W376" s="53"/>
      <c r="X376" s="53"/>
      <c r="Y376" s="53"/>
      <c r="Z376" s="53"/>
      <c r="AA376" s="53"/>
      <c r="AB376" s="53"/>
      <c r="AC376" s="53"/>
      <c r="AD376" s="53"/>
      <c r="AE376" s="53"/>
      <c r="AF376" s="63"/>
      <c r="AG376" s="64"/>
      <c r="AH376" s="65"/>
      <c r="AI376" s="65"/>
      <c r="AJ376" s="53"/>
      <c r="AK376" s="53"/>
      <c r="AL376" s="53"/>
      <c r="AM376" s="53"/>
      <c r="AN376" s="53"/>
      <c r="AO376" s="53"/>
      <c r="AP376" s="53"/>
      <c r="AQ376" s="53"/>
      <c r="AR376" s="53"/>
      <c r="AS376" s="53"/>
      <c r="AT376" s="53"/>
      <c r="AU376" s="53"/>
      <c r="AV376" s="53"/>
      <c r="AW376" s="53"/>
      <c r="AX376" s="53"/>
      <c r="AY376" s="53"/>
      <c r="AZ376" s="53"/>
      <c r="BA376" s="53"/>
      <c r="BB376" s="53"/>
      <c r="BC376" s="53"/>
      <c r="BD376" s="53"/>
      <c r="BE376" s="53"/>
      <c r="BF376" s="53"/>
      <c r="BG376" s="53"/>
      <c r="BH376" s="53"/>
      <c r="BI376" s="53"/>
      <c r="BJ376" s="53"/>
      <c r="BK376" s="53"/>
      <c r="BL376" s="53"/>
      <c r="BM376" s="53"/>
      <c r="BN376" s="53"/>
      <c r="BO376" s="53"/>
      <c r="BP376" s="53"/>
      <c r="BQ376" s="53"/>
      <c r="BR376" s="53"/>
      <c r="BS376" s="53"/>
      <c r="BT376" s="53"/>
      <c r="BU376" s="53"/>
      <c r="BV376" s="53"/>
      <c r="BW376" s="53"/>
      <c r="BX376" s="53"/>
    </row>
    <row r="377" spans="1:76" x14ac:dyDescent="0.35">
      <c r="A377" s="53"/>
      <c r="B377" s="53"/>
      <c r="C377" s="55"/>
      <c r="D377" s="53"/>
      <c r="E377" s="53"/>
      <c r="F377" s="134" t="s">
        <v>639</v>
      </c>
      <c r="G377" s="125">
        <v>460</v>
      </c>
      <c r="H377" s="125">
        <v>460</v>
      </c>
      <c r="I377" s="133">
        <v>1</v>
      </c>
      <c r="J377" s="53"/>
      <c r="K377" s="53"/>
      <c r="L377" s="53"/>
      <c r="M377" s="53"/>
      <c r="N377" s="53"/>
      <c r="O377" s="53"/>
      <c r="P377" s="53"/>
      <c r="Q377" s="53"/>
      <c r="R377" s="53"/>
      <c r="S377" s="53"/>
      <c r="T377" s="53"/>
      <c r="U377" s="53"/>
      <c r="V377" s="53"/>
      <c r="W377" s="53"/>
      <c r="X377" s="53"/>
      <c r="Y377" s="53"/>
      <c r="Z377" s="53"/>
      <c r="AA377" s="53"/>
      <c r="AB377" s="53"/>
      <c r="AC377" s="53"/>
      <c r="AD377" s="53"/>
      <c r="AE377" s="53"/>
      <c r="AF377" s="63"/>
      <c r="AG377" s="64"/>
      <c r="AH377" s="65"/>
      <c r="AI377" s="65"/>
      <c r="AJ377" s="53"/>
      <c r="AK377" s="53"/>
      <c r="AL377" s="53"/>
      <c r="AM377" s="53"/>
      <c r="AN377" s="53"/>
      <c r="AO377" s="53"/>
      <c r="AP377" s="53"/>
      <c r="AQ377" s="53"/>
      <c r="AR377" s="53"/>
      <c r="AS377" s="53"/>
      <c r="AT377" s="53"/>
      <c r="AU377" s="53"/>
      <c r="AV377" s="53"/>
      <c r="AW377" s="53"/>
      <c r="AX377" s="53"/>
      <c r="AY377" s="53"/>
      <c r="AZ377" s="53"/>
      <c r="BA377" s="53"/>
      <c r="BB377" s="53"/>
      <c r="BC377" s="53"/>
      <c r="BD377" s="53"/>
      <c r="BE377" s="53"/>
      <c r="BF377" s="53"/>
      <c r="BG377" s="53"/>
      <c r="BH377" s="53"/>
      <c r="BI377" s="53"/>
      <c r="BJ377" s="53"/>
      <c r="BK377" s="53"/>
      <c r="BL377" s="53"/>
      <c r="BM377" s="53"/>
      <c r="BN377" s="53"/>
      <c r="BO377" s="53"/>
      <c r="BP377" s="53"/>
      <c r="BQ377" s="53"/>
      <c r="BR377" s="53"/>
      <c r="BS377" s="53"/>
      <c r="BT377" s="53"/>
      <c r="BU377" s="53"/>
      <c r="BV377" s="53"/>
      <c r="BW377" s="53"/>
      <c r="BX377" s="53"/>
    </row>
    <row r="378" spans="1:76" x14ac:dyDescent="0.35">
      <c r="A378" s="53"/>
      <c r="B378" s="53"/>
      <c r="C378" s="55"/>
      <c r="D378" s="53"/>
      <c r="E378" s="53"/>
      <c r="F378" s="134" t="s">
        <v>1172</v>
      </c>
      <c r="G378" s="125">
        <v>395</v>
      </c>
      <c r="H378" s="125">
        <v>395</v>
      </c>
      <c r="I378" s="133">
        <v>1</v>
      </c>
      <c r="J378" s="53"/>
      <c r="K378" s="53"/>
      <c r="L378" s="53"/>
      <c r="M378" s="53"/>
      <c r="N378" s="53"/>
      <c r="O378" s="53"/>
      <c r="P378" s="53"/>
      <c r="Q378" s="53"/>
      <c r="R378" s="53"/>
      <c r="S378" s="53"/>
      <c r="T378" s="53"/>
      <c r="U378" s="53"/>
      <c r="V378" s="53"/>
      <c r="W378" s="53"/>
      <c r="X378" s="53"/>
      <c r="Y378" s="53"/>
      <c r="Z378" s="53"/>
      <c r="AA378" s="53"/>
      <c r="AB378" s="53"/>
      <c r="AC378" s="53"/>
      <c r="AD378" s="53"/>
      <c r="AE378" s="53"/>
      <c r="AF378" s="63"/>
      <c r="AG378" s="64"/>
      <c r="AH378" s="65"/>
      <c r="AI378" s="65"/>
      <c r="AJ378" s="53"/>
      <c r="AK378" s="53"/>
      <c r="AL378" s="53"/>
      <c r="AM378" s="53"/>
      <c r="AN378" s="53"/>
      <c r="AO378" s="53"/>
      <c r="AP378" s="53"/>
      <c r="AQ378" s="53"/>
      <c r="AR378" s="53"/>
      <c r="AS378" s="53"/>
      <c r="AT378" s="53"/>
      <c r="AU378" s="53"/>
      <c r="AV378" s="53"/>
      <c r="AW378" s="53"/>
      <c r="AX378" s="53"/>
      <c r="AY378" s="53"/>
      <c r="AZ378" s="53"/>
      <c r="BA378" s="53"/>
      <c r="BB378" s="53"/>
      <c r="BC378" s="53"/>
      <c r="BD378" s="53"/>
      <c r="BE378" s="53"/>
      <c r="BF378" s="53"/>
      <c r="BG378" s="53"/>
      <c r="BH378" s="53"/>
      <c r="BI378" s="53"/>
      <c r="BJ378" s="53"/>
      <c r="BK378" s="53"/>
      <c r="BL378" s="53"/>
      <c r="BM378" s="53"/>
      <c r="BN378" s="53"/>
      <c r="BO378" s="53"/>
      <c r="BP378" s="53"/>
      <c r="BQ378" s="53"/>
      <c r="BR378" s="53"/>
      <c r="BS378" s="53"/>
      <c r="BT378" s="53"/>
      <c r="BU378" s="53"/>
      <c r="BV378" s="53"/>
      <c r="BW378" s="53"/>
      <c r="BX378" s="53"/>
    </row>
    <row r="379" spans="1:76" x14ac:dyDescent="0.35">
      <c r="A379" s="53"/>
      <c r="B379" s="53"/>
      <c r="C379" s="55"/>
      <c r="D379" s="53"/>
      <c r="E379" s="53"/>
      <c r="F379" s="134" t="s">
        <v>641</v>
      </c>
      <c r="G379" s="125"/>
      <c r="H379" s="125">
        <v>0</v>
      </c>
      <c r="I379" s="133">
        <v>0</v>
      </c>
      <c r="J379" s="53"/>
      <c r="K379" s="53"/>
      <c r="L379" s="53"/>
      <c r="M379" s="53"/>
      <c r="N379" s="53"/>
      <c r="O379" s="53"/>
      <c r="P379" s="53"/>
      <c r="Q379" s="53"/>
      <c r="R379" s="53"/>
      <c r="S379" s="53"/>
      <c r="T379" s="53"/>
      <c r="U379" s="53"/>
      <c r="V379" s="53"/>
      <c r="W379" s="53"/>
      <c r="X379" s="53"/>
      <c r="Y379" s="53"/>
      <c r="Z379" s="53"/>
      <c r="AA379" s="53"/>
      <c r="AB379" s="53"/>
      <c r="AC379" s="53"/>
      <c r="AD379" s="53"/>
      <c r="AE379" s="53"/>
      <c r="AF379" s="63"/>
      <c r="AG379" s="64"/>
      <c r="AH379" s="65"/>
      <c r="AI379" s="65"/>
      <c r="AJ379" s="53"/>
      <c r="AK379" s="53"/>
      <c r="AL379" s="53"/>
      <c r="AM379" s="53"/>
      <c r="AN379" s="53"/>
      <c r="AO379" s="53"/>
      <c r="AP379" s="53"/>
      <c r="AQ379" s="53"/>
      <c r="AR379" s="53"/>
      <c r="AS379" s="53"/>
      <c r="AT379" s="53"/>
      <c r="AU379" s="53"/>
      <c r="AV379" s="53"/>
      <c r="AW379" s="53"/>
      <c r="AX379" s="53"/>
      <c r="AY379" s="53"/>
      <c r="AZ379" s="53"/>
      <c r="BA379" s="53"/>
      <c r="BB379" s="53"/>
      <c r="BC379" s="53"/>
      <c r="BD379" s="53"/>
      <c r="BE379" s="53"/>
      <c r="BF379" s="53"/>
      <c r="BG379" s="53"/>
      <c r="BH379" s="53"/>
      <c r="BI379" s="53"/>
      <c r="BJ379" s="53"/>
      <c r="BK379" s="53"/>
      <c r="BL379" s="53"/>
      <c r="BM379" s="53"/>
      <c r="BN379" s="53"/>
      <c r="BO379" s="53"/>
      <c r="BP379" s="53"/>
      <c r="BQ379" s="53"/>
      <c r="BR379" s="53"/>
      <c r="BS379" s="53"/>
      <c r="BT379" s="53"/>
      <c r="BU379" s="53"/>
      <c r="BV379" s="53"/>
      <c r="BW379" s="53"/>
      <c r="BX379" s="53"/>
    </row>
    <row r="380" spans="1:76" x14ac:dyDescent="0.35">
      <c r="A380" s="53"/>
      <c r="B380" s="53"/>
      <c r="C380" s="55"/>
      <c r="D380" s="53"/>
      <c r="E380" s="53"/>
      <c r="F380" s="134" t="s">
        <v>1266</v>
      </c>
      <c r="G380" s="125">
        <v>80.739999999999995</v>
      </c>
      <c r="H380" s="125">
        <v>161.47999999999999</v>
      </c>
      <c r="I380" s="133">
        <v>2</v>
      </c>
      <c r="J380" s="53"/>
      <c r="K380" s="53"/>
      <c r="L380" s="53"/>
      <c r="M380" s="53"/>
      <c r="N380" s="53"/>
      <c r="O380" s="53"/>
      <c r="P380" s="53"/>
      <c r="Q380" s="53"/>
      <c r="R380" s="53"/>
      <c r="S380" s="53"/>
      <c r="T380" s="53"/>
      <c r="U380" s="53"/>
      <c r="V380" s="53"/>
      <c r="W380" s="53"/>
      <c r="X380" s="53"/>
      <c r="Y380" s="53"/>
      <c r="Z380" s="53"/>
      <c r="AA380" s="53"/>
      <c r="AB380" s="53"/>
      <c r="AC380" s="53"/>
      <c r="AD380" s="53"/>
      <c r="AE380" s="53"/>
      <c r="AF380" s="63"/>
      <c r="AG380" s="64"/>
      <c r="AH380" s="65"/>
      <c r="AI380" s="65"/>
      <c r="AJ380" s="53"/>
      <c r="AK380" s="53"/>
      <c r="AL380" s="53"/>
      <c r="AM380" s="53"/>
      <c r="AN380" s="53"/>
      <c r="AO380" s="53"/>
      <c r="AP380" s="53"/>
      <c r="AQ380" s="53"/>
      <c r="AR380" s="53"/>
      <c r="AS380" s="53"/>
      <c r="AT380" s="53"/>
      <c r="AU380" s="53"/>
      <c r="AV380" s="53"/>
      <c r="AW380" s="53"/>
      <c r="AX380" s="53"/>
      <c r="AY380" s="53"/>
      <c r="AZ380" s="53"/>
      <c r="BA380" s="53"/>
      <c r="BB380" s="53"/>
      <c r="BC380" s="53"/>
      <c r="BD380" s="53"/>
      <c r="BE380" s="53"/>
      <c r="BF380" s="53"/>
      <c r="BG380" s="53"/>
      <c r="BH380" s="53"/>
      <c r="BI380" s="53"/>
      <c r="BJ380" s="53"/>
      <c r="BK380" s="53"/>
      <c r="BL380" s="53"/>
      <c r="BM380" s="53"/>
      <c r="BN380" s="53"/>
      <c r="BO380" s="53"/>
      <c r="BP380" s="53"/>
      <c r="BQ380" s="53"/>
      <c r="BR380" s="53"/>
      <c r="BS380" s="53"/>
      <c r="BT380" s="53"/>
      <c r="BU380" s="53"/>
      <c r="BV380" s="53"/>
      <c r="BW380" s="53"/>
      <c r="BX380" s="53"/>
    </row>
    <row r="381" spans="1:76" x14ac:dyDescent="0.35">
      <c r="A381" s="53"/>
      <c r="B381" s="53"/>
      <c r="C381" s="55"/>
      <c r="D381" s="53"/>
      <c r="E381" s="53"/>
      <c r="F381" s="126" t="s">
        <v>1350</v>
      </c>
      <c r="G381" s="125"/>
      <c r="H381" s="125">
        <v>0</v>
      </c>
      <c r="I381" s="133">
        <v>2</v>
      </c>
      <c r="J381" s="53"/>
      <c r="K381" s="53"/>
      <c r="L381" s="53"/>
      <c r="M381" s="53"/>
      <c r="N381" s="53"/>
      <c r="O381" s="53"/>
      <c r="P381" s="53"/>
      <c r="Q381" s="53"/>
      <c r="R381" s="53"/>
      <c r="S381" s="53"/>
      <c r="T381" s="53"/>
      <c r="U381" s="53"/>
      <c r="V381" s="53"/>
      <c r="W381" s="53"/>
      <c r="X381" s="53"/>
      <c r="Y381" s="53"/>
      <c r="Z381" s="53"/>
      <c r="AA381" s="53"/>
      <c r="AB381" s="53"/>
      <c r="AC381" s="53"/>
      <c r="AD381" s="53"/>
      <c r="AE381" s="53"/>
      <c r="AF381" s="63"/>
      <c r="AG381" s="64"/>
      <c r="AH381" s="65"/>
      <c r="AI381" s="65"/>
      <c r="AJ381" s="53"/>
      <c r="AK381" s="53"/>
      <c r="AL381" s="53"/>
      <c r="AM381" s="53"/>
      <c r="AN381" s="53"/>
      <c r="AO381" s="53"/>
      <c r="AP381" s="53"/>
      <c r="AQ381" s="53"/>
      <c r="AR381" s="53"/>
      <c r="AS381" s="53"/>
      <c r="AT381" s="53"/>
      <c r="AU381" s="53"/>
      <c r="AV381" s="53"/>
      <c r="AW381" s="53"/>
      <c r="AX381" s="53"/>
      <c r="AY381" s="53"/>
      <c r="AZ381" s="53"/>
      <c r="BA381" s="53"/>
      <c r="BB381" s="53"/>
      <c r="BC381" s="53"/>
      <c r="BD381" s="53"/>
      <c r="BE381" s="53"/>
      <c r="BF381" s="53"/>
      <c r="BG381" s="53"/>
      <c r="BH381" s="53"/>
      <c r="BI381" s="53"/>
      <c r="BJ381" s="53"/>
      <c r="BK381" s="53"/>
      <c r="BL381" s="53"/>
      <c r="BM381" s="53"/>
      <c r="BN381" s="53"/>
      <c r="BO381" s="53"/>
      <c r="BP381" s="53"/>
      <c r="BQ381" s="53"/>
      <c r="BR381" s="53"/>
      <c r="BS381" s="53"/>
      <c r="BT381" s="53"/>
      <c r="BU381" s="53"/>
      <c r="BV381" s="53"/>
      <c r="BW381" s="53"/>
      <c r="BX381" s="53"/>
    </row>
    <row r="382" spans="1:76" x14ac:dyDescent="0.35">
      <c r="A382" s="53"/>
      <c r="B382" s="53"/>
      <c r="C382" s="55"/>
      <c r="D382" s="53"/>
      <c r="E382" s="53"/>
      <c r="F382" s="134" t="s">
        <v>643</v>
      </c>
      <c r="G382" s="125"/>
      <c r="H382" s="125">
        <v>0</v>
      </c>
      <c r="I382" s="133">
        <v>1</v>
      </c>
      <c r="J382" s="53"/>
      <c r="K382" s="53"/>
      <c r="L382" s="53"/>
      <c r="M382" s="53"/>
      <c r="N382" s="53"/>
      <c r="O382" s="53"/>
      <c r="P382" s="53"/>
      <c r="Q382" s="53"/>
      <c r="R382" s="53"/>
      <c r="S382" s="53"/>
      <c r="T382" s="53"/>
      <c r="U382" s="53"/>
      <c r="V382" s="53"/>
      <c r="W382" s="53"/>
      <c r="X382" s="53"/>
      <c r="Y382" s="53"/>
      <c r="Z382" s="53"/>
      <c r="AA382" s="53"/>
      <c r="AB382" s="53"/>
      <c r="AC382" s="53"/>
      <c r="AD382" s="53"/>
      <c r="AE382" s="53"/>
      <c r="AF382" s="63"/>
      <c r="AG382" s="64"/>
      <c r="AH382" s="65"/>
      <c r="AI382" s="65"/>
      <c r="AJ382" s="53"/>
      <c r="AK382" s="53"/>
      <c r="AL382" s="53"/>
      <c r="AM382" s="53"/>
      <c r="AN382" s="53"/>
      <c r="AO382" s="53"/>
      <c r="AP382" s="53"/>
      <c r="AQ382" s="53"/>
      <c r="AR382" s="53"/>
      <c r="AS382" s="53"/>
      <c r="AT382" s="53"/>
      <c r="AU382" s="53"/>
      <c r="AV382" s="53"/>
      <c r="AW382" s="53"/>
      <c r="AX382" s="53"/>
      <c r="AY382" s="53"/>
      <c r="AZ382" s="53"/>
      <c r="BA382" s="53"/>
      <c r="BB382" s="53"/>
      <c r="BC382" s="53"/>
      <c r="BD382" s="53"/>
      <c r="BE382" s="53"/>
      <c r="BF382" s="53"/>
      <c r="BG382" s="53"/>
      <c r="BH382" s="53"/>
      <c r="BI382" s="53"/>
      <c r="BJ382" s="53"/>
      <c r="BK382" s="53"/>
      <c r="BL382" s="53"/>
      <c r="BM382" s="53"/>
      <c r="BN382" s="53"/>
      <c r="BO382" s="53"/>
      <c r="BP382" s="53"/>
      <c r="BQ382" s="53"/>
      <c r="BR382" s="53"/>
      <c r="BS382" s="53"/>
      <c r="BT382" s="53"/>
      <c r="BU382" s="53"/>
      <c r="BV382" s="53"/>
      <c r="BW382" s="53"/>
      <c r="BX382" s="53"/>
    </row>
    <row r="383" spans="1:76" x14ac:dyDescent="0.35">
      <c r="A383" s="53"/>
      <c r="B383" s="53"/>
      <c r="C383" s="55"/>
      <c r="D383" s="53"/>
      <c r="E383" s="53"/>
      <c r="F383" s="126" t="s">
        <v>688</v>
      </c>
      <c r="G383" s="125"/>
      <c r="H383" s="125">
        <v>0</v>
      </c>
      <c r="I383" s="133">
        <v>0</v>
      </c>
      <c r="J383" s="53"/>
      <c r="K383" s="53"/>
      <c r="L383" s="53"/>
      <c r="M383" s="53"/>
      <c r="N383" s="53"/>
      <c r="O383" s="53"/>
      <c r="P383" s="53"/>
      <c r="Q383" s="53"/>
      <c r="R383" s="53"/>
      <c r="S383" s="53"/>
      <c r="T383" s="53"/>
      <c r="U383" s="53"/>
      <c r="V383" s="53"/>
      <c r="W383" s="53"/>
      <c r="X383" s="53"/>
      <c r="Y383" s="53"/>
      <c r="Z383" s="53"/>
      <c r="AA383" s="53"/>
      <c r="AB383" s="53"/>
      <c r="AC383" s="53"/>
      <c r="AD383" s="53"/>
      <c r="AE383" s="53"/>
      <c r="AF383" s="63"/>
      <c r="AG383" s="64"/>
      <c r="AH383" s="65"/>
      <c r="AI383" s="65"/>
      <c r="AJ383" s="53"/>
      <c r="AK383" s="53"/>
      <c r="AL383" s="53"/>
      <c r="AM383" s="53"/>
      <c r="AN383" s="53"/>
      <c r="AO383" s="53"/>
      <c r="AP383" s="53"/>
      <c r="AQ383" s="53"/>
      <c r="AR383" s="53"/>
      <c r="AS383" s="53"/>
      <c r="AT383" s="53"/>
      <c r="AU383" s="53"/>
      <c r="AV383" s="53"/>
      <c r="AW383" s="53"/>
      <c r="AX383" s="53"/>
      <c r="AY383" s="53"/>
      <c r="AZ383" s="53"/>
      <c r="BA383" s="53"/>
      <c r="BB383" s="53"/>
      <c r="BC383" s="53"/>
      <c r="BD383" s="53"/>
      <c r="BE383" s="53"/>
      <c r="BF383" s="53"/>
      <c r="BG383" s="53"/>
      <c r="BH383" s="53"/>
      <c r="BI383" s="53"/>
      <c r="BJ383" s="53"/>
      <c r="BK383" s="53"/>
      <c r="BL383" s="53"/>
      <c r="BM383" s="53"/>
      <c r="BN383" s="53"/>
      <c r="BO383" s="53"/>
      <c r="BP383" s="53"/>
      <c r="BQ383" s="53"/>
      <c r="BR383" s="53"/>
      <c r="BS383" s="53"/>
      <c r="BT383" s="53"/>
      <c r="BU383" s="53"/>
      <c r="BV383" s="53"/>
      <c r="BW383" s="53"/>
      <c r="BX383" s="53"/>
    </row>
    <row r="384" spans="1:76" x14ac:dyDescent="0.35">
      <c r="A384" s="53"/>
      <c r="B384" s="53"/>
      <c r="C384" s="55"/>
      <c r="D384" s="53"/>
      <c r="E384" s="53"/>
      <c r="F384" s="134" t="s">
        <v>648</v>
      </c>
      <c r="G384" s="125">
        <v>530</v>
      </c>
      <c r="H384" s="125">
        <v>0</v>
      </c>
      <c r="I384" s="133">
        <v>0</v>
      </c>
      <c r="J384" s="53"/>
      <c r="K384" s="53"/>
      <c r="L384" s="53"/>
      <c r="M384" s="53"/>
      <c r="N384" s="53"/>
      <c r="O384" s="53"/>
      <c r="P384" s="53"/>
      <c r="Q384" s="53"/>
      <c r="R384" s="53"/>
      <c r="S384" s="53"/>
      <c r="T384" s="53"/>
      <c r="U384" s="53"/>
      <c r="V384" s="53"/>
      <c r="W384" s="53"/>
      <c r="X384" s="53"/>
      <c r="Y384" s="53"/>
      <c r="Z384" s="53"/>
      <c r="AA384" s="53"/>
      <c r="AB384" s="53"/>
      <c r="AC384" s="53"/>
      <c r="AD384" s="53"/>
      <c r="AE384" s="53"/>
      <c r="AF384" s="63"/>
      <c r="AG384" s="64"/>
      <c r="AH384" s="65"/>
      <c r="AI384" s="65"/>
      <c r="AJ384" s="53"/>
      <c r="AK384" s="53"/>
      <c r="AL384" s="53"/>
      <c r="AM384" s="53"/>
      <c r="AN384" s="53"/>
      <c r="AO384" s="53"/>
      <c r="AP384" s="53"/>
      <c r="AQ384" s="53"/>
      <c r="AR384" s="53"/>
      <c r="AS384" s="53"/>
      <c r="AT384" s="53"/>
      <c r="AU384" s="53"/>
      <c r="AV384" s="53"/>
      <c r="AW384" s="53"/>
      <c r="AX384" s="53"/>
      <c r="AY384" s="53"/>
      <c r="AZ384" s="53"/>
      <c r="BA384" s="53"/>
      <c r="BB384" s="53"/>
      <c r="BC384" s="53"/>
      <c r="BD384" s="53"/>
      <c r="BE384" s="53"/>
      <c r="BF384" s="53"/>
      <c r="BG384" s="53"/>
      <c r="BH384" s="53"/>
      <c r="BI384" s="53"/>
      <c r="BJ384" s="53"/>
      <c r="BK384" s="53"/>
      <c r="BL384" s="53"/>
      <c r="BM384" s="53"/>
      <c r="BN384" s="53"/>
      <c r="BO384" s="53"/>
      <c r="BP384" s="53"/>
      <c r="BQ384" s="53"/>
      <c r="BR384" s="53"/>
      <c r="BS384" s="53"/>
      <c r="BT384" s="53"/>
      <c r="BU384" s="53"/>
      <c r="BV384" s="53"/>
      <c r="BW384" s="53"/>
      <c r="BX384" s="53"/>
    </row>
    <row r="385" spans="1:76" x14ac:dyDescent="0.35">
      <c r="A385" s="53"/>
      <c r="B385" s="53"/>
      <c r="C385" s="55"/>
      <c r="D385" s="53"/>
      <c r="E385" s="53"/>
      <c r="F385" s="134" t="s">
        <v>645</v>
      </c>
      <c r="G385" s="125">
        <v>1775</v>
      </c>
      <c r="H385" s="125">
        <v>1775</v>
      </c>
      <c r="I385" s="133">
        <v>1</v>
      </c>
      <c r="J385" s="53"/>
      <c r="K385" s="53"/>
      <c r="L385" s="53"/>
      <c r="M385" s="53"/>
      <c r="N385" s="53"/>
      <c r="O385" s="53"/>
      <c r="P385" s="53"/>
      <c r="Q385" s="53"/>
      <c r="R385" s="53"/>
      <c r="S385" s="53"/>
      <c r="T385" s="53"/>
      <c r="U385" s="53"/>
      <c r="V385" s="53"/>
      <c r="W385" s="53"/>
      <c r="X385" s="53"/>
      <c r="Y385" s="53"/>
      <c r="Z385" s="53"/>
      <c r="AA385" s="53"/>
      <c r="AB385" s="53"/>
      <c r="AC385" s="53"/>
      <c r="AD385" s="53"/>
      <c r="AE385" s="53"/>
      <c r="AF385" s="63"/>
      <c r="AG385" s="64"/>
      <c r="AH385" s="65"/>
      <c r="AI385" s="65"/>
      <c r="AJ385" s="53"/>
      <c r="AK385" s="53"/>
      <c r="AL385" s="53"/>
      <c r="AM385" s="53"/>
      <c r="AN385" s="53"/>
      <c r="AO385" s="53"/>
      <c r="AP385" s="53"/>
      <c r="AQ385" s="53"/>
      <c r="AR385" s="53"/>
      <c r="AS385" s="53"/>
      <c r="AT385" s="53"/>
      <c r="AU385" s="53"/>
      <c r="AV385" s="53"/>
      <c r="AW385" s="53"/>
      <c r="AX385" s="53"/>
      <c r="AY385" s="53"/>
      <c r="AZ385" s="53"/>
      <c r="BA385" s="53"/>
      <c r="BB385" s="53"/>
      <c r="BC385" s="53"/>
      <c r="BD385" s="53"/>
      <c r="BE385" s="53"/>
      <c r="BF385" s="53"/>
      <c r="BG385" s="53"/>
      <c r="BH385" s="53"/>
      <c r="BI385" s="53"/>
      <c r="BJ385" s="53"/>
      <c r="BK385" s="53"/>
      <c r="BL385" s="53"/>
      <c r="BM385" s="53"/>
      <c r="BN385" s="53"/>
      <c r="BO385" s="53"/>
      <c r="BP385" s="53"/>
      <c r="BQ385" s="53"/>
      <c r="BR385" s="53"/>
      <c r="BS385" s="53"/>
      <c r="BT385" s="53"/>
      <c r="BU385" s="53"/>
      <c r="BV385" s="53"/>
      <c r="BW385" s="53"/>
      <c r="BX385" s="53"/>
    </row>
    <row r="386" spans="1:76" x14ac:dyDescent="0.35">
      <c r="A386" s="53"/>
      <c r="B386" s="53"/>
      <c r="C386" s="55"/>
      <c r="D386" s="53"/>
      <c r="E386" s="53"/>
      <c r="F386" s="134" t="s">
        <v>650</v>
      </c>
      <c r="G386" s="125">
        <v>875.72</v>
      </c>
      <c r="H386" s="125">
        <v>0</v>
      </c>
      <c r="I386" s="133">
        <v>0</v>
      </c>
      <c r="J386" s="53"/>
      <c r="K386" s="53"/>
      <c r="L386" s="53"/>
      <c r="M386" s="53"/>
      <c r="N386" s="53"/>
      <c r="O386" s="53"/>
      <c r="P386" s="53"/>
      <c r="Q386" s="53"/>
      <c r="R386" s="53"/>
      <c r="S386" s="53"/>
      <c r="T386" s="53"/>
      <c r="U386" s="53"/>
      <c r="V386" s="53"/>
      <c r="W386" s="53"/>
      <c r="X386" s="53"/>
      <c r="Y386" s="53"/>
      <c r="Z386" s="53"/>
      <c r="AA386" s="53"/>
      <c r="AB386" s="53"/>
      <c r="AC386" s="53"/>
      <c r="AD386" s="53"/>
      <c r="AE386" s="53"/>
      <c r="AF386" s="63"/>
      <c r="AG386" s="64"/>
      <c r="AH386" s="65"/>
      <c r="AI386" s="65"/>
      <c r="AJ386" s="53"/>
      <c r="AK386" s="53"/>
      <c r="AL386" s="53"/>
      <c r="AM386" s="53"/>
      <c r="AN386" s="53"/>
      <c r="AO386" s="53"/>
      <c r="AP386" s="53"/>
      <c r="AQ386" s="53"/>
      <c r="AR386" s="53"/>
      <c r="AS386" s="53"/>
      <c r="AT386" s="53"/>
      <c r="AU386" s="53"/>
      <c r="AV386" s="53"/>
      <c r="AW386" s="53"/>
      <c r="AX386" s="53"/>
      <c r="AY386" s="53"/>
      <c r="AZ386" s="53"/>
      <c r="BA386" s="53"/>
      <c r="BB386" s="53"/>
      <c r="BC386" s="53"/>
      <c r="BD386" s="53"/>
      <c r="BE386" s="53"/>
      <c r="BF386" s="53"/>
      <c r="BG386" s="53"/>
      <c r="BH386" s="53"/>
      <c r="BI386" s="53"/>
      <c r="BJ386" s="53"/>
      <c r="BK386" s="53"/>
      <c r="BL386" s="53"/>
      <c r="BM386" s="53"/>
      <c r="BN386" s="53"/>
      <c r="BO386" s="53"/>
      <c r="BP386" s="53"/>
      <c r="BQ386" s="53"/>
      <c r="BR386" s="53"/>
      <c r="BS386" s="53"/>
      <c r="BT386" s="53"/>
      <c r="BU386" s="53"/>
      <c r="BV386" s="53"/>
      <c r="BW386" s="53"/>
      <c r="BX386" s="53"/>
    </row>
    <row r="387" spans="1:76" x14ac:dyDescent="0.35">
      <c r="A387" s="53"/>
      <c r="B387" s="53"/>
      <c r="C387" s="55"/>
      <c r="D387" s="53"/>
      <c r="E387" s="53"/>
      <c r="F387" s="134" t="s">
        <v>1269</v>
      </c>
      <c r="G387" s="125"/>
      <c r="H387" s="125">
        <v>0</v>
      </c>
      <c r="I387" s="133">
        <v>0</v>
      </c>
      <c r="J387" s="53"/>
      <c r="K387" s="53"/>
      <c r="L387" s="53"/>
      <c r="M387" s="53"/>
      <c r="N387" s="53"/>
      <c r="O387" s="53"/>
      <c r="P387" s="53"/>
      <c r="Q387" s="53"/>
      <c r="R387" s="53"/>
      <c r="S387" s="53"/>
      <c r="T387" s="53"/>
      <c r="U387" s="53"/>
      <c r="V387" s="53"/>
      <c r="W387" s="53"/>
      <c r="X387" s="53"/>
      <c r="Y387" s="53"/>
      <c r="Z387" s="53"/>
      <c r="AA387" s="53"/>
      <c r="AB387" s="53"/>
      <c r="AC387" s="53"/>
      <c r="AD387" s="53"/>
      <c r="AE387" s="53"/>
      <c r="AF387" s="63"/>
      <c r="AG387" s="64"/>
      <c r="AH387" s="65"/>
      <c r="AI387" s="65"/>
      <c r="AJ387" s="53"/>
      <c r="AK387" s="53"/>
      <c r="AL387" s="53"/>
      <c r="AM387" s="53"/>
      <c r="AN387" s="53"/>
      <c r="AO387" s="53"/>
      <c r="AP387" s="53"/>
      <c r="AQ387" s="53"/>
      <c r="AR387" s="53"/>
      <c r="AS387" s="53"/>
      <c r="AT387" s="53"/>
      <c r="AU387" s="53"/>
      <c r="AV387" s="53"/>
      <c r="AW387" s="53"/>
      <c r="AX387" s="53"/>
      <c r="AY387" s="53"/>
      <c r="AZ387" s="53"/>
      <c r="BA387" s="53"/>
      <c r="BB387" s="53"/>
      <c r="BC387" s="53"/>
      <c r="BD387" s="53"/>
      <c r="BE387" s="53"/>
      <c r="BF387" s="53"/>
      <c r="BG387" s="53"/>
      <c r="BH387" s="53"/>
      <c r="BI387" s="53"/>
      <c r="BJ387" s="53"/>
      <c r="BK387" s="53"/>
      <c r="BL387" s="53"/>
      <c r="BM387" s="53"/>
      <c r="BN387" s="53"/>
      <c r="BO387" s="53"/>
      <c r="BP387" s="53"/>
      <c r="BQ387" s="53"/>
      <c r="BR387" s="53"/>
      <c r="BS387" s="53"/>
      <c r="BT387" s="53"/>
      <c r="BU387" s="53"/>
      <c r="BV387" s="53"/>
      <c r="BW387" s="53"/>
      <c r="BX387" s="53"/>
    </row>
    <row r="388" spans="1:76" x14ac:dyDescent="0.35">
      <c r="A388" s="53"/>
      <c r="B388" s="53"/>
      <c r="C388" s="55"/>
      <c r="D388" s="53"/>
      <c r="E388" s="53"/>
      <c r="F388" s="134" t="s">
        <v>653</v>
      </c>
      <c r="G388" s="125">
        <v>975</v>
      </c>
      <c r="H388" s="125">
        <v>0</v>
      </c>
      <c r="I388" s="133">
        <v>0</v>
      </c>
      <c r="J388" s="53"/>
      <c r="K388" s="53"/>
      <c r="L388" s="53"/>
      <c r="M388" s="53"/>
      <c r="N388" s="53"/>
      <c r="O388" s="53"/>
      <c r="P388" s="53"/>
      <c r="Q388" s="53"/>
      <c r="R388" s="53"/>
      <c r="S388" s="53"/>
      <c r="T388" s="53"/>
      <c r="U388" s="53"/>
      <c r="V388" s="53"/>
      <c r="W388" s="53"/>
      <c r="X388" s="53"/>
      <c r="Y388" s="53"/>
      <c r="Z388" s="53"/>
      <c r="AA388" s="53"/>
      <c r="AB388" s="53"/>
      <c r="AC388" s="53"/>
      <c r="AD388" s="53"/>
      <c r="AE388" s="53"/>
      <c r="AF388" s="63"/>
      <c r="AG388" s="64"/>
      <c r="AH388" s="65"/>
      <c r="AI388" s="65"/>
      <c r="AJ388" s="53"/>
      <c r="AK388" s="53"/>
      <c r="AL388" s="53"/>
      <c r="AM388" s="53"/>
      <c r="AN388" s="53"/>
      <c r="AO388" s="53"/>
      <c r="AP388" s="53"/>
      <c r="AQ388" s="53"/>
      <c r="AR388" s="53"/>
      <c r="AS388" s="53"/>
      <c r="AT388" s="53"/>
      <c r="AU388" s="53"/>
      <c r="AV388" s="53"/>
      <c r="AW388" s="53"/>
      <c r="AX388" s="53"/>
      <c r="AY388" s="53"/>
      <c r="AZ388" s="53"/>
      <c r="BA388" s="53"/>
      <c r="BB388" s="53"/>
      <c r="BC388" s="53"/>
      <c r="BD388" s="53"/>
      <c r="BE388" s="53"/>
      <c r="BF388" s="53"/>
      <c r="BG388" s="53"/>
      <c r="BH388" s="53"/>
      <c r="BI388" s="53"/>
      <c r="BJ388" s="53"/>
      <c r="BK388" s="53"/>
      <c r="BL388" s="53"/>
      <c r="BM388" s="53"/>
      <c r="BN388" s="53"/>
      <c r="BO388" s="53"/>
      <c r="BP388" s="53"/>
      <c r="BQ388" s="53"/>
      <c r="BR388" s="53"/>
      <c r="BS388" s="53"/>
      <c r="BT388" s="53"/>
      <c r="BU388" s="53"/>
      <c r="BV388" s="53"/>
      <c r="BW388" s="53"/>
      <c r="BX388" s="53"/>
    </row>
    <row r="389" spans="1:76" x14ac:dyDescent="0.35">
      <c r="A389" s="53"/>
      <c r="B389" s="53"/>
      <c r="C389" s="55"/>
      <c r="D389" s="53"/>
      <c r="E389" s="53"/>
      <c r="F389" s="134" t="s">
        <v>656</v>
      </c>
      <c r="G389" s="125"/>
      <c r="H389" s="125">
        <v>0</v>
      </c>
      <c r="I389" s="133">
        <v>0</v>
      </c>
      <c r="J389" s="53"/>
      <c r="K389" s="53"/>
      <c r="L389" s="53"/>
      <c r="M389" s="53"/>
      <c r="N389" s="53"/>
      <c r="O389" s="53"/>
      <c r="P389" s="53"/>
      <c r="Q389" s="53"/>
      <c r="R389" s="53"/>
      <c r="S389" s="53"/>
      <c r="T389" s="53"/>
      <c r="U389" s="53"/>
      <c r="V389" s="53"/>
      <c r="W389" s="53"/>
      <c r="X389" s="53"/>
      <c r="Y389" s="53"/>
      <c r="Z389" s="53"/>
      <c r="AA389" s="53"/>
      <c r="AB389" s="53"/>
      <c r="AC389" s="53"/>
      <c r="AD389" s="53"/>
      <c r="AE389" s="53"/>
      <c r="AF389" s="63"/>
      <c r="AG389" s="64"/>
      <c r="AH389" s="65"/>
      <c r="AI389" s="65"/>
      <c r="AJ389" s="53"/>
      <c r="AK389" s="53"/>
      <c r="AL389" s="53"/>
      <c r="AM389" s="53"/>
      <c r="AN389" s="53"/>
      <c r="AO389" s="53"/>
      <c r="AP389" s="53"/>
      <c r="AQ389" s="53"/>
      <c r="AR389" s="53"/>
      <c r="AS389" s="53"/>
      <c r="AT389" s="53"/>
      <c r="AU389" s="53"/>
      <c r="AV389" s="53"/>
      <c r="AW389" s="53"/>
      <c r="AX389" s="53"/>
      <c r="AY389" s="53"/>
      <c r="AZ389" s="53"/>
      <c r="BA389" s="53"/>
      <c r="BB389" s="53"/>
      <c r="BC389" s="53"/>
      <c r="BD389" s="53"/>
      <c r="BE389" s="53"/>
      <c r="BF389" s="53"/>
      <c r="BG389" s="53"/>
      <c r="BH389" s="53"/>
      <c r="BI389" s="53"/>
      <c r="BJ389" s="53"/>
      <c r="BK389" s="53"/>
      <c r="BL389" s="53"/>
      <c r="BM389" s="53"/>
      <c r="BN389" s="53"/>
      <c r="BO389" s="53"/>
      <c r="BP389" s="53"/>
      <c r="BQ389" s="53"/>
      <c r="BR389" s="53"/>
      <c r="BS389" s="53"/>
      <c r="BT389" s="53"/>
      <c r="BU389" s="53"/>
      <c r="BV389" s="53"/>
      <c r="BW389" s="53"/>
      <c r="BX389" s="53"/>
    </row>
    <row r="390" spans="1:76" x14ac:dyDescent="0.35">
      <c r="A390" s="53"/>
      <c r="B390" s="53"/>
      <c r="C390" s="55"/>
      <c r="D390" s="53"/>
      <c r="E390" s="53"/>
      <c r="F390" s="134" t="s">
        <v>660</v>
      </c>
      <c r="G390" s="125">
        <v>1323</v>
      </c>
      <c r="H390" s="125">
        <v>0</v>
      </c>
      <c r="I390" s="133">
        <v>0</v>
      </c>
      <c r="J390" s="53"/>
      <c r="K390" s="53"/>
      <c r="L390" s="53"/>
      <c r="M390" s="53"/>
      <c r="N390" s="53"/>
      <c r="O390" s="53"/>
      <c r="P390" s="53"/>
      <c r="Q390" s="53"/>
      <c r="R390" s="53"/>
      <c r="S390" s="53"/>
      <c r="T390" s="53"/>
      <c r="U390" s="53"/>
      <c r="V390" s="53"/>
      <c r="W390" s="53"/>
      <c r="X390" s="53"/>
      <c r="Y390" s="53"/>
      <c r="Z390" s="53"/>
      <c r="AA390" s="53"/>
      <c r="AB390" s="53"/>
      <c r="AC390" s="53"/>
      <c r="AD390" s="53"/>
      <c r="AE390" s="53"/>
      <c r="AF390" s="63"/>
      <c r="AG390" s="64"/>
      <c r="AH390" s="65"/>
      <c r="AI390" s="65"/>
      <c r="AJ390" s="53"/>
      <c r="AK390" s="53"/>
      <c r="AL390" s="53"/>
      <c r="AM390" s="53"/>
      <c r="AN390" s="53"/>
      <c r="AO390" s="53"/>
      <c r="AP390" s="53"/>
      <c r="AQ390" s="53"/>
      <c r="AR390" s="53"/>
      <c r="AS390" s="53"/>
      <c r="AT390" s="53"/>
      <c r="AU390" s="53"/>
      <c r="AV390" s="53"/>
      <c r="AW390" s="53"/>
      <c r="AX390" s="53"/>
      <c r="AY390" s="53"/>
      <c r="AZ390" s="53"/>
      <c r="BA390" s="53"/>
      <c r="BB390" s="53"/>
      <c r="BC390" s="53"/>
      <c r="BD390" s="53"/>
      <c r="BE390" s="53"/>
      <c r="BF390" s="53"/>
      <c r="BG390" s="53"/>
      <c r="BH390" s="53"/>
      <c r="BI390" s="53"/>
      <c r="BJ390" s="53"/>
      <c r="BK390" s="53"/>
      <c r="BL390" s="53"/>
      <c r="BM390" s="53"/>
      <c r="BN390" s="53"/>
      <c r="BO390" s="53"/>
      <c r="BP390" s="53"/>
      <c r="BQ390" s="53"/>
      <c r="BR390" s="53"/>
      <c r="BS390" s="53"/>
      <c r="BT390" s="53"/>
      <c r="BU390" s="53"/>
      <c r="BV390" s="53"/>
      <c r="BW390" s="53"/>
      <c r="BX390" s="53"/>
    </row>
    <row r="391" spans="1:76" x14ac:dyDescent="0.35">
      <c r="A391" s="53"/>
      <c r="B391" s="53"/>
      <c r="C391" s="55"/>
      <c r="D391" s="53"/>
      <c r="E391" s="53"/>
      <c r="F391" s="126" t="s">
        <v>1388</v>
      </c>
      <c r="G391" s="125"/>
      <c r="H391" s="125">
        <v>0</v>
      </c>
      <c r="I391" s="133">
        <v>0</v>
      </c>
      <c r="J391" s="53"/>
      <c r="K391" s="53"/>
      <c r="L391" s="53"/>
      <c r="M391" s="53"/>
      <c r="N391" s="53"/>
      <c r="O391" s="53"/>
      <c r="P391" s="53"/>
      <c r="Q391" s="53"/>
      <c r="R391" s="53"/>
      <c r="S391" s="53"/>
      <c r="T391" s="53"/>
      <c r="U391" s="53"/>
      <c r="V391" s="53"/>
      <c r="W391" s="53"/>
      <c r="X391" s="53"/>
      <c r="Y391" s="53"/>
      <c r="Z391" s="53"/>
      <c r="AA391" s="53"/>
      <c r="AB391" s="53"/>
      <c r="AC391" s="53"/>
      <c r="AD391" s="53"/>
      <c r="AE391" s="53"/>
      <c r="AF391" s="63"/>
      <c r="AG391" s="64"/>
      <c r="AH391" s="65"/>
      <c r="AI391" s="65"/>
      <c r="AJ391" s="53"/>
      <c r="AK391" s="53"/>
      <c r="AL391" s="53"/>
      <c r="AM391" s="53"/>
      <c r="AN391" s="53"/>
      <c r="AO391" s="53"/>
      <c r="AP391" s="53"/>
      <c r="AQ391" s="53"/>
      <c r="AR391" s="53"/>
      <c r="AS391" s="53"/>
      <c r="AT391" s="53"/>
      <c r="AU391" s="53"/>
      <c r="AV391" s="53"/>
      <c r="AW391" s="53"/>
      <c r="AX391" s="53"/>
      <c r="AY391" s="53"/>
      <c r="AZ391" s="53"/>
      <c r="BA391" s="53"/>
      <c r="BB391" s="53"/>
      <c r="BC391" s="53"/>
      <c r="BD391" s="53"/>
      <c r="BE391" s="53"/>
      <c r="BF391" s="53"/>
      <c r="BG391" s="53"/>
      <c r="BH391" s="53"/>
      <c r="BI391" s="53"/>
      <c r="BJ391" s="53"/>
      <c r="BK391" s="53"/>
      <c r="BL391" s="53"/>
      <c r="BM391" s="53"/>
      <c r="BN391" s="53"/>
      <c r="BO391" s="53"/>
      <c r="BP391" s="53"/>
      <c r="BQ391" s="53"/>
      <c r="BR391" s="53"/>
      <c r="BS391" s="53"/>
      <c r="BT391" s="53"/>
      <c r="BU391" s="53"/>
      <c r="BV391" s="53"/>
      <c r="BW391" s="53"/>
      <c r="BX391" s="53"/>
    </row>
    <row r="392" spans="1:76" x14ac:dyDescent="0.35">
      <c r="A392" s="53"/>
      <c r="B392" s="53"/>
      <c r="C392" s="55"/>
      <c r="D392" s="53"/>
      <c r="E392" s="53"/>
      <c r="F392" s="134" t="s">
        <v>666</v>
      </c>
      <c r="G392" s="125"/>
      <c r="H392" s="125">
        <v>0</v>
      </c>
      <c r="I392" s="133">
        <v>0</v>
      </c>
      <c r="J392" s="53"/>
      <c r="K392" s="53"/>
      <c r="L392" s="53"/>
      <c r="M392" s="53"/>
      <c r="N392" s="53"/>
      <c r="O392" s="53"/>
      <c r="P392" s="53"/>
      <c r="Q392" s="53"/>
      <c r="R392" s="53"/>
      <c r="S392" s="53"/>
      <c r="T392" s="53"/>
      <c r="U392" s="53"/>
      <c r="V392" s="53"/>
      <c r="W392" s="53"/>
      <c r="X392" s="53"/>
      <c r="Y392" s="53"/>
      <c r="Z392" s="53"/>
      <c r="AA392" s="53"/>
      <c r="AB392" s="53"/>
      <c r="AC392" s="53"/>
      <c r="AD392" s="53"/>
      <c r="AE392" s="53"/>
      <c r="AF392" s="63"/>
      <c r="AG392" s="64"/>
      <c r="AH392" s="65"/>
      <c r="AI392" s="65"/>
      <c r="AJ392" s="53"/>
      <c r="AK392" s="53"/>
      <c r="AL392" s="53"/>
      <c r="AM392" s="53"/>
      <c r="AN392" s="53"/>
      <c r="AO392" s="53"/>
      <c r="AP392" s="53"/>
      <c r="AQ392" s="53"/>
      <c r="AR392" s="53"/>
      <c r="AS392" s="53"/>
      <c r="AT392" s="53"/>
      <c r="AU392" s="53"/>
      <c r="AV392" s="53"/>
      <c r="AW392" s="53"/>
      <c r="AX392" s="53"/>
      <c r="AY392" s="53"/>
      <c r="AZ392" s="53"/>
      <c r="BA392" s="53"/>
      <c r="BB392" s="53"/>
      <c r="BC392" s="53"/>
      <c r="BD392" s="53"/>
      <c r="BE392" s="53"/>
      <c r="BF392" s="53"/>
      <c r="BG392" s="53"/>
      <c r="BH392" s="53"/>
      <c r="BI392" s="53"/>
      <c r="BJ392" s="53"/>
      <c r="BK392" s="53"/>
      <c r="BL392" s="53"/>
      <c r="BM392" s="53"/>
      <c r="BN392" s="53"/>
      <c r="BO392" s="53"/>
      <c r="BP392" s="53"/>
      <c r="BQ392" s="53"/>
      <c r="BR392" s="53"/>
      <c r="BS392" s="53"/>
      <c r="BT392" s="53"/>
      <c r="BU392" s="53"/>
      <c r="BV392" s="53"/>
      <c r="BW392" s="53"/>
      <c r="BX392" s="53"/>
    </row>
    <row r="393" spans="1:76" x14ac:dyDescent="0.35">
      <c r="A393" s="53"/>
      <c r="B393" s="53"/>
      <c r="C393" s="55"/>
      <c r="D393" s="53"/>
      <c r="E393" s="53"/>
      <c r="F393" s="134" t="s">
        <v>663</v>
      </c>
      <c r="G393" s="125">
        <v>1348</v>
      </c>
      <c r="H393" s="125">
        <v>0</v>
      </c>
      <c r="I393" s="133">
        <v>0</v>
      </c>
      <c r="J393" s="53"/>
      <c r="K393" s="53"/>
      <c r="L393" s="53"/>
      <c r="M393" s="53"/>
      <c r="N393" s="53"/>
      <c r="O393" s="53"/>
      <c r="P393" s="53"/>
      <c r="Q393" s="53"/>
      <c r="R393" s="53"/>
      <c r="S393" s="53"/>
      <c r="T393" s="53"/>
      <c r="U393" s="53"/>
      <c r="V393" s="53"/>
      <c r="W393" s="53"/>
      <c r="X393" s="53"/>
      <c r="Y393" s="53"/>
      <c r="Z393" s="53"/>
      <c r="AA393" s="53"/>
      <c r="AB393" s="53"/>
      <c r="AC393" s="53"/>
      <c r="AD393" s="53"/>
      <c r="AE393" s="53"/>
      <c r="AF393" s="63"/>
      <c r="AG393" s="64"/>
      <c r="AH393" s="65"/>
      <c r="AI393" s="65"/>
      <c r="AJ393" s="53"/>
      <c r="AK393" s="53"/>
      <c r="AL393" s="53"/>
      <c r="AM393" s="53"/>
      <c r="AN393" s="53"/>
      <c r="AO393" s="53"/>
      <c r="AP393" s="53"/>
      <c r="AQ393" s="53"/>
      <c r="AR393" s="53"/>
      <c r="AS393" s="53"/>
      <c r="AT393" s="53"/>
      <c r="AU393" s="53"/>
      <c r="AV393" s="53"/>
      <c r="AW393" s="53"/>
      <c r="AX393" s="53"/>
      <c r="AY393" s="53"/>
      <c r="AZ393" s="53"/>
      <c r="BA393" s="53"/>
      <c r="BB393" s="53"/>
      <c r="BC393" s="53"/>
      <c r="BD393" s="53"/>
      <c r="BE393" s="53"/>
      <c r="BF393" s="53"/>
      <c r="BG393" s="53"/>
      <c r="BH393" s="53"/>
      <c r="BI393" s="53"/>
      <c r="BJ393" s="53"/>
      <c r="BK393" s="53"/>
      <c r="BL393" s="53"/>
      <c r="BM393" s="53"/>
      <c r="BN393" s="53"/>
      <c r="BO393" s="53"/>
      <c r="BP393" s="53"/>
      <c r="BQ393" s="53"/>
      <c r="BR393" s="53"/>
      <c r="BS393" s="53"/>
      <c r="BT393" s="53"/>
      <c r="BU393" s="53"/>
      <c r="BV393" s="53"/>
      <c r="BW393" s="53"/>
      <c r="BX393" s="53"/>
    </row>
    <row r="394" spans="1:76" x14ac:dyDescent="0.35">
      <c r="A394" s="53"/>
      <c r="B394" s="53"/>
      <c r="C394" s="55"/>
      <c r="D394" s="53"/>
      <c r="E394" s="53"/>
      <c r="F394" s="134" t="s">
        <v>668</v>
      </c>
      <c r="G394" s="125">
        <v>3000</v>
      </c>
      <c r="H394" s="125">
        <v>12000</v>
      </c>
      <c r="I394" s="133">
        <v>4</v>
      </c>
      <c r="J394" s="53"/>
      <c r="K394" s="53"/>
      <c r="L394" s="53"/>
      <c r="M394" s="53"/>
      <c r="N394" s="53"/>
      <c r="O394" s="53"/>
      <c r="P394" s="53"/>
      <c r="Q394" s="53"/>
      <c r="R394" s="53"/>
      <c r="S394" s="53"/>
      <c r="T394" s="53"/>
      <c r="U394" s="53"/>
      <c r="V394" s="53"/>
      <c r="W394" s="53"/>
      <c r="X394" s="53"/>
      <c r="Y394" s="53"/>
      <c r="Z394" s="53"/>
      <c r="AA394" s="53"/>
      <c r="AB394" s="53"/>
      <c r="AC394" s="53"/>
      <c r="AD394" s="53"/>
      <c r="AE394" s="53"/>
      <c r="AF394" s="63"/>
      <c r="AG394" s="64"/>
      <c r="AH394" s="65"/>
      <c r="AI394" s="65"/>
      <c r="AJ394" s="53"/>
      <c r="AK394" s="53"/>
      <c r="AL394" s="53"/>
      <c r="AM394" s="53"/>
      <c r="AN394" s="53"/>
      <c r="AO394" s="53"/>
      <c r="AP394" s="53"/>
      <c r="AQ394" s="53"/>
      <c r="AR394" s="53"/>
      <c r="AS394" s="53"/>
      <c r="AT394" s="53"/>
      <c r="AU394" s="53"/>
      <c r="AV394" s="53"/>
      <c r="AW394" s="53"/>
      <c r="AX394" s="53"/>
      <c r="AY394" s="53"/>
      <c r="AZ394" s="53"/>
      <c r="BA394" s="53"/>
      <c r="BB394" s="53"/>
      <c r="BC394" s="53"/>
      <c r="BD394" s="53"/>
      <c r="BE394" s="53"/>
      <c r="BF394" s="53"/>
      <c r="BG394" s="53"/>
      <c r="BH394" s="53"/>
      <c r="BI394" s="53"/>
      <c r="BJ394" s="53"/>
      <c r="BK394" s="53"/>
      <c r="BL394" s="53"/>
      <c r="BM394" s="53"/>
      <c r="BN394" s="53"/>
      <c r="BO394" s="53"/>
      <c r="BP394" s="53"/>
      <c r="BQ394" s="53"/>
      <c r="BR394" s="53"/>
      <c r="BS394" s="53"/>
      <c r="BT394" s="53"/>
      <c r="BU394" s="53"/>
      <c r="BV394" s="53"/>
      <c r="BW394" s="53"/>
      <c r="BX394" s="53"/>
    </row>
    <row r="395" spans="1:76" x14ac:dyDescent="0.35">
      <c r="A395" s="53"/>
      <c r="B395" s="53"/>
      <c r="C395" s="55"/>
      <c r="D395" s="53"/>
      <c r="E395" s="53"/>
      <c r="F395" s="134" t="s">
        <v>1173</v>
      </c>
      <c r="G395" s="125">
        <v>1094.81</v>
      </c>
      <c r="H395" s="125">
        <v>0</v>
      </c>
      <c r="I395" s="133">
        <v>0</v>
      </c>
      <c r="J395" s="53"/>
      <c r="K395" s="53"/>
      <c r="L395" s="53"/>
      <c r="M395" s="53"/>
      <c r="N395" s="53"/>
      <c r="O395" s="53"/>
      <c r="P395" s="53"/>
      <c r="Q395" s="53"/>
      <c r="R395" s="53"/>
      <c r="S395" s="53"/>
      <c r="T395" s="53"/>
      <c r="U395" s="53"/>
      <c r="V395" s="53"/>
      <c r="W395" s="53"/>
      <c r="X395" s="53"/>
      <c r="Y395" s="53"/>
      <c r="Z395" s="53"/>
      <c r="AA395" s="53"/>
      <c r="AB395" s="53"/>
      <c r="AC395" s="53"/>
      <c r="AD395" s="53"/>
      <c r="AE395" s="53"/>
      <c r="AF395" s="63"/>
      <c r="AG395" s="64"/>
      <c r="AH395" s="65"/>
      <c r="AI395" s="65"/>
      <c r="AJ395" s="53"/>
      <c r="AK395" s="53"/>
      <c r="AL395" s="53"/>
      <c r="AM395" s="53"/>
      <c r="AN395" s="53"/>
      <c r="AO395" s="53"/>
      <c r="AP395" s="53"/>
      <c r="AQ395" s="53"/>
      <c r="AR395" s="53"/>
      <c r="AS395" s="53"/>
      <c r="AT395" s="53"/>
      <c r="AU395" s="53"/>
      <c r="AV395" s="53"/>
      <c r="AW395" s="53"/>
      <c r="AX395" s="53"/>
      <c r="AY395" s="53"/>
      <c r="AZ395" s="53"/>
      <c r="BA395" s="53"/>
      <c r="BB395" s="53"/>
      <c r="BC395" s="53"/>
      <c r="BD395" s="53"/>
      <c r="BE395" s="53"/>
      <c r="BF395" s="53"/>
      <c r="BG395" s="53"/>
      <c r="BH395" s="53"/>
      <c r="BI395" s="53"/>
      <c r="BJ395" s="53"/>
      <c r="BK395" s="53"/>
      <c r="BL395" s="53"/>
      <c r="BM395" s="53"/>
      <c r="BN395" s="53"/>
      <c r="BO395" s="53"/>
      <c r="BP395" s="53"/>
      <c r="BQ395" s="53"/>
      <c r="BR395" s="53"/>
      <c r="BS395" s="53"/>
      <c r="BT395" s="53"/>
      <c r="BU395" s="53"/>
      <c r="BV395" s="53"/>
      <c r="BW395" s="53"/>
      <c r="BX395" s="53"/>
    </row>
    <row r="396" spans="1:76" x14ac:dyDescent="0.35">
      <c r="A396" s="53"/>
      <c r="B396" s="53"/>
      <c r="C396" s="55"/>
      <c r="D396" s="53"/>
      <c r="E396" s="53"/>
      <c r="F396" s="134" t="s">
        <v>1174</v>
      </c>
      <c r="G396" s="125"/>
      <c r="H396" s="125">
        <v>0</v>
      </c>
      <c r="I396" s="133">
        <v>0</v>
      </c>
      <c r="J396" s="53"/>
      <c r="K396" s="53"/>
      <c r="L396" s="53"/>
      <c r="M396" s="53"/>
      <c r="N396" s="53"/>
      <c r="O396" s="53"/>
      <c r="P396" s="53"/>
      <c r="Q396" s="53"/>
      <c r="R396" s="53"/>
      <c r="S396" s="53"/>
      <c r="T396" s="53"/>
      <c r="U396" s="53"/>
      <c r="V396" s="53"/>
      <c r="W396" s="53"/>
      <c r="X396" s="53"/>
      <c r="Y396" s="53"/>
      <c r="Z396" s="53"/>
      <c r="AA396" s="53"/>
      <c r="AB396" s="53"/>
      <c r="AC396" s="53"/>
      <c r="AD396" s="53"/>
      <c r="AE396" s="53"/>
      <c r="AF396" s="63"/>
      <c r="AG396" s="64"/>
      <c r="AH396" s="65"/>
      <c r="AI396" s="65"/>
      <c r="AJ396" s="53"/>
      <c r="AK396" s="53"/>
      <c r="AL396" s="53"/>
      <c r="AM396" s="53"/>
      <c r="AN396" s="53"/>
      <c r="AO396" s="53"/>
      <c r="AP396" s="53"/>
      <c r="AQ396" s="53"/>
      <c r="AR396" s="53"/>
      <c r="AS396" s="53"/>
      <c r="AT396" s="53"/>
      <c r="AU396" s="53"/>
      <c r="AV396" s="53"/>
      <c r="AW396" s="53"/>
      <c r="AX396" s="53"/>
      <c r="AY396" s="53"/>
      <c r="AZ396" s="53"/>
      <c r="BA396" s="53"/>
      <c r="BB396" s="53"/>
      <c r="BC396" s="53"/>
      <c r="BD396" s="53"/>
      <c r="BE396" s="53"/>
      <c r="BF396" s="53"/>
      <c r="BG396" s="53"/>
      <c r="BH396" s="53"/>
      <c r="BI396" s="53"/>
      <c r="BJ396" s="53"/>
      <c r="BK396" s="53"/>
      <c r="BL396" s="53"/>
      <c r="BM396" s="53"/>
      <c r="BN396" s="53"/>
      <c r="BO396" s="53"/>
      <c r="BP396" s="53"/>
      <c r="BQ396" s="53"/>
      <c r="BR396" s="53"/>
      <c r="BS396" s="53"/>
      <c r="BT396" s="53"/>
      <c r="BU396" s="53"/>
      <c r="BV396" s="53"/>
      <c r="BW396" s="53"/>
      <c r="BX396" s="53"/>
    </row>
    <row r="397" spans="1:76" x14ac:dyDescent="0.35">
      <c r="A397" s="53"/>
      <c r="B397" s="53"/>
      <c r="C397" s="55"/>
      <c r="D397" s="53"/>
      <c r="E397" s="53"/>
      <c r="F397" s="134" t="s">
        <v>670</v>
      </c>
      <c r="G397" s="125">
        <v>5138.74</v>
      </c>
      <c r="H397" s="125">
        <v>0</v>
      </c>
      <c r="I397" s="133">
        <v>0</v>
      </c>
      <c r="J397" s="53"/>
      <c r="K397" s="53"/>
      <c r="L397" s="53"/>
      <c r="M397" s="53"/>
      <c r="N397" s="53"/>
      <c r="O397" s="53"/>
      <c r="P397" s="53"/>
      <c r="Q397" s="53"/>
      <c r="R397" s="53"/>
      <c r="S397" s="53"/>
      <c r="T397" s="53"/>
      <c r="U397" s="53"/>
      <c r="V397" s="53"/>
      <c r="W397" s="53"/>
      <c r="X397" s="53"/>
      <c r="Y397" s="53"/>
      <c r="Z397" s="53"/>
      <c r="AA397" s="53"/>
      <c r="AB397" s="53"/>
      <c r="AC397" s="53"/>
      <c r="AD397" s="53"/>
      <c r="AE397" s="53"/>
      <c r="AF397" s="63"/>
      <c r="AG397" s="64"/>
      <c r="AH397" s="65"/>
      <c r="AI397" s="65"/>
      <c r="AJ397" s="53"/>
      <c r="AK397" s="53"/>
      <c r="AL397" s="53"/>
      <c r="AM397" s="53"/>
      <c r="AN397" s="53"/>
      <c r="AO397" s="53"/>
      <c r="AP397" s="53"/>
      <c r="AQ397" s="53"/>
      <c r="AR397" s="53"/>
      <c r="AS397" s="53"/>
      <c r="AT397" s="53"/>
      <c r="AU397" s="53"/>
      <c r="AV397" s="53"/>
      <c r="AW397" s="53"/>
      <c r="AX397" s="53"/>
      <c r="AY397" s="53"/>
      <c r="AZ397" s="53"/>
      <c r="BA397" s="53"/>
      <c r="BB397" s="53"/>
      <c r="BC397" s="53"/>
      <c r="BD397" s="53"/>
      <c r="BE397" s="53"/>
      <c r="BF397" s="53"/>
      <c r="BG397" s="53"/>
      <c r="BH397" s="53"/>
      <c r="BI397" s="53"/>
      <c r="BJ397" s="53"/>
      <c r="BK397" s="53"/>
      <c r="BL397" s="53"/>
      <c r="BM397" s="53"/>
      <c r="BN397" s="53"/>
      <c r="BO397" s="53"/>
      <c r="BP397" s="53"/>
      <c r="BQ397" s="53"/>
      <c r="BR397" s="53"/>
      <c r="BS397" s="53"/>
      <c r="BT397" s="53"/>
      <c r="BU397" s="53"/>
      <c r="BV397" s="53"/>
      <c r="BW397" s="53"/>
      <c r="BX397" s="53"/>
    </row>
    <row r="398" spans="1:76" x14ac:dyDescent="0.35">
      <c r="A398" s="53"/>
      <c r="B398" s="53"/>
      <c r="C398" s="55"/>
      <c r="D398" s="53"/>
      <c r="E398" s="53"/>
      <c r="F398" s="134" t="s">
        <v>1175</v>
      </c>
      <c r="G398" s="125">
        <v>3961.71</v>
      </c>
      <c r="H398" s="125">
        <v>7923.42</v>
      </c>
      <c r="I398" s="133">
        <v>2</v>
      </c>
      <c r="J398" s="53"/>
      <c r="K398" s="53"/>
      <c r="L398" s="53"/>
      <c r="M398" s="53"/>
      <c r="N398" s="53"/>
      <c r="O398" s="53"/>
      <c r="P398" s="53"/>
      <c r="Q398" s="53"/>
      <c r="R398" s="53"/>
      <c r="S398" s="53"/>
      <c r="T398" s="53"/>
      <c r="U398" s="53"/>
      <c r="V398" s="53"/>
      <c r="W398" s="53"/>
      <c r="X398" s="53"/>
      <c r="Y398" s="53"/>
      <c r="Z398" s="53"/>
      <c r="AA398" s="53"/>
      <c r="AB398" s="53"/>
      <c r="AC398" s="53"/>
      <c r="AD398" s="53"/>
      <c r="AE398" s="53"/>
      <c r="AF398" s="63"/>
      <c r="AG398" s="64"/>
      <c r="AH398" s="65"/>
      <c r="AI398" s="65"/>
      <c r="AJ398" s="53"/>
      <c r="AK398" s="53"/>
      <c r="AL398" s="53"/>
      <c r="AM398" s="53"/>
      <c r="AN398" s="53"/>
      <c r="AO398" s="53"/>
      <c r="AP398" s="53"/>
      <c r="AQ398" s="53"/>
      <c r="AR398" s="53"/>
      <c r="AS398" s="53"/>
      <c r="AT398" s="53"/>
      <c r="AU398" s="53"/>
      <c r="AV398" s="53"/>
      <c r="AW398" s="53"/>
      <c r="AX398" s="53"/>
      <c r="AY398" s="53"/>
      <c r="AZ398" s="53"/>
      <c r="BA398" s="53"/>
      <c r="BB398" s="53"/>
      <c r="BC398" s="53"/>
      <c r="BD398" s="53"/>
      <c r="BE398" s="53"/>
      <c r="BF398" s="53"/>
      <c r="BG398" s="53"/>
      <c r="BH398" s="53"/>
      <c r="BI398" s="53"/>
      <c r="BJ398" s="53"/>
      <c r="BK398" s="53"/>
      <c r="BL398" s="53"/>
      <c r="BM398" s="53"/>
      <c r="BN398" s="53"/>
      <c r="BO398" s="53"/>
      <c r="BP398" s="53"/>
      <c r="BQ398" s="53"/>
      <c r="BR398" s="53"/>
      <c r="BS398" s="53"/>
      <c r="BT398" s="53"/>
      <c r="BU398" s="53"/>
      <c r="BV398" s="53"/>
      <c r="BW398" s="53"/>
      <c r="BX398" s="53"/>
    </row>
    <row r="399" spans="1:76" x14ac:dyDescent="0.35">
      <c r="A399" s="53"/>
      <c r="B399" s="53"/>
      <c r="C399" s="55"/>
      <c r="D399" s="53"/>
      <c r="E399" s="53"/>
      <c r="F399" s="134" t="s">
        <v>672</v>
      </c>
      <c r="G399" s="125"/>
      <c r="H399" s="125">
        <v>0</v>
      </c>
      <c r="I399" s="133">
        <v>0</v>
      </c>
      <c r="J399" s="53"/>
      <c r="K399" s="53"/>
      <c r="L399" s="53"/>
      <c r="M399" s="53"/>
      <c r="N399" s="53"/>
      <c r="O399" s="53"/>
      <c r="P399" s="53"/>
      <c r="Q399" s="53"/>
      <c r="R399" s="53"/>
      <c r="S399" s="53"/>
      <c r="T399" s="53"/>
      <c r="U399" s="53"/>
      <c r="V399" s="53"/>
      <c r="W399" s="53"/>
      <c r="X399" s="53"/>
      <c r="Y399" s="53"/>
      <c r="Z399" s="53"/>
      <c r="AA399" s="53"/>
      <c r="AB399" s="53"/>
      <c r="AC399" s="53"/>
      <c r="AD399" s="53"/>
      <c r="AE399" s="53"/>
      <c r="AF399" s="63"/>
      <c r="AG399" s="64"/>
      <c r="AH399" s="65"/>
      <c r="AI399" s="65"/>
      <c r="AJ399" s="53"/>
      <c r="AK399" s="53"/>
      <c r="AL399" s="53"/>
      <c r="AM399" s="53"/>
      <c r="AN399" s="53"/>
      <c r="AO399" s="53"/>
      <c r="AP399" s="53"/>
      <c r="AQ399" s="53"/>
      <c r="AR399" s="53"/>
      <c r="AS399" s="53"/>
      <c r="AT399" s="53"/>
      <c r="AU399" s="53"/>
      <c r="AV399" s="53"/>
      <c r="AW399" s="53"/>
      <c r="AX399" s="53"/>
      <c r="AY399" s="53"/>
      <c r="AZ399" s="53"/>
      <c r="BA399" s="53"/>
      <c r="BB399" s="53"/>
      <c r="BC399" s="53"/>
      <c r="BD399" s="53"/>
      <c r="BE399" s="53"/>
      <c r="BF399" s="53"/>
      <c r="BG399" s="53"/>
      <c r="BH399" s="53"/>
      <c r="BI399" s="53"/>
      <c r="BJ399" s="53"/>
      <c r="BK399" s="53"/>
      <c r="BL399" s="53"/>
      <c r="BM399" s="53"/>
      <c r="BN399" s="53"/>
      <c r="BO399" s="53"/>
      <c r="BP399" s="53"/>
      <c r="BQ399" s="53"/>
      <c r="BR399" s="53"/>
      <c r="BS399" s="53"/>
      <c r="BT399" s="53"/>
      <c r="BU399" s="53"/>
      <c r="BV399" s="53"/>
      <c r="BW399" s="53"/>
      <c r="BX399" s="53"/>
    </row>
    <row r="400" spans="1:76" x14ac:dyDescent="0.35">
      <c r="A400" s="53"/>
      <c r="B400" s="53"/>
      <c r="C400" s="55"/>
      <c r="D400" s="53"/>
      <c r="E400" s="53"/>
      <c r="F400" s="134" t="s">
        <v>675</v>
      </c>
      <c r="G400" s="125"/>
      <c r="H400" s="125">
        <v>0</v>
      </c>
      <c r="I400" s="133">
        <v>0</v>
      </c>
      <c r="J400" s="53"/>
      <c r="K400" s="53"/>
      <c r="L400" s="53"/>
      <c r="M400" s="53"/>
      <c r="N400" s="53"/>
      <c r="O400" s="53"/>
      <c r="P400" s="53"/>
      <c r="Q400" s="53"/>
      <c r="R400" s="53"/>
      <c r="S400" s="53"/>
      <c r="T400" s="53"/>
      <c r="U400" s="53"/>
      <c r="V400" s="53"/>
      <c r="W400" s="53"/>
      <c r="X400" s="53"/>
      <c r="Y400" s="53"/>
      <c r="Z400" s="53"/>
      <c r="AA400" s="53"/>
      <c r="AB400" s="53"/>
      <c r="AC400" s="53"/>
      <c r="AD400" s="53"/>
      <c r="AE400" s="53"/>
      <c r="AF400" s="63"/>
      <c r="AG400" s="64"/>
      <c r="AH400" s="65"/>
      <c r="AI400" s="65"/>
      <c r="AJ400" s="53"/>
      <c r="AK400" s="53"/>
      <c r="AL400" s="53"/>
      <c r="AM400" s="53"/>
      <c r="AN400" s="53"/>
      <c r="AO400" s="53"/>
      <c r="AP400" s="53"/>
      <c r="AQ400" s="53"/>
      <c r="AR400" s="53"/>
      <c r="AS400" s="53"/>
      <c r="AT400" s="53"/>
      <c r="AU400" s="53"/>
      <c r="AV400" s="53"/>
      <c r="AW400" s="53"/>
      <c r="AX400" s="53"/>
      <c r="AY400" s="53"/>
      <c r="AZ400" s="53"/>
      <c r="BA400" s="53"/>
      <c r="BB400" s="53"/>
      <c r="BC400" s="53"/>
      <c r="BD400" s="53"/>
      <c r="BE400" s="53"/>
      <c r="BF400" s="53"/>
      <c r="BG400" s="53"/>
      <c r="BH400" s="53"/>
      <c r="BI400" s="53"/>
      <c r="BJ400" s="53"/>
      <c r="BK400" s="53"/>
      <c r="BL400" s="53"/>
      <c r="BM400" s="53"/>
      <c r="BN400" s="53"/>
      <c r="BO400" s="53"/>
      <c r="BP400" s="53"/>
      <c r="BQ400" s="53"/>
      <c r="BR400" s="53"/>
      <c r="BS400" s="53"/>
      <c r="BT400" s="53"/>
      <c r="BU400" s="53"/>
      <c r="BV400" s="53"/>
      <c r="BW400" s="53"/>
      <c r="BX400" s="53"/>
    </row>
    <row r="401" spans="1:76" x14ac:dyDescent="0.35">
      <c r="A401" s="53"/>
      <c r="B401" s="53"/>
      <c r="C401" s="55"/>
      <c r="D401" s="53"/>
      <c r="E401" s="53"/>
      <c r="F401" s="134" t="s">
        <v>1176</v>
      </c>
      <c r="G401" s="125">
        <v>711.31</v>
      </c>
      <c r="H401" s="125">
        <v>711.31</v>
      </c>
      <c r="I401" s="133">
        <v>1</v>
      </c>
      <c r="J401" s="53"/>
      <c r="K401" s="53"/>
      <c r="L401" s="53"/>
      <c r="M401" s="53"/>
      <c r="N401" s="53"/>
      <c r="O401" s="53"/>
      <c r="P401" s="53"/>
      <c r="Q401" s="53"/>
      <c r="R401" s="53"/>
      <c r="S401" s="53"/>
      <c r="T401" s="53"/>
      <c r="U401" s="53"/>
      <c r="V401" s="53"/>
      <c r="W401" s="53"/>
      <c r="X401" s="53"/>
      <c r="Y401" s="53"/>
      <c r="Z401" s="53"/>
      <c r="AA401" s="53"/>
      <c r="AB401" s="53"/>
      <c r="AC401" s="53"/>
      <c r="AD401" s="53"/>
      <c r="AE401" s="53"/>
      <c r="AF401" s="63"/>
      <c r="AG401" s="64"/>
      <c r="AH401" s="65"/>
      <c r="AI401" s="65"/>
      <c r="AJ401" s="53"/>
      <c r="AK401" s="53"/>
      <c r="AL401" s="53"/>
      <c r="AM401" s="53"/>
      <c r="AN401" s="53"/>
      <c r="AO401" s="53"/>
      <c r="AP401" s="53"/>
      <c r="AQ401" s="53"/>
      <c r="AR401" s="53"/>
      <c r="AS401" s="53"/>
      <c r="AT401" s="53"/>
      <c r="AU401" s="53"/>
      <c r="AV401" s="53"/>
      <c r="AW401" s="53"/>
      <c r="AX401" s="53"/>
      <c r="AY401" s="53"/>
      <c r="AZ401" s="53"/>
      <c r="BA401" s="53"/>
      <c r="BB401" s="53"/>
      <c r="BC401" s="53"/>
      <c r="BD401" s="53"/>
      <c r="BE401" s="53"/>
      <c r="BF401" s="53"/>
      <c r="BG401" s="53"/>
      <c r="BH401" s="53"/>
      <c r="BI401" s="53"/>
      <c r="BJ401" s="53"/>
      <c r="BK401" s="53"/>
      <c r="BL401" s="53"/>
      <c r="BM401" s="53"/>
      <c r="BN401" s="53"/>
      <c r="BO401" s="53"/>
      <c r="BP401" s="53"/>
      <c r="BQ401" s="53"/>
      <c r="BR401" s="53"/>
      <c r="BS401" s="53"/>
      <c r="BT401" s="53"/>
      <c r="BU401" s="53"/>
      <c r="BV401" s="53"/>
      <c r="BW401" s="53"/>
      <c r="BX401" s="53"/>
    </row>
    <row r="402" spans="1:76" x14ac:dyDescent="0.35">
      <c r="A402" s="53"/>
      <c r="B402" s="53"/>
      <c r="C402" s="55"/>
      <c r="D402" s="53"/>
      <c r="E402" s="53"/>
      <c r="F402" s="134" t="s">
        <v>1270</v>
      </c>
      <c r="G402" s="125">
        <v>1692.44</v>
      </c>
      <c r="H402" s="125">
        <v>5077.32</v>
      </c>
      <c r="I402" s="133">
        <v>3</v>
      </c>
      <c r="J402" s="53"/>
      <c r="K402" s="53"/>
      <c r="L402" s="53"/>
      <c r="M402" s="53"/>
      <c r="N402" s="53"/>
      <c r="O402" s="53"/>
      <c r="P402" s="53"/>
      <c r="Q402" s="53"/>
      <c r="R402" s="53"/>
      <c r="S402" s="53"/>
      <c r="T402" s="53"/>
      <c r="U402" s="53"/>
      <c r="V402" s="53"/>
      <c r="W402" s="53"/>
      <c r="X402" s="53"/>
      <c r="Y402" s="53"/>
      <c r="Z402" s="53"/>
      <c r="AA402" s="53"/>
      <c r="AB402" s="53"/>
      <c r="AC402" s="53"/>
      <c r="AD402" s="53"/>
      <c r="AE402" s="53"/>
      <c r="AF402" s="63"/>
      <c r="AG402" s="64"/>
      <c r="AH402" s="65"/>
      <c r="AI402" s="65"/>
      <c r="AJ402" s="53"/>
      <c r="AK402" s="53"/>
      <c r="AL402" s="53"/>
      <c r="AM402" s="53"/>
      <c r="AN402" s="53"/>
      <c r="AO402" s="53"/>
      <c r="AP402" s="53"/>
      <c r="AQ402" s="53"/>
      <c r="AR402" s="53"/>
      <c r="AS402" s="53"/>
      <c r="AT402" s="53"/>
      <c r="AU402" s="53"/>
      <c r="AV402" s="53"/>
      <c r="AW402" s="53"/>
      <c r="AX402" s="53"/>
      <c r="AY402" s="53"/>
      <c r="AZ402" s="53"/>
      <c r="BA402" s="53"/>
      <c r="BB402" s="53"/>
      <c r="BC402" s="53"/>
      <c r="BD402" s="53"/>
      <c r="BE402" s="53"/>
      <c r="BF402" s="53"/>
      <c r="BG402" s="53"/>
      <c r="BH402" s="53"/>
      <c r="BI402" s="53"/>
      <c r="BJ402" s="53"/>
      <c r="BK402" s="53"/>
      <c r="BL402" s="53"/>
      <c r="BM402" s="53"/>
      <c r="BN402" s="53"/>
      <c r="BO402" s="53"/>
      <c r="BP402" s="53"/>
      <c r="BQ402" s="53"/>
      <c r="BR402" s="53"/>
      <c r="BS402" s="53"/>
      <c r="BT402" s="53"/>
      <c r="BU402" s="53"/>
      <c r="BV402" s="53"/>
      <c r="BW402" s="53"/>
      <c r="BX402" s="53"/>
    </row>
    <row r="403" spans="1:76" x14ac:dyDescent="0.35">
      <c r="A403" s="53"/>
      <c r="B403" s="53"/>
      <c r="C403" s="55"/>
      <c r="D403" s="53"/>
      <c r="E403" s="53"/>
      <c r="F403" s="134" t="s">
        <v>677</v>
      </c>
      <c r="G403" s="125"/>
      <c r="H403" s="125">
        <v>0</v>
      </c>
      <c r="I403" s="133">
        <v>0</v>
      </c>
      <c r="J403" s="53"/>
      <c r="K403" s="53"/>
      <c r="L403" s="53"/>
      <c r="M403" s="53"/>
      <c r="N403" s="53"/>
      <c r="O403" s="53"/>
      <c r="P403" s="53"/>
      <c r="Q403" s="53"/>
      <c r="R403" s="53"/>
      <c r="S403" s="53"/>
      <c r="T403" s="53"/>
      <c r="U403" s="53"/>
      <c r="V403" s="53"/>
      <c r="W403" s="53"/>
      <c r="X403" s="53"/>
      <c r="Y403" s="53"/>
      <c r="Z403" s="53"/>
      <c r="AA403" s="53"/>
      <c r="AB403" s="53"/>
      <c r="AC403" s="53"/>
      <c r="AD403" s="53"/>
      <c r="AE403" s="53"/>
      <c r="AF403" s="63"/>
      <c r="AG403" s="64"/>
      <c r="AH403" s="65"/>
      <c r="AI403" s="65"/>
      <c r="AJ403" s="53"/>
      <c r="AK403" s="53"/>
      <c r="AL403" s="53"/>
      <c r="AM403" s="53"/>
      <c r="AN403" s="53"/>
      <c r="AO403" s="53"/>
      <c r="AP403" s="53"/>
      <c r="AQ403" s="53"/>
      <c r="AR403" s="53"/>
      <c r="AS403" s="53"/>
      <c r="AT403" s="53"/>
      <c r="AU403" s="53"/>
      <c r="AV403" s="53"/>
      <c r="AW403" s="53"/>
      <c r="AX403" s="53"/>
      <c r="AY403" s="53"/>
      <c r="AZ403" s="53"/>
      <c r="BA403" s="53"/>
      <c r="BB403" s="53"/>
      <c r="BC403" s="53"/>
      <c r="BD403" s="53"/>
      <c r="BE403" s="53"/>
      <c r="BF403" s="53"/>
      <c r="BG403" s="53"/>
      <c r="BH403" s="53"/>
      <c r="BI403" s="53"/>
      <c r="BJ403" s="53"/>
      <c r="BK403" s="53"/>
      <c r="BL403" s="53"/>
      <c r="BM403" s="53"/>
      <c r="BN403" s="53"/>
      <c r="BO403" s="53"/>
      <c r="BP403" s="53"/>
      <c r="BQ403" s="53"/>
      <c r="BR403" s="53"/>
      <c r="BS403" s="53"/>
      <c r="BT403" s="53"/>
      <c r="BU403" s="53"/>
      <c r="BV403" s="53"/>
      <c r="BW403" s="53"/>
      <c r="BX403" s="53"/>
    </row>
    <row r="404" spans="1:76" x14ac:dyDescent="0.35">
      <c r="A404" s="53"/>
      <c r="B404" s="53"/>
      <c r="C404" s="55"/>
      <c r="D404" s="53"/>
      <c r="E404" s="53"/>
      <c r="F404" s="134" t="s">
        <v>1177</v>
      </c>
      <c r="G404" s="125">
        <v>1030.18</v>
      </c>
      <c r="H404" s="125">
        <v>0</v>
      </c>
      <c r="I404" s="133">
        <v>0</v>
      </c>
      <c r="J404" s="53"/>
      <c r="K404" s="53"/>
      <c r="L404" s="53"/>
      <c r="M404" s="53"/>
      <c r="N404" s="53"/>
      <c r="O404" s="53"/>
      <c r="P404" s="53"/>
      <c r="Q404" s="53"/>
      <c r="R404" s="53"/>
      <c r="S404" s="53"/>
      <c r="T404" s="53"/>
      <c r="U404" s="53"/>
      <c r="V404" s="53"/>
      <c r="W404" s="53"/>
      <c r="X404" s="53"/>
      <c r="Y404" s="53"/>
      <c r="Z404" s="53"/>
      <c r="AA404" s="53"/>
      <c r="AB404" s="53"/>
      <c r="AC404" s="53"/>
      <c r="AD404" s="53"/>
      <c r="AE404" s="53"/>
      <c r="AF404" s="63"/>
      <c r="AG404" s="64"/>
      <c r="AH404" s="65"/>
      <c r="AI404" s="65"/>
      <c r="AJ404" s="53"/>
      <c r="AK404" s="53"/>
      <c r="AL404" s="53"/>
      <c r="AM404" s="53"/>
      <c r="AN404" s="53"/>
      <c r="AO404" s="53"/>
      <c r="AP404" s="53"/>
      <c r="AQ404" s="53"/>
      <c r="AR404" s="53"/>
      <c r="AS404" s="53"/>
      <c r="AT404" s="53"/>
      <c r="AU404" s="53"/>
      <c r="AV404" s="53"/>
      <c r="AW404" s="53"/>
      <c r="AX404" s="53"/>
      <c r="AY404" s="53"/>
      <c r="AZ404" s="53"/>
      <c r="BA404" s="53"/>
      <c r="BB404" s="53"/>
      <c r="BC404" s="53"/>
      <c r="BD404" s="53"/>
      <c r="BE404" s="53"/>
      <c r="BF404" s="53"/>
      <c r="BG404" s="53"/>
      <c r="BH404" s="53"/>
      <c r="BI404" s="53"/>
      <c r="BJ404" s="53"/>
      <c r="BK404" s="53"/>
      <c r="BL404" s="53"/>
      <c r="BM404" s="53"/>
      <c r="BN404" s="53"/>
      <c r="BO404" s="53"/>
      <c r="BP404" s="53"/>
      <c r="BQ404" s="53"/>
      <c r="BR404" s="53"/>
      <c r="BS404" s="53"/>
      <c r="BT404" s="53"/>
      <c r="BU404" s="53"/>
      <c r="BV404" s="53"/>
      <c r="BW404" s="53"/>
      <c r="BX404" s="53"/>
    </row>
    <row r="405" spans="1:76" x14ac:dyDescent="0.35">
      <c r="A405" s="53"/>
      <c r="B405" s="53"/>
      <c r="C405" s="55"/>
      <c r="D405" s="53"/>
      <c r="E405" s="53"/>
      <c r="F405" s="134" t="s">
        <v>1271</v>
      </c>
      <c r="G405" s="125"/>
      <c r="H405" s="125">
        <v>0</v>
      </c>
      <c r="I405" s="133">
        <v>0</v>
      </c>
      <c r="J405" s="53"/>
      <c r="K405" s="53"/>
      <c r="L405" s="53"/>
      <c r="M405" s="53"/>
      <c r="N405" s="53"/>
      <c r="O405" s="53"/>
      <c r="P405" s="53"/>
      <c r="Q405" s="53"/>
      <c r="R405" s="53"/>
      <c r="S405" s="53"/>
      <c r="T405" s="53"/>
      <c r="U405" s="53"/>
      <c r="V405" s="53"/>
      <c r="W405" s="53"/>
      <c r="X405" s="53"/>
      <c r="Y405" s="53"/>
      <c r="Z405" s="53"/>
      <c r="AA405" s="53"/>
      <c r="AB405" s="53"/>
      <c r="AC405" s="53"/>
      <c r="AD405" s="53"/>
      <c r="AE405" s="53"/>
      <c r="AF405" s="63"/>
      <c r="AG405" s="64"/>
      <c r="AH405" s="65"/>
      <c r="AI405" s="65"/>
      <c r="AJ405" s="53"/>
      <c r="AK405" s="53"/>
      <c r="AL405" s="53"/>
      <c r="AM405" s="53"/>
      <c r="AN405" s="53"/>
      <c r="AO405" s="53"/>
      <c r="AP405" s="53"/>
      <c r="AQ405" s="53"/>
      <c r="AR405" s="53"/>
      <c r="AS405" s="53"/>
      <c r="AT405" s="53"/>
      <c r="AU405" s="53"/>
      <c r="AV405" s="53"/>
      <c r="AW405" s="53"/>
      <c r="AX405" s="53"/>
      <c r="AY405" s="53"/>
      <c r="AZ405" s="53"/>
      <c r="BA405" s="53"/>
      <c r="BB405" s="53"/>
      <c r="BC405" s="53"/>
      <c r="BD405" s="53"/>
      <c r="BE405" s="53"/>
      <c r="BF405" s="53"/>
      <c r="BG405" s="53"/>
      <c r="BH405" s="53"/>
      <c r="BI405" s="53"/>
      <c r="BJ405" s="53"/>
      <c r="BK405" s="53"/>
      <c r="BL405" s="53"/>
      <c r="BM405" s="53"/>
      <c r="BN405" s="53"/>
      <c r="BO405" s="53"/>
      <c r="BP405" s="53"/>
      <c r="BQ405" s="53"/>
      <c r="BR405" s="53"/>
      <c r="BS405" s="53"/>
      <c r="BT405" s="53"/>
      <c r="BU405" s="53"/>
      <c r="BV405" s="53"/>
      <c r="BW405" s="53"/>
      <c r="BX405" s="53"/>
    </row>
    <row r="406" spans="1:76" x14ac:dyDescent="0.35">
      <c r="A406" s="53"/>
      <c r="B406" s="53"/>
      <c r="C406" s="55"/>
      <c r="D406" s="53"/>
      <c r="E406" s="53"/>
      <c r="F406" s="134" t="s">
        <v>679</v>
      </c>
      <c r="G406" s="125">
        <v>1843.48</v>
      </c>
      <c r="H406" s="125">
        <v>0</v>
      </c>
      <c r="I406" s="133">
        <v>0</v>
      </c>
      <c r="J406" s="53"/>
      <c r="K406" s="53"/>
      <c r="L406" s="53"/>
      <c r="M406" s="53"/>
      <c r="N406" s="53"/>
      <c r="O406" s="53"/>
      <c r="P406" s="53"/>
      <c r="Q406" s="53"/>
      <c r="R406" s="53"/>
      <c r="S406" s="53"/>
      <c r="T406" s="53"/>
      <c r="U406" s="53"/>
      <c r="V406" s="53"/>
      <c r="W406" s="53"/>
      <c r="X406" s="53"/>
      <c r="Y406" s="53"/>
      <c r="Z406" s="53"/>
      <c r="AA406" s="53"/>
      <c r="AB406" s="53"/>
      <c r="AC406" s="53"/>
      <c r="AD406" s="53"/>
      <c r="AE406" s="53"/>
      <c r="AF406" s="63"/>
      <c r="AG406" s="64"/>
      <c r="AH406" s="65"/>
      <c r="AI406" s="65"/>
      <c r="AJ406" s="53"/>
      <c r="AK406" s="53"/>
      <c r="AL406" s="53"/>
      <c r="AM406" s="53"/>
      <c r="AN406" s="53"/>
      <c r="AO406" s="53"/>
      <c r="AP406" s="53"/>
      <c r="AQ406" s="53"/>
      <c r="AR406" s="53"/>
      <c r="AS406" s="53"/>
      <c r="AT406" s="53"/>
      <c r="AU406" s="53"/>
      <c r="AV406" s="53"/>
      <c r="AW406" s="53"/>
      <c r="AX406" s="53"/>
      <c r="AY406" s="53"/>
      <c r="AZ406" s="53"/>
      <c r="BA406" s="53"/>
      <c r="BB406" s="53"/>
      <c r="BC406" s="53"/>
      <c r="BD406" s="53"/>
      <c r="BE406" s="53"/>
      <c r="BF406" s="53"/>
      <c r="BG406" s="53"/>
      <c r="BH406" s="53"/>
      <c r="BI406" s="53"/>
      <c r="BJ406" s="53"/>
      <c r="BK406" s="53"/>
      <c r="BL406" s="53"/>
      <c r="BM406" s="53"/>
      <c r="BN406" s="53"/>
      <c r="BO406" s="53"/>
      <c r="BP406" s="53"/>
      <c r="BQ406" s="53"/>
      <c r="BR406" s="53"/>
      <c r="BS406" s="53"/>
      <c r="BT406" s="53"/>
      <c r="BU406" s="53"/>
      <c r="BV406" s="53"/>
      <c r="BW406" s="53"/>
      <c r="BX406" s="53"/>
    </row>
    <row r="407" spans="1:76" x14ac:dyDescent="0.35">
      <c r="A407" s="53"/>
      <c r="B407" s="53"/>
      <c r="C407" s="55"/>
      <c r="D407" s="53"/>
      <c r="E407" s="53"/>
      <c r="F407" s="134" t="s">
        <v>681</v>
      </c>
      <c r="G407" s="125">
        <v>1833</v>
      </c>
      <c r="H407" s="125">
        <v>10998</v>
      </c>
      <c r="I407" s="133">
        <v>6</v>
      </c>
      <c r="J407" s="53"/>
      <c r="K407" s="53"/>
      <c r="L407" s="53"/>
      <c r="M407" s="53"/>
      <c r="N407" s="53"/>
      <c r="O407" s="53"/>
      <c r="P407" s="53"/>
      <c r="Q407" s="53"/>
      <c r="R407" s="53"/>
      <c r="S407" s="53"/>
      <c r="T407" s="53"/>
      <c r="U407" s="53"/>
      <c r="V407" s="53"/>
      <c r="W407" s="53"/>
      <c r="X407" s="53"/>
      <c r="Y407" s="53"/>
      <c r="Z407" s="53"/>
      <c r="AA407" s="53"/>
      <c r="AB407" s="53"/>
      <c r="AC407" s="53"/>
      <c r="AD407" s="53"/>
      <c r="AE407" s="53"/>
      <c r="AF407" s="63"/>
      <c r="AG407" s="64"/>
      <c r="AH407" s="65"/>
      <c r="AI407" s="65"/>
      <c r="AJ407" s="53"/>
      <c r="AK407" s="53"/>
      <c r="AL407" s="53"/>
      <c r="AM407" s="53"/>
      <c r="AN407" s="53"/>
      <c r="AO407" s="53"/>
      <c r="AP407" s="53"/>
      <c r="AQ407" s="53"/>
      <c r="AR407" s="53"/>
      <c r="AS407" s="53"/>
      <c r="AT407" s="53"/>
      <c r="AU407" s="53"/>
      <c r="AV407" s="53"/>
      <c r="AW407" s="53"/>
      <c r="AX407" s="53"/>
      <c r="AY407" s="53"/>
      <c r="AZ407" s="53"/>
      <c r="BA407" s="53"/>
      <c r="BB407" s="53"/>
      <c r="BC407" s="53"/>
      <c r="BD407" s="53"/>
      <c r="BE407" s="53"/>
      <c r="BF407" s="53"/>
      <c r="BG407" s="53"/>
      <c r="BH407" s="53"/>
      <c r="BI407" s="53"/>
      <c r="BJ407" s="53"/>
      <c r="BK407" s="53"/>
      <c r="BL407" s="53"/>
      <c r="BM407" s="53"/>
      <c r="BN407" s="53"/>
      <c r="BO407" s="53"/>
      <c r="BP407" s="53"/>
      <c r="BQ407" s="53"/>
      <c r="BR407" s="53"/>
      <c r="BS407" s="53"/>
      <c r="BT407" s="53"/>
      <c r="BU407" s="53"/>
      <c r="BV407" s="53"/>
      <c r="BW407" s="53"/>
      <c r="BX407" s="53"/>
    </row>
    <row r="408" spans="1:76" x14ac:dyDescent="0.35">
      <c r="A408" s="53"/>
      <c r="B408" s="53"/>
      <c r="C408" s="55"/>
      <c r="D408" s="53"/>
      <c r="E408" s="53"/>
      <c r="F408" s="134" t="s">
        <v>684</v>
      </c>
      <c r="G408" s="125">
        <v>2782.61</v>
      </c>
      <c r="H408" s="125">
        <v>19478.27</v>
      </c>
      <c r="I408" s="133">
        <v>7</v>
      </c>
      <c r="J408" s="53"/>
      <c r="K408" s="53"/>
      <c r="L408" s="53"/>
      <c r="M408" s="53"/>
      <c r="N408" s="53"/>
      <c r="O408" s="53"/>
      <c r="P408" s="53"/>
      <c r="Q408" s="53"/>
      <c r="R408" s="53"/>
      <c r="S408" s="53"/>
      <c r="T408" s="53"/>
      <c r="U408" s="53"/>
      <c r="V408" s="53"/>
      <c r="W408" s="53"/>
      <c r="X408" s="53"/>
      <c r="Y408" s="53"/>
      <c r="Z408" s="53"/>
      <c r="AA408" s="53"/>
      <c r="AB408" s="53"/>
      <c r="AC408" s="53"/>
      <c r="AD408" s="53"/>
      <c r="AE408" s="53"/>
      <c r="AF408" s="63"/>
      <c r="AG408" s="64"/>
      <c r="AH408" s="65"/>
      <c r="AI408" s="65"/>
      <c r="AJ408" s="53"/>
      <c r="AK408" s="53"/>
      <c r="AL408" s="53"/>
      <c r="AM408" s="53"/>
      <c r="AN408" s="53"/>
      <c r="AO408" s="53"/>
      <c r="AP408" s="53"/>
      <c r="AQ408" s="53"/>
      <c r="AR408" s="53"/>
      <c r="AS408" s="53"/>
      <c r="AT408" s="53"/>
      <c r="AU408" s="53"/>
      <c r="AV408" s="53"/>
      <c r="AW408" s="53"/>
      <c r="AX408" s="53"/>
      <c r="AY408" s="53"/>
      <c r="AZ408" s="53"/>
      <c r="BA408" s="53"/>
      <c r="BB408" s="53"/>
      <c r="BC408" s="53"/>
      <c r="BD408" s="53"/>
      <c r="BE408" s="53"/>
      <c r="BF408" s="53"/>
      <c r="BG408" s="53"/>
      <c r="BH408" s="53"/>
      <c r="BI408" s="53"/>
      <c r="BJ408" s="53"/>
      <c r="BK408" s="53"/>
      <c r="BL408" s="53"/>
      <c r="BM408" s="53"/>
      <c r="BN408" s="53"/>
      <c r="BO408" s="53"/>
      <c r="BP408" s="53"/>
      <c r="BQ408" s="53"/>
      <c r="BR408" s="53"/>
      <c r="BS408" s="53"/>
      <c r="BT408" s="53"/>
      <c r="BU408" s="53"/>
      <c r="BV408" s="53"/>
      <c r="BW408" s="53"/>
      <c r="BX408" s="53"/>
    </row>
    <row r="409" spans="1:76" x14ac:dyDescent="0.35">
      <c r="A409" s="53"/>
      <c r="B409" s="53"/>
      <c r="C409" s="55"/>
      <c r="D409" s="53"/>
      <c r="E409" s="53"/>
      <c r="F409" s="134" t="s">
        <v>686</v>
      </c>
      <c r="G409" s="125"/>
      <c r="H409" s="125">
        <v>0</v>
      </c>
      <c r="I409" s="133">
        <v>0</v>
      </c>
      <c r="J409" s="53"/>
      <c r="K409" s="53"/>
      <c r="L409" s="53"/>
      <c r="M409" s="53"/>
      <c r="N409" s="53"/>
      <c r="O409" s="53"/>
      <c r="P409" s="53"/>
      <c r="Q409" s="53"/>
      <c r="R409" s="53"/>
      <c r="S409" s="53"/>
      <c r="T409" s="53"/>
      <c r="U409" s="53"/>
      <c r="V409" s="53"/>
      <c r="W409" s="53"/>
      <c r="X409" s="53"/>
      <c r="Y409" s="53"/>
      <c r="Z409" s="53"/>
      <c r="AA409" s="53"/>
      <c r="AB409" s="53"/>
      <c r="AC409" s="53"/>
      <c r="AD409" s="53"/>
      <c r="AE409" s="53"/>
      <c r="AF409" s="63"/>
      <c r="AG409" s="64"/>
      <c r="AH409" s="65"/>
      <c r="AI409" s="65"/>
      <c r="AJ409" s="53"/>
      <c r="AK409" s="53"/>
      <c r="AL409" s="53"/>
      <c r="AM409" s="53"/>
      <c r="AN409" s="53"/>
      <c r="AO409" s="53"/>
      <c r="AP409" s="53"/>
      <c r="AQ409" s="53"/>
      <c r="AR409" s="53"/>
      <c r="AS409" s="53"/>
      <c r="AT409" s="53"/>
      <c r="AU409" s="53"/>
      <c r="AV409" s="53"/>
      <c r="AW409" s="53"/>
      <c r="AX409" s="53"/>
      <c r="AY409" s="53"/>
      <c r="AZ409" s="53"/>
      <c r="BA409" s="53"/>
      <c r="BB409" s="53"/>
      <c r="BC409" s="53"/>
      <c r="BD409" s="53"/>
      <c r="BE409" s="53"/>
      <c r="BF409" s="53"/>
      <c r="BG409" s="53"/>
      <c r="BH409" s="53"/>
      <c r="BI409" s="53"/>
      <c r="BJ409" s="53"/>
      <c r="BK409" s="53"/>
      <c r="BL409" s="53"/>
      <c r="BM409" s="53"/>
      <c r="BN409" s="53"/>
      <c r="BO409" s="53"/>
      <c r="BP409" s="53"/>
      <c r="BQ409" s="53"/>
      <c r="BR409" s="53"/>
      <c r="BS409" s="53"/>
      <c r="BT409" s="53"/>
      <c r="BU409" s="53"/>
      <c r="BV409" s="53"/>
      <c r="BW409" s="53"/>
      <c r="BX409" s="53"/>
    </row>
    <row r="410" spans="1:76" x14ac:dyDescent="0.35">
      <c r="A410" s="53"/>
      <c r="B410" s="53"/>
      <c r="C410" s="55"/>
      <c r="D410" s="53"/>
      <c r="E410" s="53"/>
      <c r="F410" s="134" t="s">
        <v>1170</v>
      </c>
      <c r="G410" s="125">
        <v>122.16</v>
      </c>
      <c r="H410" s="125">
        <v>244.32</v>
      </c>
      <c r="I410" s="133">
        <v>2</v>
      </c>
      <c r="J410" s="53"/>
      <c r="K410" s="53"/>
      <c r="L410" s="53"/>
      <c r="M410" s="53"/>
      <c r="N410" s="53"/>
      <c r="O410" s="53"/>
      <c r="P410" s="53"/>
      <c r="Q410" s="53"/>
      <c r="R410" s="53"/>
      <c r="S410" s="53"/>
      <c r="T410" s="53"/>
      <c r="U410" s="53"/>
      <c r="V410" s="53"/>
      <c r="W410" s="53"/>
      <c r="X410" s="53"/>
      <c r="Y410" s="53"/>
      <c r="Z410" s="53"/>
      <c r="AA410" s="53"/>
      <c r="AB410" s="53"/>
      <c r="AC410" s="53"/>
      <c r="AD410" s="53"/>
      <c r="AE410" s="53"/>
      <c r="AF410" s="63"/>
      <c r="AG410" s="64"/>
      <c r="AH410" s="65"/>
      <c r="AI410" s="65"/>
      <c r="AJ410" s="53"/>
      <c r="AK410" s="53"/>
      <c r="AL410" s="53"/>
      <c r="AM410" s="53"/>
      <c r="AN410" s="53"/>
      <c r="AO410" s="53"/>
      <c r="AP410" s="53"/>
      <c r="AQ410" s="53"/>
      <c r="AR410" s="53"/>
      <c r="AS410" s="53"/>
      <c r="AT410" s="53"/>
      <c r="AU410" s="53"/>
      <c r="AV410" s="53"/>
      <c r="AW410" s="53"/>
      <c r="AX410" s="53"/>
      <c r="AY410" s="53"/>
      <c r="AZ410" s="53"/>
      <c r="BA410" s="53"/>
      <c r="BB410" s="53"/>
      <c r="BC410" s="53"/>
      <c r="BD410" s="53"/>
      <c r="BE410" s="53"/>
      <c r="BF410" s="53"/>
      <c r="BG410" s="53"/>
      <c r="BH410" s="53"/>
      <c r="BI410" s="53"/>
      <c r="BJ410" s="53"/>
      <c r="BK410" s="53"/>
      <c r="BL410" s="53"/>
      <c r="BM410" s="53"/>
      <c r="BN410" s="53"/>
      <c r="BO410" s="53"/>
      <c r="BP410" s="53"/>
      <c r="BQ410" s="53"/>
      <c r="BR410" s="53"/>
      <c r="BS410" s="53"/>
      <c r="BT410" s="53"/>
      <c r="BU410" s="53"/>
      <c r="BV410" s="53"/>
      <c r="BW410" s="53"/>
      <c r="BX410" s="53"/>
    </row>
    <row r="411" spans="1:76" x14ac:dyDescent="0.35">
      <c r="A411" s="53"/>
      <c r="B411" s="53"/>
      <c r="C411" s="55"/>
      <c r="D411" s="53"/>
      <c r="E411" s="53"/>
      <c r="F411" s="126" t="s">
        <v>1500</v>
      </c>
      <c r="G411" s="125">
        <v>5680.5839999999998</v>
      </c>
      <c r="H411" s="125">
        <v>0</v>
      </c>
      <c r="I411" s="133">
        <v>0</v>
      </c>
      <c r="J411" s="53"/>
      <c r="K411" s="53"/>
      <c r="L411" s="53"/>
      <c r="M411" s="53"/>
      <c r="N411" s="53"/>
      <c r="O411" s="53"/>
      <c r="P411" s="53"/>
      <c r="Q411" s="53"/>
      <c r="R411" s="53"/>
      <c r="S411" s="53"/>
      <c r="T411" s="53"/>
      <c r="U411" s="53"/>
      <c r="V411" s="53"/>
      <c r="W411" s="53"/>
      <c r="X411" s="53"/>
      <c r="Y411" s="53"/>
      <c r="Z411" s="53"/>
      <c r="AA411" s="53"/>
      <c r="AB411" s="53"/>
      <c r="AC411" s="53"/>
      <c r="AD411" s="53"/>
      <c r="AE411" s="53"/>
      <c r="AF411" s="63"/>
      <c r="AG411" s="64"/>
      <c r="AH411" s="65"/>
      <c r="AI411" s="65"/>
      <c r="AJ411" s="53"/>
      <c r="AK411" s="53"/>
      <c r="AL411" s="53"/>
      <c r="AM411" s="53"/>
      <c r="AN411" s="53"/>
      <c r="AO411" s="53"/>
      <c r="AP411" s="53"/>
      <c r="AQ411" s="53"/>
      <c r="AR411" s="53"/>
      <c r="AS411" s="53"/>
      <c r="AT411" s="53"/>
      <c r="AU411" s="53"/>
      <c r="AV411" s="53"/>
      <c r="AW411" s="53"/>
      <c r="AX411" s="53"/>
      <c r="AY411" s="53"/>
      <c r="AZ411" s="53"/>
      <c r="BA411" s="53"/>
      <c r="BB411" s="53"/>
      <c r="BC411" s="53"/>
      <c r="BD411" s="53"/>
      <c r="BE411" s="53"/>
      <c r="BF411" s="53"/>
      <c r="BG411" s="53"/>
      <c r="BH411" s="53"/>
      <c r="BI411" s="53"/>
      <c r="BJ411" s="53"/>
      <c r="BK411" s="53"/>
      <c r="BL411" s="53"/>
      <c r="BM411" s="53"/>
      <c r="BN411" s="53"/>
      <c r="BO411" s="53"/>
      <c r="BP411" s="53"/>
      <c r="BQ411" s="53"/>
      <c r="BR411" s="53"/>
      <c r="BS411" s="53"/>
      <c r="BT411" s="53"/>
      <c r="BU411" s="53"/>
      <c r="BV411" s="53"/>
      <c r="BW411" s="53"/>
      <c r="BX411" s="53"/>
    </row>
    <row r="412" spans="1:76" x14ac:dyDescent="0.35">
      <c r="A412" s="53"/>
      <c r="B412" s="53"/>
      <c r="C412" s="55"/>
      <c r="D412" s="53"/>
      <c r="E412" s="53"/>
      <c r="F412" s="134" t="s">
        <v>603</v>
      </c>
      <c r="G412" s="125"/>
      <c r="H412" s="125">
        <v>0</v>
      </c>
      <c r="I412" s="133">
        <v>0</v>
      </c>
      <c r="J412" s="53"/>
      <c r="K412" s="53"/>
      <c r="L412" s="53"/>
      <c r="M412" s="53"/>
      <c r="N412" s="53"/>
      <c r="O412" s="53"/>
      <c r="P412" s="53"/>
      <c r="Q412" s="53"/>
      <c r="R412" s="53"/>
      <c r="S412" s="53"/>
      <c r="T412" s="53"/>
      <c r="U412" s="53"/>
      <c r="V412" s="53"/>
      <c r="W412" s="53"/>
      <c r="X412" s="53"/>
      <c r="Y412" s="53"/>
      <c r="Z412" s="53"/>
      <c r="AA412" s="53"/>
      <c r="AB412" s="53"/>
      <c r="AC412" s="53"/>
      <c r="AD412" s="53"/>
      <c r="AE412" s="53"/>
      <c r="AF412" s="63"/>
      <c r="AG412" s="64"/>
      <c r="AH412" s="65"/>
      <c r="AI412" s="65"/>
      <c r="AJ412" s="53"/>
      <c r="AK412" s="53"/>
      <c r="AL412" s="53"/>
      <c r="AM412" s="53"/>
      <c r="AN412" s="53"/>
      <c r="AO412" s="53"/>
      <c r="AP412" s="53"/>
      <c r="AQ412" s="53"/>
      <c r="AR412" s="53"/>
      <c r="AS412" s="53"/>
      <c r="AT412" s="53"/>
      <c r="AU412" s="53"/>
      <c r="AV412" s="53"/>
      <c r="AW412" s="53"/>
      <c r="AX412" s="53"/>
      <c r="AY412" s="53"/>
      <c r="AZ412" s="53"/>
      <c r="BA412" s="53"/>
      <c r="BB412" s="53"/>
      <c r="BC412" s="53"/>
      <c r="BD412" s="53"/>
      <c r="BE412" s="53"/>
      <c r="BF412" s="53"/>
      <c r="BG412" s="53"/>
      <c r="BH412" s="53"/>
      <c r="BI412" s="53"/>
      <c r="BJ412" s="53"/>
      <c r="BK412" s="53"/>
      <c r="BL412" s="53"/>
      <c r="BM412" s="53"/>
      <c r="BN412" s="53"/>
      <c r="BO412" s="53"/>
      <c r="BP412" s="53"/>
      <c r="BQ412" s="53"/>
      <c r="BR412" s="53"/>
      <c r="BS412" s="53"/>
      <c r="BT412" s="53"/>
      <c r="BU412" s="53"/>
      <c r="BV412" s="53"/>
      <c r="BW412" s="53"/>
      <c r="BX412" s="53"/>
    </row>
    <row r="413" spans="1:76" x14ac:dyDescent="0.35">
      <c r="A413" s="53"/>
      <c r="B413" s="53"/>
      <c r="C413" s="55"/>
      <c r="D413" s="53"/>
      <c r="E413" s="53"/>
      <c r="F413" s="134" t="s">
        <v>690</v>
      </c>
      <c r="G413" s="125">
        <v>12.78</v>
      </c>
      <c r="H413" s="125">
        <v>63.9</v>
      </c>
      <c r="I413" s="133">
        <v>5</v>
      </c>
      <c r="J413" s="53"/>
      <c r="K413" s="53"/>
      <c r="L413" s="53"/>
      <c r="M413" s="53"/>
      <c r="N413" s="53"/>
      <c r="O413" s="53"/>
      <c r="P413" s="53"/>
      <c r="Q413" s="53"/>
      <c r="R413" s="53"/>
      <c r="S413" s="53"/>
      <c r="T413" s="53"/>
      <c r="U413" s="53"/>
      <c r="V413" s="53"/>
      <c r="W413" s="53"/>
      <c r="X413" s="53"/>
      <c r="Y413" s="53"/>
      <c r="Z413" s="53"/>
      <c r="AA413" s="53"/>
      <c r="AB413" s="53"/>
      <c r="AC413" s="53"/>
      <c r="AD413" s="53"/>
      <c r="AE413" s="53"/>
      <c r="AF413" s="63"/>
      <c r="AG413" s="64"/>
      <c r="AH413" s="65"/>
      <c r="AI413" s="65"/>
      <c r="AJ413" s="53"/>
      <c r="AK413" s="53"/>
      <c r="AL413" s="53"/>
      <c r="AM413" s="53"/>
      <c r="AN413" s="53"/>
      <c r="AO413" s="53"/>
      <c r="AP413" s="53"/>
      <c r="AQ413" s="53"/>
      <c r="AR413" s="53"/>
      <c r="AS413" s="53"/>
      <c r="AT413" s="53"/>
      <c r="AU413" s="53"/>
      <c r="AV413" s="53"/>
      <c r="AW413" s="53"/>
      <c r="AX413" s="53"/>
      <c r="AY413" s="53"/>
      <c r="AZ413" s="53"/>
      <c r="BA413" s="53"/>
      <c r="BB413" s="53"/>
      <c r="BC413" s="53"/>
      <c r="BD413" s="53"/>
      <c r="BE413" s="53"/>
      <c r="BF413" s="53"/>
      <c r="BG413" s="53"/>
      <c r="BH413" s="53"/>
      <c r="BI413" s="53"/>
      <c r="BJ413" s="53"/>
      <c r="BK413" s="53"/>
      <c r="BL413" s="53"/>
      <c r="BM413" s="53"/>
      <c r="BN413" s="53"/>
      <c r="BO413" s="53"/>
      <c r="BP413" s="53"/>
      <c r="BQ413" s="53"/>
      <c r="BR413" s="53"/>
      <c r="BS413" s="53"/>
      <c r="BT413" s="53"/>
      <c r="BU413" s="53"/>
      <c r="BV413" s="53"/>
      <c r="BW413" s="53"/>
      <c r="BX413" s="53"/>
    </row>
    <row r="414" spans="1:76" x14ac:dyDescent="0.35">
      <c r="A414" s="53"/>
      <c r="B414" s="53"/>
      <c r="C414" s="55"/>
      <c r="D414" s="53"/>
      <c r="E414" s="53"/>
      <c r="F414" s="134" t="s">
        <v>1353</v>
      </c>
      <c r="G414" s="125"/>
      <c r="H414" s="125">
        <v>0</v>
      </c>
      <c r="I414" s="133">
        <v>0</v>
      </c>
      <c r="J414" s="53"/>
      <c r="K414" s="53"/>
      <c r="L414" s="53"/>
      <c r="M414" s="53"/>
      <c r="N414" s="53"/>
      <c r="O414" s="53"/>
      <c r="P414" s="53"/>
      <c r="Q414" s="53"/>
      <c r="R414" s="53"/>
      <c r="S414" s="53"/>
      <c r="T414" s="53"/>
      <c r="U414" s="53"/>
      <c r="V414" s="53"/>
      <c r="W414" s="53"/>
      <c r="X414" s="53"/>
      <c r="Y414" s="53"/>
      <c r="Z414" s="53"/>
      <c r="AA414" s="53"/>
      <c r="AB414" s="53"/>
      <c r="AC414" s="53"/>
      <c r="AD414" s="53"/>
      <c r="AE414" s="53"/>
      <c r="AF414" s="63"/>
      <c r="AG414" s="64"/>
      <c r="AH414" s="65"/>
      <c r="AI414" s="65"/>
      <c r="AJ414" s="53"/>
      <c r="AK414" s="53"/>
      <c r="AL414" s="53"/>
      <c r="AM414" s="53"/>
      <c r="AN414" s="53"/>
      <c r="AO414" s="53"/>
      <c r="AP414" s="53"/>
      <c r="AQ414" s="53"/>
      <c r="AR414" s="53"/>
      <c r="AS414" s="53"/>
      <c r="AT414" s="53"/>
      <c r="AU414" s="53"/>
      <c r="AV414" s="53"/>
      <c r="AW414" s="53"/>
      <c r="AX414" s="53"/>
      <c r="AY414" s="53"/>
      <c r="AZ414" s="53"/>
      <c r="BA414" s="53"/>
      <c r="BB414" s="53"/>
      <c r="BC414" s="53"/>
      <c r="BD414" s="53"/>
      <c r="BE414" s="53"/>
      <c r="BF414" s="53"/>
      <c r="BG414" s="53"/>
      <c r="BH414" s="53"/>
      <c r="BI414" s="53"/>
      <c r="BJ414" s="53"/>
      <c r="BK414" s="53"/>
      <c r="BL414" s="53"/>
      <c r="BM414" s="53"/>
      <c r="BN414" s="53"/>
      <c r="BO414" s="53"/>
      <c r="BP414" s="53"/>
      <c r="BQ414" s="53"/>
      <c r="BR414" s="53"/>
      <c r="BS414" s="53"/>
      <c r="BT414" s="53"/>
      <c r="BU414" s="53"/>
      <c r="BV414" s="53"/>
      <c r="BW414" s="53"/>
      <c r="BX414" s="53"/>
    </row>
    <row r="415" spans="1:76" x14ac:dyDescent="0.35">
      <c r="A415" s="53"/>
      <c r="B415" s="53"/>
      <c r="C415" s="55"/>
      <c r="D415" s="53"/>
      <c r="E415" s="53"/>
      <c r="F415" s="134" t="s">
        <v>1337</v>
      </c>
      <c r="G415" s="125"/>
      <c r="H415" s="125">
        <v>0</v>
      </c>
      <c r="I415" s="133">
        <v>0</v>
      </c>
      <c r="J415" s="53"/>
      <c r="K415" s="53"/>
      <c r="L415" s="53"/>
      <c r="M415" s="53"/>
      <c r="N415" s="53"/>
      <c r="O415" s="53"/>
      <c r="P415" s="53"/>
      <c r="Q415" s="53"/>
      <c r="R415" s="53"/>
      <c r="S415" s="53"/>
      <c r="T415" s="53"/>
      <c r="U415" s="53"/>
      <c r="V415" s="53"/>
      <c r="W415" s="53"/>
      <c r="X415" s="53"/>
      <c r="Y415" s="53"/>
      <c r="Z415" s="53"/>
      <c r="AA415" s="53"/>
      <c r="AB415" s="53"/>
      <c r="AC415" s="53"/>
      <c r="AD415" s="53"/>
      <c r="AE415" s="53"/>
      <c r="AF415" s="63"/>
      <c r="AG415" s="64"/>
      <c r="AH415" s="65"/>
      <c r="AI415" s="65"/>
      <c r="AJ415" s="53"/>
      <c r="AK415" s="53"/>
      <c r="AL415" s="53"/>
      <c r="AM415" s="53"/>
      <c r="AN415" s="53"/>
      <c r="AO415" s="53"/>
      <c r="AP415" s="53"/>
      <c r="AQ415" s="53"/>
      <c r="AR415" s="53"/>
      <c r="AS415" s="53"/>
      <c r="AT415" s="53"/>
      <c r="AU415" s="53"/>
      <c r="AV415" s="53"/>
      <c r="AW415" s="53"/>
      <c r="AX415" s="53"/>
      <c r="AY415" s="53"/>
      <c r="AZ415" s="53"/>
      <c r="BA415" s="53"/>
      <c r="BB415" s="53"/>
      <c r="BC415" s="53"/>
      <c r="BD415" s="53"/>
      <c r="BE415" s="53"/>
      <c r="BF415" s="53"/>
      <c r="BG415" s="53"/>
      <c r="BH415" s="53"/>
      <c r="BI415" s="53"/>
      <c r="BJ415" s="53"/>
      <c r="BK415" s="53"/>
      <c r="BL415" s="53"/>
      <c r="BM415" s="53"/>
      <c r="BN415" s="53"/>
      <c r="BO415" s="53"/>
      <c r="BP415" s="53"/>
      <c r="BQ415" s="53"/>
      <c r="BR415" s="53"/>
      <c r="BS415" s="53"/>
      <c r="BT415" s="53"/>
      <c r="BU415" s="53"/>
      <c r="BV415" s="53"/>
      <c r="BW415" s="53"/>
      <c r="BX415" s="53"/>
    </row>
    <row r="416" spans="1:76" x14ac:dyDescent="0.35">
      <c r="A416" s="53"/>
      <c r="B416" s="53"/>
      <c r="C416" s="55"/>
      <c r="D416" s="53"/>
      <c r="E416" s="53"/>
      <c r="F416" s="134" t="s">
        <v>1338</v>
      </c>
      <c r="G416" s="125">
        <v>5125.82</v>
      </c>
      <c r="H416" s="125">
        <v>10251.64</v>
      </c>
      <c r="I416" s="133">
        <v>2</v>
      </c>
      <c r="J416" s="53"/>
      <c r="K416" s="53"/>
      <c r="L416" s="53"/>
      <c r="M416" s="53"/>
      <c r="N416" s="53"/>
      <c r="O416" s="53"/>
      <c r="P416" s="53"/>
      <c r="Q416" s="53"/>
      <c r="R416" s="53"/>
      <c r="S416" s="53"/>
      <c r="T416" s="53"/>
      <c r="U416" s="53"/>
      <c r="V416" s="53"/>
      <c r="W416" s="53"/>
      <c r="X416" s="53"/>
      <c r="Y416" s="53"/>
      <c r="Z416" s="53"/>
      <c r="AA416" s="53"/>
      <c r="AB416" s="53"/>
      <c r="AC416" s="53"/>
      <c r="AD416" s="53"/>
      <c r="AE416" s="53"/>
      <c r="AF416" s="63"/>
      <c r="AG416" s="64"/>
      <c r="AH416" s="65"/>
      <c r="AI416" s="65"/>
      <c r="AJ416" s="53"/>
      <c r="AK416" s="53"/>
      <c r="AL416" s="53"/>
      <c r="AM416" s="53"/>
      <c r="AN416" s="53"/>
      <c r="AO416" s="53"/>
      <c r="AP416" s="53"/>
      <c r="AQ416" s="53"/>
      <c r="AR416" s="53"/>
      <c r="AS416" s="53"/>
      <c r="AT416" s="53"/>
      <c r="AU416" s="53"/>
      <c r="AV416" s="53"/>
      <c r="AW416" s="53"/>
      <c r="AX416" s="53"/>
      <c r="AY416" s="53"/>
      <c r="AZ416" s="53"/>
      <c r="BA416" s="53"/>
      <c r="BB416" s="53"/>
      <c r="BC416" s="53"/>
      <c r="BD416" s="53"/>
      <c r="BE416" s="53"/>
      <c r="BF416" s="53"/>
      <c r="BG416" s="53"/>
      <c r="BH416" s="53"/>
      <c r="BI416" s="53"/>
      <c r="BJ416" s="53"/>
      <c r="BK416" s="53"/>
      <c r="BL416" s="53"/>
      <c r="BM416" s="53"/>
      <c r="BN416" s="53"/>
      <c r="BO416" s="53"/>
      <c r="BP416" s="53"/>
      <c r="BQ416" s="53"/>
      <c r="BR416" s="53"/>
      <c r="BS416" s="53"/>
      <c r="BT416" s="53"/>
      <c r="BU416" s="53"/>
      <c r="BV416" s="53"/>
      <c r="BW416" s="53"/>
      <c r="BX416" s="53"/>
    </row>
    <row r="417" spans="1:76" x14ac:dyDescent="0.35">
      <c r="A417" s="53"/>
      <c r="B417" s="53"/>
      <c r="C417" s="55"/>
      <c r="D417" s="53"/>
      <c r="E417" s="53"/>
      <c r="F417" s="134" t="s">
        <v>1169</v>
      </c>
      <c r="G417" s="125"/>
      <c r="H417" s="125">
        <v>0</v>
      </c>
      <c r="I417" s="133">
        <v>0</v>
      </c>
      <c r="J417" s="53"/>
      <c r="K417" s="53"/>
      <c r="L417" s="53"/>
      <c r="M417" s="53"/>
      <c r="N417" s="53"/>
      <c r="O417" s="53"/>
      <c r="P417" s="53"/>
      <c r="Q417" s="53"/>
      <c r="R417" s="53"/>
      <c r="S417" s="53"/>
      <c r="T417" s="53"/>
      <c r="U417" s="53"/>
      <c r="V417" s="53"/>
      <c r="W417" s="53"/>
      <c r="X417" s="53"/>
      <c r="Y417" s="53"/>
      <c r="Z417" s="53"/>
      <c r="AA417" s="53"/>
      <c r="AB417" s="53"/>
      <c r="AC417" s="53"/>
      <c r="AD417" s="53"/>
      <c r="AE417" s="53"/>
      <c r="AF417" s="63"/>
      <c r="AG417" s="64"/>
      <c r="AH417" s="65"/>
      <c r="AI417" s="65"/>
      <c r="AJ417" s="53"/>
      <c r="AK417" s="53"/>
      <c r="AL417" s="53"/>
      <c r="AM417" s="53"/>
      <c r="AN417" s="53"/>
      <c r="AO417" s="53"/>
      <c r="AP417" s="53"/>
      <c r="AQ417" s="53"/>
      <c r="AR417" s="53"/>
      <c r="AS417" s="53"/>
      <c r="AT417" s="53"/>
      <c r="AU417" s="53"/>
      <c r="AV417" s="53"/>
      <c r="AW417" s="53"/>
      <c r="AX417" s="53"/>
      <c r="AY417" s="53"/>
      <c r="AZ417" s="53"/>
      <c r="BA417" s="53"/>
      <c r="BB417" s="53"/>
      <c r="BC417" s="53"/>
      <c r="BD417" s="53"/>
      <c r="BE417" s="53"/>
      <c r="BF417" s="53"/>
      <c r="BG417" s="53"/>
      <c r="BH417" s="53"/>
      <c r="BI417" s="53"/>
      <c r="BJ417" s="53"/>
      <c r="BK417" s="53"/>
      <c r="BL417" s="53"/>
      <c r="BM417" s="53"/>
      <c r="BN417" s="53"/>
      <c r="BO417" s="53"/>
      <c r="BP417" s="53"/>
      <c r="BQ417" s="53"/>
      <c r="BR417" s="53"/>
      <c r="BS417" s="53"/>
      <c r="BT417" s="53"/>
      <c r="BU417" s="53"/>
      <c r="BV417" s="53"/>
      <c r="BW417" s="53"/>
      <c r="BX417" s="53"/>
    </row>
    <row r="418" spans="1:76" x14ac:dyDescent="0.35">
      <c r="A418" s="53"/>
      <c r="B418" s="53"/>
      <c r="C418" s="55"/>
      <c r="D418" s="53"/>
      <c r="E418" s="53"/>
      <c r="F418" s="134" t="s">
        <v>693</v>
      </c>
      <c r="G418" s="125">
        <v>458.22</v>
      </c>
      <c r="H418" s="125">
        <v>916.44</v>
      </c>
      <c r="I418" s="133">
        <v>2</v>
      </c>
      <c r="J418" s="53"/>
      <c r="K418" s="53"/>
      <c r="L418" s="53"/>
      <c r="M418" s="53"/>
      <c r="N418" s="53"/>
      <c r="O418" s="53"/>
      <c r="P418" s="53"/>
      <c r="Q418" s="53"/>
      <c r="R418" s="53"/>
      <c r="S418" s="53"/>
      <c r="T418" s="53"/>
      <c r="U418" s="53"/>
      <c r="V418" s="53"/>
      <c r="W418" s="53"/>
      <c r="X418" s="53"/>
      <c r="Y418" s="53"/>
      <c r="Z418" s="53"/>
      <c r="AA418" s="53"/>
      <c r="AB418" s="53"/>
      <c r="AC418" s="53"/>
      <c r="AD418" s="53"/>
      <c r="AE418" s="53"/>
      <c r="AF418" s="63"/>
      <c r="AG418" s="64"/>
      <c r="AH418" s="65"/>
      <c r="AI418" s="65"/>
      <c r="AJ418" s="53"/>
      <c r="AK418" s="53"/>
      <c r="AL418" s="53"/>
      <c r="AM418" s="53"/>
      <c r="AN418" s="53"/>
      <c r="AO418" s="53"/>
      <c r="AP418" s="53"/>
      <c r="AQ418" s="53"/>
      <c r="AR418" s="53"/>
      <c r="AS418" s="53"/>
      <c r="AT418" s="53"/>
      <c r="AU418" s="53"/>
      <c r="AV418" s="53"/>
      <c r="AW418" s="53"/>
      <c r="AX418" s="53"/>
      <c r="AY418" s="53"/>
      <c r="AZ418" s="53"/>
      <c r="BA418" s="53"/>
      <c r="BB418" s="53"/>
      <c r="BC418" s="53"/>
      <c r="BD418" s="53"/>
      <c r="BE418" s="53"/>
      <c r="BF418" s="53"/>
      <c r="BG418" s="53"/>
      <c r="BH418" s="53"/>
      <c r="BI418" s="53"/>
      <c r="BJ418" s="53"/>
      <c r="BK418" s="53"/>
      <c r="BL418" s="53"/>
      <c r="BM418" s="53"/>
      <c r="BN418" s="53"/>
      <c r="BO418" s="53"/>
      <c r="BP418" s="53"/>
      <c r="BQ418" s="53"/>
      <c r="BR418" s="53"/>
      <c r="BS418" s="53"/>
      <c r="BT418" s="53"/>
      <c r="BU418" s="53"/>
      <c r="BV418" s="53"/>
      <c r="BW418" s="53"/>
      <c r="BX418" s="53"/>
    </row>
    <row r="419" spans="1:76" x14ac:dyDescent="0.35">
      <c r="A419" s="53"/>
      <c r="B419" s="53"/>
      <c r="C419" s="55"/>
      <c r="D419" s="53"/>
      <c r="E419" s="53"/>
      <c r="F419" s="134" t="s">
        <v>600</v>
      </c>
      <c r="G419" s="125">
        <v>205</v>
      </c>
      <c r="H419" s="125">
        <v>0</v>
      </c>
      <c r="I419" s="133">
        <v>0</v>
      </c>
      <c r="J419" s="53"/>
      <c r="K419" s="53"/>
      <c r="L419" s="53"/>
      <c r="M419" s="53"/>
      <c r="N419" s="53"/>
      <c r="O419" s="53"/>
      <c r="P419" s="53"/>
      <c r="Q419" s="53"/>
      <c r="R419" s="53"/>
      <c r="S419" s="53"/>
      <c r="T419" s="53"/>
      <c r="U419" s="53"/>
      <c r="V419" s="53"/>
      <c r="W419" s="53"/>
      <c r="X419" s="53"/>
      <c r="Y419" s="53"/>
      <c r="Z419" s="53"/>
      <c r="AA419" s="53"/>
      <c r="AB419" s="53"/>
      <c r="AC419" s="53"/>
      <c r="AD419" s="53"/>
      <c r="AE419" s="53"/>
      <c r="AF419" s="63"/>
      <c r="AG419" s="64"/>
      <c r="AH419" s="65"/>
      <c r="AI419" s="65"/>
      <c r="AJ419" s="53"/>
      <c r="AK419" s="53"/>
      <c r="AL419" s="53"/>
      <c r="AM419" s="53"/>
      <c r="AN419" s="53"/>
      <c r="AO419" s="53"/>
      <c r="AP419" s="53"/>
      <c r="AQ419" s="53"/>
      <c r="AR419" s="53"/>
      <c r="AS419" s="53"/>
      <c r="AT419" s="53"/>
      <c r="AU419" s="53"/>
      <c r="AV419" s="53"/>
      <c r="AW419" s="53"/>
      <c r="AX419" s="53"/>
      <c r="AY419" s="53"/>
      <c r="AZ419" s="53"/>
      <c r="BA419" s="53"/>
      <c r="BB419" s="53"/>
      <c r="BC419" s="53"/>
      <c r="BD419" s="53"/>
      <c r="BE419" s="53"/>
      <c r="BF419" s="53"/>
      <c r="BG419" s="53"/>
      <c r="BH419" s="53"/>
      <c r="BI419" s="53"/>
      <c r="BJ419" s="53"/>
      <c r="BK419" s="53"/>
      <c r="BL419" s="53"/>
      <c r="BM419" s="53"/>
      <c r="BN419" s="53"/>
      <c r="BO419" s="53"/>
      <c r="BP419" s="53"/>
      <c r="BQ419" s="53"/>
      <c r="BR419" s="53"/>
      <c r="BS419" s="53"/>
      <c r="BT419" s="53"/>
      <c r="BU419" s="53"/>
      <c r="BV419" s="53"/>
      <c r="BW419" s="53"/>
      <c r="BX419" s="53"/>
    </row>
    <row r="420" spans="1:76" x14ac:dyDescent="0.35">
      <c r="A420" s="53"/>
      <c r="B420" s="53"/>
      <c r="C420" s="55"/>
      <c r="D420" s="53"/>
      <c r="E420" s="53"/>
      <c r="F420" s="124" t="s">
        <v>697</v>
      </c>
      <c r="G420" s="125">
        <v>8109.4800000000005</v>
      </c>
      <c r="H420" s="125">
        <v>45959.67</v>
      </c>
      <c r="I420" s="133">
        <v>150</v>
      </c>
      <c r="J420" s="53"/>
      <c r="K420" s="53"/>
      <c r="L420" s="53"/>
      <c r="M420" s="53"/>
      <c r="N420" s="53"/>
      <c r="O420" s="53"/>
      <c r="P420" s="53"/>
      <c r="Q420" s="53"/>
      <c r="R420" s="53"/>
      <c r="S420" s="53"/>
      <c r="T420" s="53"/>
      <c r="U420" s="53"/>
      <c r="V420" s="53"/>
      <c r="W420" s="53"/>
      <c r="X420" s="53"/>
      <c r="Y420" s="53"/>
      <c r="Z420" s="53"/>
      <c r="AA420" s="53"/>
      <c r="AB420" s="53"/>
      <c r="AC420" s="53"/>
      <c r="AD420" s="53"/>
      <c r="AE420" s="53"/>
      <c r="AF420" s="63"/>
      <c r="AG420" s="64"/>
      <c r="AH420" s="65"/>
      <c r="AI420" s="65"/>
      <c r="AJ420" s="53"/>
      <c r="AK420" s="53"/>
      <c r="AL420" s="53"/>
      <c r="AM420" s="53"/>
      <c r="AN420" s="53"/>
      <c r="AO420" s="53"/>
      <c r="AP420" s="53"/>
      <c r="AQ420" s="53"/>
      <c r="AR420" s="53"/>
      <c r="AS420" s="53"/>
      <c r="AT420" s="53"/>
      <c r="AU420" s="53"/>
      <c r="AV420" s="53"/>
      <c r="AW420" s="53"/>
      <c r="AX420" s="53"/>
      <c r="AY420" s="53"/>
      <c r="AZ420" s="53"/>
      <c r="BA420" s="53"/>
      <c r="BB420" s="53"/>
      <c r="BC420" s="53"/>
      <c r="BD420" s="53"/>
      <c r="BE420" s="53"/>
      <c r="BF420" s="53"/>
      <c r="BG420" s="53"/>
      <c r="BH420" s="53"/>
      <c r="BI420" s="53"/>
      <c r="BJ420" s="53"/>
      <c r="BK420" s="53"/>
      <c r="BL420" s="53"/>
      <c r="BM420" s="53"/>
      <c r="BN420" s="53"/>
      <c r="BO420" s="53"/>
      <c r="BP420" s="53"/>
      <c r="BQ420" s="53"/>
      <c r="BR420" s="53"/>
      <c r="BS420" s="53"/>
      <c r="BT420" s="53"/>
      <c r="BU420" s="53"/>
      <c r="BV420" s="53"/>
      <c r="BW420" s="53"/>
      <c r="BX420" s="53"/>
    </row>
    <row r="421" spans="1:76" x14ac:dyDescent="0.35">
      <c r="A421" s="53"/>
      <c r="B421" s="53"/>
      <c r="C421" s="55"/>
      <c r="D421" s="53"/>
      <c r="E421" s="53"/>
      <c r="F421" s="126" t="s">
        <v>695</v>
      </c>
      <c r="G421" s="125">
        <v>236</v>
      </c>
      <c r="H421" s="125">
        <v>236</v>
      </c>
      <c r="I421" s="133">
        <v>1</v>
      </c>
      <c r="J421" s="53"/>
      <c r="K421" s="53"/>
      <c r="L421" s="53"/>
      <c r="M421" s="53"/>
      <c r="N421" s="53"/>
      <c r="O421" s="53"/>
      <c r="P421" s="53"/>
      <c r="Q421" s="53"/>
      <c r="R421" s="53"/>
      <c r="S421" s="53"/>
      <c r="T421" s="53"/>
      <c r="U421" s="53"/>
      <c r="V421" s="53"/>
      <c r="W421" s="53"/>
      <c r="X421" s="53"/>
      <c r="Y421" s="53"/>
      <c r="Z421" s="53"/>
      <c r="AA421" s="53"/>
      <c r="AB421" s="53"/>
      <c r="AC421" s="53"/>
      <c r="AD421" s="53"/>
      <c r="AE421" s="53"/>
      <c r="AF421" s="63"/>
      <c r="AG421" s="64"/>
      <c r="AH421" s="65"/>
      <c r="AI421" s="65"/>
      <c r="AJ421" s="53"/>
      <c r="AK421" s="53"/>
      <c r="AL421" s="53"/>
      <c r="AM421" s="53"/>
      <c r="AN421" s="53"/>
      <c r="AO421" s="53"/>
      <c r="AP421" s="53"/>
      <c r="AQ421" s="53"/>
      <c r="AR421" s="53"/>
      <c r="AS421" s="53"/>
      <c r="AT421" s="53"/>
      <c r="AU421" s="53"/>
      <c r="AV421" s="53"/>
      <c r="AW421" s="53"/>
      <c r="AX421" s="53"/>
      <c r="AY421" s="53"/>
      <c r="AZ421" s="53"/>
      <c r="BA421" s="53"/>
      <c r="BB421" s="53"/>
      <c r="BC421" s="53"/>
      <c r="BD421" s="53"/>
      <c r="BE421" s="53"/>
      <c r="BF421" s="53"/>
      <c r="BG421" s="53"/>
      <c r="BH421" s="53"/>
      <c r="BI421" s="53"/>
      <c r="BJ421" s="53"/>
      <c r="BK421" s="53"/>
      <c r="BL421" s="53"/>
      <c r="BM421" s="53"/>
      <c r="BN421" s="53"/>
      <c r="BO421" s="53"/>
      <c r="BP421" s="53"/>
      <c r="BQ421" s="53"/>
      <c r="BR421" s="53"/>
      <c r="BS421" s="53"/>
      <c r="BT421" s="53"/>
      <c r="BU421" s="53"/>
      <c r="BV421" s="53"/>
      <c r="BW421" s="53"/>
      <c r="BX421" s="53"/>
    </row>
    <row r="422" spans="1:76" x14ac:dyDescent="0.35">
      <c r="A422" s="53"/>
      <c r="B422" s="53"/>
      <c r="C422" s="55"/>
      <c r="D422" s="53"/>
      <c r="E422" s="53"/>
      <c r="F422" s="126" t="s">
        <v>1379</v>
      </c>
      <c r="G422" s="125">
        <v>263</v>
      </c>
      <c r="H422" s="125">
        <v>263</v>
      </c>
      <c r="I422" s="133">
        <v>1</v>
      </c>
      <c r="J422" s="53"/>
      <c r="K422" s="53"/>
      <c r="L422" s="53"/>
      <c r="M422" s="53"/>
      <c r="N422" s="53"/>
      <c r="O422" s="53"/>
      <c r="P422" s="53"/>
      <c r="Q422" s="53"/>
      <c r="R422" s="53"/>
      <c r="S422" s="53"/>
      <c r="T422" s="53"/>
      <c r="U422" s="53"/>
      <c r="V422" s="53"/>
      <c r="W422" s="53"/>
      <c r="X422" s="53"/>
      <c r="Y422" s="53"/>
      <c r="Z422" s="53"/>
      <c r="AA422" s="53"/>
      <c r="AB422" s="53"/>
      <c r="AC422" s="53"/>
      <c r="AD422" s="53"/>
      <c r="AE422" s="53"/>
      <c r="AF422" s="63"/>
      <c r="AG422" s="64"/>
      <c r="AH422" s="65"/>
      <c r="AI422" s="65"/>
      <c r="AJ422" s="53"/>
      <c r="AK422" s="53"/>
      <c r="AL422" s="53"/>
      <c r="AM422" s="53"/>
      <c r="AN422" s="53"/>
      <c r="AO422" s="53"/>
      <c r="AP422" s="53"/>
      <c r="AQ422" s="53"/>
      <c r="AR422" s="53"/>
      <c r="AS422" s="53"/>
      <c r="AT422" s="53"/>
      <c r="AU422" s="53"/>
      <c r="AV422" s="53"/>
      <c r="AW422" s="53"/>
      <c r="AX422" s="53"/>
      <c r="AY422" s="53"/>
      <c r="AZ422" s="53"/>
      <c r="BA422" s="53"/>
      <c r="BB422" s="53"/>
      <c r="BC422" s="53"/>
      <c r="BD422" s="53"/>
      <c r="BE422" s="53"/>
      <c r="BF422" s="53"/>
      <c r="BG422" s="53"/>
      <c r="BH422" s="53"/>
      <c r="BI422" s="53"/>
      <c r="BJ422" s="53"/>
      <c r="BK422" s="53"/>
      <c r="BL422" s="53"/>
      <c r="BM422" s="53"/>
      <c r="BN422" s="53"/>
      <c r="BO422" s="53"/>
      <c r="BP422" s="53"/>
      <c r="BQ422" s="53"/>
      <c r="BR422" s="53"/>
      <c r="BS422" s="53"/>
      <c r="BT422" s="53"/>
      <c r="BU422" s="53"/>
      <c r="BV422" s="53"/>
      <c r="BW422" s="53"/>
      <c r="BX422" s="53"/>
    </row>
    <row r="423" spans="1:76" x14ac:dyDescent="0.35">
      <c r="A423" s="53"/>
      <c r="B423" s="53"/>
      <c r="C423" s="55"/>
      <c r="D423" s="53"/>
      <c r="E423" s="53"/>
      <c r="F423" s="126" t="s">
        <v>1386</v>
      </c>
      <c r="G423" s="125">
        <v>415</v>
      </c>
      <c r="H423" s="125">
        <v>0</v>
      </c>
      <c r="I423" s="133">
        <v>0</v>
      </c>
      <c r="J423" s="53"/>
      <c r="K423" s="53"/>
      <c r="L423" s="53"/>
      <c r="M423" s="53"/>
      <c r="N423" s="53"/>
      <c r="O423" s="53"/>
      <c r="P423" s="53"/>
      <c r="Q423" s="53"/>
      <c r="R423" s="53"/>
      <c r="S423" s="53"/>
      <c r="T423" s="53"/>
      <c r="U423" s="53"/>
      <c r="V423" s="53"/>
      <c r="W423" s="53"/>
      <c r="X423" s="53"/>
      <c r="Y423" s="53"/>
      <c r="Z423" s="53"/>
      <c r="AA423" s="53"/>
      <c r="AB423" s="53"/>
      <c r="AC423" s="53"/>
      <c r="AD423" s="53"/>
      <c r="AE423" s="53"/>
      <c r="AF423" s="63"/>
      <c r="AG423" s="64"/>
      <c r="AH423" s="65"/>
      <c r="AI423" s="65"/>
      <c r="AJ423" s="53"/>
      <c r="AK423" s="53"/>
      <c r="AL423" s="53"/>
      <c r="AM423" s="53"/>
      <c r="AN423" s="53"/>
      <c r="AO423" s="53"/>
      <c r="AP423" s="53"/>
      <c r="AQ423" s="53"/>
      <c r="AR423" s="53"/>
      <c r="AS423" s="53"/>
      <c r="AT423" s="53"/>
      <c r="AU423" s="53"/>
      <c r="AV423" s="53"/>
      <c r="AW423" s="53"/>
      <c r="AX423" s="53"/>
      <c r="AY423" s="53"/>
      <c r="AZ423" s="53"/>
      <c r="BA423" s="53"/>
      <c r="BB423" s="53"/>
      <c r="BC423" s="53"/>
      <c r="BD423" s="53"/>
      <c r="BE423" s="53"/>
      <c r="BF423" s="53"/>
      <c r="BG423" s="53"/>
      <c r="BH423" s="53"/>
      <c r="BI423" s="53"/>
      <c r="BJ423" s="53"/>
      <c r="BK423" s="53"/>
      <c r="BL423" s="53"/>
      <c r="BM423" s="53"/>
      <c r="BN423" s="53"/>
      <c r="BO423" s="53"/>
      <c r="BP423" s="53"/>
      <c r="BQ423" s="53"/>
      <c r="BR423" s="53"/>
      <c r="BS423" s="53"/>
      <c r="BT423" s="53"/>
      <c r="BU423" s="53"/>
      <c r="BV423" s="53"/>
      <c r="BW423" s="53"/>
      <c r="BX423" s="53"/>
    </row>
    <row r="424" spans="1:76" x14ac:dyDescent="0.35">
      <c r="A424" s="53"/>
      <c r="B424" s="53"/>
      <c r="C424" s="55"/>
      <c r="D424" s="53"/>
      <c r="E424" s="53"/>
      <c r="F424" s="126" t="s">
        <v>1247</v>
      </c>
      <c r="G424" s="125"/>
      <c r="H424" s="125">
        <v>0</v>
      </c>
      <c r="I424" s="133">
        <v>0</v>
      </c>
      <c r="J424" s="53"/>
      <c r="K424" s="53"/>
      <c r="L424" s="53"/>
      <c r="M424" s="53"/>
      <c r="N424" s="53"/>
      <c r="O424" s="53"/>
      <c r="P424" s="53"/>
      <c r="Q424" s="53"/>
      <c r="R424" s="53"/>
      <c r="S424" s="53"/>
      <c r="T424" s="53"/>
      <c r="U424" s="53"/>
      <c r="V424" s="53"/>
      <c r="W424" s="53"/>
      <c r="X424" s="53"/>
      <c r="Y424" s="53"/>
      <c r="Z424" s="53"/>
      <c r="AA424" s="53"/>
      <c r="AB424" s="53"/>
      <c r="AC424" s="53"/>
      <c r="AD424" s="53"/>
      <c r="AE424" s="53"/>
      <c r="AF424" s="63"/>
      <c r="AG424" s="64"/>
      <c r="AH424" s="65"/>
      <c r="AI424" s="65"/>
      <c r="AJ424" s="53"/>
      <c r="AK424" s="53"/>
      <c r="AL424" s="53"/>
      <c r="AM424" s="53"/>
      <c r="AN424" s="53"/>
      <c r="AO424" s="53"/>
      <c r="AP424" s="53"/>
      <c r="AQ424" s="53"/>
      <c r="AR424" s="53"/>
      <c r="AS424" s="53"/>
      <c r="AT424" s="53"/>
      <c r="AU424" s="53"/>
      <c r="AV424" s="53"/>
      <c r="AW424" s="53"/>
      <c r="AX424" s="53"/>
      <c r="AY424" s="53"/>
      <c r="AZ424" s="53"/>
      <c r="BA424" s="53"/>
      <c r="BB424" s="53"/>
      <c r="BC424" s="53"/>
      <c r="BD424" s="53"/>
      <c r="BE424" s="53"/>
      <c r="BF424" s="53"/>
      <c r="BG424" s="53"/>
      <c r="BH424" s="53"/>
      <c r="BI424" s="53"/>
      <c r="BJ424" s="53"/>
      <c r="BK424" s="53"/>
      <c r="BL424" s="53"/>
      <c r="BM424" s="53"/>
      <c r="BN424" s="53"/>
      <c r="BO424" s="53"/>
      <c r="BP424" s="53"/>
      <c r="BQ424" s="53"/>
      <c r="BR424" s="53"/>
      <c r="BS424" s="53"/>
      <c r="BT424" s="53"/>
      <c r="BU424" s="53"/>
      <c r="BV424" s="53"/>
      <c r="BW424" s="53"/>
      <c r="BX424" s="53"/>
    </row>
    <row r="425" spans="1:76" x14ac:dyDescent="0.35">
      <c r="A425" s="53"/>
      <c r="B425" s="53"/>
      <c r="C425" s="55"/>
      <c r="D425" s="53"/>
      <c r="E425" s="53"/>
      <c r="F425" s="126" t="s">
        <v>1248</v>
      </c>
      <c r="G425" s="125"/>
      <c r="H425" s="125">
        <v>0</v>
      </c>
      <c r="I425" s="133">
        <v>0</v>
      </c>
      <c r="J425" s="53"/>
      <c r="K425" s="53"/>
      <c r="L425" s="53"/>
      <c r="M425" s="53"/>
      <c r="N425" s="53"/>
      <c r="O425" s="53"/>
      <c r="P425" s="53"/>
      <c r="Q425" s="53"/>
      <c r="R425" s="53"/>
      <c r="S425" s="53"/>
      <c r="T425" s="53"/>
      <c r="U425" s="53"/>
      <c r="V425" s="53"/>
      <c r="W425" s="53"/>
      <c r="X425" s="53"/>
      <c r="Y425" s="53"/>
      <c r="Z425" s="53"/>
      <c r="AA425" s="53"/>
      <c r="AB425" s="53"/>
      <c r="AC425" s="53"/>
      <c r="AD425" s="53"/>
      <c r="AE425" s="53"/>
      <c r="AF425" s="63"/>
      <c r="AG425" s="64"/>
      <c r="AH425" s="65"/>
      <c r="AI425" s="65"/>
      <c r="AJ425" s="53"/>
      <c r="AK425" s="53"/>
      <c r="AL425" s="53"/>
      <c r="AM425" s="53"/>
      <c r="AN425" s="53"/>
      <c r="AO425" s="53"/>
      <c r="AP425" s="53"/>
      <c r="AQ425" s="53"/>
      <c r="AR425" s="53"/>
      <c r="AS425" s="53"/>
      <c r="AT425" s="53"/>
      <c r="AU425" s="53"/>
      <c r="AV425" s="53"/>
      <c r="AW425" s="53"/>
      <c r="AX425" s="53"/>
      <c r="AY425" s="53"/>
      <c r="AZ425" s="53"/>
      <c r="BA425" s="53"/>
      <c r="BB425" s="53"/>
      <c r="BC425" s="53"/>
      <c r="BD425" s="53"/>
      <c r="BE425" s="53"/>
      <c r="BF425" s="53"/>
      <c r="BG425" s="53"/>
      <c r="BH425" s="53"/>
      <c r="BI425" s="53"/>
      <c r="BJ425" s="53"/>
      <c r="BK425" s="53"/>
      <c r="BL425" s="53"/>
      <c r="BM425" s="53"/>
      <c r="BN425" s="53"/>
      <c r="BO425" s="53"/>
      <c r="BP425" s="53"/>
      <c r="BQ425" s="53"/>
      <c r="BR425" s="53"/>
      <c r="BS425" s="53"/>
      <c r="BT425" s="53"/>
      <c r="BU425" s="53"/>
      <c r="BV425" s="53"/>
      <c r="BW425" s="53"/>
      <c r="BX425" s="53"/>
    </row>
    <row r="426" spans="1:76" x14ac:dyDescent="0.35">
      <c r="A426" s="53"/>
      <c r="B426" s="53"/>
      <c r="C426" s="55"/>
      <c r="D426" s="53"/>
      <c r="E426" s="53"/>
      <c r="F426" s="126" t="s">
        <v>698</v>
      </c>
      <c r="G426" s="125">
        <v>462.33</v>
      </c>
      <c r="H426" s="125">
        <v>2311.65</v>
      </c>
      <c r="I426" s="133">
        <v>5</v>
      </c>
      <c r="J426" s="53"/>
      <c r="K426" s="53"/>
      <c r="L426" s="53"/>
      <c r="M426" s="53"/>
      <c r="N426" s="53"/>
      <c r="O426" s="53"/>
      <c r="P426" s="53"/>
      <c r="Q426" s="53"/>
      <c r="R426" s="53"/>
      <c r="S426" s="53"/>
      <c r="T426" s="53"/>
      <c r="U426" s="53"/>
      <c r="V426" s="53"/>
      <c r="W426" s="53"/>
      <c r="X426" s="53"/>
      <c r="Y426" s="53"/>
      <c r="Z426" s="53"/>
      <c r="AA426" s="53"/>
      <c r="AB426" s="53"/>
      <c r="AC426" s="53"/>
      <c r="AD426" s="53"/>
      <c r="AE426" s="53"/>
      <c r="AF426" s="63"/>
      <c r="AG426" s="64"/>
      <c r="AH426" s="65"/>
      <c r="AI426" s="65"/>
      <c r="AJ426" s="53"/>
      <c r="AK426" s="53"/>
      <c r="AL426" s="53"/>
      <c r="AM426" s="53"/>
      <c r="AN426" s="53"/>
      <c r="AO426" s="53"/>
      <c r="AP426" s="53"/>
      <c r="AQ426" s="53"/>
      <c r="AR426" s="53"/>
      <c r="AS426" s="53"/>
      <c r="AT426" s="53"/>
      <c r="AU426" s="53"/>
      <c r="AV426" s="53"/>
      <c r="AW426" s="53"/>
      <c r="AX426" s="53"/>
      <c r="AY426" s="53"/>
      <c r="AZ426" s="53"/>
      <c r="BA426" s="53"/>
      <c r="BB426" s="53"/>
      <c r="BC426" s="53"/>
      <c r="BD426" s="53"/>
      <c r="BE426" s="53"/>
      <c r="BF426" s="53"/>
      <c r="BG426" s="53"/>
      <c r="BH426" s="53"/>
      <c r="BI426" s="53"/>
      <c r="BJ426" s="53"/>
      <c r="BK426" s="53"/>
      <c r="BL426" s="53"/>
      <c r="BM426" s="53"/>
      <c r="BN426" s="53"/>
      <c r="BO426" s="53"/>
      <c r="BP426" s="53"/>
      <c r="BQ426" s="53"/>
      <c r="BR426" s="53"/>
      <c r="BS426" s="53"/>
      <c r="BT426" s="53"/>
      <c r="BU426" s="53"/>
      <c r="BV426" s="53"/>
      <c r="BW426" s="53"/>
      <c r="BX426" s="53"/>
    </row>
    <row r="427" spans="1:76" x14ac:dyDescent="0.35">
      <c r="A427" s="53"/>
      <c r="B427" s="53"/>
      <c r="C427" s="55"/>
      <c r="D427" s="53"/>
      <c r="E427" s="53"/>
      <c r="F427" s="126" t="s">
        <v>700</v>
      </c>
      <c r="G427" s="125">
        <v>263</v>
      </c>
      <c r="H427" s="125">
        <v>789</v>
      </c>
      <c r="I427" s="133">
        <v>3</v>
      </c>
      <c r="J427" s="53"/>
      <c r="K427" s="53"/>
      <c r="L427" s="53"/>
      <c r="M427" s="53"/>
      <c r="N427" s="53"/>
      <c r="O427" s="53"/>
      <c r="P427" s="53"/>
      <c r="Q427" s="53"/>
      <c r="R427" s="53"/>
      <c r="S427" s="53"/>
      <c r="T427" s="53"/>
      <c r="U427" s="53"/>
      <c r="V427" s="53"/>
      <c r="W427" s="53"/>
      <c r="X427" s="53"/>
      <c r="Y427" s="53"/>
      <c r="Z427" s="53"/>
      <c r="AA427" s="53"/>
      <c r="AB427" s="53"/>
      <c r="AC427" s="53"/>
      <c r="AD427" s="53"/>
      <c r="AE427" s="53"/>
      <c r="AF427" s="63"/>
      <c r="AG427" s="64"/>
      <c r="AH427" s="65"/>
      <c r="AI427" s="65"/>
      <c r="AJ427" s="53"/>
      <c r="AK427" s="53"/>
      <c r="AL427" s="53"/>
      <c r="AM427" s="53"/>
      <c r="AN427" s="53"/>
      <c r="AO427" s="53"/>
      <c r="AP427" s="53"/>
      <c r="AQ427" s="53"/>
      <c r="AR427" s="53"/>
      <c r="AS427" s="53"/>
      <c r="AT427" s="53"/>
      <c r="AU427" s="53"/>
      <c r="AV427" s="53"/>
      <c r="AW427" s="53"/>
      <c r="AX427" s="53"/>
      <c r="AY427" s="53"/>
      <c r="AZ427" s="53"/>
      <c r="BA427" s="53"/>
      <c r="BB427" s="53"/>
      <c r="BC427" s="53"/>
      <c r="BD427" s="53"/>
      <c r="BE427" s="53"/>
      <c r="BF427" s="53"/>
      <c r="BG427" s="53"/>
      <c r="BH427" s="53"/>
      <c r="BI427" s="53"/>
      <c r="BJ427" s="53"/>
      <c r="BK427" s="53"/>
      <c r="BL427" s="53"/>
      <c r="BM427" s="53"/>
      <c r="BN427" s="53"/>
      <c r="BO427" s="53"/>
      <c r="BP427" s="53"/>
      <c r="BQ427" s="53"/>
      <c r="BR427" s="53"/>
      <c r="BS427" s="53"/>
      <c r="BT427" s="53"/>
      <c r="BU427" s="53"/>
      <c r="BV427" s="53"/>
      <c r="BW427" s="53"/>
      <c r="BX427" s="53"/>
    </row>
    <row r="428" spans="1:76" x14ac:dyDescent="0.35">
      <c r="A428" s="53"/>
      <c r="B428" s="53"/>
      <c r="C428" s="55"/>
      <c r="D428" s="53"/>
      <c r="E428" s="53"/>
      <c r="F428" s="126" t="s">
        <v>702</v>
      </c>
      <c r="G428" s="125">
        <v>96.1</v>
      </c>
      <c r="H428" s="125">
        <v>0</v>
      </c>
      <c r="I428" s="133">
        <v>0</v>
      </c>
      <c r="J428" s="53"/>
      <c r="K428" s="53"/>
      <c r="L428" s="53"/>
      <c r="M428" s="53"/>
      <c r="N428" s="53"/>
      <c r="O428" s="53"/>
      <c r="P428" s="53"/>
      <c r="Q428" s="53"/>
      <c r="R428" s="53"/>
      <c r="S428" s="53"/>
      <c r="T428" s="53"/>
      <c r="U428" s="53"/>
      <c r="V428" s="53"/>
      <c r="W428" s="53"/>
      <c r="X428" s="53"/>
      <c r="Y428" s="53"/>
      <c r="Z428" s="53"/>
      <c r="AA428" s="53"/>
      <c r="AB428" s="53"/>
      <c r="AC428" s="53"/>
      <c r="AD428" s="53"/>
      <c r="AE428" s="53"/>
      <c r="AF428" s="63"/>
      <c r="AG428" s="64"/>
      <c r="AH428" s="65"/>
      <c r="AI428" s="65"/>
      <c r="AJ428" s="53"/>
      <c r="AK428" s="53"/>
      <c r="AL428" s="53"/>
      <c r="AM428" s="53"/>
      <c r="AN428" s="53"/>
      <c r="AO428" s="53"/>
      <c r="AP428" s="53"/>
      <c r="AQ428" s="53"/>
      <c r="AR428" s="53"/>
      <c r="AS428" s="53"/>
      <c r="AT428" s="53"/>
      <c r="AU428" s="53"/>
      <c r="AV428" s="53"/>
      <c r="AW428" s="53"/>
      <c r="AX428" s="53"/>
      <c r="AY428" s="53"/>
      <c r="AZ428" s="53"/>
      <c r="BA428" s="53"/>
      <c r="BB428" s="53"/>
      <c r="BC428" s="53"/>
      <c r="BD428" s="53"/>
      <c r="BE428" s="53"/>
      <c r="BF428" s="53"/>
      <c r="BG428" s="53"/>
      <c r="BH428" s="53"/>
      <c r="BI428" s="53"/>
      <c r="BJ428" s="53"/>
      <c r="BK428" s="53"/>
      <c r="BL428" s="53"/>
      <c r="BM428" s="53"/>
      <c r="BN428" s="53"/>
      <c r="BO428" s="53"/>
      <c r="BP428" s="53"/>
      <c r="BQ428" s="53"/>
      <c r="BR428" s="53"/>
      <c r="BS428" s="53"/>
      <c r="BT428" s="53"/>
      <c r="BU428" s="53"/>
      <c r="BV428" s="53"/>
      <c r="BW428" s="53"/>
      <c r="BX428" s="53"/>
    </row>
    <row r="429" spans="1:76" x14ac:dyDescent="0.35">
      <c r="A429" s="53"/>
      <c r="B429" s="53"/>
      <c r="C429" s="55"/>
      <c r="D429" s="53"/>
      <c r="E429" s="53"/>
      <c r="F429" s="126" t="s">
        <v>704</v>
      </c>
      <c r="G429" s="125">
        <v>96</v>
      </c>
      <c r="H429" s="125">
        <v>96</v>
      </c>
      <c r="I429" s="133">
        <v>1</v>
      </c>
      <c r="J429" s="53"/>
      <c r="K429" s="53"/>
      <c r="L429" s="53"/>
      <c r="M429" s="53"/>
      <c r="N429" s="53"/>
      <c r="O429" s="53"/>
      <c r="P429" s="53"/>
      <c r="Q429" s="53"/>
      <c r="R429" s="53"/>
      <c r="S429" s="53"/>
      <c r="T429" s="53"/>
      <c r="U429" s="53"/>
      <c r="V429" s="53"/>
      <c r="W429" s="53"/>
      <c r="X429" s="53"/>
      <c r="Y429" s="53"/>
      <c r="Z429" s="53"/>
      <c r="AA429" s="53"/>
      <c r="AB429" s="53"/>
      <c r="AC429" s="53"/>
      <c r="AD429" s="53"/>
      <c r="AE429" s="53"/>
      <c r="AF429" s="63"/>
      <c r="AG429" s="64"/>
      <c r="AH429" s="65"/>
      <c r="AI429" s="65"/>
      <c r="AJ429" s="53"/>
      <c r="AK429" s="53"/>
      <c r="AL429" s="53"/>
      <c r="AM429" s="53"/>
      <c r="AN429" s="53"/>
      <c r="AO429" s="53"/>
      <c r="AP429" s="53"/>
      <c r="AQ429" s="53"/>
      <c r="AR429" s="53"/>
      <c r="AS429" s="53"/>
      <c r="AT429" s="53"/>
      <c r="AU429" s="53"/>
      <c r="AV429" s="53"/>
      <c r="AW429" s="53"/>
      <c r="AX429" s="53"/>
      <c r="AY429" s="53"/>
      <c r="AZ429" s="53"/>
      <c r="BA429" s="53"/>
      <c r="BB429" s="53"/>
      <c r="BC429" s="53"/>
      <c r="BD429" s="53"/>
      <c r="BE429" s="53"/>
      <c r="BF429" s="53"/>
      <c r="BG429" s="53"/>
      <c r="BH429" s="53"/>
      <c r="BI429" s="53"/>
      <c r="BJ429" s="53"/>
      <c r="BK429" s="53"/>
      <c r="BL429" s="53"/>
      <c r="BM429" s="53"/>
      <c r="BN429" s="53"/>
      <c r="BO429" s="53"/>
      <c r="BP429" s="53"/>
      <c r="BQ429" s="53"/>
      <c r="BR429" s="53"/>
      <c r="BS429" s="53"/>
      <c r="BT429" s="53"/>
      <c r="BU429" s="53"/>
      <c r="BV429" s="53"/>
      <c r="BW429" s="53"/>
      <c r="BX429" s="53"/>
    </row>
    <row r="430" spans="1:76" x14ac:dyDescent="0.35">
      <c r="A430" s="53"/>
      <c r="B430" s="53"/>
      <c r="C430" s="55"/>
      <c r="D430" s="53"/>
      <c r="E430" s="53"/>
      <c r="F430" s="126" t="s">
        <v>706</v>
      </c>
      <c r="G430" s="125">
        <v>18</v>
      </c>
      <c r="H430" s="125">
        <v>18</v>
      </c>
      <c r="I430" s="133">
        <v>1</v>
      </c>
      <c r="J430" s="53"/>
      <c r="K430" s="53"/>
      <c r="L430" s="53"/>
      <c r="M430" s="53"/>
      <c r="N430" s="53"/>
      <c r="O430" s="53"/>
      <c r="P430" s="53"/>
      <c r="Q430" s="53"/>
      <c r="R430" s="53"/>
      <c r="S430" s="53"/>
      <c r="T430" s="53"/>
      <c r="U430" s="53"/>
      <c r="V430" s="53"/>
      <c r="W430" s="53"/>
      <c r="X430" s="53"/>
      <c r="Y430" s="53"/>
      <c r="Z430" s="53"/>
      <c r="AA430" s="53"/>
      <c r="AB430" s="53"/>
      <c r="AC430" s="53"/>
      <c r="AD430" s="53"/>
      <c r="AE430" s="53"/>
      <c r="AF430" s="63"/>
      <c r="AG430" s="64"/>
      <c r="AH430" s="65"/>
      <c r="AI430" s="65"/>
      <c r="AJ430" s="53"/>
      <c r="AK430" s="53"/>
      <c r="AL430" s="53"/>
      <c r="AM430" s="53"/>
      <c r="AN430" s="53"/>
      <c r="AO430" s="53"/>
      <c r="AP430" s="53"/>
      <c r="AQ430" s="53"/>
      <c r="AR430" s="53"/>
      <c r="AS430" s="53"/>
      <c r="AT430" s="53"/>
      <c r="AU430" s="53"/>
      <c r="AV430" s="53"/>
      <c r="AW430" s="53"/>
      <c r="AX430" s="53"/>
      <c r="AY430" s="53"/>
      <c r="AZ430" s="53"/>
      <c r="BA430" s="53"/>
      <c r="BB430" s="53"/>
      <c r="BC430" s="53"/>
      <c r="BD430" s="53"/>
      <c r="BE430" s="53"/>
      <c r="BF430" s="53"/>
      <c r="BG430" s="53"/>
      <c r="BH430" s="53"/>
      <c r="BI430" s="53"/>
      <c r="BJ430" s="53"/>
      <c r="BK430" s="53"/>
      <c r="BL430" s="53"/>
      <c r="BM430" s="53"/>
      <c r="BN430" s="53"/>
      <c r="BO430" s="53"/>
      <c r="BP430" s="53"/>
      <c r="BQ430" s="53"/>
      <c r="BR430" s="53"/>
      <c r="BS430" s="53"/>
      <c r="BT430" s="53"/>
      <c r="BU430" s="53"/>
      <c r="BV430" s="53"/>
      <c r="BW430" s="53"/>
      <c r="BX430" s="53"/>
    </row>
    <row r="431" spans="1:76" x14ac:dyDescent="0.35">
      <c r="A431" s="53"/>
      <c r="B431" s="53"/>
      <c r="C431" s="55"/>
      <c r="D431" s="53"/>
      <c r="E431" s="53"/>
      <c r="F431" s="126" t="s">
        <v>708</v>
      </c>
      <c r="G431" s="125">
        <v>30</v>
      </c>
      <c r="H431" s="125">
        <v>120</v>
      </c>
      <c r="I431" s="133">
        <v>4</v>
      </c>
      <c r="J431" s="53"/>
      <c r="K431" s="53"/>
      <c r="L431" s="53"/>
      <c r="M431" s="53"/>
      <c r="N431" s="53"/>
      <c r="O431" s="53"/>
      <c r="P431" s="53"/>
      <c r="Q431" s="53"/>
      <c r="R431" s="53"/>
      <c r="S431" s="53"/>
      <c r="T431" s="53"/>
      <c r="U431" s="53"/>
      <c r="V431" s="53"/>
      <c r="W431" s="53"/>
      <c r="X431" s="53"/>
      <c r="Y431" s="53"/>
      <c r="Z431" s="53"/>
      <c r="AA431" s="53"/>
      <c r="AB431" s="53"/>
      <c r="AC431" s="53"/>
      <c r="AD431" s="53"/>
      <c r="AE431" s="53"/>
      <c r="AF431" s="63"/>
      <c r="AG431" s="64"/>
      <c r="AH431" s="65"/>
      <c r="AI431" s="65"/>
      <c r="AJ431" s="53"/>
      <c r="AK431" s="53"/>
      <c r="AL431" s="53"/>
      <c r="AM431" s="53"/>
      <c r="AN431" s="53"/>
      <c r="AO431" s="53"/>
      <c r="AP431" s="53"/>
      <c r="AQ431" s="53"/>
      <c r="AR431" s="53"/>
      <c r="AS431" s="53"/>
      <c r="AT431" s="53"/>
      <c r="AU431" s="53"/>
      <c r="AV431" s="53"/>
      <c r="AW431" s="53"/>
      <c r="AX431" s="53"/>
      <c r="AY431" s="53"/>
      <c r="AZ431" s="53"/>
      <c r="BA431" s="53"/>
      <c r="BB431" s="53"/>
      <c r="BC431" s="53"/>
      <c r="BD431" s="53"/>
      <c r="BE431" s="53"/>
      <c r="BF431" s="53"/>
      <c r="BG431" s="53"/>
      <c r="BH431" s="53"/>
      <c r="BI431" s="53"/>
      <c r="BJ431" s="53"/>
      <c r="BK431" s="53"/>
      <c r="BL431" s="53"/>
      <c r="BM431" s="53"/>
      <c r="BN431" s="53"/>
      <c r="BO431" s="53"/>
      <c r="BP431" s="53"/>
      <c r="BQ431" s="53"/>
      <c r="BR431" s="53"/>
      <c r="BS431" s="53"/>
      <c r="BT431" s="53"/>
      <c r="BU431" s="53"/>
      <c r="BV431" s="53"/>
      <c r="BW431" s="53"/>
      <c r="BX431" s="53"/>
    </row>
    <row r="432" spans="1:76" x14ac:dyDescent="0.35">
      <c r="A432" s="53"/>
      <c r="B432" s="53"/>
      <c r="C432" s="55"/>
      <c r="D432" s="53"/>
      <c r="E432" s="53"/>
      <c r="F432" s="126" t="s">
        <v>711</v>
      </c>
      <c r="G432" s="125">
        <v>149.16999999999999</v>
      </c>
      <c r="H432" s="125">
        <v>0</v>
      </c>
      <c r="I432" s="133">
        <v>0</v>
      </c>
      <c r="J432" s="53"/>
      <c r="K432" s="53"/>
      <c r="L432" s="53"/>
      <c r="M432" s="53"/>
      <c r="N432" s="53"/>
      <c r="O432" s="53"/>
      <c r="P432" s="53"/>
      <c r="Q432" s="53"/>
      <c r="R432" s="53"/>
      <c r="S432" s="53"/>
      <c r="T432" s="53"/>
      <c r="U432" s="53"/>
      <c r="V432" s="53"/>
      <c r="W432" s="53"/>
      <c r="X432" s="53"/>
      <c r="Y432" s="53"/>
      <c r="Z432" s="53"/>
      <c r="AA432" s="53"/>
      <c r="AB432" s="53"/>
      <c r="AC432" s="53"/>
      <c r="AD432" s="53"/>
      <c r="AE432" s="53"/>
      <c r="AF432" s="63"/>
      <c r="AG432" s="64"/>
      <c r="AH432" s="65"/>
      <c r="AI432" s="65"/>
      <c r="AJ432" s="53"/>
      <c r="AK432" s="53"/>
      <c r="AL432" s="53"/>
      <c r="AM432" s="53"/>
      <c r="AN432" s="53"/>
      <c r="AO432" s="53"/>
      <c r="AP432" s="53"/>
      <c r="AQ432" s="53"/>
      <c r="AR432" s="53"/>
      <c r="AS432" s="53"/>
      <c r="AT432" s="53"/>
      <c r="AU432" s="53"/>
      <c r="AV432" s="53"/>
      <c r="AW432" s="53"/>
      <c r="AX432" s="53"/>
      <c r="AY432" s="53"/>
      <c r="AZ432" s="53"/>
      <c r="BA432" s="53"/>
      <c r="BB432" s="53"/>
      <c r="BC432" s="53"/>
      <c r="BD432" s="53"/>
      <c r="BE432" s="53"/>
      <c r="BF432" s="53"/>
      <c r="BG432" s="53"/>
      <c r="BH432" s="53"/>
      <c r="BI432" s="53"/>
      <c r="BJ432" s="53"/>
      <c r="BK432" s="53"/>
      <c r="BL432" s="53"/>
      <c r="BM432" s="53"/>
      <c r="BN432" s="53"/>
      <c r="BO432" s="53"/>
      <c r="BP432" s="53"/>
      <c r="BQ432" s="53"/>
      <c r="BR432" s="53"/>
      <c r="BS432" s="53"/>
      <c r="BT432" s="53"/>
      <c r="BU432" s="53"/>
      <c r="BV432" s="53"/>
      <c r="BW432" s="53"/>
      <c r="BX432" s="53"/>
    </row>
    <row r="433" spans="1:76" x14ac:dyDescent="0.35">
      <c r="A433" s="53"/>
      <c r="B433" s="53"/>
      <c r="C433" s="55"/>
      <c r="D433" s="53"/>
      <c r="E433" s="53"/>
      <c r="F433" s="126" t="s">
        <v>713</v>
      </c>
      <c r="G433" s="125"/>
      <c r="H433" s="125">
        <v>0</v>
      </c>
      <c r="I433" s="133">
        <v>0</v>
      </c>
      <c r="J433" s="53"/>
      <c r="K433" s="53"/>
      <c r="L433" s="53"/>
      <c r="M433" s="53"/>
      <c r="N433" s="53"/>
      <c r="O433" s="53"/>
      <c r="P433" s="53"/>
      <c r="Q433" s="53"/>
      <c r="R433" s="53"/>
      <c r="S433" s="53"/>
      <c r="T433" s="53"/>
      <c r="U433" s="53"/>
      <c r="V433" s="53"/>
      <c r="W433" s="53"/>
      <c r="X433" s="53"/>
      <c r="Y433" s="53"/>
      <c r="Z433" s="53"/>
      <c r="AA433" s="53"/>
      <c r="AB433" s="53"/>
      <c r="AC433" s="53"/>
      <c r="AD433" s="53"/>
      <c r="AE433" s="53"/>
      <c r="AF433" s="63"/>
      <c r="AG433" s="64"/>
      <c r="AH433" s="65"/>
      <c r="AI433" s="65"/>
      <c r="AJ433" s="53"/>
      <c r="AK433" s="53"/>
      <c r="AL433" s="53"/>
      <c r="AM433" s="53"/>
      <c r="AN433" s="53"/>
      <c r="AO433" s="53"/>
      <c r="AP433" s="53"/>
      <c r="AQ433" s="53"/>
      <c r="AR433" s="53"/>
      <c r="AS433" s="53"/>
      <c r="AT433" s="53"/>
      <c r="AU433" s="53"/>
      <c r="AV433" s="53"/>
      <c r="AW433" s="53"/>
      <c r="AX433" s="53"/>
      <c r="AY433" s="53"/>
      <c r="AZ433" s="53"/>
      <c r="BA433" s="53"/>
      <c r="BB433" s="53"/>
      <c r="BC433" s="53"/>
      <c r="BD433" s="53"/>
      <c r="BE433" s="53"/>
      <c r="BF433" s="53"/>
      <c r="BG433" s="53"/>
      <c r="BH433" s="53"/>
      <c r="BI433" s="53"/>
      <c r="BJ433" s="53"/>
      <c r="BK433" s="53"/>
      <c r="BL433" s="53"/>
      <c r="BM433" s="53"/>
      <c r="BN433" s="53"/>
      <c r="BO433" s="53"/>
      <c r="BP433" s="53"/>
      <c r="BQ433" s="53"/>
      <c r="BR433" s="53"/>
      <c r="BS433" s="53"/>
      <c r="BT433" s="53"/>
      <c r="BU433" s="53"/>
      <c r="BV433" s="53"/>
      <c r="BW433" s="53"/>
      <c r="BX433" s="53"/>
    </row>
    <row r="434" spans="1:76" x14ac:dyDescent="0.35">
      <c r="A434" s="53"/>
      <c r="B434" s="53"/>
      <c r="C434" s="55"/>
      <c r="D434" s="53"/>
      <c r="E434" s="53"/>
      <c r="F434" s="126" t="s">
        <v>1309</v>
      </c>
      <c r="G434" s="125"/>
      <c r="H434" s="125">
        <v>0</v>
      </c>
      <c r="I434" s="133">
        <v>0</v>
      </c>
      <c r="J434" s="53"/>
      <c r="K434" s="53"/>
      <c r="L434" s="53"/>
      <c r="M434" s="53"/>
      <c r="N434" s="53"/>
      <c r="O434" s="53"/>
      <c r="P434" s="53"/>
      <c r="Q434" s="53"/>
      <c r="R434" s="53"/>
      <c r="S434" s="53"/>
      <c r="T434" s="53"/>
      <c r="U434" s="53"/>
      <c r="V434" s="53"/>
      <c r="W434" s="53"/>
      <c r="X434" s="53"/>
      <c r="Y434" s="53"/>
      <c r="Z434" s="53"/>
      <c r="AA434" s="53"/>
      <c r="AB434" s="53"/>
      <c r="AC434" s="53"/>
      <c r="AD434" s="53"/>
      <c r="AE434" s="53"/>
      <c r="AF434" s="63"/>
      <c r="AG434" s="64"/>
      <c r="AH434" s="65"/>
      <c r="AI434" s="65"/>
      <c r="AJ434" s="53"/>
      <c r="AK434" s="53"/>
      <c r="AL434" s="53"/>
      <c r="AM434" s="53"/>
      <c r="AN434" s="53"/>
      <c r="AO434" s="53"/>
      <c r="AP434" s="53"/>
      <c r="AQ434" s="53"/>
      <c r="AR434" s="53"/>
      <c r="AS434" s="53"/>
      <c r="AT434" s="53"/>
      <c r="AU434" s="53"/>
      <c r="AV434" s="53"/>
      <c r="AW434" s="53"/>
      <c r="AX434" s="53"/>
      <c r="AY434" s="53"/>
      <c r="AZ434" s="53"/>
      <c r="BA434" s="53"/>
      <c r="BB434" s="53"/>
      <c r="BC434" s="53"/>
      <c r="BD434" s="53"/>
      <c r="BE434" s="53"/>
      <c r="BF434" s="53"/>
      <c r="BG434" s="53"/>
      <c r="BH434" s="53"/>
      <c r="BI434" s="53"/>
      <c r="BJ434" s="53"/>
      <c r="BK434" s="53"/>
      <c r="BL434" s="53"/>
      <c r="BM434" s="53"/>
      <c r="BN434" s="53"/>
      <c r="BO434" s="53"/>
      <c r="BP434" s="53"/>
      <c r="BQ434" s="53"/>
      <c r="BR434" s="53"/>
      <c r="BS434" s="53"/>
      <c r="BT434" s="53"/>
      <c r="BU434" s="53"/>
      <c r="BV434" s="53"/>
      <c r="BW434" s="53"/>
      <c r="BX434" s="53"/>
    </row>
    <row r="435" spans="1:76" x14ac:dyDescent="0.35">
      <c r="A435" s="53"/>
      <c r="B435" s="53"/>
      <c r="C435" s="55"/>
      <c r="D435" s="53"/>
      <c r="E435" s="53"/>
      <c r="F435" s="126" t="s">
        <v>715</v>
      </c>
      <c r="G435" s="125">
        <v>625</v>
      </c>
      <c r="H435" s="125">
        <v>0</v>
      </c>
      <c r="I435" s="133">
        <v>0</v>
      </c>
      <c r="J435" s="53"/>
      <c r="K435" s="53"/>
      <c r="L435" s="53"/>
      <c r="M435" s="53"/>
      <c r="N435" s="53"/>
      <c r="O435" s="53"/>
      <c r="P435" s="53"/>
      <c r="Q435" s="53"/>
      <c r="R435" s="53"/>
      <c r="S435" s="53"/>
      <c r="T435" s="53"/>
      <c r="U435" s="53"/>
      <c r="V435" s="53"/>
      <c r="W435" s="53"/>
      <c r="X435" s="53"/>
      <c r="Y435" s="53"/>
      <c r="Z435" s="53"/>
      <c r="AA435" s="53"/>
      <c r="AB435" s="53"/>
      <c r="AC435" s="53"/>
      <c r="AD435" s="53"/>
      <c r="AE435" s="53"/>
      <c r="AF435" s="63"/>
      <c r="AG435" s="64"/>
      <c r="AH435" s="65"/>
      <c r="AI435" s="65"/>
      <c r="AJ435" s="53"/>
      <c r="AK435" s="53"/>
      <c r="AL435" s="53"/>
      <c r="AM435" s="53"/>
      <c r="AN435" s="53"/>
      <c r="AO435" s="53"/>
      <c r="AP435" s="53"/>
      <c r="AQ435" s="53"/>
      <c r="AR435" s="53"/>
      <c r="AS435" s="53"/>
      <c r="AT435" s="53"/>
      <c r="AU435" s="53"/>
      <c r="AV435" s="53"/>
      <c r="AW435" s="53"/>
      <c r="AX435" s="53"/>
      <c r="AY435" s="53"/>
      <c r="AZ435" s="53"/>
      <c r="BA435" s="53"/>
      <c r="BB435" s="53"/>
      <c r="BC435" s="53"/>
      <c r="BD435" s="53"/>
      <c r="BE435" s="53"/>
      <c r="BF435" s="53"/>
      <c r="BG435" s="53"/>
      <c r="BH435" s="53"/>
      <c r="BI435" s="53"/>
      <c r="BJ435" s="53"/>
      <c r="BK435" s="53"/>
      <c r="BL435" s="53"/>
      <c r="BM435" s="53"/>
      <c r="BN435" s="53"/>
      <c r="BO435" s="53"/>
      <c r="BP435" s="53"/>
      <c r="BQ435" s="53"/>
      <c r="BR435" s="53"/>
      <c r="BS435" s="53"/>
      <c r="BT435" s="53"/>
      <c r="BU435" s="53"/>
      <c r="BV435" s="53"/>
      <c r="BW435" s="53"/>
      <c r="BX435" s="53"/>
    </row>
    <row r="436" spans="1:76" x14ac:dyDescent="0.35">
      <c r="A436" s="53"/>
      <c r="B436" s="53"/>
      <c r="C436" s="55"/>
      <c r="D436" s="53"/>
      <c r="E436" s="53"/>
      <c r="F436" s="126" t="s">
        <v>717</v>
      </c>
      <c r="G436" s="125">
        <v>490</v>
      </c>
      <c r="H436" s="125">
        <v>9800</v>
      </c>
      <c r="I436" s="133">
        <v>20</v>
      </c>
      <c r="J436" s="53"/>
      <c r="K436" s="53"/>
      <c r="L436" s="53"/>
      <c r="M436" s="53"/>
      <c r="N436" s="53"/>
      <c r="O436" s="53"/>
      <c r="P436" s="53"/>
      <c r="Q436" s="53"/>
      <c r="R436" s="53"/>
      <c r="S436" s="53"/>
      <c r="T436" s="53"/>
      <c r="U436" s="53"/>
      <c r="V436" s="53"/>
      <c r="W436" s="53"/>
      <c r="X436" s="53"/>
      <c r="Y436" s="53"/>
      <c r="Z436" s="53"/>
      <c r="AA436" s="53"/>
      <c r="AB436" s="53"/>
      <c r="AC436" s="53"/>
      <c r="AD436" s="53"/>
      <c r="AE436" s="53"/>
      <c r="AF436" s="63"/>
      <c r="AG436" s="64"/>
      <c r="AH436" s="65"/>
      <c r="AI436" s="65"/>
      <c r="AJ436" s="53"/>
      <c r="AK436" s="53"/>
      <c r="AL436" s="53"/>
      <c r="AM436" s="53"/>
      <c r="AN436" s="53"/>
      <c r="AO436" s="53"/>
      <c r="AP436" s="53"/>
      <c r="AQ436" s="53"/>
      <c r="AR436" s="53"/>
      <c r="AS436" s="53"/>
      <c r="AT436" s="53"/>
      <c r="AU436" s="53"/>
      <c r="AV436" s="53"/>
      <c r="AW436" s="53"/>
      <c r="AX436" s="53"/>
      <c r="AY436" s="53"/>
      <c r="AZ436" s="53"/>
      <c r="BA436" s="53"/>
      <c r="BB436" s="53"/>
      <c r="BC436" s="53"/>
      <c r="BD436" s="53"/>
      <c r="BE436" s="53"/>
      <c r="BF436" s="53"/>
      <c r="BG436" s="53"/>
      <c r="BH436" s="53"/>
      <c r="BI436" s="53"/>
      <c r="BJ436" s="53"/>
      <c r="BK436" s="53"/>
      <c r="BL436" s="53"/>
      <c r="BM436" s="53"/>
      <c r="BN436" s="53"/>
      <c r="BO436" s="53"/>
      <c r="BP436" s="53"/>
      <c r="BQ436" s="53"/>
      <c r="BR436" s="53"/>
      <c r="BS436" s="53"/>
      <c r="BT436" s="53"/>
      <c r="BU436" s="53"/>
      <c r="BV436" s="53"/>
      <c r="BW436" s="53"/>
      <c r="BX436" s="53"/>
    </row>
    <row r="437" spans="1:76" x14ac:dyDescent="0.35">
      <c r="A437" s="53"/>
      <c r="B437" s="53"/>
      <c r="C437" s="55"/>
      <c r="D437" s="53"/>
      <c r="E437" s="53"/>
      <c r="F437" s="126" t="s">
        <v>719</v>
      </c>
      <c r="G437" s="125">
        <v>184</v>
      </c>
      <c r="H437" s="125">
        <v>0</v>
      </c>
      <c r="I437" s="133">
        <v>0</v>
      </c>
      <c r="J437" s="53"/>
      <c r="K437" s="53"/>
      <c r="L437" s="53"/>
      <c r="M437" s="53"/>
      <c r="N437" s="53"/>
      <c r="O437" s="53"/>
      <c r="P437" s="53"/>
      <c r="Q437" s="53"/>
      <c r="R437" s="53"/>
      <c r="S437" s="53"/>
      <c r="T437" s="53"/>
      <c r="U437" s="53"/>
      <c r="V437" s="53"/>
      <c r="W437" s="53"/>
      <c r="X437" s="53"/>
      <c r="Y437" s="53"/>
      <c r="Z437" s="53"/>
      <c r="AA437" s="53"/>
      <c r="AB437" s="53"/>
      <c r="AC437" s="53"/>
      <c r="AD437" s="53"/>
      <c r="AE437" s="53"/>
      <c r="AF437" s="63"/>
      <c r="AG437" s="64"/>
      <c r="AH437" s="65"/>
      <c r="AI437" s="65"/>
      <c r="AJ437" s="53"/>
      <c r="AK437" s="53"/>
      <c r="AL437" s="53"/>
      <c r="AM437" s="53"/>
      <c r="AN437" s="53"/>
      <c r="AO437" s="53"/>
      <c r="AP437" s="53"/>
      <c r="AQ437" s="53"/>
      <c r="AR437" s="53"/>
      <c r="AS437" s="53"/>
      <c r="AT437" s="53"/>
      <c r="AU437" s="53"/>
      <c r="AV437" s="53"/>
      <c r="AW437" s="53"/>
      <c r="AX437" s="53"/>
      <c r="AY437" s="53"/>
      <c r="AZ437" s="53"/>
      <c r="BA437" s="53"/>
      <c r="BB437" s="53"/>
      <c r="BC437" s="53"/>
      <c r="BD437" s="53"/>
      <c r="BE437" s="53"/>
      <c r="BF437" s="53"/>
      <c r="BG437" s="53"/>
      <c r="BH437" s="53"/>
      <c r="BI437" s="53"/>
      <c r="BJ437" s="53"/>
      <c r="BK437" s="53"/>
      <c r="BL437" s="53"/>
      <c r="BM437" s="53"/>
      <c r="BN437" s="53"/>
      <c r="BO437" s="53"/>
      <c r="BP437" s="53"/>
      <c r="BQ437" s="53"/>
      <c r="BR437" s="53"/>
      <c r="BS437" s="53"/>
      <c r="BT437" s="53"/>
      <c r="BU437" s="53"/>
      <c r="BV437" s="53"/>
      <c r="BW437" s="53"/>
      <c r="BX437" s="53"/>
    </row>
    <row r="438" spans="1:76" x14ac:dyDescent="0.35">
      <c r="A438" s="53"/>
      <c r="B438" s="53"/>
      <c r="C438" s="55"/>
      <c r="D438" s="53"/>
      <c r="E438" s="53"/>
      <c r="F438" s="126" t="s">
        <v>722</v>
      </c>
      <c r="G438" s="125">
        <v>227</v>
      </c>
      <c r="H438" s="125">
        <v>1135</v>
      </c>
      <c r="I438" s="133">
        <v>5</v>
      </c>
      <c r="J438" s="53"/>
      <c r="K438" s="53"/>
      <c r="L438" s="53"/>
      <c r="M438" s="53"/>
      <c r="N438" s="53"/>
      <c r="O438" s="53"/>
      <c r="P438" s="53"/>
      <c r="Q438" s="53"/>
      <c r="R438" s="53"/>
      <c r="S438" s="53"/>
      <c r="T438" s="53"/>
      <c r="U438" s="53"/>
      <c r="V438" s="53"/>
      <c r="W438" s="53"/>
      <c r="X438" s="53"/>
      <c r="Y438" s="53"/>
      <c r="Z438" s="53"/>
      <c r="AA438" s="53"/>
      <c r="AB438" s="53"/>
      <c r="AC438" s="53"/>
      <c r="AD438" s="53"/>
      <c r="AE438" s="53"/>
      <c r="AF438" s="63"/>
      <c r="AG438" s="64"/>
      <c r="AH438" s="65"/>
      <c r="AI438" s="65"/>
      <c r="AJ438" s="53"/>
      <c r="AK438" s="53"/>
      <c r="AL438" s="53"/>
      <c r="AM438" s="53"/>
      <c r="AN438" s="53"/>
      <c r="AO438" s="53"/>
      <c r="AP438" s="53"/>
      <c r="AQ438" s="53"/>
      <c r="AR438" s="53"/>
      <c r="AS438" s="53"/>
      <c r="AT438" s="53"/>
      <c r="AU438" s="53"/>
      <c r="AV438" s="53"/>
      <c r="AW438" s="53"/>
      <c r="AX438" s="53"/>
      <c r="AY438" s="53"/>
      <c r="AZ438" s="53"/>
      <c r="BA438" s="53"/>
      <c r="BB438" s="53"/>
      <c r="BC438" s="53"/>
      <c r="BD438" s="53"/>
      <c r="BE438" s="53"/>
      <c r="BF438" s="53"/>
      <c r="BG438" s="53"/>
      <c r="BH438" s="53"/>
      <c r="BI438" s="53"/>
      <c r="BJ438" s="53"/>
      <c r="BK438" s="53"/>
      <c r="BL438" s="53"/>
      <c r="BM438" s="53"/>
      <c r="BN438" s="53"/>
      <c r="BO438" s="53"/>
      <c r="BP438" s="53"/>
      <c r="BQ438" s="53"/>
      <c r="BR438" s="53"/>
      <c r="BS438" s="53"/>
      <c r="BT438" s="53"/>
      <c r="BU438" s="53"/>
      <c r="BV438" s="53"/>
      <c r="BW438" s="53"/>
      <c r="BX438" s="53"/>
    </row>
    <row r="439" spans="1:76" x14ac:dyDescent="0.35">
      <c r="A439" s="53"/>
      <c r="B439" s="53"/>
      <c r="C439" s="55"/>
      <c r="D439" s="53"/>
      <c r="E439" s="53"/>
      <c r="F439" s="126" t="s">
        <v>724</v>
      </c>
      <c r="G439" s="125">
        <v>400</v>
      </c>
      <c r="H439" s="125">
        <v>1200</v>
      </c>
      <c r="I439" s="133">
        <v>3</v>
      </c>
      <c r="J439" s="53"/>
      <c r="K439" s="53"/>
      <c r="L439" s="53"/>
      <c r="M439" s="53"/>
      <c r="N439" s="53"/>
      <c r="O439" s="53"/>
      <c r="P439" s="53"/>
      <c r="Q439" s="53"/>
      <c r="R439" s="53"/>
      <c r="S439" s="53"/>
      <c r="T439" s="53"/>
      <c r="U439" s="53"/>
      <c r="V439" s="53"/>
      <c r="W439" s="53"/>
      <c r="X439" s="53"/>
      <c r="Y439" s="53"/>
      <c r="Z439" s="53"/>
      <c r="AA439" s="53"/>
      <c r="AB439" s="53"/>
      <c r="AC439" s="53"/>
      <c r="AD439" s="53"/>
      <c r="AE439" s="53"/>
      <c r="AF439" s="63"/>
      <c r="AG439" s="64"/>
      <c r="AH439" s="65"/>
      <c r="AI439" s="65"/>
      <c r="AJ439" s="53"/>
      <c r="AK439" s="53"/>
      <c r="AL439" s="53"/>
      <c r="AM439" s="53"/>
      <c r="AN439" s="53"/>
      <c r="AO439" s="53"/>
      <c r="AP439" s="53"/>
      <c r="AQ439" s="53"/>
      <c r="AR439" s="53"/>
      <c r="AS439" s="53"/>
      <c r="AT439" s="53"/>
      <c r="AU439" s="53"/>
      <c r="AV439" s="53"/>
      <c r="AW439" s="53"/>
      <c r="AX439" s="53"/>
      <c r="AY439" s="53"/>
      <c r="AZ439" s="53"/>
      <c r="BA439" s="53"/>
      <c r="BB439" s="53"/>
      <c r="BC439" s="53"/>
      <c r="BD439" s="53"/>
      <c r="BE439" s="53"/>
      <c r="BF439" s="53"/>
      <c r="BG439" s="53"/>
      <c r="BH439" s="53"/>
      <c r="BI439" s="53"/>
      <c r="BJ439" s="53"/>
      <c r="BK439" s="53"/>
      <c r="BL439" s="53"/>
      <c r="BM439" s="53"/>
      <c r="BN439" s="53"/>
      <c r="BO439" s="53"/>
      <c r="BP439" s="53"/>
      <c r="BQ439" s="53"/>
      <c r="BR439" s="53"/>
      <c r="BS439" s="53"/>
      <c r="BT439" s="53"/>
      <c r="BU439" s="53"/>
      <c r="BV439" s="53"/>
      <c r="BW439" s="53"/>
      <c r="BX439" s="53"/>
    </row>
    <row r="440" spans="1:76" x14ac:dyDescent="0.35">
      <c r="A440" s="53"/>
      <c r="B440" s="53"/>
      <c r="C440" s="55"/>
      <c r="D440" s="53"/>
      <c r="E440" s="53"/>
      <c r="F440" s="126" t="s">
        <v>726</v>
      </c>
      <c r="G440" s="125">
        <v>883</v>
      </c>
      <c r="H440" s="125">
        <v>3532</v>
      </c>
      <c r="I440" s="133">
        <v>4</v>
      </c>
      <c r="J440" s="53"/>
      <c r="K440" s="53"/>
      <c r="L440" s="53"/>
      <c r="M440" s="53"/>
      <c r="N440" s="53"/>
      <c r="O440" s="53"/>
      <c r="P440" s="53"/>
      <c r="Q440" s="53"/>
      <c r="R440" s="53"/>
      <c r="S440" s="53"/>
      <c r="T440" s="53"/>
      <c r="U440" s="53"/>
      <c r="V440" s="53"/>
      <c r="W440" s="53"/>
      <c r="X440" s="53"/>
      <c r="Y440" s="53"/>
      <c r="Z440" s="53"/>
      <c r="AA440" s="53"/>
      <c r="AB440" s="53"/>
      <c r="AC440" s="53"/>
      <c r="AD440" s="53"/>
      <c r="AE440" s="53"/>
      <c r="AF440" s="63"/>
      <c r="AG440" s="64"/>
      <c r="AH440" s="65"/>
      <c r="AI440" s="65"/>
      <c r="AJ440" s="53"/>
      <c r="AK440" s="53"/>
      <c r="AL440" s="53"/>
      <c r="AM440" s="53"/>
      <c r="AN440" s="53"/>
      <c r="AO440" s="53"/>
      <c r="AP440" s="53"/>
      <c r="AQ440" s="53"/>
      <c r="AR440" s="53"/>
      <c r="AS440" s="53"/>
      <c r="AT440" s="53"/>
      <c r="AU440" s="53"/>
      <c r="AV440" s="53"/>
      <c r="AW440" s="53"/>
      <c r="AX440" s="53"/>
      <c r="AY440" s="53"/>
      <c r="AZ440" s="53"/>
      <c r="BA440" s="53"/>
      <c r="BB440" s="53"/>
      <c r="BC440" s="53"/>
      <c r="BD440" s="53"/>
      <c r="BE440" s="53"/>
      <c r="BF440" s="53"/>
      <c r="BG440" s="53"/>
      <c r="BH440" s="53"/>
      <c r="BI440" s="53"/>
      <c r="BJ440" s="53"/>
      <c r="BK440" s="53"/>
      <c r="BL440" s="53"/>
      <c r="BM440" s="53"/>
      <c r="BN440" s="53"/>
      <c r="BO440" s="53"/>
      <c r="BP440" s="53"/>
      <c r="BQ440" s="53"/>
      <c r="BR440" s="53"/>
      <c r="BS440" s="53"/>
      <c r="BT440" s="53"/>
      <c r="BU440" s="53"/>
      <c r="BV440" s="53"/>
      <c r="BW440" s="53"/>
      <c r="BX440" s="53"/>
    </row>
    <row r="441" spans="1:76" x14ac:dyDescent="0.35">
      <c r="A441" s="53"/>
      <c r="B441" s="53"/>
      <c r="C441" s="55"/>
      <c r="D441" s="53"/>
      <c r="E441" s="53"/>
      <c r="F441" s="126" t="s">
        <v>728</v>
      </c>
      <c r="G441" s="125">
        <v>805</v>
      </c>
      <c r="H441" s="125">
        <v>7245</v>
      </c>
      <c r="I441" s="133">
        <v>9</v>
      </c>
      <c r="J441" s="53"/>
      <c r="K441" s="53"/>
      <c r="L441" s="53"/>
      <c r="M441" s="53"/>
      <c r="N441" s="53"/>
      <c r="O441" s="53"/>
      <c r="P441" s="53"/>
      <c r="Q441" s="53"/>
      <c r="R441" s="53"/>
      <c r="S441" s="53"/>
      <c r="T441" s="53"/>
      <c r="U441" s="53"/>
      <c r="V441" s="53"/>
      <c r="W441" s="53"/>
      <c r="X441" s="53"/>
      <c r="Y441" s="53"/>
      <c r="Z441" s="53"/>
      <c r="AA441" s="53"/>
      <c r="AB441" s="53"/>
      <c r="AC441" s="53"/>
      <c r="AD441" s="53"/>
      <c r="AE441" s="53"/>
      <c r="AF441" s="63"/>
      <c r="AG441" s="64"/>
      <c r="AH441" s="65"/>
      <c r="AI441" s="65"/>
      <c r="AJ441" s="53"/>
      <c r="AK441" s="53"/>
      <c r="AL441" s="53"/>
      <c r="AM441" s="53"/>
      <c r="AN441" s="53"/>
      <c r="AO441" s="53"/>
      <c r="AP441" s="53"/>
      <c r="AQ441" s="53"/>
      <c r="AR441" s="53"/>
      <c r="AS441" s="53"/>
      <c r="AT441" s="53"/>
      <c r="AU441" s="53"/>
      <c r="AV441" s="53"/>
      <c r="AW441" s="53"/>
      <c r="AX441" s="53"/>
      <c r="AY441" s="53"/>
      <c r="AZ441" s="53"/>
      <c r="BA441" s="53"/>
      <c r="BB441" s="53"/>
      <c r="BC441" s="53"/>
      <c r="BD441" s="53"/>
      <c r="BE441" s="53"/>
      <c r="BF441" s="53"/>
      <c r="BG441" s="53"/>
      <c r="BH441" s="53"/>
      <c r="BI441" s="53"/>
      <c r="BJ441" s="53"/>
      <c r="BK441" s="53"/>
      <c r="BL441" s="53"/>
      <c r="BM441" s="53"/>
      <c r="BN441" s="53"/>
      <c r="BO441" s="53"/>
      <c r="BP441" s="53"/>
      <c r="BQ441" s="53"/>
      <c r="BR441" s="53"/>
      <c r="BS441" s="53"/>
      <c r="BT441" s="53"/>
      <c r="BU441" s="53"/>
      <c r="BV441" s="53"/>
      <c r="BW441" s="53"/>
      <c r="BX441" s="53"/>
    </row>
    <row r="442" spans="1:76" x14ac:dyDescent="0.35">
      <c r="A442" s="53"/>
      <c r="B442" s="53"/>
      <c r="C442" s="55"/>
      <c r="D442" s="53"/>
      <c r="E442" s="53"/>
      <c r="F442" s="126" t="s">
        <v>730</v>
      </c>
      <c r="G442" s="125">
        <v>1108</v>
      </c>
      <c r="H442" s="125">
        <v>12188</v>
      </c>
      <c r="I442" s="133">
        <v>11</v>
      </c>
      <c r="J442" s="53"/>
      <c r="K442" s="53"/>
      <c r="L442" s="53"/>
      <c r="M442" s="53"/>
      <c r="N442" s="53"/>
      <c r="O442" s="53"/>
      <c r="P442" s="53"/>
      <c r="Q442" s="53"/>
      <c r="R442" s="53"/>
      <c r="S442" s="53"/>
      <c r="T442" s="53"/>
      <c r="U442" s="53"/>
      <c r="V442" s="53"/>
      <c r="W442" s="53"/>
      <c r="X442" s="53"/>
      <c r="Y442" s="53"/>
      <c r="Z442" s="53"/>
      <c r="AA442" s="53"/>
      <c r="AB442" s="53"/>
      <c r="AC442" s="53"/>
      <c r="AD442" s="53"/>
      <c r="AE442" s="53"/>
      <c r="AF442" s="63"/>
      <c r="AG442" s="64"/>
      <c r="AH442" s="65"/>
      <c r="AI442" s="65"/>
      <c r="AJ442" s="53"/>
      <c r="AK442" s="53"/>
      <c r="AL442" s="53"/>
      <c r="AM442" s="53"/>
      <c r="AN442" s="53"/>
      <c r="AO442" s="53"/>
      <c r="AP442" s="53"/>
      <c r="AQ442" s="53"/>
      <c r="AR442" s="53"/>
      <c r="AS442" s="53"/>
      <c r="AT442" s="53"/>
      <c r="AU442" s="53"/>
      <c r="AV442" s="53"/>
      <c r="AW442" s="53"/>
      <c r="AX442" s="53"/>
      <c r="AY442" s="53"/>
      <c r="AZ442" s="53"/>
      <c r="BA442" s="53"/>
      <c r="BB442" s="53"/>
      <c r="BC442" s="53"/>
      <c r="BD442" s="53"/>
      <c r="BE442" s="53"/>
      <c r="BF442" s="53"/>
      <c r="BG442" s="53"/>
      <c r="BH442" s="53"/>
      <c r="BI442" s="53"/>
      <c r="BJ442" s="53"/>
      <c r="BK442" s="53"/>
      <c r="BL442" s="53"/>
      <c r="BM442" s="53"/>
      <c r="BN442" s="53"/>
      <c r="BO442" s="53"/>
      <c r="BP442" s="53"/>
      <c r="BQ442" s="53"/>
      <c r="BR442" s="53"/>
      <c r="BS442" s="53"/>
      <c r="BT442" s="53"/>
      <c r="BU442" s="53"/>
      <c r="BV442" s="53"/>
      <c r="BW442" s="53"/>
      <c r="BX442" s="53"/>
    </row>
    <row r="443" spans="1:76" x14ac:dyDescent="0.35">
      <c r="A443" s="53"/>
      <c r="B443" s="53"/>
      <c r="C443" s="55"/>
      <c r="D443" s="53"/>
      <c r="E443" s="53"/>
      <c r="F443" s="126" t="s">
        <v>732</v>
      </c>
      <c r="G443" s="125">
        <v>930</v>
      </c>
      <c r="H443" s="125">
        <v>930</v>
      </c>
      <c r="I443" s="133">
        <v>1</v>
      </c>
      <c r="J443" s="53"/>
      <c r="K443" s="53"/>
      <c r="L443" s="53"/>
      <c r="M443" s="53"/>
      <c r="N443" s="53"/>
      <c r="O443" s="53"/>
      <c r="P443" s="53"/>
      <c r="Q443" s="53"/>
      <c r="R443" s="53"/>
      <c r="S443" s="53"/>
      <c r="T443" s="53"/>
      <c r="U443" s="53"/>
      <c r="V443" s="53"/>
      <c r="W443" s="53"/>
      <c r="X443" s="53"/>
      <c r="Y443" s="53"/>
      <c r="Z443" s="53"/>
      <c r="AA443" s="53"/>
      <c r="AB443" s="53"/>
      <c r="AC443" s="53"/>
      <c r="AD443" s="53"/>
      <c r="AE443" s="53"/>
      <c r="AF443" s="63"/>
      <c r="AG443" s="64"/>
      <c r="AH443" s="65"/>
      <c r="AI443" s="65"/>
      <c r="AJ443" s="53"/>
      <c r="AK443" s="53"/>
      <c r="AL443" s="53"/>
      <c r="AM443" s="53"/>
      <c r="AN443" s="53"/>
      <c r="AO443" s="53"/>
      <c r="AP443" s="53"/>
      <c r="AQ443" s="53"/>
      <c r="AR443" s="53"/>
      <c r="AS443" s="53"/>
      <c r="AT443" s="53"/>
      <c r="AU443" s="53"/>
      <c r="AV443" s="53"/>
      <c r="AW443" s="53"/>
      <c r="AX443" s="53"/>
      <c r="AY443" s="53"/>
      <c r="AZ443" s="53"/>
      <c r="BA443" s="53"/>
      <c r="BB443" s="53"/>
      <c r="BC443" s="53"/>
      <c r="BD443" s="53"/>
      <c r="BE443" s="53"/>
      <c r="BF443" s="53"/>
      <c r="BG443" s="53"/>
      <c r="BH443" s="53"/>
      <c r="BI443" s="53"/>
      <c r="BJ443" s="53"/>
      <c r="BK443" s="53"/>
      <c r="BL443" s="53"/>
      <c r="BM443" s="53"/>
      <c r="BN443" s="53"/>
      <c r="BO443" s="53"/>
      <c r="BP443" s="53"/>
      <c r="BQ443" s="53"/>
      <c r="BR443" s="53"/>
      <c r="BS443" s="53"/>
      <c r="BT443" s="53"/>
      <c r="BU443" s="53"/>
      <c r="BV443" s="53"/>
      <c r="BW443" s="53"/>
      <c r="BX443" s="53"/>
    </row>
    <row r="444" spans="1:76" x14ac:dyDescent="0.35">
      <c r="A444" s="53"/>
      <c r="B444" s="53"/>
      <c r="C444" s="55"/>
      <c r="D444" s="53"/>
      <c r="E444" s="53"/>
      <c r="F444" s="126" t="s">
        <v>734</v>
      </c>
      <c r="G444" s="125">
        <v>98</v>
      </c>
      <c r="H444" s="125">
        <v>1568</v>
      </c>
      <c r="I444" s="133">
        <v>16</v>
      </c>
      <c r="J444" s="53"/>
      <c r="K444" s="53"/>
      <c r="L444" s="53"/>
      <c r="M444" s="53"/>
      <c r="N444" s="53"/>
      <c r="O444" s="53"/>
      <c r="P444" s="53"/>
      <c r="Q444" s="53"/>
      <c r="R444" s="53"/>
      <c r="S444" s="53"/>
      <c r="T444" s="53"/>
      <c r="U444" s="53"/>
      <c r="V444" s="53"/>
      <c r="W444" s="53"/>
      <c r="X444" s="53"/>
      <c r="Y444" s="53"/>
      <c r="Z444" s="53"/>
      <c r="AA444" s="53"/>
      <c r="AB444" s="53"/>
      <c r="AC444" s="53"/>
      <c r="AD444" s="53"/>
      <c r="AE444" s="53"/>
      <c r="AF444" s="63"/>
      <c r="AG444" s="64"/>
      <c r="AH444" s="65"/>
      <c r="AI444" s="65"/>
      <c r="AJ444" s="53"/>
      <c r="AK444" s="53"/>
      <c r="AL444" s="53"/>
      <c r="AM444" s="53"/>
      <c r="AN444" s="53"/>
      <c r="AO444" s="53"/>
      <c r="AP444" s="53"/>
      <c r="AQ444" s="53"/>
      <c r="AR444" s="53"/>
      <c r="AS444" s="53"/>
      <c r="AT444" s="53"/>
      <c r="AU444" s="53"/>
      <c r="AV444" s="53"/>
      <c r="AW444" s="53"/>
      <c r="AX444" s="53"/>
      <c r="AY444" s="53"/>
      <c r="AZ444" s="53"/>
      <c r="BA444" s="53"/>
      <c r="BB444" s="53"/>
      <c r="BC444" s="53"/>
      <c r="BD444" s="53"/>
      <c r="BE444" s="53"/>
      <c r="BF444" s="53"/>
      <c r="BG444" s="53"/>
      <c r="BH444" s="53"/>
      <c r="BI444" s="53"/>
      <c r="BJ444" s="53"/>
      <c r="BK444" s="53"/>
      <c r="BL444" s="53"/>
      <c r="BM444" s="53"/>
      <c r="BN444" s="53"/>
      <c r="BO444" s="53"/>
      <c r="BP444" s="53"/>
      <c r="BQ444" s="53"/>
      <c r="BR444" s="53"/>
      <c r="BS444" s="53"/>
      <c r="BT444" s="53"/>
      <c r="BU444" s="53"/>
      <c r="BV444" s="53"/>
      <c r="BW444" s="53"/>
      <c r="BX444" s="53"/>
    </row>
    <row r="445" spans="1:76" x14ac:dyDescent="0.35">
      <c r="A445" s="53"/>
      <c r="B445" s="53"/>
      <c r="C445" s="55"/>
      <c r="D445" s="53"/>
      <c r="E445" s="53"/>
      <c r="F445" s="126" t="s">
        <v>736</v>
      </c>
      <c r="G445" s="125">
        <v>71.38</v>
      </c>
      <c r="H445" s="125">
        <v>3854.5199999999995</v>
      </c>
      <c r="I445" s="133">
        <v>54</v>
      </c>
      <c r="J445" s="53"/>
      <c r="K445" s="53"/>
      <c r="L445" s="53"/>
      <c r="M445" s="53"/>
      <c r="N445" s="53"/>
      <c r="O445" s="53"/>
      <c r="P445" s="53"/>
      <c r="Q445" s="53"/>
      <c r="R445" s="53"/>
      <c r="S445" s="53"/>
      <c r="T445" s="53"/>
      <c r="U445" s="53"/>
      <c r="V445" s="53"/>
      <c r="W445" s="53"/>
      <c r="X445" s="53"/>
      <c r="Y445" s="53"/>
      <c r="Z445" s="53"/>
      <c r="AA445" s="53"/>
      <c r="AB445" s="53"/>
      <c r="AC445" s="53"/>
      <c r="AD445" s="53"/>
      <c r="AE445" s="53"/>
      <c r="AF445" s="63"/>
      <c r="AG445" s="64"/>
      <c r="AH445" s="65"/>
      <c r="AI445" s="65"/>
      <c r="AJ445" s="53"/>
      <c r="AK445" s="53"/>
      <c r="AL445" s="53"/>
      <c r="AM445" s="53"/>
      <c r="AN445" s="53"/>
      <c r="AO445" s="53"/>
      <c r="AP445" s="53"/>
      <c r="AQ445" s="53"/>
      <c r="AR445" s="53"/>
      <c r="AS445" s="53"/>
      <c r="AT445" s="53"/>
      <c r="AU445" s="53"/>
      <c r="AV445" s="53"/>
      <c r="AW445" s="53"/>
      <c r="AX445" s="53"/>
      <c r="AY445" s="53"/>
      <c r="AZ445" s="53"/>
      <c r="BA445" s="53"/>
      <c r="BB445" s="53"/>
      <c r="BC445" s="53"/>
      <c r="BD445" s="53"/>
      <c r="BE445" s="53"/>
      <c r="BF445" s="53"/>
      <c r="BG445" s="53"/>
      <c r="BH445" s="53"/>
      <c r="BI445" s="53"/>
      <c r="BJ445" s="53"/>
      <c r="BK445" s="53"/>
      <c r="BL445" s="53"/>
      <c r="BM445" s="53"/>
      <c r="BN445" s="53"/>
      <c r="BO445" s="53"/>
      <c r="BP445" s="53"/>
      <c r="BQ445" s="53"/>
      <c r="BR445" s="53"/>
      <c r="BS445" s="53"/>
      <c r="BT445" s="53"/>
      <c r="BU445" s="53"/>
      <c r="BV445" s="53"/>
      <c r="BW445" s="53"/>
      <c r="BX445" s="53"/>
    </row>
    <row r="446" spans="1:76" x14ac:dyDescent="0.35">
      <c r="A446" s="53"/>
      <c r="B446" s="53"/>
      <c r="C446" s="55"/>
      <c r="D446" s="53"/>
      <c r="E446" s="53"/>
      <c r="F446" s="126" t="s">
        <v>1122</v>
      </c>
      <c r="G446" s="125">
        <v>46</v>
      </c>
      <c r="H446" s="125">
        <v>460</v>
      </c>
      <c r="I446" s="133">
        <v>10</v>
      </c>
      <c r="J446" s="53"/>
      <c r="K446" s="53"/>
      <c r="L446" s="53"/>
      <c r="M446" s="53"/>
      <c r="N446" s="53"/>
      <c r="O446" s="53"/>
      <c r="P446" s="53"/>
      <c r="Q446" s="53"/>
      <c r="R446" s="53"/>
      <c r="S446" s="53"/>
      <c r="T446" s="53"/>
      <c r="U446" s="53"/>
      <c r="V446" s="53"/>
      <c r="W446" s="53"/>
      <c r="X446" s="53"/>
      <c r="Y446" s="53"/>
      <c r="Z446" s="53"/>
      <c r="AA446" s="53"/>
      <c r="AB446" s="53"/>
      <c r="AC446" s="53"/>
      <c r="AD446" s="53"/>
      <c r="AE446" s="53"/>
      <c r="AF446" s="63"/>
      <c r="AG446" s="64"/>
      <c r="AH446" s="65"/>
      <c r="AI446" s="65"/>
      <c r="AJ446" s="53"/>
      <c r="AK446" s="53"/>
      <c r="AL446" s="53"/>
      <c r="AM446" s="53"/>
      <c r="AN446" s="53"/>
      <c r="AO446" s="53"/>
      <c r="AP446" s="53"/>
      <c r="AQ446" s="53"/>
      <c r="AR446" s="53"/>
      <c r="AS446" s="53"/>
      <c r="AT446" s="53"/>
      <c r="AU446" s="53"/>
      <c r="AV446" s="53"/>
      <c r="AW446" s="53"/>
      <c r="AX446" s="53"/>
      <c r="AY446" s="53"/>
      <c r="AZ446" s="53"/>
      <c r="BA446" s="53"/>
      <c r="BB446" s="53"/>
      <c r="BC446" s="53"/>
      <c r="BD446" s="53"/>
      <c r="BE446" s="53"/>
      <c r="BF446" s="53"/>
      <c r="BG446" s="53"/>
      <c r="BH446" s="53"/>
      <c r="BI446" s="53"/>
      <c r="BJ446" s="53"/>
      <c r="BK446" s="53"/>
      <c r="BL446" s="53"/>
      <c r="BM446" s="53"/>
      <c r="BN446" s="53"/>
      <c r="BO446" s="53"/>
      <c r="BP446" s="53"/>
      <c r="BQ446" s="53"/>
      <c r="BR446" s="53"/>
      <c r="BS446" s="53"/>
      <c r="BT446" s="53"/>
      <c r="BU446" s="53"/>
      <c r="BV446" s="53"/>
      <c r="BW446" s="53"/>
      <c r="BX446" s="53"/>
    </row>
    <row r="447" spans="1:76" x14ac:dyDescent="0.35">
      <c r="A447" s="53"/>
      <c r="B447" s="53"/>
      <c r="C447" s="55"/>
      <c r="D447" s="53"/>
      <c r="E447" s="53"/>
      <c r="F447" s="126" t="s">
        <v>738</v>
      </c>
      <c r="G447" s="125">
        <v>213.5</v>
      </c>
      <c r="H447" s="125">
        <v>213.5</v>
      </c>
      <c r="I447" s="133">
        <v>1</v>
      </c>
      <c r="J447" s="53"/>
      <c r="K447" s="53"/>
      <c r="L447" s="53"/>
      <c r="M447" s="53"/>
      <c r="N447" s="53"/>
      <c r="O447" s="53"/>
      <c r="P447" s="53"/>
      <c r="Q447" s="53"/>
      <c r="R447" s="53"/>
      <c r="S447" s="53"/>
      <c r="T447" s="53"/>
      <c r="U447" s="53"/>
      <c r="V447" s="53"/>
      <c r="W447" s="53"/>
      <c r="X447" s="53"/>
      <c r="Y447" s="53"/>
      <c r="Z447" s="53"/>
      <c r="AA447" s="53"/>
      <c r="AB447" s="53"/>
      <c r="AC447" s="53"/>
      <c r="AD447" s="53"/>
      <c r="AE447" s="53"/>
      <c r="AF447" s="63"/>
      <c r="AG447" s="64"/>
      <c r="AH447" s="65"/>
      <c r="AI447" s="65"/>
      <c r="AJ447" s="53"/>
      <c r="AK447" s="53"/>
      <c r="AL447" s="53"/>
      <c r="AM447" s="53"/>
      <c r="AN447" s="53"/>
      <c r="AO447" s="53"/>
      <c r="AP447" s="53"/>
      <c r="AQ447" s="53"/>
      <c r="AR447" s="53"/>
      <c r="AS447" s="53"/>
      <c r="AT447" s="53"/>
      <c r="AU447" s="53"/>
      <c r="AV447" s="53"/>
      <c r="AW447" s="53"/>
      <c r="AX447" s="53"/>
      <c r="AY447" s="53"/>
      <c r="AZ447" s="53"/>
      <c r="BA447" s="53"/>
      <c r="BB447" s="53"/>
      <c r="BC447" s="53"/>
      <c r="BD447" s="53"/>
      <c r="BE447" s="53"/>
      <c r="BF447" s="53"/>
      <c r="BG447" s="53"/>
      <c r="BH447" s="53"/>
      <c r="BI447" s="53"/>
      <c r="BJ447" s="53"/>
      <c r="BK447" s="53"/>
      <c r="BL447" s="53"/>
      <c r="BM447" s="53"/>
      <c r="BN447" s="53"/>
      <c r="BO447" s="53"/>
      <c r="BP447" s="53"/>
      <c r="BQ447" s="53"/>
      <c r="BR447" s="53"/>
      <c r="BS447" s="53"/>
      <c r="BT447" s="53"/>
      <c r="BU447" s="53"/>
      <c r="BV447" s="53"/>
      <c r="BW447" s="53"/>
      <c r="BX447" s="53"/>
    </row>
    <row r="448" spans="1:76" x14ac:dyDescent="0.35">
      <c r="A448" s="53"/>
      <c r="B448" s="53"/>
      <c r="C448" s="55"/>
      <c r="D448" s="53"/>
      <c r="E448" s="53"/>
      <c r="F448" s="124" t="s">
        <v>742</v>
      </c>
      <c r="G448" s="125"/>
      <c r="H448" s="125">
        <v>0</v>
      </c>
      <c r="I448" s="133">
        <v>2</v>
      </c>
      <c r="J448" s="53"/>
      <c r="K448" s="53"/>
      <c r="L448" s="53"/>
      <c r="M448" s="53"/>
      <c r="N448" s="53"/>
      <c r="O448" s="53"/>
      <c r="P448" s="53"/>
      <c r="Q448" s="53"/>
      <c r="R448" s="53"/>
      <c r="S448" s="53"/>
      <c r="T448" s="53"/>
      <c r="U448" s="53"/>
      <c r="V448" s="53"/>
      <c r="W448" s="53"/>
      <c r="X448" s="53"/>
      <c r="Y448" s="53"/>
      <c r="Z448" s="53"/>
      <c r="AA448" s="53"/>
      <c r="AB448" s="53"/>
      <c r="AC448" s="53"/>
      <c r="AD448" s="53"/>
      <c r="AE448" s="53"/>
      <c r="AF448" s="63"/>
      <c r="AG448" s="64"/>
      <c r="AH448" s="65"/>
      <c r="AI448" s="65"/>
      <c r="AJ448" s="53"/>
      <c r="AK448" s="53"/>
      <c r="AL448" s="53"/>
      <c r="AM448" s="53"/>
      <c r="AN448" s="53"/>
      <c r="AO448" s="53"/>
      <c r="AP448" s="53"/>
      <c r="AQ448" s="53"/>
      <c r="AR448" s="53"/>
      <c r="AS448" s="53"/>
      <c r="AT448" s="53"/>
      <c r="AU448" s="53"/>
      <c r="AV448" s="53"/>
      <c r="AW448" s="53"/>
      <c r="AX448" s="53"/>
      <c r="AY448" s="53"/>
      <c r="AZ448" s="53"/>
      <c r="BA448" s="53"/>
      <c r="BB448" s="53"/>
      <c r="BC448" s="53"/>
      <c r="BD448" s="53"/>
      <c r="BE448" s="53"/>
      <c r="BF448" s="53"/>
      <c r="BG448" s="53"/>
      <c r="BH448" s="53"/>
      <c r="BI448" s="53"/>
      <c r="BJ448" s="53"/>
      <c r="BK448" s="53"/>
      <c r="BL448" s="53"/>
      <c r="BM448" s="53"/>
      <c r="BN448" s="53"/>
      <c r="BO448" s="53"/>
      <c r="BP448" s="53"/>
      <c r="BQ448" s="53"/>
      <c r="BR448" s="53"/>
      <c r="BS448" s="53"/>
      <c r="BT448" s="53"/>
      <c r="BU448" s="53"/>
      <c r="BV448" s="53"/>
      <c r="BW448" s="53"/>
      <c r="BX448" s="53"/>
    </row>
    <row r="449" spans="1:76" x14ac:dyDescent="0.35">
      <c r="A449" s="53"/>
      <c r="B449" s="53"/>
      <c r="C449" s="55"/>
      <c r="D449" s="53"/>
      <c r="E449" s="53"/>
      <c r="F449" s="126" t="s">
        <v>740</v>
      </c>
      <c r="G449" s="125"/>
      <c r="H449" s="125">
        <v>0</v>
      </c>
      <c r="I449" s="133">
        <v>2</v>
      </c>
      <c r="J449" s="53"/>
      <c r="K449" s="53"/>
      <c r="L449" s="53"/>
      <c r="M449" s="53"/>
      <c r="N449" s="53"/>
      <c r="O449" s="53"/>
      <c r="P449" s="53"/>
      <c r="Q449" s="53"/>
      <c r="R449" s="53"/>
      <c r="S449" s="53"/>
      <c r="T449" s="53"/>
      <c r="U449" s="53"/>
      <c r="V449" s="53"/>
      <c r="W449" s="53"/>
      <c r="X449" s="53"/>
      <c r="Y449" s="53"/>
      <c r="Z449" s="53"/>
      <c r="AA449" s="53"/>
      <c r="AB449" s="53"/>
      <c r="AC449" s="53"/>
      <c r="AD449" s="53"/>
      <c r="AE449" s="53"/>
      <c r="AF449" s="63"/>
      <c r="AG449" s="64"/>
      <c r="AH449" s="65"/>
      <c r="AI449" s="65"/>
      <c r="AJ449" s="53"/>
      <c r="AK449" s="53"/>
      <c r="AL449" s="53"/>
      <c r="AM449" s="53"/>
      <c r="AN449" s="53"/>
      <c r="AO449" s="53"/>
      <c r="AP449" s="53"/>
      <c r="AQ449" s="53"/>
      <c r="AR449" s="53"/>
      <c r="AS449" s="53"/>
      <c r="AT449" s="53"/>
      <c r="AU449" s="53"/>
      <c r="AV449" s="53"/>
      <c r="AW449" s="53"/>
      <c r="AX449" s="53"/>
      <c r="AY449" s="53"/>
      <c r="AZ449" s="53"/>
      <c r="BA449" s="53"/>
      <c r="BB449" s="53"/>
      <c r="BC449" s="53"/>
      <c r="BD449" s="53"/>
      <c r="BE449" s="53"/>
      <c r="BF449" s="53"/>
      <c r="BG449" s="53"/>
      <c r="BH449" s="53"/>
      <c r="BI449" s="53"/>
      <c r="BJ449" s="53"/>
      <c r="BK449" s="53"/>
      <c r="BL449" s="53"/>
      <c r="BM449" s="53"/>
      <c r="BN449" s="53"/>
      <c r="BO449" s="53"/>
      <c r="BP449" s="53"/>
      <c r="BQ449" s="53"/>
      <c r="BR449" s="53"/>
      <c r="BS449" s="53"/>
      <c r="BT449" s="53"/>
      <c r="BU449" s="53"/>
      <c r="BV449" s="53"/>
      <c r="BW449" s="53"/>
      <c r="BX449" s="53"/>
    </row>
    <row r="450" spans="1:76" x14ac:dyDescent="0.35">
      <c r="A450" s="53"/>
      <c r="B450" s="53"/>
      <c r="C450" s="55"/>
      <c r="D450" s="53"/>
      <c r="E450" s="53"/>
      <c r="F450" s="124" t="s">
        <v>1158</v>
      </c>
      <c r="G450" s="125"/>
      <c r="H450" s="125">
        <v>0</v>
      </c>
      <c r="I450" s="133">
        <v>0</v>
      </c>
      <c r="J450" s="53"/>
      <c r="K450" s="53"/>
      <c r="L450" s="53"/>
      <c r="M450" s="53"/>
      <c r="N450" s="53"/>
      <c r="O450" s="53"/>
      <c r="P450" s="53"/>
      <c r="Q450" s="53"/>
      <c r="R450" s="53"/>
      <c r="S450" s="53"/>
      <c r="T450" s="53"/>
      <c r="U450" s="53"/>
      <c r="V450" s="53"/>
      <c r="W450" s="53"/>
      <c r="X450" s="53"/>
      <c r="Y450" s="53"/>
      <c r="Z450" s="53"/>
      <c r="AA450" s="53"/>
      <c r="AB450" s="53"/>
      <c r="AC450" s="53"/>
      <c r="AD450" s="53"/>
      <c r="AE450" s="53"/>
      <c r="AF450" s="63"/>
      <c r="AG450" s="64"/>
      <c r="AH450" s="65"/>
      <c r="AI450" s="65"/>
      <c r="AJ450" s="53"/>
      <c r="AK450" s="53"/>
      <c r="AL450" s="53"/>
      <c r="AM450" s="53"/>
      <c r="AN450" s="53"/>
      <c r="AO450" s="53"/>
      <c r="AP450" s="53"/>
      <c r="AQ450" s="53"/>
      <c r="AR450" s="53"/>
      <c r="AS450" s="53"/>
      <c r="AT450" s="53"/>
      <c r="AU450" s="53"/>
      <c r="AV450" s="53"/>
      <c r="AW450" s="53"/>
      <c r="AX450" s="53"/>
      <c r="AY450" s="53"/>
      <c r="AZ450" s="53"/>
      <c r="BA450" s="53"/>
      <c r="BB450" s="53"/>
      <c r="BC450" s="53"/>
      <c r="BD450" s="53"/>
      <c r="BE450" s="53"/>
      <c r="BF450" s="53"/>
      <c r="BG450" s="53"/>
      <c r="BH450" s="53"/>
      <c r="BI450" s="53"/>
      <c r="BJ450" s="53"/>
      <c r="BK450" s="53"/>
      <c r="BL450" s="53"/>
      <c r="BM450" s="53"/>
      <c r="BN450" s="53"/>
      <c r="BO450" s="53"/>
      <c r="BP450" s="53"/>
      <c r="BQ450" s="53"/>
      <c r="BR450" s="53"/>
      <c r="BS450" s="53"/>
      <c r="BT450" s="53"/>
      <c r="BU450" s="53"/>
      <c r="BV450" s="53"/>
      <c r="BW450" s="53"/>
      <c r="BX450" s="53"/>
    </row>
    <row r="451" spans="1:76" x14ac:dyDescent="0.35">
      <c r="A451" s="53"/>
      <c r="B451" s="53"/>
      <c r="C451" s="55"/>
      <c r="D451" s="53"/>
      <c r="E451" s="53"/>
      <c r="F451" s="126" t="s">
        <v>68</v>
      </c>
      <c r="G451" s="125"/>
      <c r="H451" s="125">
        <v>0</v>
      </c>
      <c r="I451" s="133">
        <v>0</v>
      </c>
      <c r="J451" s="53"/>
      <c r="K451" s="53"/>
      <c r="L451" s="53"/>
      <c r="M451" s="53"/>
      <c r="N451" s="53"/>
      <c r="O451" s="53"/>
      <c r="P451" s="53"/>
      <c r="Q451" s="53"/>
      <c r="R451" s="53"/>
      <c r="S451" s="53"/>
      <c r="T451" s="53"/>
      <c r="U451" s="53"/>
      <c r="V451" s="53"/>
      <c r="W451" s="53"/>
      <c r="X451" s="53"/>
      <c r="Y451" s="53"/>
      <c r="Z451" s="53"/>
      <c r="AA451" s="53"/>
      <c r="AB451" s="53"/>
      <c r="AC451" s="53"/>
      <c r="AD451" s="53"/>
      <c r="AE451" s="53"/>
      <c r="AF451" s="63"/>
      <c r="AG451" s="64"/>
      <c r="AH451" s="65"/>
      <c r="AI451" s="65"/>
      <c r="AJ451" s="53"/>
      <c r="AK451" s="53"/>
      <c r="AL451" s="53"/>
      <c r="AM451" s="53"/>
      <c r="AN451" s="53"/>
      <c r="AO451" s="53"/>
      <c r="AP451" s="53"/>
      <c r="AQ451" s="53"/>
      <c r="AR451" s="53"/>
      <c r="AS451" s="53"/>
      <c r="AT451" s="53"/>
      <c r="AU451" s="53"/>
      <c r="AV451" s="53"/>
      <c r="AW451" s="53"/>
      <c r="AX451" s="53"/>
      <c r="AY451" s="53"/>
      <c r="AZ451" s="53"/>
      <c r="BA451" s="53"/>
      <c r="BB451" s="53"/>
      <c r="BC451" s="53"/>
      <c r="BD451" s="53"/>
      <c r="BE451" s="53"/>
      <c r="BF451" s="53"/>
      <c r="BG451" s="53"/>
      <c r="BH451" s="53"/>
      <c r="BI451" s="53"/>
      <c r="BJ451" s="53"/>
      <c r="BK451" s="53"/>
      <c r="BL451" s="53"/>
      <c r="BM451" s="53"/>
      <c r="BN451" s="53"/>
      <c r="BO451" s="53"/>
      <c r="BP451" s="53"/>
      <c r="BQ451" s="53"/>
      <c r="BR451" s="53"/>
      <c r="BS451" s="53"/>
      <c r="BT451" s="53"/>
      <c r="BU451" s="53"/>
      <c r="BV451" s="53"/>
    </row>
    <row r="452" spans="1:76" x14ac:dyDescent="0.35">
      <c r="A452" s="53"/>
      <c r="B452" s="53"/>
      <c r="C452" s="55"/>
      <c r="D452" s="53"/>
      <c r="E452" s="53"/>
      <c r="F452" s="126" t="s">
        <v>65</v>
      </c>
      <c r="G452" s="125"/>
      <c r="H452" s="125">
        <v>0</v>
      </c>
      <c r="I452" s="133">
        <v>0</v>
      </c>
      <c r="J452" s="53"/>
      <c r="K452" s="53"/>
      <c r="L452" s="53"/>
      <c r="M452" s="53"/>
      <c r="N452" s="53"/>
      <c r="O452" s="53"/>
      <c r="P452" s="53"/>
      <c r="Q452" s="53"/>
      <c r="R452" s="53"/>
      <c r="S452" s="53"/>
      <c r="T452" s="53"/>
      <c r="U452" s="53"/>
      <c r="V452" s="53"/>
      <c r="W452" s="53"/>
      <c r="X452" s="53"/>
      <c r="Y452" s="53"/>
      <c r="Z452" s="53"/>
      <c r="AA452" s="53"/>
      <c r="AB452" s="53"/>
      <c r="AC452" s="53"/>
      <c r="AD452" s="53"/>
      <c r="AE452" s="53"/>
      <c r="AF452" s="63"/>
      <c r="AG452" s="64"/>
      <c r="AH452" s="65"/>
      <c r="AI452" s="65"/>
      <c r="AJ452" s="53"/>
      <c r="AK452" s="53"/>
      <c r="AL452" s="53"/>
      <c r="AM452" s="53"/>
      <c r="AN452" s="53"/>
      <c r="AO452" s="53"/>
      <c r="AP452" s="53"/>
      <c r="AQ452" s="53"/>
      <c r="AR452" s="53"/>
      <c r="AS452" s="53"/>
      <c r="AT452" s="53"/>
      <c r="AU452" s="53"/>
      <c r="AV452" s="53"/>
      <c r="AW452" s="53"/>
      <c r="AX452" s="53"/>
      <c r="AY452" s="53"/>
      <c r="AZ452" s="53"/>
      <c r="BA452" s="53"/>
      <c r="BB452" s="53"/>
      <c r="BC452" s="53"/>
      <c r="BD452" s="53"/>
      <c r="BE452" s="53"/>
      <c r="BF452" s="53"/>
      <c r="BG452" s="53"/>
      <c r="BH452" s="53"/>
      <c r="BI452" s="53"/>
      <c r="BJ452" s="53"/>
      <c r="BK452" s="53"/>
      <c r="BL452" s="53"/>
      <c r="BM452" s="53"/>
      <c r="BN452" s="53"/>
      <c r="BO452" s="53"/>
      <c r="BP452" s="53"/>
      <c r="BQ452" s="53"/>
      <c r="BR452" s="53"/>
      <c r="BS452" s="53"/>
      <c r="BT452" s="53"/>
      <c r="BU452" s="53"/>
      <c r="BV452" s="53"/>
    </row>
    <row r="453" spans="1:76" x14ac:dyDescent="0.35">
      <c r="A453" s="53"/>
      <c r="B453" s="53"/>
      <c r="C453" s="55"/>
      <c r="D453" s="53"/>
      <c r="E453" s="53"/>
      <c r="F453" s="126" t="s">
        <v>67</v>
      </c>
      <c r="G453" s="125"/>
      <c r="H453" s="125">
        <v>0</v>
      </c>
      <c r="I453" s="133">
        <v>0</v>
      </c>
      <c r="J453" s="53"/>
      <c r="K453" s="53"/>
      <c r="L453" s="53"/>
      <c r="M453" s="53"/>
      <c r="N453" s="53"/>
      <c r="O453" s="53"/>
      <c r="P453" s="53"/>
      <c r="Q453" s="53"/>
      <c r="R453" s="53"/>
      <c r="S453" s="53"/>
      <c r="T453" s="53"/>
      <c r="U453" s="53"/>
      <c r="V453" s="53"/>
      <c r="W453" s="53"/>
      <c r="X453" s="53"/>
      <c r="Y453" s="53"/>
      <c r="Z453" s="53"/>
      <c r="AA453" s="53"/>
      <c r="AB453" s="53"/>
      <c r="AC453" s="53"/>
      <c r="AD453" s="53"/>
      <c r="AE453" s="53"/>
      <c r="AF453" s="63"/>
      <c r="AG453" s="64"/>
      <c r="AH453" s="65"/>
      <c r="AI453" s="65"/>
      <c r="AJ453" s="53"/>
      <c r="AK453" s="53"/>
      <c r="AL453" s="53"/>
      <c r="AM453" s="53"/>
      <c r="AN453" s="53"/>
      <c r="AO453" s="53"/>
      <c r="AP453" s="53"/>
      <c r="AQ453" s="53"/>
      <c r="AR453" s="53"/>
      <c r="AS453" s="53"/>
      <c r="AT453" s="53"/>
      <c r="AU453" s="53"/>
      <c r="AV453" s="53"/>
      <c r="AW453" s="53"/>
      <c r="AX453" s="53"/>
      <c r="AY453" s="53"/>
      <c r="AZ453" s="53"/>
      <c r="BA453" s="53"/>
      <c r="BB453" s="53"/>
      <c r="BC453" s="53"/>
      <c r="BD453" s="53"/>
      <c r="BE453" s="53"/>
      <c r="BF453" s="53"/>
      <c r="BG453" s="53"/>
      <c r="BH453" s="53"/>
      <c r="BI453" s="53"/>
      <c r="BJ453" s="53"/>
      <c r="BK453" s="53"/>
      <c r="BL453" s="53"/>
      <c r="BM453" s="53"/>
      <c r="BN453" s="53"/>
      <c r="BO453" s="53"/>
      <c r="BP453" s="53"/>
      <c r="BQ453" s="53"/>
      <c r="BR453" s="53"/>
      <c r="BS453" s="53"/>
      <c r="BT453" s="53"/>
      <c r="BU453" s="53"/>
      <c r="BV453" s="53"/>
    </row>
    <row r="454" spans="1:76" x14ac:dyDescent="0.35">
      <c r="A454" s="53"/>
      <c r="B454" s="53"/>
      <c r="C454" s="55"/>
      <c r="D454" s="53"/>
      <c r="E454" s="53"/>
      <c r="F454" s="126" t="s">
        <v>63</v>
      </c>
      <c r="G454" s="125"/>
      <c r="H454" s="125">
        <v>0</v>
      </c>
      <c r="I454" s="133">
        <v>0</v>
      </c>
      <c r="J454" s="53"/>
      <c r="K454" s="53"/>
      <c r="L454" s="53"/>
      <c r="M454" s="53"/>
      <c r="N454" s="53"/>
      <c r="O454" s="53"/>
      <c r="P454" s="53"/>
      <c r="Q454" s="53"/>
      <c r="R454" s="53"/>
      <c r="S454" s="53"/>
      <c r="T454" s="53"/>
      <c r="U454" s="53"/>
      <c r="V454" s="53"/>
      <c r="W454" s="53"/>
      <c r="X454" s="53"/>
      <c r="Y454" s="53"/>
      <c r="Z454" s="53"/>
      <c r="AA454" s="53"/>
      <c r="AB454" s="53"/>
      <c r="AC454" s="53"/>
      <c r="AD454" s="53"/>
      <c r="AE454" s="53"/>
      <c r="AF454" s="63"/>
      <c r="AG454" s="64"/>
      <c r="AH454" s="65"/>
      <c r="AI454" s="65"/>
      <c r="AJ454" s="53"/>
      <c r="AK454" s="53"/>
      <c r="AL454" s="53"/>
      <c r="AM454" s="53"/>
      <c r="AN454" s="53"/>
      <c r="AO454" s="53"/>
      <c r="AP454" s="53"/>
      <c r="AQ454" s="53"/>
      <c r="AR454" s="53"/>
      <c r="AS454" s="53"/>
      <c r="AT454" s="53"/>
      <c r="AU454" s="53"/>
      <c r="AV454" s="53"/>
      <c r="AW454" s="53"/>
      <c r="AX454" s="53"/>
      <c r="AY454" s="53"/>
      <c r="AZ454" s="53"/>
      <c r="BA454" s="53"/>
      <c r="BB454" s="53"/>
      <c r="BC454" s="53"/>
      <c r="BD454" s="53"/>
      <c r="BE454" s="53"/>
      <c r="BF454" s="53"/>
      <c r="BG454" s="53"/>
      <c r="BH454" s="53"/>
      <c r="BI454" s="53"/>
      <c r="BJ454" s="53"/>
      <c r="BK454" s="53"/>
      <c r="BL454" s="53"/>
      <c r="BM454" s="53"/>
      <c r="BN454" s="53"/>
      <c r="BO454" s="53"/>
      <c r="BP454" s="53"/>
      <c r="BQ454" s="53"/>
      <c r="BR454" s="53"/>
      <c r="BS454" s="53"/>
      <c r="BT454" s="53"/>
      <c r="BU454" s="53"/>
      <c r="BV454" s="53"/>
    </row>
    <row r="455" spans="1:76" x14ac:dyDescent="0.35">
      <c r="A455" s="53"/>
      <c r="B455" s="53"/>
      <c r="C455" s="55"/>
      <c r="D455" s="53"/>
      <c r="E455" s="53"/>
      <c r="F455" s="126" t="s">
        <v>70</v>
      </c>
      <c r="G455" s="125"/>
      <c r="H455" s="125">
        <v>0</v>
      </c>
      <c r="I455" s="133">
        <v>0</v>
      </c>
      <c r="J455" s="53"/>
      <c r="K455" s="53"/>
      <c r="L455" s="53"/>
      <c r="M455" s="53"/>
      <c r="N455" s="53"/>
      <c r="O455" s="53"/>
      <c r="P455" s="53"/>
      <c r="Q455" s="53"/>
      <c r="R455" s="53"/>
      <c r="S455" s="53"/>
      <c r="T455" s="53"/>
      <c r="U455" s="53"/>
      <c r="V455" s="53"/>
      <c r="W455" s="53"/>
      <c r="X455" s="53"/>
      <c r="Y455" s="53"/>
      <c r="Z455" s="53"/>
      <c r="AA455" s="53"/>
      <c r="AB455" s="53"/>
      <c r="AC455" s="53"/>
      <c r="AD455" s="53"/>
      <c r="AE455" s="53"/>
      <c r="AF455" s="63"/>
      <c r="AG455" s="64"/>
      <c r="AH455" s="65"/>
      <c r="AI455" s="65"/>
      <c r="AJ455" s="53"/>
      <c r="AK455" s="53"/>
      <c r="AL455" s="53"/>
      <c r="AM455" s="53"/>
      <c r="AN455" s="53"/>
      <c r="AO455" s="53"/>
      <c r="AP455" s="53"/>
      <c r="AQ455" s="53"/>
      <c r="AR455" s="53"/>
      <c r="AS455" s="53"/>
      <c r="AT455" s="53"/>
      <c r="AU455" s="53"/>
      <c r="AV455" s="53"/>
      <c r="AW455" s="53"/>
      <c r="AX455" s="53"/>
      <c r="AY455" s="53"/>
      <c r="AZ455" s="53"/>
      <c r="BA455" s="53"/>
      <c r="BB455" s="53"/>
      <c r="BC455" s="53"/>
      <c r="BD455" s="53"/>
      <c r="BE455" s="53"/>
      <c r="BF455" s="53"/>
      <c r="BG455" s="53"/>
      <c r="BH455" s="53"/>
      <c r="BI455" s="53"/>
      <c r="BJ455" s="53"/>
      <c r="BK455" s="53"/>
      <c r="BL455" s="53"/>
      <c r="BM455" s="53"/>
      <c r="BN455" s="53"/>
      <c r="BO455" s="53"/>
      <c r="BP455" s="53"/>
      <c r="BQ455" s="53"/>
      <c r="BR455" s="53"/>
      <c r="BS455" s="53"/>
      <c r="BT455" s="53"/>
      <c r="BU455" s="53"/>
      <c r="BV455" s="53"/>
    </row>
    <row r="456" spans="1:76" x14ac:dyDescent="0.35">
      <c r="A456" s="53"/>
      <c r="B456" s="53"/>
      <c r="C456" s="55"/>
      <c r="D456" s="53"/>
      <c r="E456" s="53"/>
      <c r="F456" s="124" t="s">
        <v>1166</v>
      </c>
      <c r="G456" s="125"/>
      <c r="H456" s="125">
        <v>0</v>
      </c>
      <c r="I456" s="133">
        <v>0</v>
      </c>
      <c r="J456" s="53"/>
      <c r="K456" s="53"/>
      <c r="L456" s="53"/>
      <c r="M456" s="53"/>
      <c r="N456" s="53"/>
      <c r="O456" s="53"/>
      <c r="P456" s="53"/>
      <c r="Q456" s="53"/>
      <c r="R456" s="53"/>
      <c r="S456" s="53"/>
      <c r="T456" s="53"/>
      <c r="U456" s="53"/>
      <c r="V456" s="53"/>
      <c r="W456" s="53"/>
      <c r="X456" s="53"/>
      <c r="Y456" s="53"/>
      <c r="Z456" s="53"/>
      <c r="AA456" s="53"/>
      <c r="AB456" s="53"/>
      <c r="AC456" s="53"/>
      <c r="AD456" s="53"/>
      <c r="AE456" s="53"/>
      <c r="AF456" s="63"/>
      <c r="AG456" s="64"/>
      <c r="AH456" s="65"/>
      <c r="AI456" s="65"/>
      <c r="AJ456" s="53"/>
      <c r="AK456" s="53"/>
      <c r="AL456" s="53"/>
      <c r="AM456" s="53"/>
      <c r="AN456" s="53"/>
      <c r="AO456" s="53"/>
      <c r="AP456" s="53"/>
      <c r="AQ456" s="53"/>
      <c r="AR456" s="53"/>
      <c r="AS456" s="53"/>
      <c r="AT456" s="53"/>
      <c r="AU456" s="53"/>
      <c r="AV456" s="53"/>
      <c r="AW456" s="53"/>
      <c r="AX456" s="53"/>
      <c r="AY456" s="53"/>
      <c r="AZ456" s="53"/>
      <c r="BA456" s="53"/>
      <c r="BB456" s="53"/>
      <c r="BC456" s="53"/>
      <c r="BD456" s="53"/>
      <c r="BE456" s="53"/>
      <c r="BF456" s="53"/>
      <c r="BG456" s="53"/>
      <c r="BH456" s="53"/>
      <c r="BI456" s="53"/>
      <c r="BJ456" s="53"/>
      <c r="BK456" s="53"/>
      <c r="BL456" s="53"/>
      <c r="BM456" s="53"/>
      <c r="BN456" s="53"/>
      <c r="BO456" s="53"/>
      <c r="BP456" s="53"/>
      <c r="BQ456" s="53"/>
      <c r="BR456" s="53"/>
      <c r="BS456" s="53"/>
      <c r="BT456" s="53"/>
      <c r="BU456" s="53"/>
      <c r="BV456" s="53"/>
    </row>
    <row r="457" spans="1:76" x14ac:dyDescent="0.35">
      <c r="A457" s="53"/>
      <c r="B457" s="53"/>
      <c r="C457" s="55"/>
      <c r="D457" s="53"/>
      <c r="E457" s="53"/>
      <c r="F457" s="126" t="s">
        <v>574</v>
      </c>
      <c r="G457" s="125"/>
      <c r="H457" s="125">
        <v>0</v>
      </c>
      <c r="I457" s="133">
        <v>0</v>
      </c>
      <c r="J457" s="53"/>
      <c r="K457" s="53"/>
      <c r="L457" s="53"/>
      <c r="M457" s="53"/>
      <c r="N457" s="53"/>
      <c r="O457" s="53"/>
      <c r="P457" s="53"/>
      <c r="Q457" s="53"/>
      <c r="R457" s="53"/>
      <c r="S457" s="53"/>
      <c r="T457" s="53"/>
      <c r="U457" s="53"/>
      <c r="V457" s="53"/>
      <c r="W457" s="53"/>
      <c r="X457" s="53"/>
      <c r="Y457" s="53"/>
      <c r="Z457" s="53"/>
      <c r="AA457" s="53"/>
      <c r="AB457" s="53"/>
      <c r="AC457" s="53"/>
      <c r="AD457" s="53"/>
      <c r="AE457" s="53"/>
      <c r="AF457" s="63"/>
      <c r="AG457" s="64"/>
      <c r="AH457" s="65"/>
      <c r="AI457" s="65"/>
      <c r="AJ457" s="53"/>
      <c r="AK457" s="53"/>
      <c r="AL457" s="53"/>
      <c r="AM457" s="53"/>
      <c r="AN457" s="53"/>
      <c r="AO457" s="53"/>
      <c r="AP457" s="53"/>
      <c r="AQ457" s="53"/>
      <c r="AR457" s="53"/>
      <c r="AS457" s="53"/>
      <c r="AT457" s="53"/>
      <c r="AU457" s="53"/>
      <c r="AV457" s="53"/>
      <c r="AW457" s="53"/>
      <c r="AX457" s="53"/>
      <c r="AY457" s="53"/>
      <c r="AZ457" s="53"/>
      <c r="BA457" s="53"/>
      <c r="BB457" s="53"/>
      <c r="BC457" s="53"/>
      <c r="BD457" s="53"/>
      <c r="BE457" s="53"/>
      <c r="BF457" s="53"/>
      <c r="BG457" s="53"/>
      <c r="BH457" s="53"/>
      <c r="BI457" s="53"/>
      <c r="BJ457" s="53"/>
      <c r="BK457" s="53"/>
      <c r="BL457" s="53"/>
      <c r="BM457" s="53"/>
      <c r="BN457" s="53"/>
      <c r="BO457" s="53"/>
      <c r="BP457" s="53"/>
      <c r="BQ457" s="53"/>
      <c r="BR457" s="53"/>
      <c r="BS457" s="53"/>
      <c r="BT457" s="53"/>
      <c r="BU457" s="53"/>
      <c r="BV457" s="53"/>
    </row>
    <row r="458" spans="1:76" x14ac:dyDescent="0.35">
      <c r="A458" s="53"/>
      <c r="B458" s="53"/>
      <c r="C458" s="55"/>
      <c r="D458" s="53"/>
      <c r="E458" s="53"/>
      <c r="F458" s="124" t="s">
        <v>773</v>
      </c>
      <c r="G458" s="125"/>
      <c r="H458" s="125">
        <v>0</v>
      </c>
      <c r="I458" s="133">
        <v>0</v>
      </c>
      <c r="J458" s="53"/>
      <c r="K458" s="53"/>
      <c r="L458" s="53"/>
      <c r="M458" s="53"/>
      <c r="N458" s="53"/>
      <c r="O458" s="53"/>
      <c r="P458" s="53"/>
      <c r="Q458" s="53"/>
      <c r="R458" s="53"/>
      <c r="S458" s="53"/>
      <c r="T458" s="53"/>
      <c r="U458" s="53"/>
      <c r="V458" s="53"/>
      <c r="W458" s="53"/>
      <c r="X458" s="53"/>
      <c r="Y458" s="53"/>
      <c r="Z458" s="53"/>
      <c r="AA458" s="53"/>
      <c r="AB458" s="53"/>
      <c r="AC458" s="53"/>
      <c r="AD458" s="53"/>
      <c r="AE458" s="53"/>
      <c r="AF458" s="63"/>
      <c r="AG458" s="64"/>
      <c r="AH458" s="65"/>
      <c r="AI458" s="65"/>
      <c r="AJ458" s="53"/>
      <c r="AK458" s="53"/>
      <c r="AL458" s="53"/>
      <c r="AM458" s="53"/>
      <c r="AN458" s="53"/>
      <c r="AO458" s="53"/>
      <c r="AP458" s="53"/>
      <c r="AQ458" s="53"/>
      <c r="AR458" s="53"/>
      <c r="AS458" s="53"/>
      <c r="AT458" s="53"/>
      <c r="AU458" s="53"/>
      <c r="AV458" s="53"/>
      <c r="AW458" s="53"/>
      <c r="AX458" s="53"/>
      <c r="AY458" s="53"/>
      <c r="AZ458" s="53"/>
      <c r="BA458" s="53"/>
      <c r="BB458" s="53"/>
      <c r="BC458" s="53"/>
      <c r="BD458" s="53"/>
      <c r="BE458" s="53"/>
      <c r="BF458" s="53"/>
      <c r="BG458" s="53"/>
      <c r="BH458" s="53"/>
      <c r="BI458" s="53"/>
      <c r="BJ458" s="53"/>
      <c r="BK458" s="53"/>
      <c r="BL458" s="53"/>
      <c r="BM458" s="53"/>
      <c r="BN458" s="53"/>
      <c r="BO458" s="53"/>
      <c r="BP458" s="53"/>
      <c r="BQ458" s="53"/>
      <c r="BR458" s="53"/>
      <c r="BS458" s="53"/>
      <c r="BT458" s="53"/>
      <c r="BU458" s="53"/>
      <c r="BV458" s="53"/>
    </row>
    <row r="459" spans="1:76" x14ac:dyDescent="0.35">
      <c r="A459" s="53"/>
      <c r="B459" s="53"/>
      <c r="C459" s="55"/>
      <c r="D459" s="53"/>
      <c r="E459" s="53"/>
      <c r="F459" s="126" t="s">
        <v>1235</v>
      </c>
      <c r="G459" s="125"/>
      <c r="H459" s="125">
        <v>0</v>
      </c>
      <c r="I459" s="133">
        <v>0</v>
      </c>
      <c r="J459" s="53"/>
      <c r="K459" s="53"/>
      <c r="L459" s="53"/>
      <c r="M459" s="53"/>
      <c r="N459" s="53"/>
      <c r="O459" s="53"/>
      <c r="P459" s="53"/>
      <c r="Q459" s="53"/>
      <c r="R459" s="53"/>
      <c r="S459" s="53"/>
      <c r="T459" s="53"/>
      <c r="U459" s="53"/>
      <c r="V459" s="53"/>
      <c r="W459" s="53"/>
      <c r="X459" s="53"/>
      <c r="Y459" s="53"/>
      <c r="Z459" s="53"/>
      <c r="AA459" s="53"/>
      <c r="AB459" s="53"/>
      <c r="AC459" s="53"/>
      <c r="AD459" s="53"/>
      <c r="AE459" s="53"/>
      <c r="AF459" s="63"/>
      <c r="AG459" s="64"/>
      <c r="AH459" s="65"/>
      <c r="AI459" s="65"/>
      <c r="AJ459" s="53"/>
      <c r="AK459" s="53"/>
      <c r="AL459" s="53"/>
      <c r="AM459" s="53"/>
      <c r="AN459" s="53"/>
      <c r="AO459" s="53"/>
      <c r="AP459" s="53"/>
      <c r="AQ459" s="53"/>
      <c r="AR459" s="53"/>
      <c r="AS459" s="53"/>
      <c r="AT459" s="53"/>
      <c r="AU459" s="53"/>
      <c r="AV459" s="53"/>
      <c r="AW459" s="53"/>
      <c r="AX459" s="53"/>
      <c r="AY459" s="53"/>
      <c r="AZ459" s="53"/>
      <c r="BA459" s="53"/>
      <c r="BB459" s="53"/>
      <c r="BC459" s="53"/>
      <c r="BD459" s="53"/>
      <c r="BE459" s="53"/>
      <c r="BF459" s="53"/>
      <c r="BG459" s="53"/>
      <c r="BH459" s="53"/>
      <c r="BI459" s="53"/>
      <c r="BJ459" s="53"/>
      <c r="BK459" s="53"/>
      <c r="BL459" s="53"/>
      <c r="BM459" s="53"/>
      <c r="BN459" s="53"/>
      <c r="BO459" s="53"/>
      <c r="BP459" s="53"/>
      <c r="BQ459" s="53"/>
      <c r="BR459" s="53"/>
      <c r="BS459" s="53"/>
      <c r="BT459" s="53"/>
      <c r="BU459" s="53"/>
      <c r="BV459" s="53"/>
    </row>
    <row r="460" spans="1:76" x14ac:dyDescent="0.35">
      <c r="A460" s="53"/>
      <c r="B460" s="53"/>
      <c r="C460" s="55"/>
      <c r="D460" s="53"/>
      <c r="E460" s="53"/>
      <c r="F460" s="126" t="s">
        <v>1234</v>
      </c>
      <c r="G460" s="125"/>
      <c r="H460" s="125">
        <v>0</v>
      </c>
      <c r="I460" s="133">
        <v>0</v>
      </c>
      <c r="J460" s="53"/>
      <c r="K460" s="53"/>
      <c r="L460" s="53"/>
      <c r="M460" s="53"/>
      <c r="N460" s="53"/>
      <c r="O460" s="53"/>
      <c r="P460" s="53"/>
      <c r="Q460" s="53"/>
      <c r="R460" s="53"/>
      <c r="S460" s="53"/>
      <c r="T460" s="53"/>
      <c r="U460" s="53"/>
      <c r="V460" s="53"/>
      <c r="W460" s="53"/>
      <c r="X460" s="53"/>
      <c r="Y460" s="53"/>
      <c r="Z460" s="53"/>
      <c r="AA460" s="53"/>
      <c r="AB460" s="53"/>
      <c r="AC460" s="53"/>
      <c r="AD460" s="53"/>
      <c r="AE460" s="53"/>
      <c r="AF460" s="63"/>
      <c r="AG460" s="64"/>
      <c r="AH460" s="65"/>
      <c r="AI460" s="65"/>
      <c r="AJ460" s="53"/>
      <c r="AK460" s="53"/>
      <c r="AL460" s="53"/>
      <c r="AM460" s="53"/>
      <c r="AN460" s="53"/>
      <c r="AO460" s="53"/>
      <c r="AP460" s="53"/>
      <c r="AQ460" s="53"/>
      <c r="AR460" s="53"/>
      <c r="AS460" s="53"/>
      <c r="AT460" s="53"/>
      <c r="AU460" s="53"/>
      <c r="AV460" s="53"/>
      <c r="AW460" s="53"/>
      <c r="AX460" s="53"/>
      <c r="AY460" s="53"/>
      <c r="AZ460" s="53"/>
      <c r="BA460" s="53"/>
      <c r="BB460" s="53"/>
      <c r="BC460" s="53"/>
      <c r="BD460" s="53"/>
      <c r="BE460" s="53"/>
      <c r="BF460" s="53"/>
      <c r="BG460" s="53"/>
      <c r="BH460" s="53"/>
      <c r="BI460" s="53"/>
      <c r="BJ460" s="53"/>
      <c r="BK460" s="53"/>
      <c r="BL460" s="53"/>
      <c r="BM460" s="53"/>
      <c r="BN460" s="53"/>
      <c r="BO460" s="53"/>
      <c r="BP460" s="53"/>
      <c r="BQ460" s="53"/>
      <c r="BR460" s="53"/>
      <c r="BS460" s="53"/>
      <c r="BT460" s="53"/>
      <c r="BU460" s="53"/>
      <c r="BV460" s="53"/>
    </row>
    <row r="461" spans="1:76" x14ac:dyDescent="0.35">
      <c r="A461" s="53"/>
      <c r="B461" s="53"/>
      <c r="C461" s="55"/>
      <c r="D461" s="53"/>
      <c r="E461" s="53"/>
      <c r="F461" s="126" t="s">
        <v>1236</v>
      </c>
      <c r="G461" s="125"/>
      <c r="H461" s="125">
        <v>0</v>
      </c>
      <c r="I461" s="133">
        <v>0</v>
      </c>
      <c r="J461" s="53"/>
      <c r="K461" s="53"/>
      <c r="L461" s="53"/>
      <c r="M461" s="53"/>
      <c r="N461" s="53"/>
      <c r="O461" s="53"/>
      <c r="P461" s="53"/>
      <c r="Q461" s="53"/>
      <c r="R461" s="53"/>
      <c r="S461" s="53"/>
      <c r="T461" s="53"/>
      <c r="U461" s="53"/>
      <c r="V461" s="53"/>
      <c r="W461" s="53"/>
      <c r="X461" s="53"/>
      <c r="Y461" s="53"/>
      <c r="Z461" s="53"/>
      <c r="AA461" s="53"/>
      <c r="AB461" s="53"/>
      <c r="AC461" s="53"/>
      <c r="AD461" s="53"/>
      <c r="AE461" s="53"/>
      <c r="AF461" s="63"/>
      <c r="AG461" s="64"/>
      <c r="AH461" s="65"/>
      <c r="AI461" s="65"/>
      <c r="AJ461" s="53"/>
      <c r="AK461" s="53"/>
      <c r="AL461" s="53"/>
      <c r="AM461" s="53"/>
      <c r="AN461" s="53"/>
      <c r="AO461" s="53"/>
      <c r="AP461" s="53"/>
      <c r="AQ461" s="53"/>
      <c r="AR461" s="53"/>
      <c r="AS461" s="53"/>
      <c r="AT461" s="53"/>
      <c r="AU461" s="53"/>
      <c r="AV461" s="53"/>
      <c r="AW461" s="53"/>
      <c r="AX461" s="53"/>
      <c r="AY461" s="53"/>
      <c r="AZ461" s="53"/>
      <c r="BA461" s="53"/>
      <c r="BB461" s="53"/>
      <c r="BC461" s="53"/>
      <c r="BD461" s="53"/>
      <c r="BE461" s="53"/>
      <c r="BF461" s="53"/>
      <c r="BG461" s="53"/>
      <c r="BH461" s="53"/>
      <c r="BI461" s="53"/>
      <c r="BJ461" s="53"/>
      <c r="BK461" s="53"/>
      <c r="BL461" s="53"/>
      <c r="BM461" s="53"/>
      <c r="BN461" s="53"/>
      <c r="BO461" s="53"/>
      <c r="BP461" s="53"/>
      <c r="BQ461" s="53"/>
      <c r="BR461" s="53"/>
      <c r="BS461" s="53"/>
      <c r="BT461" s="53"/>
      <c r="BU461" s="53"/>
      <c r="BV461" s="53"/>
    </row>
    <row r="462" spans="1:76" x14ac:dyDescent="0.35">
      <c r="A462" s="53"/>
      <c r="B462" s="53"/>
      <c r="C462" s="55"/>
      <c r="D462" s="53"/>
      <c r="E462" s="53"/>
      <c r="F462" s="124" t="s">
        <v>1259</v>
      </c>
      <c r="G462" s="125"/>
      <c r="H462" s="125">
        <v>0</v>
      </c>
      <c r="I462" s="133">
        <v>0</v>
      </c>
      <c r="J462" s="53"/>
      <c r="K462" s="53"/>
      <c r="L462" s="53"/>
      <c r="M462" s="53"/>
      <c r="N462" s="53"/>
      <c r="O462" s="53"/>
      <c r="P462" s="53"/>
      <c r="Q462" s="53"/>
      <c r="R462" s="53"/>
      <c r="S462" s="53"/>
      <c r="T462" s="53"/>
      <c r="U462" s="53"/>
      <c r="V462" s="53"/>
      <c r="W462" s="53"/>
      <c r="X462" s="53"/>
      <c r="Y462" s="53"/>
      <c r="Z462" s="53"/>
      <c r="AA462" s="53"/>
      <c r="AB462" s="53"/>
      <c r="AC462" s="53"/>
      <c r="AD462" s="53"/>
      <c r="AE462" s="53"/>
      <c r="AF462" s="63"/>
      <c r="AG462" s="64"/>
      <c r="AH462" s="65"/>
      <c r="AI462" s="65"/>
      <c r="AJ462" s="53"/>
      <c r="AK462" s="53"/>
      <c r="AL462" s="53"/>
      <c r="AM462" s="53"/>
      <c r="AN462" s="53"/>
      <c r="AO462" s="53"/>
      <c r="AP462" s="53"/>
      <c r="AQ462" s="53"/>
      <c r="AR462" s="53"/>
      <c r="AS462" s="53"/>
      <c r="AT462" s="53"/>
      <c r="AU462" s="53"/>
      <c r="AV462" s="53"/>
      <c r="AW462" s="53"/>
      <c r="AX462" s="53"/>
      <c r="AY462" s="53"/>
      <c r="AZ462" s="53"/>
      <c r="BA462" s="53"/>
      <c r="BB462" s="53"/>
      <c r="BC462" s="53"/>
      <c r="BD462" s="53"/>
      <c r="BE462" s="53"/>
      <c r="BF462" s="53"/>
      <c r="BG462" s="53"/>
      <c r="BH462" s="53"/>
      <c r="BI462" s="53"/>
      <c r="BJ462" s="53"/>
      <c r="BK462" s="53"/>
      <c r="BL462" s="53"/>
      <c r="BM462" s="53"/>
      <c r="BN462" s="53"/>
      <c r="BO462" s="53"/>
      <c r="BP462" s="53"/>
      <c r="BQ462" s="53"/>
      <c r="BR462" s="53"/>
      <c r="BS462" s="53"/>
      <c r="BT462" s="53"/>
      <c r="BU462" s="53"/>
      <c r="BV462" s="53"/>
    </row>
    <row r="463" spans="1:76" x14ac:dyDescent="0.35">
      <c r="A463" s="53"/>
      <c r="B463" s="53"/>
      <c r="C463" s="55"/>
      <c r="D463" s="53"/>
      <c r="E463" s="53"/>
      <c r="F463" s="126">
        <v>3310016001</v>
      </c>
      <c r="G463" s="125"/>
      <c r="H463" s="125">
        <v>0</v>
      </c>
      <c r="I463" s="133">
        <v>0</v>
      </c>
      <c r="J463" s="53"/>
      <c r="K463" s="53"/>
      <c r="L463" s="53"/>
      <c r="M463" s="53"/>
      <c r="N463" s="53"/>
      <c r="O463" s="53"/>
      <c r="P463" s="53"/>
      <c r="Q463" s="53"/>
      <c r="R463" s="53"/>
      <c r="S463" s="53"/>
      <c r="T463" s="53"/>
      <c r="U463" s="53"/>
      <c r="V463" s="53"/>
      <c r="W463" s="53"/>
      <c r="X463" s="53"/>
      <c r="Y463" s="53"/>
      <c r="Z463" s="53"/>
      <c r="AA463" s="53"/>
      <c r="AB463" s="53"/>
      <c r="AC463" s="53"/>
      <c r="AD463" s="53"/>
      <c r="AE463" s="53"/>
      <c r="AF463" s="63"/>
      <c r="AG463" s="64"/>
      <c r="AH463" s="65"/>
      <c r="AI463" s="65"/>
      <c r="AJ463" s="53"/>
      <c r="AK463" s="53"/>
      <c r="AL463" s="53"/>
      <c r="AM463" s="53"/>
      <c r="AN463" s="53"/>
      <c r="AO463" s="53"/>
      <c r="AP463" s="53"/>
      <c r="AQ463" s="53"/>
      <c r="AR463" s="53"/>
      <c r="AS463" s="53"/>
      <c r="AT463" s="53"/>
      <c r="AU463" s="53"/>
      <c r="AV463" s="53"/>
      <c r="AW463" s="53"/>
      <c r="AX463" s="53"/>
      <c r="AY463" s="53"/>
      <c r="AZ463" s="53"/>
      <c r="BA463" s="53"/>
      <c r="BB463" s="53"/>
      <c r="BC463" s="53"/>
      <c r="BD463" s="53"/>
      <c r="BE463" s="53"/>
      <c r="BF463" s="53"/>
      <c r="BG463" s="53"/>
      <c r="BH463" s="53"/>
      <c r="BI463" s="53"/>
      <c r="BJ463" s="53"/>
      <c r="BK463" s="53"/>
      <c r="BL463" s="53"/>
      <c r="BM463" s="53"/>
      <c r="BN463" s="53"/>
      <c r="BO463" s="53"/>
      <c r="BP463" s="53"/>
      <c r="BQ463" s="53"/>
      <c r="BR463" s="53"/>
      <c r="BS463" s="53"/>
      <c r="BT463" s="53"/>
      <c r="BU463" s="53"/>
      <c r="BV463" s="53"/>
    </row>
    <row r="464" spans="1:76" x14ac:dyDescent="0.35">
      <c r="A464" s="53"/>
      <c r="B464" s="53"/>
      <c r="C464" s="55"/>
      <c r="D464" s="53"/>
      <c r="E464" s="53"/>
      <c r="F464" s="124" t="s">
        <v>748</v>
      </c>
      <c r="G464" s="125"/>
      <c r="H464" s="125">
        <v>0</v>
      </c>
      <c r="I464" s="133">
        <v>0</v>
      </c>
      <c r="J464" s="53"/>
      <c r="K464" s="53"/>
      <c r="L464" s="53"/>
      <c r="M464" s="53"/>
      <c r="N464" s="53"/>
      <c r="O464" s="53"/>
      <c r="P464" s="53"/>
      <c r="Q464" s="53"/>
      <c r="R464" s="53"/>
      <c r="S464" s="53"/>
      <c r="T464" s="53"/>
      <c r="U464" s="53"/>
      <c r="V464" s="53"/>
      <c r="W464" s="53"/>
      <c r="X464" s="53"/>
      <c r="Y464" s="53"/>
      <c r="Z464" s="53"/>
      <c r="AA464" s="53"/>
      <c r="AB464" s="53"/>
      <c r="AC464" s="53"/>
      <c r="AD464" s="53"/>
      <c r="AE464" s="53"/>
      <c r="AF464" s="63"/>
      <c r="AG464" s="64"/>
      <c r="AH464" s="65"/>
      <c r="AI464" s="65"/>
      <c r="AJ464" s="53"/>
      <c r="AK464" s="53"/>
      <c r="AL464" s="53"/>
      <c r="AM464" s="53"/>
      <c r="AN464" s="53"/>
      <c r="AO464" s="53"/>
      <c r="AP464" s="53"/>
      <c r="AQ464" s="53"/>
      <c r="AR464" s="53"/>
      <c r="AS464" s="53"/>
      <c r="AT464" s="53"/>
      <c r="AU464" s="53"/>
      <c r="AV464" s="53"/>
      <c r="AW464" s="53"/>
      <c r="AX464" s="53"/>
      <c r="AY464" s="53"/>
      <c r="AZ464" s="53"/>
      <c r="BA464" s="53"/>
      <c r="BB464" s="53"/>
      <c r="BC464" s="53"/>
      <c r="BD464" s="53"/>
      <c r="BE464" s="53"/>
      <c r="BF464" s="53"/>
      <c r="BG464" s="53"/>
      <c r="BH464" s="53"/>
      <c r="BI464" s="53"/>
      <c r="BJ464" s="53"/>
      <c r="BK464" s="53"/>
      <c r="BL464" s="53"/>
      <c r="BM464" s="53"/>
      <c r="BN464" s="53"/>
      <c r="BO464" s="53"/>
      <c r="BP464" s="53"/>
      <c r="BQ464" s="53"/>
      <c r="BR464" s="53"/>
      <c r="BS464" s="53"/>
      <c r="BT464" s="53"/>
      <c r="BU464" s="53"/>
      <c r="BV464" s="53"/>
    </row>
    <row r="465" spans="1:74" x14ac:dyDescent="0.35">
      <c r="A465" s="53"/>
      <c r="B465" s="53"/>
      <c r="C465" s="55"/>
      <c r="D465" s="53"/>
      <c r="E465" s="53"/>
      <c r="F465" s="126" t="s">
        <v>747</v>
      </c>
      <c r="G465" s="125"/>
      <c r="H465" s="125">
        <v>0</v>
      </c>
      <c r="I465" s="133">
        <v>0</v>
      </c>
      <c r="J465" s="53"/>
      <c r="K465" s="53"/>
      <c r="L465" s="53"/>
      <c r="M465" s="53"/>
      <c r="N465" s="53"/>
      <c r="O465" s="53"/>
      <c r="P465" s="53"/>
      <c r="Q465" s="53"/>
      <c r="R465" s="53"/>
      <c r="S465" s="53"/>
      <c r="T465" s="53"/>
      <c r="U465" s="53"/>
      <c r="V465" s="53"/>
      <c r="W465" s="53"/>
      <c r="X465" s="53"/>
      <c r="Y465" s="53"/>
      <c r="Z465" s="53"/>
      <c r="AA465" s="53"/>
      <c r="AB465" s="53"/>
      <c r="AC465" s="53"/>
      <c r="AD465" s="53"/>
      <c r="AE465" s="53"/>
      <c r="AF465" s="63"/>
      <c r="AG465" s="64"/>
      <c r="AH465" s="65"/>
      <c r="AI465" s="65"/>
      <c r="AJ465" s="53"/>
      <c r="AK465" s="53"/>
      <c r="AL465" s="53"/>
      <c r="AM465" s="53"/>
      <c r="AN465" s="53"/>
      <c r="AO465" s="53"/>
      <c r="AP465" s="53"/>
      <c r="AQ465" s="53"/>
      <c r="AR465" s="53"/>
      <c r="AS465" s="53"/>
      <c r="AT465" s="53"/>
      <c r="AU465" s="53"/>
      <c r="AV465" s="53"/>
      <c r="AW465" s="53"/>
      <c r="AX465" s="53"/>
      <c r="AY465" s="53"/>
      <c r="AZ465" s="53"/>
      <c r="BA465" s="53"/>
      <c r="BB465" s="53"/>
      <c r="BC465" s="53"/>
      <c r="BD465" s="53"/>
      <c r="BE465" s="53"/>
      <c r="BF465" s="53"/>
      <c r="BG465" s="53"/>
      <c r="BH465" s="53"/>
      <c r="BI465" s="53"/>
      <c r="BJ465" s="53"/>
      <c r="BK465" s="53"/>
      <c r="BL465" s="53"/>
      <c r="BM465" s="53"/>
      <c r="BN465" s="53"/>
      <c r="BO465" s="53"/>
      <c r="BP465" s="53"/>
      <c r="BQ465" s="53"/>
      <c r="BR465" s="53"/>
      <c r="BS465" s="53"/>
      <c r="BT465" s="53"/>
      <c r="BU465" s="53"/>
      <c r="BV465" s="53"/>
    </row>
    <row r="466" spans="1:74" x14ac:dyDescent="0.35">
      <c r="A466" s="53"/>
      <c r="B466" s="53"/>
      <c r="C466" s="55"/>
      <c r="D466" s="53"/>
      <c r="E466" s="53"/>
      <c r="F466" s="124" t="s">
        <v>1373</v>
      </c>
      <c r="G466" s="125">
        <v>475</v>
      </c>
      <c r="H466" s="125">
        <v>0</v>
      </c>
      <c r="I466" s="133">
        <v>0</v>
      </c>
      <c r="J466" s="53"/>
      <c r="K466" s="53"/>
      <c r="L466" s="53"/>
      <c r="M466" s="53"/>
      <c r="N466" s="53"/>
      <c r="O466" s="53"/>
      <c r="P466" s="53"/>
      <c r="Q466" s="53"/>
      <c r="R466" s="53"/>
      <c r="S466" s="53"/>
      <c r="T466" s="53"/>
      <c r="U466" s="53"/>
      <c r="V466" s="53"/>
      <c r="W466" s="53"/>
      <c r="X466" s="53"/>
      <c r="Y466" s="53"/>
      <c r="Z466" s="53"/>
      <c r="AA466" s="53"/>
      <c r="AB466" s="53"/>
      <c r="AC466" s="53"/>
      <c r="AD466" s="53"/>
      <c r="AE466" s="53"/>
      <c r="AF466" s="63"/>
      <c r="AG466" s="64"/>
      <c r="AH466" s="65"/>
      <c r="AI466" s="65"/>
      <c r="AJ466" s="53"/>
      <c r="AK466" s="53"/>
      <c r="AL466" s="53"/>
      <c r="AM466" s="53"/>
      <c r="AN466" s="53"/>
      <c r="AO466" s="53"/>
      <c r="AP466" s="53"/>
      <c r="AQ466" s="53"/>
      <c r="AR466" s="53"/>
      <c r="AS466" s="53"/>
      <c r="AT466" s="53"/>
      <c r="AU466" s="53"/>
      <c r="AV466" s="53"/>
      <c r="AW466" s="53"/>
      <c r="AX466" s="53"/>
      <c r="AY466" s="53"/>
      <c r="AZ466" s="53"/>
      <c r="BA466" s="53"/>
      <c r="BB466" s="53"/>
      <c r="BC466" s="53"/>
      <c r="BD466" s="53"/>
      <c r="BE466" s="53"/>
      <c r="BF466" s="53"/>
      <c r="BG466" s="53"/>
      <c r="BH466" s="53"/>
      <c r="BI466" s="53"/>
      <c r="BJ466" s="53"/>
      <c r="BK466" s="53"/>
      <c r="BL466" s="53"/>
      <c r="BM466" s="53"/>
      <c r="BN466" s="53"/>
      <c r="BO466" s="53"/>
      <c r="BP466" s="53"/>
      <c r="BQ466" s="53"/>
      <c r="BR466" s="53"/>
      <c r="BS466" s="53"/>
      <c r="BT466" s="53"/>
      <c r="BU466" s="53"/>
      <c r="BV466" s="53"/>
    </row>
    <row r="467" spans="1:74" x14ac:dyDescent="0.35">
      <c r="A467" s="53"/>
      <c r="B467" s="53"/>
      <c r="C467" s="55"/>
      <c r="D467" s="53"/>
      <c r="E467" s="53"/>
      <c r="F467" s="126" t="s">
        <v>1370</v>
      </c>
      <c r="G467" s="125">
        <v>475</v>
      </c>
      <c r="H467" s="125">
        <v>0</v>
      </c>
      <c r="I467" s="133">
        <v>0</v>
      </c>
      <c r="J467" s="53"/>
      <c r="K467" s="53"/>
      <c r="L467" s="53"/>
      <c r="M467" s="53"/>
      <c r="N467" s="53"/>
      <c r="O467" s="53"/>
      <c r="P467" s="53"/>
      <c r="Q467" s="53"/>
      <c r="R467" s="53"/>
      <c r="S467" s="53"/>
      <c r="T467" s="53"/>
      <c r="U467" s="53"/>
      <c r="V467" s="53"/>
      <c r="W467" s="53"/>
      <c r="X467" s="53"/>
      <c r="Y467" s="53"/>
      <c r="Z467" s="53"/>
      <c r="AA467" s="53"/>
      <c r="AB467" s="53"/>
      <c r="AC467" s="53"/>
      <c r="AD467" s="53"/>
      <c r="AE467" s="53"/>
      <c r="AF467" s="63"/>
      <c r="AG467" s="64"/>
      <c r="AH467" s="65"/>
      <c r="AI467" s="65"/>
      <c r="AJ467" s="53"/>
      <c r="AK467" s="53"/>
      <c r="AL467" s="53"/>
      <c r="AM467" s="53"/>
      <c r="AN467" s="53"/>
      <c r="AO467" s="53"/>
      <c r="AP467" s="53"/>
      <c r="AQ467" s="53"/>
      <c r="AR467" s="53"/>
      <c r="AS467" s="53"/>
      <c r="AT467" s="53"/>
      <c r="AU467" s="53"/>
      <c r="AV467" s="53"/>
      <c r="AW467" s="53"/>
      <c r="AX467" s="53"/>
      <c r="AY467" s="53"/>
      <c r="AZ467" s="53"/>
      <c r="BA467" s="53"/>
      <c r="BB467" s="53"/>
      <c r="BC467" s="53"/>
      <c r="BD467" s="53"/>
      <c r="BE467" s="53"/>
      <c r="BF467" s="53"/>
      <c r="BG467" s="53"/>
      <c r="BH467" s="53"/>
      <c r="BI467" s="53"/>
      <c r="BJ467" s="53"/>
      <c r="BK467" s="53"/>
      <c r="BL467" s="53"/>
      <c r="BM467" s="53"/>
      <c r="BN467" s="53"/>
      <c r="BO467" s="53"/>
      <c r="BP467" s="53"/>
      <c r="BQ467" s="53"/>
      <c r="BR467" s="53"/>
      <c r="BS467" s="53"/>
      <c r="BT467" s="53"/>
      <c r="BU467" s="53"/>
      <c r="BV467" s="53"/>
    </row>
    <row r="468" spans="1:74" x14ac:dyDescent="0.35">
      <c r="A468" s="53"/>
      <c r="B468" s="53"/>
      <c r="C468" s="55"/>
      <c r="D468" s="53"/>
      <c r="E468" s="53"/>
      <c r="F468" s="124" t="s">
        <v>1461</v>
      </c>
      <c r="G468" s="125"/>
      <c r="H468" s="125">
        <v>0</v>
      </c>
      <c r="I468" s="133"/>
      <c r="J468" s="53"/>
      <c r="K468" s="53"/>
      <c r="L468" s="53"/>
      <c r="M468" s="53"/>
      <c r="N468" s="53"/>
      <c r="O468" s="53"/>
      <c r="P468" s="53"/>
      <c r="Q468" s="53"/>
      <c r="R468" s="53"/>
      <c r="S468" s="53"/>
      <c r="T468" s="53"/>
      <c r="U468" s="53"/>
      <c r="V468" s="53"/>
      <c r="W468" s="53"/>
      <c r="X468" s="53"/>
      <c r="Y468" s="53"/>
      <c r="Z468" s="53"/>
      <c r="AA468" s="53"/>
      <c r="AB468" s="53"/>
      <c r="AC468" s="53"/>
      <c r="AD468" s="53"/>
      <c r="AE468" s="53"/>
      <c r="AF468" s="63"/>
      <c r="AG468" s="64"/>
      <c r="AH468" s="65"/>
      <c r="AI468" s="65"/>
      <c r="AJ468" s="53"/>
      <c r="AK468" s="53"/>
      <c r="AL468" s="53"/>
      <c r="AM468" s="53"/>
      <c r="AN468" s="53"/>
      <c r="AO468" s="53"/>
      <c r="AP468" s="53"/>
      <c r="AQ468" s="53"/>
      <c r="AR468" s="53"/>
      <c r="AS468" s="53"/>
      <c r="AT468" s="53"/>
      <c r="AU468" s="53"/>
      <c r="AV468" s="53"/>
      <c r="AW468" s="53"/>
      <c r="AX468" s="53"/>
      <c r="AY468" s="53"/>
      <c r="AZ468" s="53"/>
      <c r="BA468" s="53"/>
      <c r="BB468" s="53"/>
      <c r="BC468" s="53"/>
      <c r="BD468" s="53"/>
      <c r="BE468" s="53"/>
      <c r="BF468" s="53"/>
      <c r="BG468" s="53"/>
      <c r="BH468" s="53"/>
      <c r="BI468" s="53"/>
      <c r="BJ468" s="53"/>
      <c r="BK468" s="53"/>
      <c r="BL468" s="53"/>
      <c r="BM468" s="53"/>
      <c r="BN468" s="53"/>
      <c r="BO468" s="53"/>
      <c r="BP468" s="53"/>
      <c r="BQ468" s="53"/>
      <c r="BR468" s="53"/>
      <c r="BS468" s="53"/>
      <c r="BT468" s="53"/>
      <c r="BU468" s="53"/>
      <c r="BV468" s="53"/>
    </row>
    <row r="469" spans="1:74" x14ac:dyDescent="0.35">
      <c r="A469" s="53"/>
      <c r="B469" s="53"/>
      <c r="C469" s="55"/>
      <c r="D469" s="53"/>
      <c r="E469" s="53"/>
      <c r="F469" s="126" t="s">
        <v>1457</v>
      </c>
      <c r="G469" s="125"/>
      <c r="H469" s="125">
        <v>0</v>
      </c>
      <c r="I469" s="133"/>
      <c r="J469" s="53"/>
      <c r="K469" s="53"/>
      <c r="L469" s="53"/>
      <c r="M469" s="53"/>
      <c r="N469" s="53"/>
      <c r="O469" s="53"/>
      <c r="P469" s="53"/>
      <c r="Q469" s="53"/>
      <c r="R469" s="53"/>
      <c r="S469" s="53"/>
      <c r="T469" s="53"/>
      <c r="U469" s="53"/>
      <c r="V469" s="53"/>
      <c r="W469" s="53"/>
      <c r="X469" s="53"/>
      <c r="Y469" s="53"/>
      <c r="Z469" s="53"/>
      <c r="AA469" s="53"/>
      <c r="AB469" s="53"/>
      <c r="AC469" s="53"/>
      <c r="AD469" s="53"/>
      <c r="AE469" s="53"/>
      <c r="AF469" s="63"/>
      <c r="AG469" s="64"/>
      <c r="AH469" s="65"/>
      <c r="AI469" s="65"/>
      <c r="AJ469" s="53"/>
      <c r="AK469" s="53"/>
      <c r="AL469" s="53"/>
      <c r="AM469" s="53"/>
      <c r="AN469" s="53"/>
      <c r="AO469" s="53"/>
      <c r="AP469" s="53"/>
      <c r="AQ469" s="53"/>
      <c r="AR469" s="53"/>
      <c r="AS469" s="53"/>
      <c r="AT469" s="53"/>
      <c r="AU469" s="53"/>
      <c r="AV469" s="53"/>
      <c r="AW469" s="53"/>
      <c r="AX469" s="53"/>
      <c r="AY469" s="53"/>
      <c r="AZ469" s="53"/>
      <c r="BA469" s="53"/>
      <c r="BB469" s="53"/>
      <c r="BC469" s="53"/>
      <c r="BD469" s="53"/>
      <c r="BE469" s="53"/>
      <c r="BF469" s="53"/>
      <c r="BG469" s="53"/>
      <c r="BH469" s="53"/>
      <c r="BI469" s="53"/>
      <c r="BJ469" s="53"/>
      <c r="BK469" s="53"/>
      <c r="BL469" s="53"/>
      <c r="BM469" s="53"/>
      <c r="BN469" s="53"/>
      <c r="BO469" s="53"/>
      <c r="BP469" s="53"/>
      <c r="BQ469" s="53"/>
      <c r="BR469" s="53"/>
      <c r="BS469" s="53"/>
      <c r="BT469" s="53"/>
      <c r="BU469" s="53"/>
      <c r="BV469" s="53"/>
    </row>
    <row r="470" spans="1:74" x14ac:dyDescent="0.35">
      <c r="A470" s="53"/>
      <c r="B470" s="53"/>
      <c r="C470" s="55"/>
      <c r="D470" s="53"/>
      <c r="E470" s="53"/>
      <c r="F470" s="124" t="s">
        <v>1518</v>
      </c>
      <c r="G470" s="125">
        <v>260.93233218133309</v>
      </c>
      <c r="H470" s="125">
        <v>260.93233218133309</v>
      </c>
      <c r="I470" s="133">
        <v>2</v>
      </c>
      <c r="J470" s="53"/>
      <c r="K470" s="53"/>
      <c r="L470" s="53"/>
      <c r="M470" s="53"/>
      <c r="N470" s="53"/>
      <c r="O470" s="53"/>
      <c r="P470" s="53"/>
      <c r="Q470" s="53"/>
      <c r="R470" s="53"/>
      <c r="S470" s="53"/>
      <c r="T470" s="53"/>
      <c r="U470" s="53"/>
      <c r="V470" s="53"/>
      <c r="W470" s="53"/>
      <c r="X470" s="53"/>
      <c r="Y470" s="53"/>
      <c r="Z470" s="53"/>
      <c r="AA470" s="53"/>
      <c r="AB470" s="53"/>
      <c r="AC470" s="53"/>
      <c r="AD470" s="53"/>
      <c r="AE470" s="53"/>
      <c r="AF470" s="63"/>
      <c r="AG470" s="64"/>
      <c r="AH470" s="65"/>
      <c r="AI470" s="65"/>
      <c r="AJ470" s="53"/>
      <c r="AK470" s="53"/>
      <c r="AL470" s="53"/>
      <c r="AM470" s="53"/>
      <c r="AN470" s="53"/>
      <c r="AO470" s="53"/>
      <c r="AP470" s="53"/>
      <c r="AQ470" s="53"/>
      <c r="AR470" s="53"/>
      <c r="AS470" s="53"/>
      <c r="AT470" s="53"/>
      <c r="AU470" s="53"/>
      <c r="AV470" s="53"/>
      <c r="AW470" s="53"/>
      <c r="AX470" s="53"/>
      <c r="AY470" s="53"/>
      <c r="AZ470" s="53"/>
      <c r="BA470" s="53"/>
      <c r="BB470" s="53"/>
      <c r="BC470" s="53"/>
      <c r="BD470" s="53"/>
      <c r="BE470" s="53"/>
      <c r="BF470" s="53"/>
      <c r="BG470" s="53"/>
      <c r="BH470" s="53"/>
      <c r="BI470" s="53"/>
      <c r="BJ470" s="53"/>
      <c r="BK470" s="53"/>
      <c r="BL470" s="53"/>
      <c r="BM470" s="53"/>
      <c r="BN470" s="53"/>
      <c r="BO470" s="53"/>
      <c r="BP470" s="53"/>
      <c r="BQ470" s="53"/>
      <c r="BR470" s="53"/>
      <c r="BS470" s="53"/>
      <c r="BT470" s="53"/>
      <c r="BU470" s="53"/>
      <c r="BV470" s="53"/>
    </row>
    <row r="471" spans="1:74" x14ac:dyDescent="0.35">
      <c r="A471" s="53"/>
      <c r="B471" s="53"/>
      <c r="C471" s="55"/>
      <c r="D471" s="53"/>
      <c r="E471" s="53"/>
      <c r="F471" s="126" t="s">
        <v>1515</v>
      </c>
      <c r="G471" s="125">
        <v>125.84795848296203</v>
      </c>
      <c r="H471" s="125">
        <v>125.84795848296203</v>
      </c>
      <c r="I471" s="133">
        <v>1</v>
      </c>
      <c r="J471" s="53"/>
      <c r="K471" s="53"/>
      <c r="L471" s="53"/>
      <c r="M471" s="53"/>
      <c r="N471" s="53"/>
      <c r="O471" s="53"/>
      <c r="P471" s="53"/>
      <c r="Q471" s="53"/>
      <c r="R471" s="53"/>
      <c r="S471" s="53"/>
      <c r="T471" s="53"/>
      <c r="U471" s="53"/>
      <c r="V471" s="53"/>
      <c r="W471" s="53"/>
      <c r="X471" s="53"/>
      <c r="Y471" s="53"/>
      <c r="Z471" s="53"/>
      <c r="AA471" s="53"/>
      <c r="AB471" s="53"/>
      <c r="AC471" s="53"/>
      <c r="AD471" s="53"/>
      <c r="AE471" s="53"/>
      <c r="AF471" s="63"/>
      <c r="AG471" s="64"/>
      <c r="AH471" s="65"/>
      <c r="AI471" s="65"/>
      <c r="AJ471" s="53"/>
      <c r="AK471" s="53"/>
      <c r="AL471" s="53"/>
      <c r="AM471" s="53"/>
      <c r="AN471" s="53"/>
      <c r="AO471" s="53"/>
      <c r="AP471" s="53"/>
      <c r="AQ471" s="53"/>
      <c r="AR471" s="53"/>
      <c r="AS471" s="53"/>
      <c r="AT471" s="53"/>
      <c r="AU471" s="53"/>
      <c r="AV471" s="53"/>
      <c r="AW471" s="53"/>
      <c r="AX471" s="53"/>
      <c r="AY471" s="53"/>
      <c r="AZ471" s="53"/>
      <c r="BA471" s="53"/>
      <c r="BB471" s="53"/>
      <c r="BC471" s="53"/>
      <c r="BD471" s="53"/>
      <c r="BE471" s="53"/>
      <c r="BF471" s="53"/>
      <c r="BG471" s="53"/>
      <c r="BH471" s="53"/>
      <c r="BI471" s="53"/>
      <c r="BJ471" s="53"/>
      <c r="BK471" s="53"/>
      <c r="BL471" s="53"/>
      <c r="BM471" s="53"/>
      <c r="BN471" s="53"/>
      <c r="BO471" s="53"/>
      <c r="BP471" s="53"/>
      <c r="BQ471" s="53"/>
      <c r="BR471" s="53"/>
      <c r="BS471" s="53"/>
      <c r="BT471" s="53"/>
      <c r="BU471" s="53"/>
      <c r="BV471" s="53"/>
    </row>
    <row r="472" spans="1:74" x14ac:dyDescent="0.35">
      <c r="A472" s="53"/>
      <c r="B472" s="53"/>
      <c r="C472" s="55"/>
      <c r="D472" s="53"/>
      <c r="E472" s="53"/>
      <c r="F472" s="126" t="s">
        <v>1514</v>
      </c>
      <c r="G472" s="125">
        <v>135.08437369837105</v>
      </c>
      <c r="H472" s="125">
        <v>135.08437369837105</v>
      </c>
      <c r="I472" s="133">
        <v>1</v>
      </c>
      <c r="J472" s="53"/>
      <c r="K472" s="53"/>
      <c r="L472" s="53"/>
      <c r="M472" s="53"/>
      <c r="N472" s="53"/>
      <c r="O472" s="53"/>
      <c r="P472" s="53"/>
      <c r="Q472" s="53"/>
      <c r="R472" s="53"/>
      <c r="S472" s="53"/>
      <c r="T472" s="53"/>
      <c r="U472" s="53"/>
      <c r="V472" s="53"/>
      <c r="W472" s="53"/>
      <c r="X472" s="53"/>
      <c r="Y472" s="53"/>
      <c r="Z472" s="53"/>
      <c r="AA472" s="53"/>
      <c r="AB472" s="53"/>
      <c r="AC472" s="53"/>
      <c r="AD472" s="53"/>
      <c r="AE472" s="53"/>
      <c r="AF472" s="63"/>
      <c r="AG472" s="64"/>
      <c r="AH472" s="65"/>
      <c r="AI472" s="65"/>
      <c r="AJ472" s="53"/>
      <c r="AK472" s="53"/>
      <c r="AL472" s="53"/>
      <c r="AM472" s="53"/>
      <c r="AN472" s="53"/>
      <c r="AO472" s="53"/>
      <c r="AP472" s="53"/>
      <c r="AQ472" s="53"/>
      <c r="AR472" s="53"/>
      <c r="AS472" s="53"/>
      <c r="AT472" s="53"/>
      <c r="AU472" s="53"/>
      <c r="AV472" s="53"/>
      <c r="AW472" s="53"/>
      <c r="AX472" s="53"/>
      <c r="AY472" s="53"/>
      <c r="AZ472" s="53"/>
      <c r="BA472" s="53"/>
      <c r="BB472" s="53"/>
      <c r="BC472" s="53"/>
      <c r="BD472" s="53"/>
      <c r="BE472" s="53"/>
      <c r="BF472" s="53"/>
      <c r="BG472" s="53"/>
      <c r="BH472" s="53"/>
      <c r="BI472" s="53"/>
      <c r="BJ472" s="53"/>
      <c r="BK472" s="53"/>
      <c r="BL472" s="53"/>
      <c r="BM472" s="53"/>
      <c r="BN472" s="53"/>
      <c r="BO472" s="53"/>
      <c r="BP472" s="53"/>
      <c r="BQ472" s="53"/>
      <c r="BR472" s="53"/>
      <c r="BS472" s="53"/>
      <c r="BT472" s="53"/>
      <c r="BU472" s="53"/>
      <c r="BV472" s="53"/>
    </row>
    <row r="473" spans="1:74" x14ac:dyDescent="0.35">
      <c r="A473" s="53"/>
      <c r="B473" s="53"/>
      <c r="C473" s="55"/>
      <c r="D473" s="53"/>
      <c r="E473" s="53"/>
      <c r="F473" s="124" t="s">
        <v>1076</v>
      </c>
      <c r="G473" s="125">
        <v>0.64319999999999999</v>
      </c>
      <c r="H473" s="125">
        <v>38.591999999999999</v>
      </c>
      <c r="I473" s="133">
        <v>60</v>
      </c>
      <c r="J473" s="53"/>
      <c r="K473" s="53"/>
      <c r="L473" s="53"/>
      <c r="M473" s="53"/>
      <c r="N473" s="53"/>
      <c r="O473" s="53"/>
      <c r="P473" s="53"/>
      <c r="Q473" s="53"/>
      <c r="R473" s="53"/>
      <c r="S473" s="53"/>
      <c r="T473" s="53"/>
      <c r="U473" s="53"/>
      <c r="V473" s="53"/>
      <c r="W473" s="53"/>
      <c r="X473" s="53"/>
      <c r="Y473" s="53"/>
      <c r="Z473" s="53"/>
      <c r="AA473" s="53"/>
      <c r="AB473" s="53"/>
      <c r="AC473" s="53"/>
      <c r="AD473" s="53"/>
      <c r="AE473" s="53"/>
      <c r="AF473" s="63"/>
      <c r="AG473" s="64"/>
      <c r="AH473" s="65"/>
      <c r="AI473" s="65"/>
      <c r="AJ473" s="53"/>
      <c r="AK473" s="53"/>
      <c r="AL473" s="53"/>
      <c r="AM473" s="53"/>
      <c r="AN473" s="53"/>
      <c r="AO473" s="53"/>
      <c r="AP473" s="53"/>
      <c r="AQ473" s="53"/>
      <c r="AR473" s="53"/>
      <c r="AS473" s="53"/>
      <c r="AT473" s="53"/>
      <c r="AU473" s="53"/>
      <c r="AV473" s="53"/>
      <c r="AW473" s="53"/>
      <c r="AX473" s="53"/>
      <c r="AY473" s="53"/>
      <c r="AZ473" s="53"/>
      <c r="BA473" s="53"/>
      <c r="BB473" s="53"/>
      <c r="BC473" s="53"/>
      <c r="BD473" s="53"/>
      <c r="BE473" s="53"/>
      <c r="BF473" s="53"/>
      <c r="BG473" s="53"/>
      <c r="BH473" s="53"/>
      <c r="BI473" s="53"/>
      <c r="BJ473" s="53"/>
      <c r="BK473" s="53"/>
      <c r="BL473" s="53"/>
      <c r="BM473" s="53"/>
      <c r="BN473" s="53"/>
      <c r="BO473" s="53"/>
      <c r="BP473" s="53"/>
      <c r="BQ473" s="53"/>
      <c r="BR473" s="53"/>
      <c r="BS473" s="53"/>
      <c r="BT473" s="53"/>
      <c r="BU473" s="53"/>
      <c r="BV473" s="53"/>
    </row>
    <row r="474" spans="1:74" x14ac:dyDescent="0.35">
      <c r="A474" s="53"/>
      <c r="B474" s="53"/>
      <c r="C474" s="55"/>
      <c r="D474" s="53"/>
      <c r="E474" s="53"/>
      <c r="F474" s="126" t="s">
        <v>1538</v>
      </c>
      <c r="G474" s="125">
        <v>0.64319999999999999</v>
      </c>
      <c r="H474" s="125">
        <v>38.591999999999999</v>
      </c>
      <c r="I474" s="133">
        <v>60</v>
      </c>
      <c r="J474" s="53"/>
      <c r="K474" s="53"/>
      <c r="L474" s="53"/>
      <c r="M474" s="53"/>
      <c r="N474" s="53"/>
      <c r="O474" s="53"/>
      <c r="P474" s="53"/>
      <c r="Q474" s="53"/>
      <c r="R474" s="53"/>
      <c r="S474" s="53"/>
      <c r="T474" s="53"/>
      <c r="U474" s="53"/>
      <c r="V474" s="53"/>
      <c r="W474" s="53"/>
      <c r="X474" s="53"/>
      <c r="Y474" s="53"/>
      <c r="Z474" s="53"/>
      <c r="AA474" s="53"/>
      <c r="AB474" s="53"/>
      <c r="AC474" s="53"/>
      <c r="AD474" s="53"/>
      <c r="AE474" s="53"/>
      <c r="AF474" s="63"/>
      <c r="AG474" s="64"/>
      <c r="AH474" s="65"/>
      <c r="AI474" s="65"/>
      <c r="AJ474" s="53"/>
      <c r="AK474" s="53"/>
      <c r="AL474" s="53"/>
      <c r="AM474" s="53"/>
      <c r="AN474" s="53"/>
      <c r="AO474" s="53"/>
      <c r="AP474" s="53"/>
      <c r="AQ474" s="53"/>
      <c r="AR474" s="53"/>
      <c r="AS474" s="53"/>
      <c r="AT474" s="53"/>
      <c r="AU474" s="53"/>
      <c r="AV474" s="53"/>
      <c r="AW474" s="53"/>
      <c r="AX474" s="53"/>
      <c r="AY474" s="53"/>
      <c r="AZ474" s="53"/>
      <c r="BA474" s="53"/>
      <c r="BB474" s="53"/>
      <c r="BC474" s="53"/>
      <c r="BD474" s="53"/>
      <c r="BE474" s="53"/>
      <c r="BF474" s="53"/>
      <c r="BG474" s="53"/>
      <c r="BH474" s="53"/>
      <c r="BI474" s="53"/>
      <c r="BJ474" s="53"/>
      <c r="BK474" s="53"/>
      <c r="BL474" s="53"/>
      <c r="BM474" s="53"/>
      <c r="BN474" s="53"/>
      <c r="BO474" s="53"/>
      <c r="BP474" s="53"/>
      <c r="BQ474" s="53"/>
      <c r="BR474" s="53"/>
      <c r="BS474" s="53"/>
      <c r="BT474" s="53"/>
      <c r="BU474" s="53"/>
      <c r="BV474" s="53"/>
    </row>
    <row r="475" spans="1:74" x14ac:dyDescent="0.35">
      <c r="A475" s="53"/>
      <c r="B475" s="53"/>
      <c r="C475" s="55"/>
      <c r="D475" s="53"/>
      <c r="E475" s="53"/>
      <c r="F475" s="124" t="s">
        <v>1551</v>
      </c>
      <c r="G475" s="125">
        <v>1171.6500000000001</v>
      </c>
      <c r="H475" s="125">
        <v>239149.00999999998</v>
      </c>
      <c r="I475" s="133">
        <v>1238</v>
      </c>
      <c r="J475" s="53"/>
      <c r="K475" s="53"/>
      <c r="L475" s="53"/>
      <c r="M475" s="53"/>
      <c r="N475" s="53"/>
      <c r="O475" s="53"/>
      <c r="P475" s="53"/>
      <c r="Q475" s="53"/>
      <c r="R475" s="53"/>
      <c r="S475" s="53"/>
      <c r="T475" s="53"/>
      <c r="U475" s="53"/>
      <c r="V475" s="53"/>
      <c r="W475" s="53"/>
      <c r="X475" s="53"/>
      <c r="Y475" s="53"/>
      <c r="Z475" s="53"/>
      <c r="AA475" s="53"/>
      <c r="AB475" s="53"/>
      <c r="AC475" s="53"/>
      <c r="AD475" s="53"/>
      <c r="AE475" s="53"/>
      <c r="AF475" s="63"/>
      <c r="AG475" s="64"/>
      <c r="AH475" s="65"/>
      <c r="AI475" s="65"/>
      <c r="AJ475" s="53"/>
      <c r="AK475" s="53"/>
      <c r="AL475" s="53"/>
      <c r="AM475" s="53"/>
      <c r="AN475" s="53"/>
      <c r="AO475" s="53"/>
      <c r="AP475" s="53"/>
      <c r="AQ475" s="53"/>
      <c r="AR475" s="53"/>
      <c r="AS475" s="53"/>
      <c r="AT475" s="53"/>
      <c r="AU475" s="53"/>
      <c r="AV475" s="53"/>
      <c r="AW475" s="53"/>
      <c r="AX475" s="53"/>
      <c r="AY475" s="53"/>
      <c r="AZ475" s="53"/>
      <c r="BA475" s="53"/>
      <c r="BB475" s="53"/>
      <c r="BC475" s="53"/>
      <c r="BD475" s="53"/>
      <c r="BE475" s="53"/>
      <c r="BF475" s="53"/>
      <c r="BG475" s="53"/>
      <c r="BH475" s="53"/>
      <c r="BI475" s="53"/>
      <c r="BJ475" s="53"/>
      <c r="BK475" s="53"/>
      <c r="BL475" s="53"/>
      <c r="BM475" s="53"/>
      <c r="BN475" s="53"/>
      <c r="BO475" s="53"/>
      <c r="BP475" s="53"/>
      <c r="BQ475" s="53"/>
      <c r="BR475" s="53"/>
      <c r="BS475" s="53"/>
      <c r="BT475" s="53"/>
      <c r="BU475" s="53"/>
      <c r="BV475" s="53"/>
    </row>
    <row r="476" spans="1:74" x14ac:dyDescent="0.35">
      <c r="A476" s="53"/>
      <c r="B476" s="53"/>
      <c r="C476" s="55"/>
      <c r="D476" s="53"/>
      <c r="E476" s="53"/>
      <c r="F476" s="126" t="s">
        <v>1541</v>
      </c>
      <c r="G476" s="125">
        <v>102.06</v>
      </c>
      <c r="H476" s="125">
        <v>28678.86</v>
      </c>
      <c r="I476" s="133">
        <v>281</v>
      </c>
      <c r="J476" s="53"/>
      <c r="K476" s="53"/>
      <c r="L476" s="53"/>
      <c r="M476" s="53"/>
      <c r="N476" s="53"/>
      <c r="O476" s="53"/>
      <c r="P476" s="53"/>
      <c r="Q476" s="53"/>
      <c r="R476" s="53"/>
      <c r="S476" s="53"/>
      <c r="T476" s="53"/>
      <c r="U476" s="53"/>
      <c r="V476" s="53"/>
      <c r="W476" s="53"/>
      <c r="X476" s="53"/>
      <c r="Y476" s="53"/>
      <c r="Z476" s="53"/>
      <c r="AA476" s="53"/>
      <c r="AB476" s="53"/>
      <c r="AC476" s="53"/>
      <c r="AD476" s="53"/>
      <c r="AE476" s="53"/>
      <c r="AF476" s="63"/>
      <c r="AG476" s="64"/>
      <c r="AH476" s="65"/>
      <c r="AI476" s="65"/>
      <c r="AJ476" s="53"/>
      <c r="AK476" s="53"/>
      <c r="AL476" s="53"/>
      <c r="AM476" s="53"/>
      <c r="AN476" s="53"/>
      <c r="AO476" s="53"/>
      <c r="AP476" s="53"/>
      <c r="AQ476" s="53"/>
      <c r="AR476" s="53"/>
      <c r="AS476" s="53"/>
      <c r="AT476" s="53"/>
      <c r="AU476" s="53"/>
      <c r="AV476" s="53"/>
      <c r="AW476" s="53"/>
      <c r="AX476" s="53"/>
      <c r="AY476" s="53"/>
      <c r="AZ476" s="53"/>
      <c r="BA476" s="53"/>
      <c r="BB476" s="53"/>
      <c r="BC476" s="53"/>
      <c r="BD476" s="53"/>
      <c r="BE476" s="53"/>
      <c r="BF476" s="53"/>
      <c r="BG476" s="53"/>
      <c r="BH476" s="53"/>
      <c r="BI476" s="53"/>
      <c r="BJ476" s="53"/>
      <c r="BK476" s="53"/>
      <c r="BL476" s="53"/>
      <c r="BM476" s="53"/>
      <c r="BN476" s="53"/>
      <c r="BO476" s="53"/>
      <c r="BP476" s="53"/>
      <c r="BQ476" s="53"/>
      <c r="BR476" s="53"/>
      <c r="BS476" s="53"/>
      <c r="BT476" s="53"/>
      <c r="BU476" s="53"/>
      <c r="BV476" s="53"/>
    </row>
    <row r="477" spans="1:74" x14ac:dyDescent="0.35">
      <c r="A477" s="53"/>
      <c r="B477" s="53"/>
      <c r="C477" s="55"/>
      <c r="D477" s="53"/>
      <c r="E477" s="53"/>
      <c r="F477" s="126" t="s">
        <v>1542</v>
      </c>
      <c r="G477" s="125">
        <v>109.06</v>
      </c>
      <c r="H477" s="125">
        <v>20939.52</v>
      </c>
      <c r="I477" s="133">
        <v>192</v>
      </c>
      <c r="J477" s="53"/>
      <c r="K477" s="53"/>
      <c r="L477" s="53"/>
      <c r="M477" s="53"/>
      <c r="N477" s="53"/>
      <c r="O477" s="53"/>
      <c r="P477" s="53"/>
      <c r="Q477" s="53"/>
      <c r="R477" s="53"/>
      <c r="S477" s="53"/>
      <c r="T477" s="53"/>
      <c r="U477" s="53"/>
      <c r="V477" s="53"/>
      <c r="W477" s="53"/>
      <c r="X477" s="53"/>
      <c r="Y477" s="53"/>
      <c r="Z477" s="53"/>
      <c r="AA477" s="53"/>
      <c r="AB477" s="53"/>
      <c r="AC477" s="53"/>
      <c r="AD477" s="53"/>
      <c r="AE477" s="53"/>
      <c r="AF477" s="63"/>
      <c r="AG477" s="64"/>
      <c r="AH477" s="65"/>
      <c r="AI477" s="65"/>
      <c r="AJ477" s="53"/>
      <c r="AK477" s="53"/>
      <c r="AL477" s="53"/>
      <c r="AM477" s="53"/>
      <c r="AN477" s="53"/>
      <c r="AO477" s="53"/>
      <c r="AP477" s="53"/>
      <c r="AQ477" s="53"/>
      <c r="AR477" s="53"/>
      <c r="AS477" s="53"/>
      <c r="AT477" s="53"/>
      <c r="AU477" s="53"/>
      <c r="AV477" s="53"/>
      <c r="AW477" s="53"/>
      <c r="AX477" s="53"/>
      <c r="AY477" s="53"/>
      <c r="AZ477" s="53"/>
      <c r="BA477" s="53"/>
      <c r="BB477" s="53"/>
      <c r="BC477" s="53"/>
      <c r="BD477" s="53"/>
      <c r="BE477" s="53"/>
      <c r="BF477" s="53"/>
      <c r="BG477" s="53"/>
      <c r="BH477" s="53"/>
      <c r="BI477" s="53"/>
      <c r="BJ477" s="53"/>
      <c r="BK477" s="53"/>
      <c r="BL477" s="53"/>
      <c r="BM477" s="53"/>
      <c r="BN477" s="53"/>
      <c r="BO477" s="53"/>
      <c r="BP477" s="53"/>
      <c r="BQ477" s="53"/>
      <c r="BR477" s="53"/>
      <c r="BS477" s="53"/>
      <c r="BT477" s="53"/>
      <c r="BU477" s="53"/>
      <c r="BV477" s="53"/>
    </row>
    <row r="478" spans="1:74" x14ac:dyDescent="0.35">
      <c r="A478" s="53"/>
      <c r="B478" s="53"/>
      <c r="C478" s="55"/>
      <c r="D478" s="53"/>
      <c r="E478" s="53"/>
      <c r="F478" s="126" t="s">
        <v>1543</v>
      </c>
      <c r="G478" s="125">
        <v>211.41</v>
      </c>
      <c r="H478" s="125">
        <v>130862.79</v>
      </c>
      <c r="I478" s="133">
        <v>619</v>
      </c>
      <c r="J478" s="53"/>
      <c r="K478" s="53"/>
      <c r="L478" s="53"/>
      <c r="M478" s="53"/>
      <c r="N478" s="53"/>
      <c r="O478" s="53"/>
      <c r="P478" s="53"/>
      <c r="Q478" s="53"/>
      <c r="R478" s="53"/>
      <c r="S478" s="53"/>
      <c r="T478" s="53"/>
      <c r="U478" s="53"/>
      <c r="V478" s="53"/>
      <c r="W478" s="53"/>
      <c r="X478" s="53"/>
      <c r="Y478" s="53"/>
      <c r="Z478" s="53"/>
      <c r="AA478" s="53"/>
      <c r="AB478" s="53"/>
      <c r="AC478" s="53"/>
      <c r="AD478" s="53"/>
      <c r="AE478" s="53"/>
      <c r="AF478" s="63"/>
      <c r="AG478" s="64"/>
      <c r="AH478" s="65"/>
      <c r="AI478" s="65"/>
      <c r="AJ478" s="53"/>
      <c r="AK478" s="53"/>
      <c r="AL478" s="53"/>
      <c r="AM478" s="53"/>
      <c r="AN478" s="53"/>
      <c r="AO478" s="53"/>
      <c r="AP478" s="53"/>
      <c r="AQ478" s="53"/>
      <c r="AR478" s="53"/>
      <c r="AS478" s="53"/>
      <c r="AT478" s="53"/>
      <c r="AU478" s="53"/>
      <c r="AV478" s="53"/>
      <c r="AW478" s="53"/>
      <c r="AX478" s="53"/>
      <c r="AY478" s="53"/>
      <c r="AZ478" s="53"/>
      <c r="BA478" s="53"/>
      <c r="BB478" s="53"/>
      <c r="BC478" s="53"/>
      <c r="BD478" s="53"/>
      <c r="BE478" s="53"/>
      <c r="BF478" s="53"/>
      <c r="BG478" s="53"/>
      <c r="BH478" s="53"/>
      <c r="BI478" s="53"/>
      <c r="BJ478" s="53"/>
      <c r="BK478" s="53"/>
      <c r="BL478" s="53"/>
      <c r="BM478" s="53"/>
      <c r="BN478" s="53"/>
      <c r="BO478" s="53"/>
      <c r="BP478" s="53"/>
      <c r="BQ478" s="53"/>
      <c r="BR478" s="53"/>
      <c r="BS478" s="53"/>
      <c r="BT478" s="53"/>
      <c r="BU478" s="53"/>
      <c r="BV478" s="53"/>
    </row>
    <row r="479" spans="1:74" x14ac:dyDescent="0.35">
      <c r="A479" s="53"/>
      <c r="B479" s="53"/>
      <c r="C479" s="55"/>
      <c r="D479" s="53"/>
      <c r="E479" s="53"/>
      <c r="F479" s="129" t="s">
        <v>1539</v>
      </c>
      <c r="G479" s="127">
        <v>457.52</v>
      </c>
      <c r="H479" s="127">
        <v>44379.439999999995</v>
      </c>
      <c r="I479" s="137">
        <v>97</v>
      </c>
      <c r="J479" s="53"/>
      <c r="K479" s="53"/>
      <c r="L479" s="53"/>
      <c r="M479" s="53"/>
      <c r="N479" s="53"/>
      <c r="O479" s="53"/>
      <c r="P479" s="53"/>
      <c r="Q479" s="53"/>
      <c r="R479" s="53"/>
      <c r="S479" s="53"/>
      <c r="T479" s="53"/>
      <c r="U479" s="53"/>
      <c r="V479" s="53"/>
      <c r="W479" s="53"/>
      <c r="X479" s="53"/>
      <c r="Y479" s="53"/>
      <c r="Z479" s="53"/>
      <c r="AA479" s="53"/>
      <c r="AB479" s="53"/>
      <c r="AC479" s="53"/>
      <c r="AD479" s="53"/>
      <c r="AE479" s="53"/>
      <c r="AF479" s="63"/>
      <c r="AG479" s="64"/>
      <c r="AH479" s="65"/>
      <c r="AI479" s="65"/>
      <c r="AJ479" s="53"/>
      <c r="AK479" s="53"/>
      <c r="AL479" s="53"/>
      <c r="AM479" s="53"/>
      <c r="AN479" s="53"/>
      <c r="AO479" s="53"/>
      <c r="AP479" s="53"/>
      <c r="AQ479" s="53"/>
      <c r="AR479" s="53"/>
      <c r="AS479" s="53"/>
      <c r="AT479" s="53"/>
      <c r="AU479" s="53"/>
      <c r="AV479" s="53"/>
      <c r="AW479" s="53"/>
      <c r="AX479" s="53"/>
      <c r="AY479" s="53"/>
      <c r="AZ479" s="53"/>
      <c r="BA479" s="53"/>
      <c r="BB479" s="53"/>
      <c r="BC479" s="53"/>
      <c r="BD479" s="53"/>
      <c r="BE479" s="53"/>
      <c r="BF479" s="53"/>
      <c r="BG479" s="53"/>
      <c r="BH479" s="53"/>
      <c r="BI479" s="53"/>
      <c r="BJ479" s="53"/>
      <c r="BK479" s="53"/>
      <c r="BL479" s="53"/>
      <c r="BM479" s="53"/>
      <c r="BN479" s="53"/>
      <c r="BO479" s="53"/>
      <c r="BP479" s="53"/>
      <c r="BQ479" s="53"/>
      <c r="BR479" s="53"/>
      <c r="BS479" s="53"/>
      <c r="BT479" s="53"/>
      <c r="BU479" s="53"/>
      <c r="BV479" s="53"/>
    </row>
    <row r="480" spans="1:74" x14ac:dyDescent="0.35">
      <c r="A480" s="53"/>
      <c r="B480" s="53"/>
      <c r="C480" s="55"/>
      <c r="D480" s="53"/>
      <c r="E480" s="53"/>
      <c r="F480" s="129" t="s">
        <v>1540</v>
      </c>
      <c r="G480" s="127">
        <v>291.60000000000002</v>
      </c>
      <c r="H480" s="127">
        <v>14288.400000000001</v>
      </c>
      <c r="I480" s="137">
        <v>49</v>
      </c>
      <c r="J480" s="53"/>
      <c r="K480" s="53"/>
      <c r="L480" s="53"/>
      <c r="M480" s="53"/>
      <c r="N480" s="53"/>
      <c r="O480" s="53"/>
      <c r="P480" s="53"/>
      <c r="Q480" s="53"/>
      <c r="R480" s="53"/>
      <c r="S480" s="53"/>
      <c r="T480" s="53"/>
      <c r="U480" s="53"/>
      <c r="V480" s="53"/>
      <c r="W480" s="53"/>
      <c r="X480" s="53"/>
      <c r="Y480" s="53"/>
      <c r="Z480" s="53"/>
      <c r="AA480" s="53"/>
      <c r="AB480" s="53"/>
      <c r="AC480" s="53"/>
      <c r="AD480" s="53"/>
      <c r="AE480" s="53"/>
      <c r="AF480" s="63"/>
      <c r="AG480" s="64"/>
      <c r="AH480" s="65"/>
      <c r="AI480" s="65"/>
      <c r="AJ480" s="53"/>
      <c r="AK480" s="53"/>
      <c r="AL480" s="53"/>
      <c r="AM480" s="53"/>
      <c r="AN480" s="53"/>
      <c r="AO480" s="53"/>
      <c r="AP480" s="53"/>
      <c r="AQ480" s="53"/>
      <c r="AR480" s="53"/>
      <c r="AS480" s="53"/>
      <c r="AT480" s="53"/>
      <c r="AU480" s="53"/>
      <c r="AV480" s="53"/>
      <c r="AW480" s="53"/>
      <c r="AX480" s="53"/>
      <c r="AY480" s="53"/>
      <c r="AZ480" s="53"/>
      <c r="BA480" s="53"/>
      <c r="BB480" s="53"/>
      <c r="BC480" s="53"/>
      <c r="BD480" s="53"/>
      <c r="BE480" s="53"/>
      <c r="BF480" s="53"/>
      <c r="BG480" s="53"/>
      <c r="BH480" s="53"/>
      <c r="BI480" s="53"/>
      <c r="BJ480" s="53"/>
      <c r="BK480" s="53"/>
      <c r="BL480" s="53"/>
      <c r="BM480" s="53"/>
      <c r="BN480" s="53"/>
      <c r="BO480" s="53"/>
      <c r="BP480" s="53"/>
      <c r="BQ480" s="53"/>
      <c r="BR480" s="53"/>
      <c r="BS480" s="53"/>
      <c r="BT480" s="53"/>
      <c r="BU480" s="53"/>
      <c r="BV480" s="53"/>
    </row>
    <row r="481" spans="1:74" x14ac:dyDescent="0.35">
      <c r="A481" s="53"/>
      <c r="B481" s="53"/>
      <c r="C481" s="55"/>
      <c r="D481" s="53"/>
      <c r="E481" s="53"/>
      <c r="F481" s="124" t="s">
        <v>1568</v>
      </c>
      <c r="G481" s="125">
        <v>12</v>
      </c>
      <c r="H481" s="125">
        <v>96</v>
      </c>
      <c r="I481" s="133">
        <v>29</v>
      </c>
      <c r="J481" s="53"/>
      <c r="K481" s="53"/>
      <c r="L481" s="53"/>
      <c r="M481" s="53"/>
      <c r="N481" s="53"/>
      <c r="O481" s="53"/>
      <c r="P481" s="53"/>
      <c r="Q481" s="53"/>
      <c r="R481" s="53"/>
      <c r="S481" s="53"/>
      <c r="T481" s="53"/>
      <c r="U481" s="53"/>
      <c r="V481" s="53"/>
      <c r="W481" s="53"/>
      <c r="X481" s="53"/>
      <c r="Y481" s="53"/>
      <c r="Z481" s="53"/>
      <c r="AA481" s="53"/>
      <c r="AB481" s="53"/>
      <c r="AC481" s="53"/>
      <c r="AD481" s="53"/>
      <c r="AE481" s="53"/>
      <c r="AF481" s="63"/>
      <c r="AG481" s="64"/>
      <c r="AH481" s="65"/>
      <c r="AI481" s="65"/>
      <c r="AJ481" s="53"/>
      <c r="AK481" s="53"/>
      <c r="AL481" s="53"/>
      <c r="AM481" s="53"/>
      <c r="AN481" s="53"/>
      <c r="AO481" s="53"/>
      <c r="AP481" s="53"/>
      <c r="AQ481" s="53"/>
      <c r="AR481" s="53"/>
      <c r="AS481" s="53"/>
      <c r="AT481" s="53"/>
      <c r="AU481" s="53"/>
      <c r="AV481" s="53"/>
      <c r="AW481" s="53"/>
      <c r="AX481" s="53"/>
      <c r="AY481" s="53"/>
      <c r="AZ481" s="53"/>
      <c r="BA481" s="53"/>
      <c r="BB481" s="53"/>
      <c r="BC481" s="53"/>
      <c r="BD481" s="53"/>
      <c r="BE481" s="53"/>
      <c r="BF481" s="53"/>
      <c r="BG481" s="53"/>
      <c r="BH481" s="53"/>
      <c r="BI481" s="53"/>
      <c r="BJ481" s="53"/>
      <c r="BK481" s="53"/>
      <c r="BL481" s="53"/>
      <c r="BM481" s="53"/>
      <c r="BN481" s="53"/>
      <c r="BO481" s="53"/>
      <c r="BP481" s="53"/>
      <c r="BQ481" s="53"/>
      <c r="BR481" s="53"/>
      <c r="BS481" s="53"/>
      <c r="BT481" s="53"/>
      <c r="BU481" s="53"/>
      <c r="BV481" s="53"/>
    </row>
    <row r="482" spans="1:74" x14ac:dyDescent="0.35">
      <c r="A482" s="53"/>
      <c r="B482" s="53"/>
      <c r="C482" s="55"/>
      <c r="D482" s="53"/>
      <c r="E482" s="53"/>
      <c r="F482" s="126" t="s">
        <v>1561</v>
      </c>
      <c r="G482" s="125">
        <v>4</v>
      </c>
      <c r="H482" s="125">
        <v>76</v>
      </c>
      <c r="I482" s="133">
        <v>19</v>
      </c>
      <c r="J482" s="53"/>
      <c r="K482" s="53"/>
      <c r="L482" s="53"/>
      <c r="M482" s="53"/>
      <c r="N482" s="53"/>
      <c r="O482" s="53"/>
      <c r="P482" s="53"/>
      <c r="Q482" s="53"/>
      <c r="R482" s="53"/>
      <c r="S482" s="53"/>
      <c r="T482" s="53"/>
      <c r="U482" s="53"/>
      <c r="V482" s="53"/>
      <c r="W482" s="53"/>
      <c r="X482" s="53"/>
      <c r="Y482" s="53"/>
      <c r="Z482" s="53"/>
      <c r="AA482" s="53"/>
      <c r="AB482" s="53"/>
      <c r="AC482" s="53"/>
      <c r="AD482" s="53"/>
      <c r="AE482" s="53"/>
      <c r="AF482" s="63"/>
      <c r="AG482" s="64"/>
      <c r="AH482" s="65"/>
      <c r="AI482" s="65"/>
      <c r="AJ482" s="53"/>
      <c r="AK482" s="53"/>
      <c r="AL482" s="53"/>
      <c r="AM482" s="53"/>
      <c r="AN482" s="53"/>
      <c r="AO482" s="53"/>
      <c r="AP482" s="53"/>
      <c r="AQ482" s="53"/>
      <c r="AR482" s="53"/>
      <c r="AS482" s="53"/>
      <c r="AT482" s="53"/>
      <c r="AU482" s="53"/>
      <c r="AV482" s="53"/>
      <c r="AW482" s="53"/>
      <c r="AX482" s="53"/>
      <c r="AY482" s="53"/>
      <c r="AZ482" s="53"/>
      <c r="BA482" s="53"/>
      <c r="BB482" s="53"/>
      <c r="BC482" s="53"/>
      <c r="BD482" s="53"/>
      <c r="BE482" s="53"/>
      <c r="BF482" s="53"/>
      <c r="BG482" s="53"/>
      <c r="BH482" s="53"/>
      <c r="BI482" s="53"/>
      <c r="BJ482" s="53"/>
      <c r="BK482" s="53"/>
      <c r="BL482" s="53"/>
      <c r="BM482" s="53"/>
      <c r="BN482" s="53"/>
      <c r="BO482" s="53"/>
      <c r="BP482" s="53"/>
      <c r="BQ482" s="53"/>
      <c r="BR482" s="53"/>
      <c r="BS482" s="53"/>
      <c r="BT482" s="53"/>
      <c r="BU482" s="53"/>
      <c r="BV482" s="53"/>
    </row>
    <row r="483" spans="1:74" x14ac:dyDescent="0.35">
      <c r="A483" s="53"/>
      <c r="B483" s="53"/>
      <c r="C483" s="55"/>
      <c r="D483" s="53"/>
      <c r="E483" s="53"/>
      <c r="F483" s="126" t="s">
        <v>1559</v>
      </c>
      <c r="G483" s="125">
        <v>2</v>
      </c>
      <c r="H483" s="125">
        <v>6</v>
      </c>
      <c r="I483" s="133">
        <v>3</v>
      </c>
      <c r="J483" s="53"/>
      <c r="K483" s="53"/>
      <c r="L483" s="53"/>
      <c r="M483" s="53"/>
      <c r="N483" s="53"/>
      <c r="O483" s="53"/>
      <c r="P483" s="53"/>
      <c r="Q483" s="53"/>
      <c r="R483" s="53"/>
      <c r="S483" s="53"/>
      <c r="T483" s="53"/>
      <c r="U483" s="53"/>
      <c r="V483" s="53"/>
      <c r="W483" s="53"/>
      <c r="X483" s="53"/>
      <c r="Y483" s="53"/>
      <c r="Z483" s="53"/>
      <c r="AA483" s="53"/>
      <c r="AB483" s="53"/>
      <c r="AC483" s="53"/>
      <c r="AD483" s="53"/>
      <c r="AE483" s="53"/>
      <c r="AF483" s="63"/>
      <c r="AG483" s="64"/>
      <c r="AH483" s="65"/>
      <c r="AI483" s="65"/>
      <c r="AJ483" s="53"/>
      <c r="AK483" s="53"/>
      <c r="AL483" s="53"/>
      <c r="AM483" s="53"/>
      <c r="AN483" s="53"/>
      <c r="AO483" s="53"/>
      <c r="AP483" s="53"/>
      <c r="AQ483" s="53"/>
      <c r="AR483" s="53"/>
      <c r="AS483" s="53"/>
      <c r="AT483" s="53"/>
      <c r="AU483" s="53"/>
      <c r="AV483" s="53"/>
      <c r="AW483" s="53"/>
      <c r="AX483" s="53"/>
      <c r="AY483" s="53"/>
      <c r="AZ483" s="53"/>
      <c r="BA483" s="53"/>
      <c r="BB483" s="53"/>
      <c r="BC483" s="53"/>
      <c r="BD483" s="53"/>
      <c r="BE483" s="53"/>
      <c r="BF483" s="53"/>
      <c r="BG483" s="53"/>
      <c r="BH483" s="53"/>
      <c r="BI483" s="53"/>
      <c r="BJ483" s="53"/>
      <c r="BK483" s="53"/>
      <c r="BL483" s="53"/>
      <c r="BM483" s="53"/>
      <c r="BN483" s="53"/>
      <c r="BO483" s="53"/>
      <c r="BP483" s="53"/>
      <c r="BQ483" s="53"/>
      <c r="BR483" s="53"/>
      <c r="BS483" s="53"/>
      <c r="BT483" s="53"/>
      <c r="BU483" s="53"/>
      <c r="BV483" s="53"/>
    </row>
    <row r="484" spans="1:74" x14ac:dyDescent="0.35">
      <c r="A484" s="53"/>
      <c r="B484" s="53"/>
      <c r="C484" s="55"/>
      <c r="D484" s="53"/>
      <c r="E484" s="53"/>
      <c r="F484" s="126" t="s">
        <v>1562</v>
      </c>
      <c r="G484" s="125">
        <v>4</v>
      </c>
      <c r="H484" s="125">
        <v>4</v>
      </c>
      <c r="I484" s="133">
        <v>1</v>
      </c>
      <c r="J484" s="53"/>
      <c r="K484" s="53"/>
      <c r="L484" s="53"/>
      <c r="M484" s="53"/>
      <c r="N484" s="53"/>
      <c r="O484" s="53"/>
      <c r="P484" s="53"/>
      <c r="Q484" s="53"/>
      <c r="R484" s="53"/>
      <c r="S484" s="53"/>
      <c r="T484" s="53"/>
      <c r="U484" s="53"/>
      <c r="V484" s="53"/>
      <c r="W484" s="53"/>
      <c r="X484" s="53"/>
      <c r="Y484" s="53"/>
      <c r="Z484" s="53"/>
      <c r="AA484" s="53"/>
      <c r="AB484" s="53"/>
      <c r="AC484" s="53"/>
      <c r="AD484" s="53"/>
      <c r="AE484" s="53"/>
      <c r="AF484" s="63"/>
      <c r="AG484" s="64"/>
      <c r="AH484" s="65"/>
      <c r="AI484" s="65"/>
      <c r="AJ484" s="53"/>
      <c r="AK484" s="53"/>
      <c r="AL484" s="53"/>
      <c r="AM484" s="53"/>
      <c r="AN484" s="53"/>
      <c r="AO484" s="53"/>
      <c r="AP484" s="53"/>
      <c r="AQ484" s="53"/>
      <c r="AR484" s="53"/>
      <c r="AS484" s="53"/>
      <c r="AT484" s="53"/>
      <c r="AU484" s="53"/>
      <c r="AV484" s="53"/>
      <c r="AW484" s="53"/>
      <c r="AX484" s="53"/>
      <c r="AY484" s="53"/>
      <c r="AZ484" s="53"/>
      <c r="BA484" s="53"/>
      <c r="BB484" s="53"/>
      <c r="BC484" s="53"/>
      <c r="BD484" s="53"/>
      <c r="BE484" s="53"/>
      <c r="BF484" s="53"/>
      <c r="BG484" s="53"/>
      <c r="BH484" s="53"/>
      <c r="BI484" s="53"/>
      <c r="BJ484" s="53"/>
      <c r="BK484" s="53"/>
      <c r="BL484" s="53"/>
      <c r="BM484" s="53"/>
      <c r="BN484" s="53"/>
      <c r="BO484" s="53"/>
      <c r="BP484" s="53"/>
      <c r="BQ484" s="53"/>
      <c r="BR484" s="53"/>
      <c r="BS484" s="53"/>
      <c r="BT484" s="53"/>
      <c r="BU484" s="53"/>
      <c r="BV484" s="53"/>
    </row>
    <row r="485" spans="1:74" x14ac:dyDescent="0.35">
      <c r="A485" s="53"/>
      <c r="B485" s="53"/>
      <c r="C485" s="55"/>
      <c r="D485" s="53"/>
      <c r="E485" s="53"/>
      <c r="F485" s="126" t="s">
        <v>1560</v>
      </c>
      <c r="G485" s="125">
        <v>2</v>
      </c>
      <c r="H485" s="125">
        <v>10</v>
      </c>
      <c r="I485" s="133">
        <v>5</v>
      </c>
      <c r="J485" s="53"/>
      <c r="K485" s="53"/>
      <c r="L485" s="53"/>
      <c r="M485" s="53"/>
      <c r="N485" s="53"/>
      <c r="O485" s="53"/>
      <c r="P485" s="53"/>
      <c r="Q485" s="53"/>
      <c r="R485" s="53"/>
      <c r="S485" s="53"/>
      <c r="T485" s="53"/>
      <c r="U485" s="53"/>
      <c r="V485" s="53"/>
      <c r="W485" s="53"/>
      <c r="X485" s="53"/>
      <c r="Y485" s="53"/>
      <c r="Z485" s="53"/>
      <c r="AA485" s="53"/>
      <c r="AB485" s="53"/>
      <c r="AC485" s="53"/>
      <c r="AD485" s="53"/>
      <c r="AE485" s="53"/>
      <c r="AF485" s="63"/>
      <c r="AG485" s="64"/>
      <c r="AH485" s="65"/>
      <c r="AI485" s="65"/>
      <c r="AJ485" s="53"/>
      <c r="AK485" s="53"/>
      <c r="AL485" s="53"/>
      <c r="AM485" s="53"/>
      <c r="AN485" s="53"/>
      <c r="AO485" s="53"/>
      <c r="AP485" s="53"/>
      <c r="AQ485" s="53"/>
      <c r="AR485" s="53"/>
      <c r="AS485" s="53"/>
      <c r="AT485" s="53"/>
      <c r="AU485" s="53"/>
      <c r="AV485" s="53"/>
      <c r="AW485" s="53"/>
      <c r="AX485" s="53"/>
      <c r="AY485" s="53"/>
      <c r="AZ485" s="53"/>
      <c r="BA485" s="53"/>
      <c r="BB485" s="53"/>
      <c r="BC485" s="53"/>
      <c r="BD485" s="53"/>
      <c r="BE485" s="53"/>
      <c r="BF485" s="53"/>
      <c r="BG485" s="53"/>
      <c r="BH485" s="53"/>
      <c r="BI485" s="53"/>
      <c r="BJ485" s="53"/>
      <c r="BK485" s="53"/>
      <c r="BL485" s="53"/>
      <c r="BM485" s="53"/>
      <c r="BN485" s="53"/>
      <c r="BO485" s="53"/>
      <c r="BP485" s="53"/>
      <c r="BQ485" s="53"/>
      <c r="BR485" s="53"/>
      <c r="BS485" s="53"/>
      <c r="BT485" s="53"/>
      <c r="BU485" s="53"/>
      <c r="BV485" s="53"/>
    </row>
    <row r="486" spans="1:74" x14ac:dyDescent="0.35">
      <c r="A486" s="53"/>
      <c r="B486" s="53"/>
      <c r="C486" s="55"/>
      <c r="D486" s="53"/>
      <c r="E486" s="53"/>
      <c r="F486" s="126" t="s">
        <v>1563</v>
      </c>
      <c r="G486" s="125"/>
      <c r="H486" s="125">
        <v>0</v>
      </c>
      <c r="I486" s="133">
        <v>1</v>
      </c>
      <c r="J486" s="53"/>
      <c r="K486" s="53"/>
      <c r="L486" s="53"/>
      <c r="M486" s="53"/>
      <c r="N486" s="53"/>
      <c r="O486" s="53"/>
      <c r="P486" s="53"/>
      <c r="Q486" s="53"/>
      <c r="R486" s="53"/>
      <c r="S486" s="53"/>
      <c r="T486" s="53"/>
      <c r="U486" s="53"/>
      <c r="V486" s="53"/>
      <c r="W486" s="53"/>
      <c r="X486" s="53"/>
      <c r="Y486" s="53"/>
      <c r="Z486" s="53"/>
      <c r="AA486" s="53"/>
      <c r="AB486" s="53"/>
      <c r="AC486" s="53"/>
      <c r="AD486" s="53"/>
      <c r="AE486" s="53"/>
      <c r="AF486" s="63"/>
      <c r="AG486" s="64"/>
      <c r="AH486" s="65"/>
      <c r="AI486" s="65"/>
      <c r="AJ486" s="53"/>
      <c r="AK486" s="53"/>
      <c r="AL486" s="53"/>
      <c r="AM486" s="53"/>
      <c r="AN486" s="53"/>
      <c r="AO486" s="53"/>
      <c r="AP486" s="53"/>
      <c r="AQ486" s="53"/>
      <c r="AR486" s="53"/>
      <c r="AS486" s="53"/>
      <c r="AT486" s="53"/>
      <c r="AU486" s="53"/>
      <c r="AV486" s="53"/>
      <c r="AW486" s="53"/>
      <c r="AX486" s="53"/>
      <c r="AY486" s="53"/>
      <c r="AZ486" s="53"/>
      <c r="BA486" s="53"/>
      <c r="BB486" s="53"/>
      <c r="BC486" s="53"/>
      <c r="BD486" s="53"/>
      <c r="BE486" s="53"/>
      <c r="BF486" s="53"/>
      <c r="BG486" s="53"/>
      <c r="BH486" s="53"/>
      <c r="BI486" s="53"/>
      <c r="BJ486" s="53"/>
      <c r="BK486" s="53"/>
      <c r="BL486" s="53"/>
      <c r="BM486" s="53"/>
      <c r="BN486" s="53"/>
      <c r="BO486" s="53"/>
      <c r="BP486" s="53"/>
      <c r="BQ486" s="53"/>
      <c r="BR486" s="53"/>
      <c r="BS486" s="53"/>
      <c r="BT486" s="53"/>
      <c r="BU486" s="53"/>
      <c r="BV486" s="53"/>
    </row>
    <row r="487" spans="1:74" x14ac:dyDescent="0.35">
      <c r="A487" s="53"/>
      <c r="B487" s="53"/>
      <c r="C487" s="55"/>
      <c r="D487" s="53"/>
      <c r="E487" s="53"/>
      <c r="F487" s="128" t="s">
        <v>1155</v>
      </c>
      <c r="G487" s="127">
        <v>89476.590517621356</v>
      </c>
      <c r="H487" s="127">
        <v>600573.48663738149</v>
      </c>
      <c r="I487" s="137">
        <v>65341</v>
      </c>
      <c r="J487" s="53"/>
      <c r="K487" s="53"/>
      <c r="L487" s="53"/>
      <c r="M487" s="53"/>
      <c r="N487" s="53"/>
      <c r="O487" s="53"/>
      <c r="P487" s="53"/>
      <c r="Q487" s="53"/>
      <c r="R487" s="53"/>
      <c r="S487" s="53"/>
      <c r="T487" s="53"/>
      <c r="U487" s="53"/>
      <c r="V487" s="53"/>
      <c r="W487" s="53"/>
      <c r="X487" s="53"/>
      <c r="Y487" s="53"/>
      <c r="Z487" s="53"/>
      <c r="AA487" s="53"/>
      <c r="AB487" s="53"/>
      <c r="AC487" s="53"/>
      <c r="AD487" s="53"/>
      <c r="AE487" s="53"/>
      <c r="AF487" s="63"/>
      <c r="AG487" s="64"/>
      <c r="AH487" s="65"/>
      <c r="AI487" s="65"/>
      <c r="AJ487" s="53"/>
      <c r="AK487" s="53"/>
      <c r="AL487" s="53"/>
      <c r="AM487" s="53"/>
      <c r="AN487" s="53"/>
      <c r="AO487" s="53"/>
      <c r="AP487" s="53"/>
      <c r="AQ487" s="53"/>
      <c r="AR487" s="53"/>
      <c r="AS487" s="53"/>
      <c r="AT487" s="53"/>
      <c r="AU487" s="53"/>
      <c r="AV487" s="53"/>
      <c r="AW487" s="53"/>
      <c r="AX487" s="53"/>
      <c r="AY487" s="53"/>
      <c r="AZ487" s="53"/>
      <c r="BA487" s="53"/>
      <c r="BB487" s="53"/>
      <c r="BC487" s="53"/>
      <c r="BD487" s="53"/>
      <c r="BE487" s="53"/>
      <c r="BF487" s="53"/>
      <c r="BG487" s="53"/>
      <c r="BH487" s="53"/>
      <c r="BI487" s="53"/>
      <c r="BJ487" s="53"/>
      <c r="BK487" s="53"/>
      <c r="BL487" s="53"/>
      <c r="BM487" s="53"/>
      <c r="BN487" s="53"/>
      <c r="BO487" s="53"/>
      <c r="BP487" s="53"/>
      <c r="BQ487" s="53"/>
      <c r="BR487" s="53"/>
      <c r="BS487" s="53"/>
      <c r="BT487" s="53"/>
      <c r="BU487" s="53"/>
      <c r="BV487" s="53"/>
    </row>
    <row r="488" spans="1:74" x14ac:dyDescent="0.35">
      <c r="A488" s="53"/>
      <c r="B488" s="53"/>
      <c r="C488" s="55"/>
      <c r="D488" s="53"/>
      <c r="E488" s="53"/>
      <c r="F488" s="53"/>
      <c r="G488" s="53"/>
      <c r="H488" s="53"/>
      <c r="I488" s="53"/>
      <c r="J488" s="53"/>
      <c r="K488" s="53"/>
      <c r="L488" s="53"/>
      <c r="M488" s="53"/>
      <c r="N488" s="53"/>
      <c r="O488" s="53"/>
      <c r="P488" s="53"/>
      <c r="Q488" s="53"/>
      <c r="R488" s="53"/>
      <c r="S488" s="53"/>
      <c r="T488" s="53"/>
      <c r="U488" s="53"/>
      <c r="V488" s="53"/>
      <c r="W488" s="53"/>
      <c r="X488" s="53"/>
      <c r="Y488" s="53"/>
      <c r="Z488" s="53"/>
      <c r="AA488" s="53"/>
      <c r="AB488" s="53"/>
      <c r="AC488" s="53"/>
      <c r="AD488" s="53"/>
      <c r="AE488" s="53"/>
      <c r="AF488" s="63"/>
      <c r="AG488" s="64"/>
      <c r="AH488" s="65"/>
      <c r="AI488" s="65"/>
      <c r="AJ488" s="53"/>
      <c r="AK488" s="53"/>
      <c r="AL488" s="53"/>
      <c r="AM488" s="53"/>
      <c r="AN488" s="53"/>
      <c r="AO488" s="53"/>
      <c r="AP488" s="53"/>
      <c r="AQ488" s="53"/>
      <c r="AR488" s="53"/>
      <c r="AS488" s="53"/>
      <c r="AT488" s="53"/>
      <c r="AU488" s="53"/>
      <c r="AV488" s="53"/>
      <c r="AW488" s="53"/>
      <c r="AX488" s="53"/>
      <c r="AY488" s="53"/>
      <c r="AZ488" s="53"/>
      <c r="BA488" s="53"/>
      <c r="BB488" s="53"/>
      <c r="BC488" s="53"/>
      <c r="BD488" s="53"/>
      <c r="BE488" s="53"/>
      <c r="BF488" s="53"/>
      <c r="BG488" s="53"/>
      <c r="BH488" s="53"/>
      <c r="BI488" s="53"/>
      <c r="BJ488" s="53"/>
      <c r="BK488" s="53"/>
      <c r="BL488" s="53"/>
      <c r="BM488" s="53"/>
      <c r="BN488" s="53"/>
      <c r="BO488" s="53"/>
      <c r="BP488" s="53"/>
      <c r="BQ488" s="53"/>
      <c r="BR488" s="53"/>
      <c r="BS488" s="53"/>
      <c r="BT488" s="53"/>
      <c r="BU488" s="53"/>
      <c r="BV488" s="53"/>
    </row>
    <row r="489" spans="1:74" x14ac:dyDescent="0.35">
      <c r="A489" s="53"/>
      <c r="B489" s="53"/>
      <c r="C489" s="55"/>
      <c r="D489" s="53"/>
      <c r="E489" s="53"/>
      <c r="F489" s="53"/>
      <c r="G489" s="53"/>
      <c r="H489" s="53"/>
      <c r="I489" s="53"/>
      <c r="J489" s="53"/>
      <c r="K489" s="53"/>
      <c r="L489" s="53"/>
      <c r="M489" s="53"/>
      <c r="N489" s="53"/>
      <c r="O489" s="53"/>
      <c r="P489" s="53"/>
      <c r="Q489" s="53"/>
      <c r="R489" s="53"/>
      <c r="S489" s="53"/>
      <c r="T489" s="53"/>
      <c r="U489" s="53"/>
      <c r="V489" s="53"/>
      <c r="W489" s="53"/>
      <c r="X489" s="53"/>
      <c r="Y489" s="53"/>
      <c r="Z489" s="53"/>
      <c r="AA489" s="53"/>
      <c r="AB489" s="53"/>
      <c r="AC489" s="53"/>
      <c r="AD489" s="53"/>
      <c r="AE489" s="53"/>
      <c r="AF489" s="63"/>
      <c r="AG489" s="64"/>
      <c r="AH489" s="65"/>
      <c r="AI489" s="65"/>
      <c r="AJ489" s="53"/>
      <c r="AK489" s="53"/>
      <c r="AL489" s="53"/>
      <c r="AM489" s="53"/>
      <c r="AN489" s="53"/>
      <c r="AO489" s="53"/>
      <c r="AP489" s="53"/>
      <c r="AQ489" s="53"/>
      <c r="AR489" s="53"/>
      <c r="AS489" s="53"/>
      <c r="AT489" s="53"/>
      <c r="AU489" s="53"/>
      <c r="AV489" s="53"/>
      <c r="AW489" s="53"/>
      <c r="AX489" s="53"/>
      <c r="AY489" s="53"/>
      <c r="AZ489" s="53"/>
      <c r="BA489" s="53"/>
      <c r="BB489" s="53"/>
      <c r="BC489" s="53"/>
      <c r="BD489" s="53"/>
      <c r="BE489" s="53"/>
      <c r="BF489" s="53"/>
      <c r="BG489" s="53"/>
      <c r="BH489" s="53"/>
      <c r="BI489" s="53"/>
      <c r="BJ489" s="53"/>
      <c r="BK489" s="53"/>
      <c r="BL489" s="53"/>
      <c r="BM489" s="53"/>
      <c r="BN489" s="53"/>
      <c r="BO489" s="53"/>
      <c r="BP489" s="53"/>
      <c r="BQ489" s="53"/>
      <c r="BR489" s="53"/>
      <c r="BS489" s="53"/>
      <c r="BT489" s="53"/>
      <c r="BU489" s="53"/>
      <c r="BV489" s="53"/>
    </row>
    <row r="490" spans="1:74" x14ac:dyDescent="0.35">
      <c r="K490" s="53"/>
      <c r="L490" s="53"/>
    </row>
    <row r="491" spans="1:74" x14ac:dyDescent="0.35">
      <c r="K491" s="53"/>
      <c r="L491" s="53"/>
    </row>
    <row r="492" spans="1:74" x14ac:dyDescent="0.35">
      <c r="K492" s="53"/>
      <c r="L492" s="53"/>
    </row>
    <row r="493" spans="1:74" x14ac:dyDescent="0.35">
      <c r="K493" s="53"/>
      <c r="L493" s="53"/>
    </row>
    <row r="494" spans="1:74" x14ac:dyDescent="0.35">
      <c r="K494" s="53"/>
      <c r="L494" s="53"/>
    </row>
  </sheetData>
  <mergeCells count="2">
    <mergeCell ref="Y1:AE1"/>
    <mergeCell ref="X2:AB2"/>
  </mergeCells>
  <pageMargins left="0.7" right="0.7" top="0.75" bottom="0.75" header="0.3" footer="0.3"/>
  <ignoredErrors>
    <ignoredError sqref="L6:L109" calculatedColumn="1"/>
  </ignoredErrors>
  <drawing r:id="rId2"/>
  <legacyDrawing r:id="rId3"/>
  <controls>
    <mc:AlternateContent xmlns:mc="http://schemas.openxmlformats.org/markup-compatibility/2006">
      <mc:Choice Requires="x14">
        <control shapeId="1032" r:id="rId4" name="ZeroStockOptionButton">
          <controlPr defaultSize="0" autoLine="0" r:id="rId5">
            <anchor moveWithCells="1">
              <from>
                <xdr:col>17</xdr:col>
                <xdr:colOff>38911</xdr:colOff>
                <xdr:row>20</xdr:row>
                <xdr:rowOff>116732</xdr:rowOff>
              </from>
              <to>
                <xdr:col>27</xdr:col>
                <xdr:colOff>64851</xdr:colOff>
                <xdr:row>21</xdr:row>
                <xdr:rowOff>162128</xdr:rowOff>
              </to>
            </anchor>
          </controlPr>
        </control>
      </mc:Choice>
      <mc:Fallback>
        <control shapeId="1032" r:id="rId4" name="ZeroStockOptionButton"/>
      </mc:Fallback>
    </mc:AlternateContent>
    <mc:AlternateContent xmlns:mc="http://schemas.openxmlformats.org/markup-compatibility/2006">
      <mc:Choice Requires="x14">
        <control shapeId="1031" r:id="rId6" name="OnlyStockOptionButton">
          <controlPr defaultSize="0" autoLine="0" r:id="rId7">
            <anchor moveWithCells="1">
              <from>
                <xdr:col>17</xdr:col>
                <xdr:colOff>38911</xdr:colOff>
                <xdr:row>18</xdr:row>
                <xdr:rowOff>123217</xdr:rowOff>
              </from>
              <to>
                <xdr:col>27</xdr:col>
                <xdr:colOff>123217</xdr:colOff>
                <xdr:row>19</xdr:row>
                <xdr:rowOff>168613</xdr:rowOff>
              </to>
            </anchor>
          </controlPr>
        </control>
      </mc:Choice>
      <mc:Fallback>
        <control shapeId="1031" r:id="rId6" name="OnlyStockOptionButton"/>
      </mc:Fallback>
    </mc:AlternateContent>
    <mc:AlternateContent xmlns:mc="http://schemas.openxmlformats.org/markup-compatibility/2006">
      <mc:Choice Requires="x14">
        <control shapeId="1029" r:id="rId8" name="AllProducts">
          <controlPr defaultSize="0" autoFill="0" autoLine="0" r:id="rId9">
            <anchor moveWithCells="1">
              <from>
                <xdr:col>18</xdr:col>
                <xdr:colOff>116732</xdr:colOff>
                <xdr:row>22</xdr:row>
                <xdr:rowOff>77821</xdr:rowOff>
              </from>
              <to>
                <xdr:col>25</xdr:col>
                <xdr:colOff>84306</xdr:colOff>
                <xdr:row>23</xdr:row>
                <xdr:rowOff>90791</xdr:rowOff>
              </to>
            </anchor>
          </controlPr>
        </control>
      </mc:Choice>
      <mc:Fallback>
        <control shapeId="1029" r:id="rId8" name="AllProducts"/>
      </mc:Fallback>
    </mc:AlternateContent>
    <mc:AlternateContent xmlns:mc="http://schemas.openxmlformats.org/markup-compatibility/2006">
      <mc:Choice Requires="x14">
        <control shapeId="1025" r:id="rId10" name="TextBox1">
          <controlPr defaultSize="0" autoLine="0" linkedCell="A2" r:id="rId11">
            <anchor>
              <from>
                <xdr:col>1</xdr:col>
                <xdr:colOff>421532</xdr:colOff>
                <xdr:row>1</xdr:row>
                <xdr:rowOff>220494</xdr:rowOff>
              </from>
              <to>
                <xdr:col>5</xdr:col>
                <xdr:colOff>1329447</xdr:colOff>
                <xdr:row>2</xdr:row>
                <xdr:rowOff>25940</xdr:rowOff>
              </to>
            </anchor>
          </controlPr>
        </control>
      </mc:Choice>
      <mc:Fallback>
        <control shapeId="1025" r:id="rId10" name="TextBox1"/>
      </mc:Fallback>
    </mc:AlternateContent>
  </controls>
  <tableParts count="1">
    <tablePart r:id="rId12"/>
  </tableParts>
  <extLst>
    <ext xmlns:x14="http://schemas.microsoft.com/office/spreadsheetml/2009/9/main" uri="{A8765BA9-456A-4dab-B4F3-ACF838C121DE}">
      <x14:slicerList>
        <x14:slicer r:id="rId13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B279EE-889B-4EF1-B951-2EF9D28C02B4}">
  <sheetPr codeName="Sayfa2"/>
  <dimension ref="A1:DM446"/>
  <sheetViews>
    <sheetView zoomScale="90" zoomScaleNormal="90" workbookViewId="0">
      <pane ySplit="1" topLeftCell="A2" activePane="bottomLeft" state="frozenSplit"/>
      <selection pane="bottomLeft" activeCell="B1" sqref="B1"/>
    </sheetView>
  </sheetViews>
  <sheetFormatPr defaultColWidth="8.90625" defaultRowHeight="13.3" x14ac:dyDescent="0.35"/>
  <cols>
    <col min="1" max="1" width="8.90625" style="13"/>
    <col min="2" max="2" width="22.54296875" style="36" bestFit="1" customWidth="1"/>
    <col min="3" max="3" width="54.36328125" style="6" customWidth="1"/>
    <col min="4" max="4" width="13.90625" style="37" customWidth="1"/>
    <col min="5" max="5" width="15.453125" style="36" customWidth="1"/>
    <col min="6" max="6" width="15.36328125" style="37" hidden="1" customWidth="1"/>
    <col min="7" max="7" width="15" style="37" hidden="1" customWidth="1"/>
    <col min="8" max="8" width="10.81640625" style="37" hidden="1" customWidth="1"/>
    <col min="9" max="9" width="12.36328125" style="38" customWidth="1"/>
    <col min="10" max="10" width="10.453125" style="37" hidden="1" customWidth="1"/>
    <col min="11" max="11" width="28.36328125" style="37" hidden="1" customWidth="1"/>
    <col min="12" max="12" width="55.54296875" style="36" hidden="1" customWidth="1"/>
    <col min="13" max="13" width="10.08984375" style="13" hidden="1" customWidth="1"/>
    <col min="14" max="14" width="15.36328125" style="13" hidden="1" customWidth="1"/>
    <col min="15" max="36" width="10.54296875" style="38" customWidth="1"/>
    <col min="37" max="39" width="12.36328125" style="38" customWidth="1"/>
    <col min="40" max="89" width="12.36328125" style="76" customWidth="1"/>
    <col min="90" max="117" width="14.26953125" style="76" customWidth="1"/>
    <col min="118" max="16384" width="8.90625" style="13"/>
  </cols>
  <sheetData>
    <row r="1" spans="1:117" s="6" customFormat="1" ht="26.55" x14ac:dyDescent="0.35">
      <c r="A1" s="1" t="s">
        <v>0</v>
      </c>
      <c r="B1" s="1" t="s">
        <v>1</v>
      </c>
      <c r="C1" s="2" t="s">
        <v>2</v>
      </c>
      <c r="D1" s="3" t="s">
        <v>3</v>
      </c>
      <c r="E1" s="80" t="s">
        <v>1202</v>
      </c>
      <c r="F1" s="3" t="s">
        <v>4</v>
      </c>
      <c r="G1" s="3" t="s">
        <v>5</v>
      </c>
      <c r="H1" s="3" t="s">
        <v>6</v>
      </c>
      <c r="I1" s="4" t="s">
        <v>7</v>
      </c>
      <c r="J1" s="3" t="s">
        <v>8</v>
      </c>
      <c r="K1" s="3" t="s">
        <v>9</v>
      </c>
      <c r="L1" s="3" t="s">
        <v>10</v>
      </c>
      <c r="M1" s="2" t="s">
        <v>11</v>
      </c>
      <c r="N1" s="2" t="s">
        <v>12</v>
      </c>
      <c r="O1" s="4" t="s">
        <v>13</v>
      </c>
      <c r="P1" s="4" t="s">
        <v>14</v>
      </c>
      <c r="Q1" s="4" t="s">
        <v>15</v>
      </c>
      <c r="R1" s="4" t="s">
        <v>16</v>
      </c>
      <c r="S1" s="4" t="s">
        <v>17</v>
      </c>
      <c r="T1" s="4" t="s">
        <v>18</v>
      </c>
      <c r="U1" s="4" t="s">
        <v>19</v>
      </c>
      <c r="V1" s="4" t="s">
        <v>20</v>
      </c>
      <c r="W1" s="4" t="s">
        <v>21</v>
      </c>
      <c r="X1" s="4" t="s">
        <v>22</v>
      </c>
      <c r="Y1" s="4" t="s">
        <v>23</v>
      </c>
      <c r="Z1" s="4" t="s">
        <v>24</v>
      </c>
      <c r="AA1" s="4" t="s">
        <v>24</v>
      </c>
      <c r="AB1" s="4" t="s">
        <v>25</v>
      </c>
      <c r="AC1" s="4" t="s">
        <v>26</v>
      </c>
      <c r="AD1" s="4" t="s">
        <v>27</v>
      </c>
      <c r="AE1" s="4" t="s">
        <v>28</v>
      </c>
      <c r="AF1" s="4" t="s">
        <v>29</v>
      </c>
      <c r="AG1" s="4" t="s">
        <v>30</v>
      </c>
      <c r="AH1" s="4" t="s">
        <v>31</v>
      </c>
      <c r="AI1" s="4" t="s">
        <v>32</v>
      </c>
      <c r="AJ1" s="4" t="s">
        <v>33</v>
      </c>
      <c r="AK1" s="4" t="s">
        <v>34</v>
      </c>
      <c r="AL1" s="4" t="s">
        <v>35</v>
      </c>
      <c r="AM1" s="5" t="s">
        <v>36</v>
      </c>
      <c r="AN1" s="71" t="s">
        <v>1167</v>
      </c>
      <c r="AO1" s="71" t="s">
        <v>1168</v>
      </c>
      <c r="AP1" s="71" t="s">
        <v>1195</v>
      </c>
      <c r="AQ1" s="71" t="s">
        <v>1232</v>
      </c>
      <c r="AR1" s="71" t="s">
        <v>1238</v>
      </c>
      <c r="AS1" s="71" t="s">
        <v>1244</v>
      </c>
      <c r="AT1" s="71" t="s">
        <v>1245</v>
      </c>
      <c r="AU1" s="71" t="s">
        <v>1249</v>
      </c>
      <c r="AV1" s="71" t="s">
        <v>1257</v>
      </c>
      <c r="AW1" s="71" t="s">
        <v>1272</v>
      </c>
      <c r="AX1" s="71" t="s">
        <v>1280</v>
      </c>
      <c r="AY1" s="71" t="s">
        <v>1285</v>
      </c>
      <c r="AZ1" s="71" t="s">
        <v>1300</v>
      </c>
      <c r="BA1" s="71" t="s">
        <v>1302</v>
      </c>
      <c r="BB1" s="71" t="s">
        <v>1308</v>
      </c>
      <c r="BC1" s="71" t="s">
        <v>1303</v>
      </c>
      <c r="BD1" s="71" t="s">
        <v>1305</v>
      </c>
      <c r="BE1" s="71" t="s">
        <v>1310</v>
      </c>
      <c r="BF1" s="71" t="s">
        <v>1312</v>
      </c>
      <c r="BG1" s="71" t="s">
        <v>1314</v>
      </c>
      <c r="BH1" s="71" t="s">
        <v>1339</v>
      </c>
      <c r="BI1" s="71" t="s">
        <v>1349</v>
      </c>
      <c r="BJ1" s="71" t="s">
        <v>1360</v>
      </c>
      <c r="BK1" s="71" t="s">
        <v>1364</v>
      </c>
      <c r="BL1" s="71" t="s">
        <v>1367</v>
      </c>
      <c r="BM1" s="71" t="s">
        <v>1371</v>
      </c>
      <c r="BN1" s="71" t="s">
        <v>1376</v>
      </c>
      <c r="BO1" s="71" t="s">
        <v>1377</v>
      </c>
      <c r="BP1" s="71" t="s">
        <v>1378</v>
      </c>
      <c r="BQ1" s="71" t="s">
        <v>1380</v>
      </c>
      <c r="BR1" s="71" t="s">
        <v>1382</v>
      </c>
      <c r="BS1" s="71" t="s">
        <v>1384</v>
      </c>
      <c r="BT1" s="71" t="s">
        <v>1385</v>
      </c>
      <c r="BU1" s="71" t="s">
        <v>1387</v>
      </c>
      <c r="BV1" s="71" t="s">
        <v>1389</v>
      </c>
      <c r="BW1" s="71" t="s">
        <v>1393</v>
      </c>
      <c r="BX1" s="71" t="s">
        <v>1401</v>
      </c>
      <c r="BY1" s="71" t="s">
        <v>1412</v>
      </c>
      <c r="BZ1" s="71" t="s">
        <v>1422</v>
      </c>
      <c r="CA1" s="71" t="s">
        <v>1460</v>
      </c>
      <c r="CB1" s="71" t="s">
        <v>1465</v>
      </c>
      <c r="CC1" s="71" t="s">
        <v>1466</v>
      </c>
      <c r="CD1" s="71" t="s">
        <v>1469</v>
      </c>
      <c r="CE1" s="71" t="s">
        <v>1471</v>
      </c>
      <c r="CF1" s="117" t="s">
        <v>1472</v>
      </c>
      <c r="CG1" s="71" t="s">
        <v>1473</v>
      </c>
      <c r="CH1" s="71" t="s">
        <v>1474</v>
      </c>
      <c r="CI1" s="71" t="s">
        <v>1485</v>
      </c>
      <c r="CJ1" s="71" t="s">
        <v>1487</v>
      </c>
      <c r="CK1" s="71" t="s">
        <v>1488</v>
      </c>
      <c r="CL1" s="71" t="s">
        <v>1489</v>
      </c>
      <c r="CM1" s="71" t="s">
        <v>1490</v>
      </c>
      <c r="CN1" s="71" t="s">
        <v>1493</v>
      </c>
      <c r="CO1" s="71" t="s">
        <v>1497</v>
      </c>
      <c r="CP1" s="71" t="s">
        <v>1498</v>
      </c>
      <c r="CQ1" s="71" t="s">
        <v>1499</v>
      </c>
      <c r="CR1" s="71" t="s">
        <v>1501</v>
      </c>
      <c r="CS1" s="71" t="s">
        <v>1502</v>
      </c>
      <c r="CT1" s="71" t="s">
        <v>1503</v>
      </c>
      <c r="CU1" s="71" t="s">
        <v>1507</v>
      </c>
      <c r="CV1" s="71" t="s">
        <v>1510</v>
      </c>
      <c r="CW1" s="71" t="s">
        <v>1516</v>
      </c>
      <c r="CX1" s="71" t="s">
        <v>1521</v>
      </c>
      <c r="CY1" s="71" t="s">
        <v>1522</v>
      </c>
      <c r="CZ1" s="71" t="s">
        <v>1523</v>
      </c>
      <c r="DA1" s="71" t="s">
        <v>1525</v>
      </c>
      <c r="DB1" s="71" t="s">
        <v>1526</v>
      </c>
      <c r="DC1" s="71" t="s">
        <v>1530</v>
      </c>
      <c r="DD1" s="71" t="s">
        <v>1534</v>
      </c>
      <c r="DE1" s="71" t="s">
        <v>1535</v>
      </c>
      <c r="DF1" s="71" t="s">
        <v>1536</v>
      </c>
      <c r="DG1" s="71" t="s">
        <v>1537</v>
      </c>
      <c r="DH1" s="71" t="s">
        <v>1544</v>
      </c>
      <c r="DI1" s="71" t="s">
        <v>1552</v>
      </c>
      <c r="DJ1" s="71" t="s">
        <v>1553</v>
      </c>
      <c r="DK1" s="71" t="s">
        <v>1555</v>
      </c>
      <c r="DL1" s="71" t="s">
        <v>1556</v>
      </c>
      <c r="DM1" s="71" t="s">
        <v>1564</v>
      </c>
    </row>
    <row r="2" spans="1:117" x14ac:dyDescent="0.35">
      <c r="A2" s="7"/>
      <c r="B2" s="8" t="s">
        <v>37</v>
      </c>
      <c r="C2" s="9" t="s">
        <v>38</v>
      </c>
      <c r="D2" s="10" t="s">
        <v>39</v>
      </c>
      <c r="E2" s="8" t="s">
        <v>1203</v>
      </c>
      <c r="F2" s="10">
        <v>1002</v>
      </c>
      <c r="G2" s="10" t="s">
        <v>40</v>
      </c>
      <c r="H2" s="10" t="s">
        <v>41</v>
      </c>
      <c r="I2" s="11">
        <v>5</v>
      </c>
      <c r="J2" s="10"/>
      <c r="K2" s="10" t="s">
        <v>42</v>
      </c>
      <c r="L2" s="8" t="s">
        <v>43</v>
      </c>
      <c r="M2" s="12">
        <v>1200</v>
      </c>
      <c r="N2" s="12">
        <f>M2*DM2</f>
        <v>0</v>
      </c>
      <c r="O2" s="11">
        <v>5</v>
      </c>
      <c r="P2" s="11">
        <v>5</v>
      </c>
      <c r="Q2" s="11">
        <v>5</v>
      </c>
      <c r="R2" s="11">
        <v>5</v>
      </c>
      <c r="S2" s="11">
        <v>5</v>
      </c>
      <c r="T2" s="11">
        <v>5</v>
      </c>
      <c r="U2" s="11">
        <v>5</v>
      </c>
      <c r="V2" s="11">
        <v>5</v>
      </c>
      <c r="W2" s="11">
        <v>5</v>
      </c>
      <c r="X2" s="11">
        <v>5</v>
      </c>
      <c r="Y2" s="11">
        <v>5</v>
      </c>
      <c r="Z2" s="11">
        <v>5</v>
      </c>
      <c r="AA2" s="11">
        <v>5</v>
      </c>
      <c r="AB2" s="11">
        <v>5</v>
      </c>
      <c r="AC2" s="11">
        <v>5</v>
      </c>
      <c r="AD2" s="11">
        <v>5</v>
      </c>
      <c r="AE2" s="11">
        <v>5</v>
      </c>
      <c r="AF2" s="11">
        <v>5</v>
      </c>
      <c r="AG2" s="11">
        <v>5</v>
      </c>
      <c r="AH2" s="11">
        <v>5</v>
      </c>
      <c r="AI2" s="11">
        <v>5</v>
      </c>
      <c r="AJ2" s="11">
        <v>5</v>
      </c>
      <c r="AK2" s="11">
        <v>5</v>
      </c>
      <c r="AL2" s="11">
        <v>0</v>
      </c>
      <c r="AM2" s="11">
        <v>0</v>
      </c>
      <c r="AN2" s="72">
        <v>0</v>
      </c>
      <c r="AO2" s="72">
        <v>0</v>
      </c>
      <c r="AP2" s="72">
        <v>0</v>
      </c>
      <c r="AQ2" s="72">
        <v>0</v>
      </c>
      <c r="AR2" s="72">
        <v>0</v>
      </c>
      <c r="AS2" s="72">
        <v>0</v>
      </c>
      <c r="AT2" s="72">
        <v>0</v>
      </c>
      <c r="AU2" s="72">
        <v>0</v>
      </c>
      <c r="AV2" s="72">
        <v>0</v>
      </c>
      <c r="AW2" s="72">
        <v>0</v>
      </c>
      <c r="AX2" s="72">
        <v>0</v>
      </c>
      <c r="AY2" s="72">
        <v>0</v>
      </c>
      <c r="AZ2" s="72">
        <v>0</v>
      </c>
      <c r="BA2" s="72">
        <v>0</v>
      </c>
      <c r="BB2" s="72">
        <v>0</v>
      </c>
      <c r="BC2" s="72">
        <v>0</v>
      </c>
      <c r="BD2" s="72">
        <v>0</v>
      </c>
      <c r="BE2" s="72">
        <v>0</v>
      </c>
      <c r="BF2" s="72">
        <v>0</v>
      </c>
      <c r="BG2" s="72">
        <v>0</v>
      </c>
      <c r="BH2" s="72">
        <v>0</v>
      </c>
      <c r="BI2" s="72">
        <v>0</v>
      </c>
      <c r="BJ2" s="72">
        <v>0</v>
      </c>
      <c r="BK2" s="72">
        <v>0</v>
      </c>
      <c r="BL2" s="72">
        <v>0</v>
      </c>
      <c r="BM2" s="72">
        <v>0</v>
      </c>
      <c r="BN2" s="72">
        <v>0</v>
      </c>
      <c r="BO2" s="72">
        <v>0</v>
      </c>
      <c r="BP2" s="72">
        <v>0</v>
      </c>
      <c r="BQ2" s="72">
        <v>0</v>
      </c>
      <c r="BR2" s="72">
        <v>0</v>
      </c>
      <c r="BS2" s="72">
        <v>0</v>
      </c>
      <c r="BT2" s="72">
        <v>0</v>
      </c>
      <c r="BU2" s="72">
        <v>0</v>
      </c>
      <c r="BV2" s="72">
        <v>0</v>
      </c>
      <c r="BW2" s="72">
        <v>0</v>
      </c>
      <c r="BX2" s="72">
        <v>0</v>
      </c>
      <c r="BY2" s="72">
        <v>0</v>
      </c>
      <c r="BZ2" s="72">
        <v>0</v>
      </c>
      <c r="CA2" s="72">
        <v>0</v>
      </c>
      <c r="CB2" s="72">
        <v>0</v>
      </c>
      <c r="CC2" s="72">
        <v>0</v>
      </c>
      <c r="CD2" s="72">
        <v>0</v>
      </c>
      <c r="CE2" s="72">
        <v>0</v>
      </c>
      <c r="CF2" s="72">
        <v>0</v>
      </c>
      <c r="CG2" s="72">
        <v>0</v>
      </c>
      <c r="CH2" s="72">
        <v>0</v>
      </c>
      <c r="CI2" s="72">
        <v>0</v>
      </c>
      <c r="CJ2" s="72">
        <v>0</v>
      </c>
      <c r="CK2" s="72">
        <v>0</v>
      </c>
      <c r="CL2" s="72">
        <v>0</v>
      </c>
      <c r="CM2" s="72">
        <v>0</v>
      </c>
      <c r="CN2" s="72">
        <v>0</v>
      </c>
      <c r="CO2" s="72">
        <v>0</v>
      </c>
      <c r="CP2" s="72">
        <v>0</v>
      </c>
      <c r="CQ2" s="72">
        <v>0</v>
      </c>
      <c r="CR2" s="72">
        <v>0</v>
      </c>
      <c r="CS2" s="72">
        <v>0</v>
      </c>
      <c r="CT2" s="72">
        <v>0</v>
      </c>
      <c r="CU2" s="72">
        <v>0</v>
      </c>
      <c r="CV2" s="72">
        <v>0</v>
      </c>
      <c r="CW2" s="72">
        <v>0</v>
      </c>
      <c r="CX2" s="72">
        <v>0</v>
      </c>
      <c r="CY2" s="72">
        <v>0</v>
      </c>
      <c r="CZ2" s="72">
        <v>0</v>
      </c>
      <c r="DA2" s="72">
        <v>0</v>
      </c>
      <c r="DB2" s="72">
        <v>0</v>
      </c>
      <c r="DC2" s="72">
        <v>0</v>
      </c>
      <c r="DD2" s="72">
        <v>0</v>
      </c>
      <c r="DE2" s="72">
        <v>0</v>
      </c>
      <c r="DF2" s="72">
        <v>0</v>
      </c>
      <c r="DG2" s="72">
        <v>0</v>
      </c>
      <c r="DH2" s="72">
        <v>0</v>
      </c>
      <c r="DI2" s="72">
        <v>0</v>
      </c>
      <c r="DJ2" s="72">
        <v>0</v>
      </c>
      <c r="DK2" s="72">
        <v>0</v>
      </c>
      <c r="DL2" s="72">
        <v>0</v>
      </c>
      <c r="DM2" s="72">
        <v>0</v>
      </c>
    </row>
    <row r="3" spans="1:117" x14ac:dyDescent="0.35">
      <c r="A3" s="7"/>
      <c r="B3" s="8" t="s">
        <v>44</v>
      </c>
      <c r="C3" s="9" t="s">
        <v>45</v>
      </c>
      <c r="D3" s="10" t="s">
        <v>39</v>
      </c>
      <c r="E3" s="8" t="s">
        <v>1204</v>
      </c>
      <c r="F3" s="10">
        <v>1002</v>
      </c>
      <c r="G3" s="10" t="s">
        <v>40</v>
      </c>
      <c r="H3" s="10" t="s">
        <v>41</v>
      </c>
      <c r="I3" s="11">
        <v>1</v>
      </c>
      <c r="J3" s="10"/>
      <c r="K3" s="10" t="s">
        <v>42</v>
      </c>
      <c r="L3" s="8"/>
      <c r="M3" s="12"/>
      <c r="N3" s="12">
        <f t="shared" ref="N3:N66" si="0">M3*DM3</f>
        <v>0</v>
      </c>
      <c r="O3" s="11">
        <v>1</v>
      </c>
      <c r="P3" s="11">
        <v>1</v>
      </c>
      <c r="Q3" s="11">
        <v>1</v>
      </c>
      <c r="R3" s="11">
        <v>1</v>
      </c>
      <c r="S3" s="11">
        <v>1</v>
      </c>
      <c r="T3" s="11">
        <v>1</v>
      </c>
      <c r="U3" s="11">
        <v>1</v>
      </c>
      <c r="V3" s="11">
        <v>1</v>
      </c>
      <c r="W3" s="11">
        <v>1</v>
      </c>
      <c r="X3" s="11">
        <v>1</v>
      </c>
      <c r="Y3" s="11">
        <v>1</v>
      </c>
      <c r="Z3" s="11">
        <v>1</v>
      </c>
      <c r="AA3" s="11">
        <v>1</v>
      </c>
      <c r="AB3" s="11">
        <v>1</v>
      </c>
      <c r="AC3" s="11">
        <v>1</v>
      </c>
      <c r="AD3" s="11">
        <v>1</v>
      </c>
      <c r="AE3" s="11">
        <v>1</v>
      </c>
      <c r="AF3" s="11">
        <v>1</v>
      </c>
      <c r="AG3" s="11">
        <v>1</v>
      </c>
      <c r="AH3" s="11">
        <v>1</v>
      </c>
      <c r="AI3" s="11">
        <v>1</v>
      </c>
      <c r="AJ3" s="11">
        <v>1</v>
      </c>
      <c r="AK3" s="11">
        <v>1</v>
      </c>
      <c r="AL3" s="11">
        <v>1</v>
      </c>
      <c r="AM3" s="11">
        <v>1</v>
      </c>
      <c r="AN3" s="72">
        <v>1</v>
      </c>
      <c r="AO3" s="72">
        <v>1</v>
      </c>
      <c r="AP3" s="72">
        <v>1</v>
      </c>
      <c r="AQ3" s="72">
        <v>1</v>
      </c>
      <c r="AR3" s="72">
        <v>1</v>
      </c>
      <c r="AS3" s="72">
        <v>1</v>
      </c>
      <c r="AT3" s="72">
        <v>1</v>
      </c>
      <c r="AU3" s="72">
        <v>1</v>
      </c>
      <c r="AV3" s="72">
        <v>1</v>
      </c>
      <c r="AW3" s="72">
        <v>1</v>
      </c>
      <c r="AX3" s="72">
        <v>1</v>
      </c>
      <c r="AY3" s="72">
        <v>1</v>
      </c>
      <c r="AZ3" s="72">
        <v>1</v>
      </c>
      <c r="BA3" s="72">
        <v>1</v>
      </c>
      <c r="BB3" s="72">
        <v>1</v>
      </c>
      <c r="BC3" s="72">
        <v>1</v>
      </c>
      <c r="BD3" s="72">
        <v>1</v>
      </c>
      <c r="BE3" s="72">
        <v>1</v>
      </c>
      <c r="BF3" s="72">
        <v>1</v>
      </c>
      <c r="BG3" s="72">
        <v>1</v>
      </c>
      <c r="BH3" s="72">
        <v>1</v>
      </c>
      <c r="BI3" s="72">
        <v>1</v>
      </c>
      <c r="BJ3" s="72">
        <v>1</v>
      </c>
      <c r="BK3" s="72">
        <v>1</v>
      </c>
      <c r="BL3" s="72">
        <v>1</v>
      </c>
      <c r="BM3" s="72">
        <v>1</v>
      </c>
      <c r="BN3" s="72">
        <v>1</v>
      </c>
      <c r="BO3" s="72">
        <v>1</v>
      </c>
      <c r="BP3" s="72">
        <v>1</v>
      </c>
      <c r="BQ3" s="72">
        <v>1</v>
      </c>
      <c r="BR3" s="72">
        <v>1</v>
      </c>
      <c r="BS3" s="72">
        <v>1</v>
      </c>
      <c r="BT3" s="72">
        <v>1</v>
      </c>
      <c r="BU3" s="72">
        <v>1</v>
      </c>
      <c r="BV3" s="72">
        <v>1</v>
      </c>
      <c r="BW3" s="72">
        <v>1</v>
      </c>
      <c r="BX3" s="72">
        <v>1</v>
      </c>
      <c r="BY3" s="72">
        <v>1</v>
      </c>
      <c r="BZ3" s="72">
        <v>1</v>
      </c>
      <c r="CA3" s="72">
        <v>1</v>
      </c>
      <c r="CB3" s="72">
        <v>1</v>
      </c>
      <c r="CC3" s="72">
        <v>1</v>
      </c>
      <c r="CD3" s="72">
        <v>1</v>
      </c>
      <c r="CE3" s="72">
        <v>1</v>
      </c>
      <c r="CF3" s="72">
        <v>1</v>
      </c>
      <c r="CG3" s="72">
        <v>1</v>
      </c>
      <c r="CH3" s="72">
        <v>1</v>
      </c>
      <c r="CI3" s="72">
        <v>1</v>
      </c>
      <c r="CJ3" s="72">
        <v>1</v>
      </c>
      <c r="CK3" s="72">
        <v>1</v>
      </c>
      <c r="CL3" s="72">
        <v>1</v>
      </c>
      <c r="CM3" s="72">
        <v>1</v>
      </c>
      <c r="CN3" s="72">
        <v>1</v>
      </c>
      <c r="CO3" s="72">
        <v>1</v>
      </c>
      <c r="CP3" s="72">
        <v>1</v>
      </c>
      <c r="CQ3" s="72">
        <v>1</v>
      </c>
      <c r="CR3" s="72">
        <v>1</v>
      </c>
      <c r="CS3" s="72">
        <v>1</v>
      </c>
      <c r="CT3" s="72">
        <v>1</v>
      </c>
      <c r="CU3" s="72">
        <v>1</v>
      </c>
      <c r="CV3" s="72">
        <v>1</v>
      </c>
      <c r="CW3" s="72">
        <v>1</v>
      </c>
      <c r="CX3" s="72">
        <v>1</v>
      </c>
      <c r="CY3" s="72">
        <v>1</v>
      </c>
      <c r="CZ3" s="72">
        <v>1</v>
      </c>
      <c r="DA3" s="72">
        <v>1</v>
      </c>
      <c r="DB3" s="72">
        <v>1</v>
      </c>
      <c r="DC3" s="72">
        <v>1</v>
      </c>
      <c r="DD3" s="72">
        <v>1</v>
      </c>
      <c r="DE3" s="72">
        <v>1</v>
      </c>
      <c r="DF3" s="72">
        <v>1</v>
      </c>
      <c r="DG3" s="72">
        <v>1</v>
      </c>
      <c r="DH3" s="72">
        <v>1</v>
      </c>
      <c r="DI3" s="72">
        <v>1</v>
      </c>
      <c r="DJ3" s="72">
        <v>1</v>
      </c>
      <c r="DK3" s="72">
        <v>1</v>
      </c>
      <c r="DL3" s="72">
        <v>1</v>
      </c>
      <c r="DM3" s="72">
        <v>1</v>
      </c>
    </row>
    <row r="4" spans="1:117" x14ac:dyDescent="0.35">
      <c r="A4" s="7"/>
      <c r="B4" s="8" t="s">
        <v>46</v>
      </c>
      <c r="C4" s="9" t="s">
        <v>47</v>
      </c>
      <c r="D4" s="10" t="s">
        <v>48</v>
      </c>
      <c r="E4" s="8" t="s">
        <v>1206</v>
      </c>
      <c r="F4" s="10">
        <v>1002</v>
      </c>
      <c r="G4" s="10" t="s">
        <v>40</v>
      </c>
      <c r="H4" s="10" t="s">
        <v>41</v>
      </c>
      <c r="I4" s="11">
        <v>1</v>
      </c>
      <c r="J4" s="10"/>
      <c r="K4" s="10" t="s">
        <v>49</v>
      </c>
      <c r="L4" s="14" t="s">
        <v>50</v>
      </c>
      <c r="M4" s="12">
        <v>265.14</v>
      </c>
      <c r="N4" s="12">
        <f t="shared" si="0"/>
        <v>265.14</v>
      </c>
      <c r="O4" s="11">
        <v>1</v>
      </c>
      <c r="P4" s="11">
        <v>1</v>
      </c>
      <c r="Q4" s="11">
        <v>1</v>
      </c>
      <c r="R4" s="11">
        <v>1</v>
      </c>
      <c r="S4" s="11">
        <v>1</v>
      </c>
      <c r="T4" s="11">
        <v>1</v>
      </c>
      <c r="U4" s="11">
        <v>1</v>
      </c>
      <c r="V4" s="11">
        <v>1</v>
      </c>
      <c r="W4" s="11">
        <v>1</v>
      </c>
      <c r="X4" s="11">
        <v>1</v>
      </c>
      <c r="Y4" s="11">
        <v>1</v>
      </c>
      <c r="Z4" s="11">
        <v>1</v>
      </c>
      <c r="AA4" s="11">
        <v>1</v>
      </c>
      <c r="AB4" s="11">
        <v>1</v>
      </c>
      <c r="AC4" s="11">
        <v>1</v>
      </c>
      <c r="AD4" s="11">
        <v>1</v>
      </c>
      <c r="AE4" s="11">
        <v>1</v>
      </c>
      <c r="AF4" s="11">
        <v>1</v>
      </c>
      <c r="AG4" s="11">
        <v>1</v>
      </c>
      <c r="AH4" s="11">
        <v>1</v>
      </c>
      <c r="AI4" s="11">
        <v>1</v>
      </c>
      <c r="AJ4" s="11">
        <v>1</v>
      </c>
      <c r="AK4" s="11">
        <v>1</v>
      </c>
      <c r="AL4" s="11">
        <v>1</v>
      </c>
      <c r="AM4" s="11">
        <v>1</v>
      </c>
      <c r="AN4" s="72">
        <v>1</v>
      </c>
      <c r="AO4" s="72">
        <v>1</v>
      </c>
      <c r="AP4" s="72">
        <v>1</v>
      </c>
      <c r="AQ4" s="72">
        <v>1</v>
      </c>
      <c r="AR4" s="72">
        <v>1</v>
      </c>
      <c r="AS4" s="72">
        <v>1</v>
      </c>
      <c r="AT4" s="72">
        <v>1</v>
      </c>
      <c r="AU4" s="72">
        <v>1</v>
      </c>
      <c r="AV4" s="72">
        <v>1</v>
      </c>
      <c r="AW4" s="72">
        <v>1</v>
      </c>
      <c r="AX4" s="72">
        <v>1</v>
      </c>
      <c r="AY4" s="72">
        <v>1</v>
      </c>
      <c r="AZ4" s="72">
        <v>1</v>
      </c>
      <c r="BA4" s="72">
        <v>1</v>
      </c>
      <c r="BB4" s="72">
        <v>1</v>
      </c>
      <c r="BC4" s="72">
        <v>1</v>
      </c>
      <c r="BD4" s="72">
        <v>1</v>
      </c>
      <c r="BE4" s="72">
        <v>1</v>
      </c>
      <c r="BF4" s="72">
        <v>1</v>
      </c>
      <c r="BG4" s="72">
        <v>1</v>
      </c>
      <c r="BH4" s="72">
        <v>1</v>
      </c>
      <c r="BI4" s="72">
        <v>1</v>
      </c>
      <c r="BJ4" s="72">
        <v>1</v>
      </c>
      <c r="BK4" s="72">
        <v>1</v>
      </c>
      <c r="BL4" s="72">
        <v>1</v>
      </c>
      <c r="BM4" s="72">
        <v>1</v>
      </c>
      <c r="BN4" s="72">
        <v>1</v>
      </c>
      <c r="BO4" s="72">
        <v>1</v>
      </c>
      <c r="BP4" s="72">
        <v>1</v>
      </c>
      <c r="BQ4" s="72">
        <v>1</v>
      </c>
      <c r="BR4" s="72">
        <v>1</v>
      </c>
      <c r="BS4" s="72">
        <v>1</v>
      </c>
      <c r="BT4" s="72">
        <v>1</v>
      </c>
      <c r="BU4" s="72">
        <v>1</v>
      </c>
      <c r="BV4" s="72">
        <v>1</v>
      </c>
      <c r="BW4" s="72">
        <v>1</v>
      </c>
      <c r="BX4" s="72">
        <v>1</v>
      </c>
      <c r="BY4" s="72">
        <v>1</v>
      </c>
      <c r="BZ4" s="72">
        <v>1</v>
      </c>
      <c r="CA4" s="72">
        <v>1</v>
      </c>
      <c r="CB4" s="72">
        <v>1</v>
      </c>
      <c r="CC4" s="72">
        <v>1</v>
      </c>
      <c r="CD4" s="72">
        <v>1</v>
      </c>
      <c r="CE4" s="72">
        <v>1</v>
      </c>
      <c r="CF4" s="72">
        <v>1</v>
      </c>
      <c r="CG4" s="72">
        <v>1</v>
      </c>
      <c r="CH4" s="72">
        <v>1</v>
      </c>
      <c r="CI4" s="72">
        <v>1</v>
      </c>
      <c r="CJ4" s="72">
        <v>1</v>
      </c>
      <c r="CK4" s="72">
        <v>1</v>
      </c>
      <c r="CL4" s="72">
        <v>1</v>
      </c>
      <c r="CM4" s="72">
        <v>1</v>
      </c>
      <c r="CN4" s="72">
        <v>1</v>
      </c>
      <c r="CO4" s="72">
        <v>1</v>
      </c>
      <c r="CP4" s="72">
        <v>1</v>
      </c>
      <c r="CQ4" s="72">
        <v>1</v>
      </c>
      <c r="CR4" s="72">
        <v>1</v>
      </c>
      <c r="CS4" s="72">
        <v>1</v>
      </c>
      <c r="CT4" s="72">
        <v>1</v>
      </c>
      <c r="CU4" s="72">
        <v>1</v>
      </c>
      <c r="CV4" s="72">
        <v>1</v>
      </c>
      <c r="CW4" s="72">
        <v>1</v>
      </c>
      <c r="CX4" s="72">
        <v>1</v>
      </c>
      <c r="CY4" s="72">
        <v>1</v>
      </c>
      <c r="CZ4" s="72">
        <v>1</v>
      </c>
      <c r="DA4" s="72">
        <v>1</v>
      </c>
      <c r="DB4" s="72">
        <v>1</v>
      </c>
      <c r="DC4" s="72">
        <v>1</v>
      </c>
      <c r="DD4" s="72">
        <v>1</v>
      </c>
      <c r="DE4" s="72">
        <v>1</v>
      </c>
      <c r="DF4" s="72">
        <v>1</v>
      </c>
      <c r="DG4" s="72">
        <v>1</v>
      </c>
      <c r="DH4" s="72">
        <v>1</v>
      </c>
      <c r="DI4" s="72">
        <v>1</v>
      </c>
      <c r="DJ4" s="72">
        <v>1</v>
      </c>
      <c r="DK4" s="72">
        <v>1</v>
      </c>
      <c r="DL4" s="72">
        <v>1</v>
      </c>
      <c r="DM4" s="72">
        <v>1</v>
      </c>
    </row>
    <row r="5" spans="1:117" x14ac:dyDescent="0.35">
      <c r="A5" s="7"/>
      <c r="B5" s="8" t="s">
        <v>51</v>
      </c>
      <c r="C5" s="9" t="s">
        <v>52</v>
      </c>
      <c r="D5" s="10" t="s">
        <v>48</v>
      </c>
      <c r="E5" s="8" t="s">
        <v>1203</v>
      </c>
      <c r="F5" s="10">
        <v>1002</v>
      </c>
      <c r="G5" s="10" t="s">
        <v>40</v>
      </c>
      <c r="H5" s="10" t="s">
        <v>41</v>
      </c>
      <c r="I5" s="11">
        <v>6</v>
      </c>
      <c r="J5" s="10"/>
      <c r="K5" s="10" t="s">
        <v>53</v>
      </c>
      <c r="L5" s="8"/>
      <c r="M5" s="12">
        <v>2237.5</v>
      </c>
      <c r="N5" s="12">
        <f t="shared" si="0"/>
        <v>0</v>
      </c>
      <c r="O5" s="11">
        <v>6</v>
      </c>
      <c r="P5" s="11">
        <v>6</v>
      </c>
      <c r="Q5" s="11">
        <v>6</v>
      </c>
      <c r="R5" s="11">
        <v>6</v>
      </c>
      <c r="S5" s="11">
        <v>6</v>
      </c>
      <c r="T5" s="11">
        <v>6</v>
      </c>
      <c r="U5" s="11">
        <v>6</v>
      </c>
      <c r="V5" s="11">
        <v>6</v>
      </c>
      <c r="W5" s="11">
        <v>6</v>
      </c>
      <c r="X5" s="11">
        <v>6</v>
      </c>
      <c r="Y5" s="11">
        <v>6</v>
      </c>
      <c r="Z5" s="11">
        <v>6</v>
      </c>
      <c r="AA5" s="11">
        <v>6</v>
      </c>
      <c r="AB5" s="11">
        <v>6</v>
      </c>
      <c r="AC5" s="11">
        <v>6</v>
      </c>
      <c r="AD5" s="11">
        <v>6</v>
      </c>
      <c r="AE5" s="11">
        <v>6</v>
      </c>
      <c r="AF5" s="11">
        <v>6</v>
      </c>
      <c r="AG5" s="11">
        <v>6</v>
      </c>
      <c r="AH5" s="11">
        <v>6</v>
      </c>
      <c r="AI5" s="11">
        <v>6</v>
      </c>
      <c r="AJ5" s="11">
        <v>6</v>
      </c>
      <c r="AK5" s="11">
        <v>6</v>
      </c>
      <c r="AL5" s="11">
        <v>6</v>
      </c>
      <c r="AM5" s="11">
        <v>6</v>
      </c>
      <c r="AN5" s="72">
        <v>3</v>
      </c>
      <c r="AO5" s="72">
        <v>3</v>
      </c>
      <c r="AP5" s="72">
        <v>3</v>
      </c>
      <c r="AQ5" s="72">
        <v>3</v>
      </c>
      <c r="AR5" s="72">
        <v>3</v>
      </c>
      <c r="AS5" s="72">
        <v>3</v>
      </c>
      <c r="AT5" s="72">
        <v>3</v>
      </c>
      <c r="AU5" s="72">
        <v>3</v>
      </c>
      <c r="AV5" s="72">
        <v>3</v>
      </c>
      <c r="AW5" s="72">
        <v>3</v>
      </c>
      <c r="AX5" s="72">
        <v>3</v>
      </c>
      <c r="AY5" s="72">
        <v>3</v>
      </c>
      <c r="AZ5" s="72">
        <v>3</v>
      </c>
      <c r="BA5" s="72">
        <v>3</v>
      </c>
      <c r="BB5" s="72">
        <v>3</v>
      </c>
      <c r="BC5" s="72">
        <v>3</v>
      </c>
      <c r="BD5" s="72">
        <v>3</v>
      </c>
      <c r="BE5" s="72">
        <v>3</v>
      </c>
      <c r="BF5" s="72">
        <v>3</v>
      </c>
      <c r="BG5" s="72">
        <v>3</v>
      </c>
      <c r="BH5" s="72">
        <v>3</v>
      </c>
      <c r="BI5" s="72">
        <v>3</v>
      </c>
      <c r="BJ5" s="72">
        <v>3</v>
      </c>
      <c r="BK5" s="72">
        <v>3</v>
      </c>
      <c r="BL5" s="72">
        <v>3</v>
      </c>
      <c r="BM5" s="72">
        <v>3</v>
      </c>
      <c r="BN5" s="72">
        <v>3</v>
      </c>
      <c r="BO5" s="72">
        <v>3</v>
      </c>
      <c r="BP5" s="72">
        <v>3</v>
      </c>
      <c r="BQ5" s="72">
        <v>3</v>
      </c>
      <c r="BR5" s="72">
        <v>3</v>
      </c>
      <c r="BS5" s="72">
        <v>3</v>
      </c>
      <c r="BT5" s="72">
        <v>3</v>
      </c>
      <c r="BU5" s="72">
        <v>3</v>
      </c>
      <c r="BV5" s="72">
        <v>3</v>
      </c>
      <c r="BW5" s="72">
        <v>3</v>
      </c>
      <c r="BX5" s="72">
        <v>3</v>
      </c>
      <c r="BY5" s="72">
        <v>3</v>
      </c>
      <c r="BZ5" s="72">
        <v>3</v>
      </c>
      <c r="CA5" s="72">
        <v>3</v>
      </c>
      <c r="CB5" s="72">
        <v>3</v>
      </c>
      <c r="CC5" s="72">
        <v>3</v>
      </c>
      <c r="CD5" s="72">
        <v>3</v>
      </c>
      <c r="CE5" s="72">
        <v>3</v>
      </c>
      <c r="CF5" s="72">
        <v>3</v>
      </c>
      <c r="CG5" s="72">
        <v>3</v>
      </c>
      <c r="CH5" s="72">
        <v>3</v>
      </c>
      <c r="CI5" s="72">
        <v>3</v>
      </c>
      <c r="CJ5" s="72">
        <v>3</v>
      </c>
      <c r="CK5" s="72">
        <v>3</v>
      </c>
      <c r="CL5" s="72">
        <v>3</v>
      </c>
      <c r="CM5" s="72">
        <v>3</v>
      </c>
      <c r="CN5" s="72">
        <v>3</v>
      </c>
      <c r="CO5" s="72">
        <v>3</v>
      </c>
      <c r="CP5" s="72">
        <v>1</v>
      </c>
      <c r="CQ5" s="72">
        <v>1</v>
      </c>
      <c r="CR5" s="72">
        <v>1</v>
      </c>
      <c r="CS5" s="72">
        <v>1</v>
      </c>
      <c r="CT5" s="72">
        <v>1</v>
      </c>
      <c r="CU5" s="72">
        <v>1</v>
      </c>
      <c r="CV5" s="72">
        <v>1</v>
      </c>
      <c r="CW5" s="72">
        <v>1</v>
      </c>
      <c r="CX5" s="72">
        <v>1</v>
      </c>
      <c r="CY5" s="72">
        <v>1</v>
      </c>
      <c r="CZ5" s="72">
        <v>1</v>
      </c>
      <c r="DA5" s="72">
        <v>1</v>
      </c>
      <c r="DB5" s="72">
        <v>1</v>
      </c>
      <c r="DC5" s="72">
        <v>1</v>
      </c>
      <c r="DD5" s="72">
        <v>0</v>
      </c>
      <c r="DE5" s="72">
        <v>0</v>
      </c>
      <c r="DF5" s="72">
        <v>0</v>
      </c>
      <c r="DG5" s="72">
        <v>0</v>
      </c>
      <c r="DH5" s="72">
        <v>0</v>
      </c>
      <c r="DI5" s="72">
        <v>0</v>
      </c>
      <c r="DJ5" s="72">
        <v>0</v>
      </c>
      <c r="DK5" s="72">
        <v>0</v>
      </c>
      <c r="DL5" s="72">
        <v>0</v>
      </c>
      <c r="DM5" s="72">
        <v>0</v>
      </c>
    </row>
    <row r="6" spans="1:117" x14ac:dyDescent="0.35">
      <c r="A6" s="7"/>
      <c r="B6" s="8" t="s">
        <v>54</v>
      </c>
      <c r="C6" s="9" t="s">
        <v>55</v>
      </c>
      <c r="D6" s="10" t="s">
        <v>48</v>
      </c>
      <c r="E6" s="8" t="s">
        <v>1206</v>
      </c>
      <c r="F6" s="10">
        <v>1002</v>
      </c>
      <c r="G6" s="10" t="s">
        <v>40</v>
      </c>
      <c r="H6" s="10" t="s">
        <v>41</v>
      </c>
      <c r="I6" s="11">
        <v>14</v>
      </c>
      <c r="J6" s="10"/>
      <c r="K6" s="10"/>
      <c r="L6" s="8"/>
      <c r="M6" s="12">
        <v>428.57</v>
      </c>
      <c r="N6" s="12">
        <f t="shared" si="0"/>
        <v>5999.98</v>
      </c>
      <c r="O6" s="11">
        <v>14</v>
      </c>
      <c r="P6" s="11">
        <v>14</v>
      </c>
      <c r="Q6" s="11">
        <v>14</v>
      </c>
      <c r="R6" s="11">
        <v>14</v>
      </c>
      <c r="S6" s="11">
        <v>14</v>
      </c>
      <c r="T6" s="11">
        <v>14</v>
      </c>
      <c r="U6" s="11">
        <v>14</v>
      </c>
      <c r="V6" s="11">
        <v>14</v>
      </c>
      <c r="W6" s="11">
        <v>14</v>
      </c>
      <c r="X6" s="11">
        <v>14</v>
      </c>
      <c r="Y6" s="11">
        <v>14</v>
      </c>
      <c r="Z6" s="11">
        <v>14</v>
      </c>
      <c r="AA6" s="11">
        <v>14</v>
      </c>
      <c r="AB6" s="11">
        <v>14</v>
      </c>
      <c r="AC6" s="11">
        <v>14</v>
      </c>
      <c r="AD6" s="11">
        <v>14</v>
      </c>
      <c r="AE6" s="11">
        <v>14</v>
      </c>
      <c r="AF6" s="11">
        <v>14</v>
      </c>
      <c r="AG6" s="11">
        <v>14</v>
      </c>
      <c r="AH6" s="11">
        <v>14</v>
      </c>
      <c r="AI6" s="11">
        <v>14</v>
      </c>
      <c r="AJ6" s="11">
        <v>14</v>
      </c>
      <c r="AK6" s="11">
        <v>14</v>
      </c>
      <c r="AL6" s="11">
        <v>14</v>
      </c>
      <c r="AM6" s="11">
        <v>14</v>
      </c>
      <c r="AN6" s="72">
        <v>14</v>
      </c>
      <c r="AO6" s="72">
        <v>14</v>
      </c>
      <c r="AP6" s="72">
        <v>14</v>
      </c>
      <c r="AQ6" s="72">
        <v>14</v>
      </c>
      <c r="AR6" s="72">
        <v>14</v>
      </c>
      <c r="AS6" s="72">
        <v>14</v>
      </c>
      <c r="AT6" s="72">
        <v>14</v>
      </c>
      <c r="AU6" s="72">
        <v>14</v>
      </c>
      <c r="AV6" s="72">
        <v>14</v>
      </c>
      <c r="AW6" s="72">
        <v>14</v>
      </c>
      <c r="AX6" s="72">
        <v>14</v>
      </c>
      <c r="AY6" s="72">
        <v>14</v>
      </c>
      <c r="AZ6" s="72">
        <v>14</v>
      </c>
      <c r="BA6" s="72">
        <v>14</v>
      </c>
      <c r="BB6" s="72">
        <v>14</v>
      </c>
      <c r="BC6" s="72">
        <v>14</v>
      </c>
      <c r="BD6" s="72">
        <v>14</v>
      </c>
      <c r="BE6" s="72">
        <v>14</v>
      </c>
      <c r="BF6" s="72">
        <v>14</v>
      </c>
      <c r="BG6" s="72">
        <v>14</v>
      </c>
      <c r="BH6" s="72">
        <v>14</v>
      </c>
      <c r="BI6" s="72">
        <v>14</v>
      </c>
      <c r="BJ6" s="72">
        <v>14</v>
      </c>
      <c r="BK6" s="72">
        <v>14</v>
      </c>
      <c r="BL6" s="72">
        <v>14</v>
      </c>
      <c r="BM6" s="72">
        <v>14</v>
      </c>
      <c r="BN6" s="72">
        <v>14</v>
      </c>
      <c r="BO6" s="72">
        <v>14</v>
      </c>
      <c r="BP6" s="72">
        <v>14</v>
      </c>
      <c r="BQ6" s="72">
        <v>14</v>
      </c>
      <c r="BR6" s="72">
        <v>14</v>
      </c>
      <c r="BS6" s="72">
        <v>14</v>
      </c>
      <c r="BT6" s="72">
        <v>14</v>
      </c>
      <c r="BU6" s="72">
        <v>14</v>
      </c>
      <c r="BV6" s="72">
        <v>14</v>
      </c>
      <c r="BW6" s="72">
        <v>14</v>
      </c>
      <c r="BX6" s="72">
        <v>14</v>
      </c>
      <c r="BY6" s="72">
        <v>14</v>
      </c>
      <c r="BZ6" s="72">
        <v>14</v>
      </c>
      <c r="CA6" s="72">
        <v>14</v>
      </c>
      <c r="CB6" s="72">
        <v>14</v>
      </c>
      <c r="CC6" s="72">
        <v>14</v>
      </c>
      <c r="CD6" s="72">
        <v>14</v>
      </c>
      <c r="CE6" s="72">
        <v>14</v>
      </c>
      <c r="CF6" s="72">
        <v>14</v>
      </c>
      <c r="CG6" s="72">
        <v>14</v>
      </c>
      <c r="CH6" s="72">
        <v>14</v>
      </c>
      <c r="CI6" s="72">
        <v>14</v>
      </c>
      <c r="CJ6" s="72">
        <v>14</v>
      </c>
      <c r="CK6" s="72">
        <v>14</v>
      </c>
      <c r="CL6" s="72">
        <v>14</v>
      </c>
      <c r="CM6" s="72">
        <v>14</v>
      </c>
      <c r="CN6" s="72">
        <v>14</v>
      </c>
      <c r="CO6" s="72">
        <v>14</v>
      </c>
      <c r="CP6" s="72">
        <v>14</v>
      </c>
      <c r="CQ6" s="72">
        <v>14</v>
      </c>
      <c r="CR6" s="72">
        <v>14</v>
      </c>
      <c r="CS6" s="72">
        <v>14</v>
      </c>
      <c r="CT6" s="72">
        <v>14</v>
      </c>
      <c r="CU6" s="72">
        <v>14</v>
      </c>
      <c r="CV6" s="72">
        <v>14</v>
      </c>
      <c r="CW6" s="72">
        <v>14</v>
      </c>
      <c r="CX6" s="72">
        <v>14</v>
      </c>
      <c r="CY6" s="72">
        <v>14</v>
      </c>
      <c r="CZ6" s="72">
        <v>14</v>
      </c>
      <c r="DA6" s="72">
        <v>14</v>
      </c>
      <c r="DB6" s="72">
        <v>14</v>
      </c>
      <c r="DC6" s="72">
        <v>14</v>
      </c>
      <c r="DD6" s="72">
        <v>14</v>
      </c>
      <c r="DE6" s="72">
        <v>14</v>
      </c>
      <c r="DF6" s="72">
        <v>14</v>
      </c>
      <c r="DG6" s="72">
        <v>14</v>
      </c>
      <c r="DH6" s="72">
        <v>14</v>
      </c>
      <c r="DI6" s="72">
        <v>14</v>
      </c>
      <c r="DJ6" s="72">
        <v>14</v>
      </c>
      <c r="DK6" s="72">
        <v>14</v>
      </c>
      <c r="DL6" s="72">
        <v>14</v>
      </c>
      <c r="DM6" s="72">
        <v>14</v>
      </c>
    </row>
    <row r="7" spans="1:117" x14ac:dyDescent="0.35">
      <c r="A7" s="7"/>
      <c r="B7" s="8" t="s">
        <v>56</v>
      </c>
      <c r="C7" s="9" t="s">
        <v>57</v>
      </c>
      <c r="D7" s="10" t="s">
        <v>48</v>
      </c>
      <c r="E7" s="8" t="s">
        <v>1205</v>
      </c>
      <c r="F7" s="10">
        <v>1006</v>
      </c>
      <c r="G7" s="10" t="s">
        <v>40</v>
      </c>
      <c r="H7" s="10" t="s">
        <v>41</v>
      </c>
      <c r="I7" s="11">
        <v>70</v>
      </c>
      <c r="J7" s="10"/>
      <c r="K7" s="10"/>
      <c r="L7" s="8"/>
      <c r="M7" s="12">
        <v>1</v>
      </c>
      <c r="N7" s="12">
        <f t="shared" si="0"/>
        <v>56</v>
      </c>
      <c r="O7" s="11">
        <v>92</v>
      </c>
      <c r="P7" s="11">
        <v>92</v>
      </c>
      <c r="Q7" s="11">
        <v>70</v>
      </c>
      <c r="R7" s="11">
        <v>70</v>
      </c>
      <c r="S7" s="11">
        <v>70</v>
      </c>
      <c r="T7" s="11">
        <v>70</v>
      </c>
      <c r="U7" s="11">
        <v>70</v>
      </c>
      <c r="V7" s="11">
        <v>70</v>
      </c>
      <c r="W7" s="11">
        <v>70</v>
      </c>
      <c r="X7" s="11">
        <v>70</v>
      </c>
      <c r="Y7" s="11">
        <v>70</v>
      </c>
      <c r="Z7" s="11">
        <v>70</v>
      </c>
      <c r="AA7" s="11">
        <v>70</v>
      </c>
      <c r="AB7" s="11">
        <v>70</v>
      </c>
      <c r="AC7" s="11">
        <v>70</v>
      </c>
      <c r="AD7" s="11">
        <v>70</v>
      </c>
      <c r="AE7" s="11">
        <v>70</v>
      </c>
      <c r="AF7" s="11">
        <v>70</v>
      </c>
      <c r="AG7" s="11">
        <v>70</v>
      </c>
      <c r="AH7" s="11">
        <v>70</v>
      </c>
      <c r="AI7" s="11">
        <v>70</v>
      </c>
      <c r="AJ7" s="11">
        <v>70</v>
      </c>
      <c r="AK7" s="11">
        <v>70</v>
      </c>
      <c r="AL7" s="11">
        <v>70</v>
      </c>
      <c r="AM7" s="11">
        <v>70</v>
      </c>
      <c r="AN7" s="72">
        <v>56</v>
      </c>
      <c r="AO7" s="72">
        <v>56</v>
      </c>
      <c r="AP7" s="72">
        <v>56</v>
      </c>
      <c r="AQ7" s="72">
        <v>56</v>
      </c>
      <c r="AR7" s="72">
        <v>56</v>
      </c>
      <c r="AS7" s="72">
        <v>56</v>
      </c>
      <c r="AT7" s="72">
        <v>56</v>
      </c>
      <c r="AU7" s="72">
        <v>56</v>
      </c>
      <c r="AV7" s="72">
        <v>56</v>
      </c>
      <c r="AW7" s="72">
        <v>56</v>
      </c>
      <c r="AX7" s="72">
        <v>56</v>
      </c>
      <c r="AY7" s="72">
        <v>56</v>
      </c>
      <c r="AZ7" s="72">
        <v>56</v>
      </c>
      <c r="BA7" s="72">
        <v>56</v>
      </c>
      <c r="BB7" s="72">
        <v>56</v>
      </c>
      <c r="BC7" s="72">
        <v>56</v>
      </c>
      <c r="BD7" s="72">
        <v>56</v>
      </c>
      <c r="BE7" s="72">
        <v>56</v>
      </c>
      <c r="BF7" s="72">
        <v>56</v>
      </c>
      <c r="BG7" s="72">
        <v>56</v>
      </c>
      <c r="BH7" s="72">
        <v>56</v>
      </c>
      <c r="BI7" s="72">
        <v>56</v>
      </c>
      <c r="BJ7" s="72">
        <v>56</v>
      </c>
      <c r="BK7" s="72">
        <v>56</v>
      </c>
      <c r="BL7" s="72">
        <v>56</v>
      </c>
      <c r="BM7" s="72">
        <v>56</v>
      </c>
      <c r="BN7" s="72">
        <v>56</v>
      </c>
      <c r="BO7" s="72">
        <v>56</v>
      </c>
      <c r="BP7" s="72">
        <v>56</v>
      </c>
      <c r="BQ7" s="72">
        <v>56</v>
      </c>
      <c r="BR7" s="72">
        <v>56</v>
      </c>
      <c r="BS7" s="72">
        <v>56</v>
      </c>
      <c r="BT7" s="72">
        <v>56</v>
      </c>
      <c r="BU7" s="72">
        <v>56</v>
      </c>
      <c r="BV7" s="72">
        <v>56</v>
      </c>
      <c r="BW7" s="72">
        <v>56</v>
      </c>
      <c r="BX7" s="72">
        <v>56</v>
      </c>
      <c r="BY7" s="72">
        <v>56</v>
      </c>
      <c r="BZ7" s="72">
        <v>56</v>
      </c>
      <c r="CA7" s="72">
        <v>56</v>
      </c>
      <c r="CB7" s="72">
        <v>56</v>
      </c>
      <c r="CC7" s="72">
        <v>56</v>
      </c>
      <c r="CD7" s="72">
        <v>56</v>
      </c>
      <c r="CE7" s="72">
        <v>56</v>
      </c>
      <c r="CF7" s="72">
        <v>56</v>
      </c>
      <c r="CG7" s="72">
        <v>56</v>
      </c>
      <c r="CH7" s="72">
        <v>56</v>
      </c>
      <c r="CI7" s="72">
        <v>56</v>
      </c>
      <c r="CJ7" s="72">
        <v>56</v>
      </c>
      <c r="CK7" s="72">
        <v>56</v>
      </c>
      <c r="CL7" s="72">
        <v>56</v>
      </c>
      <c r="CM7" s="72">
        <v>56</v>
      </c>
      <c r="CN7" s="72">
        <v>56</v>
      </c>
      <c r="CO7" s="72">
        <v>56</v>
      </c>
      <c r="CP7" s="72">
        <v>56</v>
      </c>
      <c r="CQ7" s="72">
        <v>56</v>
      </c>
      <c r="CR7" s="72">
        <v>56</v>
      </c>
      <c r="CS7" s="72">
        <v>56</v>
      </c>
      <c r="CT7" s="72">
        <v>56</v>
      </c>
      <c r="CU7" s="72">
        <v>56</v>
      </c>
      <c r="CV7" s="72">
        <v>56</v>
      </c>
      <c r="CW7" s="72">
        <v>56</v>
      </c>
      <c r="CX7" s="72">
        <v>56</v>
      </c>
      <c r="CY7" s="72">
        <v>56</v>
      </c>
      <c r="CZ7" s="72">
        <v>56</v>
      </c>
      <c r="DA7" s="72">
        <v>56</v>
      </c>
      <c r="DB7" s="72">
        <v>56</v>
      </c>
      <c r="DC7" s="72">
        <v>56</v>
      </c>
      <c r="DD7" s="72">
        <v>56</v>
      </c>
      <c r="DE7" s="72">
        <v>56</v>
      </c>
      <c r="DF7" s="72">
        <v>56</v>
      </c>
      <c r="DG7" s="72">
        <v>56</v>
      </c>
      <c r="DH7" s="72">
        <v>56</v>
      </c>
      <c r="DI7" s="72">
        <v>56</v>
      </c>
      <c r="DJ7" s="72">
        <v>56</v>
      </c>
      <c r="DK7" s="72">
        <v>56</v>
      </c>
      <c r="DL7" s="72">
        <v>56</v>
      </c>
      <c r="DM7" s="72">
        <v>56</v>
      </c>
    </row>
    <row r="8" spans="1:117" ht="26.55" x14ac:dyDescent="0.35">
      <c r="A8" s="7"/>
      <c r="B8" s="8" t="s">
        <v>58</v>
      </c>
      <c r="C8" s="9" t="s">
        <v>59</v>
      </c>
      <c r="D8" s="10" t="s">
        <v>48</v>
      </c>
      <c r="E8" s="8" t="s">
        <v>1206</v>
      </c>
      <c r="F8" s="10">
        <v>1002</v>
      </c>
      <c r="G8" s="10" t="s">
        <v>40</v>
      </c>
      <c r="H8" s="10" t="s">
        <v>41</v>
      </c>
      <c r="I8" s="11">
        <v>57</v>
      </c>
      <c r="J8" s="10">
        <v>4</v>
      </c>
      <c r="K8" s="10"/>
      <c r="L8" s="14" t="s">
        <v>60</v>
      </c>
      <c r="M8" s="12">
        <v>460</v>
      </c>
      <c r="N8" s="12">
        <f t="shared" si="0"/>
        <v>19780</v>
      </c>
      <c r="O8" s="11">
        <v>82</v>
      </c>
      <c r="P8" s="11">
        <v>82</v>
      </c>
      <c r="Q8" s="11">
        <v>60</v>
      </c>
      <c r="R8" s="11">
        <v>60</v>
      </c>
      <c r="S8" s="11">
        <v>60</v>
      </c>
      <c r="T8" s="11">
        <v>60</v>
      </c>
      <c r="U8" s="11">
        <v>60</v>
      </c>
      <c r="V8" s="11">
        <v>60</v>
      </c>
      <c r="W8" s="11">
        <v>60</v>
      </c>
      <c r="X8" s="11">
        <v>60</v>
      </c>
      <c r="Y8" s="11">
        <v>60</v>
      </c>
      <c r="Z8" s="11">
        <v>60</v>
      </c>
      <c r="AA8" s="11">
        <v>60</v>
      </c>
      <c r="AB8" s="11">
        <v>60</v>
      </c>
      <c r="AC8" s="11">
        <v>60</v>
      </c>
      <c r="AD8" s="11">
        <v>60</v>
      </c>
      <c r="AE8" s="11">
        <v>60</v>
      </c>
      <c r="AF8" s="11">
        <v>60</v>
      </c>
      <c r="AG8" s="11">
        <v>60</v>
      </c>
      <c r="AH8" s="11">
        <v>60</v>
      </c>
      <c r="AI8" s="11">
        <v>60</v>
      </c>
      <c r="AJ8" s="11">
        <v>57</v>
      </c>
      <c r="AK8" s="11">
        <v>57</v>
      </c>
      <c r="AL8" s="11">
        <v>57</v>
      </c>
      <c r="AM8" s="11">
        <v>57</v>
      </c>
      <c r="AN8" s="72">
        <v>43</v>
      </c>
      <c r="AO8" s="72">
        <v>43</v>
      </c>
      <c r="AP8" s="72">
        <v>43</v>
      </c>
      <c r="AQ8" s="72">
        <v>43</v>
      </c>
      <c r="AR8" s="72">
        <v>43</v>
      </c>
      <c r="AS8" s="72">
        <v>43</v>
      </c>
      <c r="AT8" s="72">
        <v>43</v>
      </c>
      <c r="AU8" s="72">
        <v>43</v>
      </c>
      <c r="AV8" s="72">
        <v>43</v>
      </c>
      <c r="AW8" s="72">
        <v>43</v>
      </c>
      <c r="AX8" s="72">
        <v>43</v>
      </c>
      <c r="AY8" s="72">
        <v>43</v>
      </c>
      <c r="AZ8" s="72">
        <v>43</v>
      </c>
      <c r="BA8" s="72">
        <v>43</v>
      </c>
      <c r="BB8" s="72">
        <v>43</v>
      </c>
      <c r="BC8" s="72">
        <v>43</v>
      </c>
      <c r="BD8" s="72">
        <v>43</v>
      </c>
      <c r="BE8" s="72">
        <v>43</v>
      </c>
      <c r="BF8" s="72">
        <v>43</v>
      </c>
      <c r="BG8" s="72">
        <v>43</v>
      </c>
      <c r="BH8" s="72">
        <v>43</v>
      </c>
      <c r="BI8" s="72">
        <v>43</v>
      </c>
      <c r="BJ8" s="72">
        <v>43</v>
      </c>
      <c r="BK8" s="72">
        <v>43</v>
      </c>
      <c r="BL8" s="72">
        <v>43</v>
      </c>
      <c r="BM8" s="72">
        <v>43</v>
      </c>
      <c r="BN8" s="72">
        <v>43</v>
      </c>
      <c r="BO8" s="72">
        <v>43</v>
      </c>
      <c r="BP8" s="72">
        <v>43</v>
      </c>
      <c r="BQ8" s="72">
        <v>43</v>
      </c>
      <c r="BR8" s="72">
        <v>43</v>
      </c>
      <c r="BS8" s="72">
        <v>43</v>
      </c>
      <c r="BT8" s="72">
        <v>43</v>
      </c>
      <c r="BU8" s="72">
        <v>43</v>
      </c>
      <c r="BV8" s="72">
        <v>43</v>
      </c>
      <c r="BW8" s="72">
        <v>43</v>
      </c>
      <c r="BX8" s="72">
        <v>43</v>
      </c>
      <c r="BY8" s="72">
        <v>43</v>
      </c>
      <c r="BZ8" s="72">
        <v>43</v>
      </c>
      <c r="CA8" s="72">
        <v>43</v>
      </c>
      <c r="CB8" s="72">
        <v>43</v>
      </c>
      <c r="CC8" s="72">
        <v>43</v>
      </c>
      <c r="CD8" s="72">
        <v>43</v>
      </c>
      <c r="CE8" s="72">
        <v>43</v>
      </c>
      <c r="CF8" s="72">
        <v>43</v>
      </c>
      <c r="CG8" s="72">
        <v>43</v>
      </c>
      <c r="CH8" s="72">
        <v>43</v>
      </c>
      <c r="CI8" s="72">
        <v>43</v>
      </c>
      <c r="CJ8" s="72">
        <v>43</v>
      </c>
      <c r="CK8" s="72">
        <v>43</v>
      </c>
      <c r="CL8" s="72">
        <v>43</v>
      </c>
      <c r="CM8" s="72">
        <v>43</v>
      </c>
      <c r="CN8" s="72">
        <v>43</v>
      </c>
      <c r="CO8" s="72">
        <v>43</v>
      </c>
      <c r="CP8" s="72">
        <v>43</v>
      </c>
      <c r="CQ8" s="72">
        <v>43</v>
      </c>
      <c r="CR8" s="72">
        <v>43</v>
      </c>
      <c r="CS8" s="72">
        <v>43</v>
      </c>
      <c r="CT8" s="72">
        <v>43</v>
      </c>
      <c r="CU8" s="72">
        <v>43</v>
      </c>
      <c r="CV8" s="72">
        <v>43</v>
      </c>
      <c r="CW8" s="72">
        <v>43</v>
      </c>
      <c r="CX8" s="72">
        <v>43</v>
      </c>
      <c r="CY8" s="72">
        <v>43</v>
      </c>
      <c r="CZ8" s="72">
        <v>43</v>
      </c>
      <c r="DA8" s="72">
        <v>43</v>
      </c>
      <c r="DB8" s="72">
        <v>43</v>
      </c>
      <c r="DC8" s="72">
        <v>43</v>
      </c>
      <c r="DD8" s="72">
        <v>43</v>
      </c>
      <c r="DE8" s="72">
        <v>43</v>
      </c>
      <c r="DF8" s="72">
        <v>43</v>
      </c>
      <c r="DG8" s="72">
        <v>43</v>
      </c>
      <c r="DH8" s="72">
        <v>43</v>
      </c>
      <c r="DI8" s="72">
        <v>43</v>
      </c>
      <c r="DJ8" s="72">
        <v>43</v>
      </c>
      <c r="DK8" s="72">
        <v>43</v>
      </c>
      <c r="DL8" s="72">
        <v>43</v>
      </c>
      <c r="DM8" s="72">
        <v>43</v>
      </c>
    </row>
    <row r="9" spans="1:117" x14ac:dyDescent="0.35">
      <c r="A9" s="7"/>
      <c r="B9" s="8" t="s">
        <v>61</v>
      </c>
      <c r="C9" s="9" t="s">
        <v>62</v>
      </c>
      <c r="D9" s="10" t="s">
        <v>48</v>
      </c>
      <c r="E9" s="8" t="s">
        <v>1203</v>
      </c>
      <c r="F9" s="10">
        <v>1002</v>
      </c>
      <c r="G9" s="10" t="s">
        <v>40</v>
      </c>
      <c r="H9" s="10" t="s">
        <v>41</v>
      </c>
      <c r="I9" s="11">
        <v>1</v>
      </c>
      <c r="J9" s="10"/>
      <c r="K9" s="10" t="s">
        <v>42</v>
      </c>
      <c r="L9" s="8"/>
      <c r="M9" s="12">
        <v>750</v>
      </c>
      <c r="N9" s="12">
        <f t="shared" si="0"/>
        <v>0</v>
      </c>
      <c r="O9" s="11">
        <v>1</v>
      </c>
      <c r="P9" s="11">
        <v>1</v>
      </c>
      <c r="Q9" s="11">
        <v>1</v>
      </c>
      <c r="R9" s="11">
        <v>1</v>
      </c>
      <c r="S9" s="11">
        <v>1</v>
      </c>
      <c r="T9" s="11">
        <v>1</v>
      </c>
      <c r="U9" s="11">
        <v>1</v>
      </c>
      <c r="V9" s="11">
        <v>1</v>
      </c>
      <c r="W9" s="11">
        <v>1</v>
      </c>
      <c r="X9" s="11">
        <v>1</v>
      </c>
      <c r="Y9" s="11">
        <v>1</v>
      </c>
      <c r="Z9" s="11">
        <v>1</v>
      </c>
      <c r="AA9" s="11">
        <v>1</v>
      </c>
      <c r="AB9" s="11">
        <v>1</v>
      </c>
      <c r="AC9" s="11">
        <v>1</v>
      </c>
      <c r="AD9" s="11">
        <v>1</v>
      </c>
      <c r="AE9" s="11">
        <v>1</v>
      </c>
      <c r="AF9" s="11">
        <v>1</v>
      </c>
      <c r="AG9" s="11">
        <v>1</v>
      </c>
      <c r="AH9" s="11">
        <v>1</v>
      </c>
      <c r="AI9" s="11">
        <v>1</v>
      </c>
      <c r="AJ9" s="11">
        <v>1</v>
      </c>
      <c r="AK9" s="11">
        <v>1</v>
      </c>
      <c r="AL9" s="11">
        <v>1</v>
      </c>
      <c r="AM9" s="11">
        <v>1</v>
      </c>
      <c r="AN9" s="72">
        <v>1</v>
      </c>
      <c r="AO9" s="72">
        <v>1</v>
      </c>
      <c r="AP9" s="72">
        <v>1</v>
      </c>
      <c r="AQ9" s="72">
        <v>1</v>
      </c>
      <c r="AR9" s="72">
        <v>1</v>
      </c>
      <c r="AS9" s="72">
        <v>1</v>
      </c>
      <c r="AT9" s="72">
        <v>1</v>
      </c>
      <c r="AU9" s="72">
        <v>1</v>
      </c>
      <c r="AV9" s="72">
        <v>1</v>
      </c>
      <c r="AW9" s="72">
        <v>1</v>
      </c>
      <c r="AX9" s="72">
        <v>1</v>
      </c>
      <c r="AY9" s="72">
        <v>1</v>
      </c>
      <c r="AZ9" s="72">
        <v>1</v>
      </c>
      <c r="BA9" s="72">
        <v>1</v>
      </c>
      <c r="BB9" s="72">
        <v>1</v>
      </c>
      <c r="BC9" s="72">
        <v>1</v>
      </c>
      <c r="BD9" s="72">
        <v>1</v>
      </c>
      <c r="BE9" s="72">
        <v>1</v>
      </c>
      <c r="BF9" s="72">
        <v>1</v>
      </c>
      <c r="BG9" s="72">
        <v>1</v>
      </c>
      <c r="BH9" s="72">
        <v>1</v>
      </c>
      <c r="BI9" s="72">
        <v>1</v>
      </c>
      <c r="BJ9" s="72">
        <v>1</v>
      </c>
      <c r="BK9" s="72">
        <v>1</v>
      </c>
      <c r="BL9" s="72">
        <v>1</v>
      </c>
      <c r="BM9" s="72">
        <v>1</v>
      </c>
      <c r="BN9" s="72">
        <v>1</v>
      </c>
      <c r="BO9" s="72">
        <v>1</v>
      </c>
      <c r="BP9" s="72">
        <v>1</v>
      </c>
      <c r="BQ9" s="72">
        <v>1</v>
      </c>
      <c r="BR9" s="72">
        <v>1</v>
      </c>
      <c r="BS9" s="72">
        <v>0</v>
      </c>
      <c r="BT9" s="72">
        <v>0</v>
      </c>
      <c r="BU9" s="72">
        <v>0</v>
      </c>
      <c r="BV9" s="72">
        <v>0</v>
      </c>
      <c r="BW9" s="72">
        <v>0</v>
      </c>
      <c r="BX9" s="72">
        <v>0</v>
      </c>
      <c r="BY9" s="72">
        <v>0</v>
      </c>
      <c r="BZ9" s="72">
        <v>0</v>
      </c>
      <c r="CA9" s="72">
        <v>0</v>
      </c>
      <c r="CB9" s="72">
        <v>0</v>
      </c>
      <c r="CC9" s="72">
        <v>0</v>
      </c>
      <c r="CD9" s="72">
        <v>0</v>
      </c>
      <c r="CE9" s="72">
        <v>0</v>
      </c>
      <c r="CF9" s="72">
        <v>0</v>
      </c>
      <c r="CG9" s="72">
        <v>0</v>
      </c>
      <c r="CH9" s="72">
        <v>0</v>
      </c>
      <c r="CI9" s="72">
        <v>0</v>
      </c>
      <c r="CJ9" s="72">
        <v>0</v>
      </c>
      <c r="CK9" s="72">
        <v>0</v>
      </c>
      <c r="CL9" s="72">
        <v>0</v>
      </c>
      <c r="CM9" s="72">
        <v>0</v>
      </c>
      <c r="CN9" s="72">
        <v>0</v>
      </c>
      <c r="CO9" s="72">
        <v>0</v>
      </c>
      <c r="CP9" s="72">
        <v>0</v>
      </c>
      <c r="CQ9" s="72">
        <v>0</v>
      </c>
      <c r="CR9" s="72">
        <v>0</v>
      </c>
      <c r="CS9" s="72">
        <v>0</v>
      </c>
      <c r="CT9" s="72">
        <v>0</v>
      </c>
      <c r="CU9" s="72">
        <v>0</v>
      </c>
      <c r="CV9" s="72">
        <v>0</v>
      </c>
      <c r="CW9" s="72">
        <v>0</v>
      </c>
      <c r="CX9" s="72">
        <v>0</v>
      </c>
      <c r="CY9" s="72">
        <v>0</v>
      </c>
      <c r="CZ9" s="72">
        <v>0</v>
      </c>
      <c r="DA9" s="72">
        <v>0</v>
      </c>
      <c r="DB9" s="72">
        <v>0</v>
      </c>
      <c r="DC9" s="72">
        <v>0</v>
      </c>
      <c r="DD9" s="72">
        <v>0</v>
      </c>
      <c r="DE9" s="72">
        <v>0</v>
      </c>
      <c r="DF9" s="72">
        <v>0</v>
      </c>
      <c r="DG9" s="72">
        <v>0</v>
      </c>
      <c r="DH9" s="72">
        <v>0</v>
      </c>
      <c r="DI9" s="72">
        <v>0</v>
      </c>
      <c r="DJ9" s="72">
        <v>0</v>
      </c>
      <c r="DK9" s="72">
        <v>0</v>
      </c>
      <c r="DL9" s="72">
        <v>0</v>
      </c>
      <c r="DM9" s="72">
        <v>0</v>
      </c>
    </row>
    <row r="10" spans="1:117" x14ac:dyDescent="0.35">
      <c r="A10" s="7"/>
      <c r="B10" s="77" t="s">
        <v>1189</v>
      </c>
      <c r="C10" s="9" t="s">
        <v>1201</v>
      </c>
      <c r="D10" s="10" t="s">
        <v>48</v>
      </c>
      <c r="E10" s="8" t="s">
        <v>1205</v>
      </c>
      <c r="F10" s="10"/>
      <c r="G10" s="10" t="s">
        <v>40</v>
      </c>
      <c r="H10" s="10" t="s">
        <v>41</v>
      </c>
      <c r="I10" s="11">
        <v>0</v>
      </c>
      <c r="J10" s="10"/>
      <c r="K10" s="10"/>
      <c r="L10" s="8"/>
      <c r="M10" s="12"/>
      <c r="N10" s="12">
        <f t="shared" si="0"/>
        <v>0</v>
      </c>
      <c r="O10" s="11">
        <v>0</v>
      </c>
      <c r="P10" s="11">
        <v>0</v>
      </c>
      <c r="Q10" s="11">
        <v>0</v>
      </c>
      <c r="R10" s="11">
        <v>0</v>
      </c>
      <c r="S10" s="11">
        <v>0</v>
      </c>
      <c r="T10" s="11">
        <v>0</v>
      </c>
      <c r="U10" s="11">
        <v>0</v>
      </c>
      <c r="V10" s="11">
        <v>0</v>
      </c>
      <c r="W10" s="11">
        <v>0</v>
      </c>
      <c r="X10" s="11">
        <v>0</v>
      </c>
      <c r="Y10" s="11">
        <v>0</v>
      </c>
      <c r="Z10" s="11">
        <v>0</v>
      </c>
      <c r="AA10" s="11">
        <v>0</v>
      </c>
      <c r="AB10" s="11">
        <v>0</v>
      </c>
      <c r="AC10" s="11">
        <v>0</v>
      </c>
      <c r="AD10" s="11">
        <v>0</v>
      </c>
      <c r="AE10" s="11">
        <v>0</v>
      </c>
      <c r="AF10" s="11">
        <v>0</v>
      </c>
      <c r="AG10" s="11">
        <v>0</v>
      </c>
      <c r="AH10" s="11">
        <v>0</v>
      </c>
      <c r="AI10" s="11">
        <v>0</v>
      </c>
      <c r="AJ10" s="11">
        <v>0</v>
      </c>
      <c r="AK10" s="11">
        <v>0</v>
      </c>
      <c r="AL10" s="11">
        <v>0</v>
      </c>
      <c r="AM10" s="11">
        <v>0</v>
      </c>
      <c r="AN10" s="11">
        <v>0</v>
      </c>
      <c r="AO10" s="11">
        <v>0</v>
      </c>
      <c r="AP10" s="72">
        <v>4</v>
      </c>
      <c r="AQ10" s="72">
        <v>4</v>
      </c>
      <c r="AR10" s="72">
        <v>4</v>
      </c>
      <c r="AS10" s="72">
        <v>4</v>
      </c>
      <c r="AT10" s="72">
        <v>4</v>
      </c>
      <c r="AU10" s="72">
        <v>4</v>
      </c>
      <c r="AV10" s="72">
        <v>4</v>
      </c>
      <c r="AW10" s="72">
        <v>0</v>
      </c>
      <c r="AX10" s="72">
        <v>0</v>
      </c>
      <c r="AY10" s="72">
        <v>0</v>
      </c>
      <c r="AZ10" s="72">
        <v>0</v>
      </c>
      <c r="BA10" s="72">
        <v>0</v>
      </c>
      <c r="BB10" s="72">
        <v>0</v>
      </c>
      <c r="BC10" s="72">
        <v>0</v>
      </c>
      <c r="BD10" s="72">
        <v>0</v>
      </c>
      <c r="BE10" s="72">
        <v>0</v>
      </c>
      <c r="BF10" s="72">
        <v>0</v>
      </c>
      <c r="BG10" s="72">
        <v>0</v>
      </c>
      <c r="BH10" s="72">
        <v>0</v>
      </c>
      <c r="BI10" s="72">
        <v>0</v>
      </c>
      <c r="BJ10" s="72">
        <v>0</v>
      </c>
      <c r="BK10" s="72">
        <v>0</v>
      </c>
      <c r="BL10" s="72">
        <v>0</v>
      </c>
      <c r="BM10" s="72">
        <v>0</v>
      </c>
      <c r="BN10" s="72">
        <v>0</v>
      </c>
      <c r="BO10" s="72">
        <v>0</v>
      </c>
      <c r="BP10" s="72">
        <v>0</v>
      </c>
      <c r="BQ10" s="72">
        <v>0</v>
      </c>
      <c r="BR10" s="72">
        <v>0</v>
      </c>
      <c r="BS10" s="72">
        <v>0</v>
      </c>
      <c r="BT10" s="72">
        <v>0</v>
      </c>
      <c r="BU10" s="72">
        <v>0</v>
      </c>
      <c r="BV10" s="72">
        <v>0</v>
      </c>
      <c r="BW10" s="72">
        <v>0</v>
      </c>
      <c r="BX10" s="72">
        <v>0</v>
      </c>
      <c r="BY10" s="72">
        <v>0</v>
      </c>
      <c r="BZ10" s="72">
        <v>0</v>
      </c>
      <c r="CA10" s="72">
        <v>0</v>
      </c>
      <c r="CB10" s="72">
        <v>0</v>
      </c>
      <c r="CC10" s="72">
        <v>0</v>
      </c>
      <c r="CD10" s="72">
        <v>0</v>
      </c>
      <c r="CE10" s="72">
        <v>0</v>
      </c>
      <c r="CF10" s="72">
        <v>0</v>
      </c>
      <c r="CG10" s="72">
        <v>0</v>
      </c>
      <c r="CH10" s="72">
        <v>0</v>
      </c>
      <c r="CI10" s="72">
        <v>0</v>
      </c>
      <c r="CJ10" s="72">
        <v>0</v>
      </c>
      <c r="CK10" s="72">
        <v>0</v>
      </c>
      <c r="CL10" s="72">
        <v>0</v>
      </c>
      <c r="CM10" s="72">
        <v>0</v>
      </c>
      <c r="CN10" s="72">
        <v>0</v>
      </c>
      <c r="CO10" s="72">
        <v>0</v>
      </c>
      <c r="CP10" s="72">
        <v>0</v>
      </c>
      <c r="CQ10" s="72">
        <v>0</v>
      </c>
      <c r="CR10" s="72">
        <v>0</v>
      </c>
      <c r="CS10" s="72">
        <v>0</v>
      </c>
      <c r="CT10" s="72">
        <v>0</v>
      </c>
      <c r="CU10" s="72">
        <v>0</v>
      </c>
      <c r="CV10" s="72">
        <v>0</v>
      </c>
      <c r="CW10" s="72">
        <v>0</v>
      </c>
      <c r="CX10" s="72">
        <v>0</v>
      </c>
      <c r="CY10" s="72">
        <v>0</v>
      </c>
      <c r="CZ10" s="72">
        <v>0</v>
      </c>
      <c r="DA10" s="72">
        <v>0</v>
      </c>
      <c r="DB10" s="72">
        <v>0</v>
      </c>
      <c r="DC10" s="72">
        <v>0</v>
      </c>
      <c r="DD10" s="72">
        <v>0</v>
      </c>
      <c r="DE10" s="72">
        <v>0</v>
      </c>
      <c r="DF10" s="72">
        <v>0</v>
      </c>
      <c r="DG10" s="72">
        <v>0</v>
      </c>
      <c r="DH10" s="72">
        <v>0</v>
      </c>
      <c r="DI10" s="72">
        <v>0</v>
      </c>
      <c r="DJ10" s="72">
        <v>0</v>
      </c>
      <c r="DK10" s="72">
        <v>0</v>
      </c>
      <c r="DL10" s="72">
        <v>0</v>
      </c>
      <c r="DM10" s="72">
        <v>0</v>
      </c>
    </row>
    <row r="11" spans="1:117" x14ac:dyDescent="0.35">
      <c r="A11" s="7"/>
      <c r="B11" s="77" t="s">
        <v>1190</v>
      </c>
      <c r="C11" s="9" t="s">
        <v>1197</v>
      </c>
      <c r="D11" s="10" t="s">
        <v>48</v>
      </c>
      <c r="E11" s="8" t="s">
        <v>1205</v>
      </c>
      <c r="F11" s="10"/>
      <c r="G11" s="10" t="s">
        <v>40</v>
      </c>
      <c r="H11" s="10" t="s">
        <v>41</v>
      </c>
      <c r="I11" s="11">
        <v>0</v>
      </c>
      <c r="J11" s="10"/>
      <c r="K11" s="10"/>
      <c r="L11" s="8"/>
      <c r="M11" s="12"/>
      <c r="N11" s="12">
        <f t="shared" si="0"/>
        <v>0</v>
      </c>
      <c r="O11" s="11">
        <v>0</v>
      </c>
      <c r="P11" s="11">
        <v>0</v>
      </c>
      <c r="Q11" s="11">
        <v>0</v>
      </c>
      <c r="R11" s="11">
        <v>0</v>
      </c>
      <c r="S11" s="11">
        <v>0</v>
      </c>
      <c r="T11" s="11">
        <v>0</v>
      </c>
      <c r="U11" s="11">
        <v>0</v>
      </c>
      <c r="V11" s="11">
        <v>0</v>
      </c>
      <c r="W11" s="11">
        <v>0</v>
      </c>
      <c r="X11" s="11">
        <v>0</v>
      </c>
      <c r="Y11" s="11">
        <v>0</v>
      </c>
      <c r="Z11" s="11">
        <v>0</v>
      </c>
      <c r="AA11" s="11">
        <v>0</v>
      </c>
      <c r="AB11" s="11">
        <v>0</v>
      </c>
      <c r="AC11" s="11">
        <v>0</v>
      </c>
      <c r="AD11" s="11">
        <v>0</v>
      </c>
      <c r="AE11" s="11">
        <v>0</v>
      </c>
      <c r="AF11" s="11">
        <v>0</v>
      </c>
      <c r="AG11" s="11">
        <v>0</v>
      </c>
      <c r="AH11" s="11">
        <v>0</v>
      </c>
      <c r="AI11" s="11">
        <v>0</v>
      </c>
      <c r="AJ11" s="11">
        <v>0</v>
      </c>
      <c r="AK11" s="11">
        <v>0</v>
      </c>
      <c r="AL11" s="11">
        <v>0</v>
      </c>
      <c r="AM11" s="11">
        <v>0</v>
      </c>
      <c r="AN11" s="11">
        <v>0</v>
      </c>
      <c r="AO11" s="11">
        <v>0</v>
      </c>
      <c r="AP11" s="72">
        <v>4</v>
      </c>
      <c r="AQ11" s="72">
        <v>4</v>
      </c>
      <c r="AR11" s="72">
        <v>4</v>
      </c>
      <c r="AS11" s="72">
        <v>4</v>
      </c>
      <c r="AT11" s="72">
        <v>4</v>
      </c>
      <c r="AU11" s="72">
        <v>4</v>
      </c>
      <c r="AV11" s="72">
        <v>4</v>
      </c>
      <c r="AW11" s="72">
        <v>0</v>
      </c>
      <c r="AX11" s="72">
        <v>0</v>
      </c>
      <c r="AY11" s="72">
        <v>0</v>
      </c>
      <c r="AZ11" s="72">
        <v>0</v>
      </c>
      <c r="BA11" s="72">
        <v>0</v>
      </c>
      <c r="BB11" s="72">
        <v>0</v>
      </c>
      <c r="BC11" s="72">
        <v>0</v>
      </c>
      <c r="BD11" s="72">
        <v>0</v>
      </c>
      <c r="BE11" s="72">
        <v>0</v>
      </c>
      <c r="BF11" s="72">
        <v>0</v>
      </c>
      <c r="BG11" s="72">
        <v>0</v>
      </c>
      <c r="BH11" s="72">
        <v>0</v>
      </c>
      <c r="BI11" s="72">
        <v>0</v>
      </c>
      <c r="BJ11" s="72">
        <v>0</v>
      </c>
      <c r="BK11" s="72">
        <v>0</v>
      </c>
      <c r="BL11" s="72">
        <v>0</v>
      </c>
      <c r="BM11" s="72">
        <v>0</v>
      </c>
      <c r="BN11" s="72">
        <v>0</v>
      </c>
      <c r="BO11" s="72">
        <v>0</v>
      </c>
      <c r="BP11" s="72">
        <v>0</v>
      </c>
      <c r="BQ11" s="72">
        <v>0</v>
      </c>
      <c r="BR11" s="72">
        <v>0</v>
      </c>
      <c r="BS11" s="72">
        <v>0</v>
      </c>
      <c r="BT11" s="72">
        <v>0</v>
      </c>
      <c r="BU11" s="72">
        <v>0</v>
      </c>
      <c r="BV11" s="72">
        <v>0</v>
      </c>
      <c r="BW11" s="72">
        <v>0</v>
      </c>
      <c r="BX11" s="72">
        <v>0</v>
      </c>
      <c r="BY11" s="72">
        <v>0</v>
      </c>
      <c r="BZ11" s="72">
        <v>0</v>
      </c>
      <c r="CA11" s="72">
        <v>0</v>
      </c>
      <c r="CB11" s="72">
        <v>0</v>
      </c>
      <c r="CC11" s="72">
        <v>0</v>
      </c>
      <c r="CD11" s="72">
        <v>0</v>
      </c>
      <c r="CE11" s="72">
        <v>0</v>
      </c>
      <c r="CF11" s="72">
        <v>0</v>
      </c>
      <c r="CG11" s="72">
        <v>0</v>
      </c>
      <c r="CH11" s="72">
        <v>0</v>
      </c>
      <c r="CI11" s="72">
        <v>0</v>
      </c>
      <c r="CJ11" s="72">
        <v>0</v>
      </c>
      <c r="CK11" s="72">
        <v>0</v>
      </c>
      <c r="CL11" s="72">
        <v>0</v>
      </c>
      <c r="CM11" s="72">
        <v>0</v>
      </c>
      <c r="CN11" s="72">
        <v>0</v>
      </c>
      <c r="CO11" s="72">
        <v>0</v>
      </c>
      <c r="CP11" s="72">
        <v>0</v>
      </c>
      <c r="CQ11" s="72">
        <v>0</v>
      </c>
      <c r="CR11" s="72">
        <v>0</v>
      </c>
      <c r="CS11" s="72">
        <v>0</v>
      </c>
      <c r="CT11" s="72">
        <v>0</v>
      </c>
      <c r="CU11" s="72">
        <v>0</v>
      </c>
      <c r="CV11" s="72">
        <v>0</v>
      </c>
      <c r="CW11" s="72">
        <v>0</v>
      </c>
      <c r="CX11" s="72">
        <v>0</v>
      </c>
      <c r="CY11" s="72">
        <v>0</v>
      </c>
      <c r="CZ11" s="72">
        <v>0</v>
      </c>
      <c r="DA11" s="72">
        <v>0</v>
      </c>
      <c r="DB11" s="72">
        <v>0</v>
      </c>
      <c r="DC11" s="72">
        <v>0</v>
      </c>
      <c r="DD11" s="72">
        <v>0</v>
      </c>
      <c r="DE11" s="72">
        <v>0</v>
      </c>
      <c r="DF11" s="72">
        <v>0</v>
      </c>
      <c r="DG11" s="72">
        <v>0</v>
      </c>
      <c r="DH11" s="72">
        <v>0</v>
      </c>
      <c r="DI11" s="72">
        <v>0</v>
      </c>
      <c r="DJ11" s="72">
        <v>0</v>
      </c>
      <c r="DK11" s="72">
        <v>0</v>
      </c>
      <c r="DL11" s="72">
        <v>0</v>
      </c>
      <c r="DM11" s="72">
        <v>0</v>
      </c>
    </row>
    <row r="12" spans="1:117" x14ac:dyDescent="0.35">
      <c r="A12" s="7"/>
      <c r="B12" s="77" t="s">
        <v>1191</v>
      </c>
      <c r="C12" s="9" t="s">
        <v>1198</v>
      </c>
      <c r="D12" s="10" t="s">
        <v>48</v>
      </c>
      <c r="E12" s="8" t="s">
        <v>1221</v>
      </c>
      <c r="F12" s="10"/>
      <c r="G12" s="10" t="s">
        <v>40</v>
      </c>
      <c r="H12" s="10" t="s">
        <v>41</v>
      </c>
      <c r="I12" s="11">
        <v>0</v>
      </c>
      <c r="J12" s="10"/>
      <c r="K12" s="10"/>
      <c r="L12" s="8"/>
      <c r="M12" s="12"/>
      <c r="N12" s="12">
        <f t="shared" si="0"/>
        <v>0</v>
      </c>
      <c r="O12" s="11">
        <v>0</v>
      </c>
      <c r="P12" s="11">
        <v>0</v>
      </c>
      <c r="Q12" s="11">
        <v>0</v>
      </c>
      <c r="R12" s="11">
        <v>0</v>
      </c>
      <c r="S12" s="11">
        <v>0</v>
      </c>
      <c r="T12" s="11">
        <v>0</v>
      </c>
      <c r="U12" s="11">
        <v>0</v>
      </c>
      <c r="V12" s="11">
        <v>0</v>
      </c>
      <c r="W12" s="11">
        <v>0</v>
      </c>
      <c r="X12" s="11">
        <v>0</v>
      </c>
      <c r="Y12" s="11">
        <v>0</v>
      </c>
      <c r="Z12" s="11">
        <v>0</v>
      </c>
      <c r="AA12" s="11">
        <v>0</v>
      </c>
      <c r="AB12" s="11">
        <v>0</v>
      </c>
      <c r="AC12" s="11">
        <v>0</v>
      </c>
      <c r="AD12" s="11">
        <v>0</v>
      </c>
      <c r="AE12" s="11">
        <v>0</v>
      </c>
      <c r="AF12" s="11">
        <v>0</v>
      </c>
      <c r="AG12" s="11">
        <v>0</v>
      </c>
      <c r="AH12" s="11">
        <v>0</v>
      </c>
      <c r="AI12" s="11">
        <v>0</v>
      </c>
      <c r="AJ12" s="11">
        <v>0</v>
      </c>
      <c r="AK12" s="11">
        <v>0</v>
      </c>
      <c r="AL12" s="11">
        <v>0</v>
      </c>
      <c r="AM12" s="11">
        <v>0</v>
      </c>
      <c r="AN12" s="11">
        <v>0</v>
      </c>
      <c r="AO12" s="11">
        <v>0</v>
      </c>
      <c r="AP12" s="72">
        <v>2</v>
      </c>
      <c r="AQ12" s="72">
        <v>2</v>
      </c>
      <c r="AR12" s="72">
        <v>2</v>
      </c>
      <c r="AS12" s="72">
        <v>2</v>
      </c>
      <c r="AT12" s="72">
        <v>2</v>
      </c>
      <c r="AU12" s="72">
        <v>2</v>
      </c>
      <c r="AV12" s="72">
        <v>2</v>
      </c>
      <c r="AW12" s="72">
        <v>0</v>
      </c>
      <c r="AX12" s="72">
        <v>0</v>
      </c>
      <c r="AY12" s="72">
        <v>0</v>
      </c>
      <c r="AZ12" s="72">
        <v>0</v>
      </c>
      <c r="BA12" s="72">
        <v>0</v>
      </c>
      <c r="BB12" s="72">
        <v>0</v>
      </c>
      <c r="BC12" s="72">
        <v>0</v>
      </c>
      <c r="BD12" s="72">
        <v>0</v>
      </c>
      <c r="BE12" s="72">
        <v>0</v>
      </c>
      <c r="BF12" s="72">
        <v>0</v>
      </c>
      <c r="BG12" s="72">
        <v>0</v>
      </c>
      <c r="BH12" s="72">
        <v>0</v>
      </c>
      <c r="BI12" s="72">
        <v>0</v>
      </c>
      <c r="BJ12" s="72">
        <v>0</v>
      </c>
      <c r="BK12" s="72">
        <v>0</v>
      </c>
      <c r="BL12" s="72">
        <v>0</v>
      </c>
      <c r="BM12" s="72">
        <v>0</v>
      </c>
      <c r="BN12" s="72">
        <v>0</v>
      </c>
      <c r="BO12" s="72">
        <v>0</v>
      </c>
      <c r="BP12" s="72">
        <v>0</v>
      </c>
      <c r="BQ12" s="72">
        <v>0</v>
      </c>
      <c r="BR12" s="72">
        <v>0</v>
      </c>
      <c r="BS12" s="72">
        <v>0</v>
      </c>
      <c r="BT12" s="72">
        <v>0</v>
      </c>
      <c r="BU12" s="72">
        <v>0</v>
      </c>
      <c r="BV12" s="72">
        <v>0</v>
      </c>
      <c r="BW12" s="72">
        <v>0</v>
      </c>
      <c r="BX12" s="72">
        <v>0</v>
      </c>
      <c r="BY12" s="72">
        <v>0</v>
      </c>
      <c r="BZ12" s="72">
        <v>0</v>
      </c>
      <c r="CA12" s="72">
        <v>0</v>
      </c>
      <c r="CB12" s="72">
        <v>0</v>
      </c>
      <c r="CC12" s="72">
        <v>0</v>
      </c>
      <c r="CD12" s="72">
        <v>0</v>
      </c>
      <c r="CE12" s="72">
        <v>0</v>
      </c>
      <c r="CF12" s="72">
        <v>0</v>
      </c>
      <c r="CG12" s="72">
        <v>0</v>
      </c>
      <c r="CH12" s="72">
        <v>0</v>
      </c>
      <c r="CI12" s="72">
        <v>0</v>
      </c>
      <c r="CJ12" s="72">
        <v>0</v>
      </c>
      <c r="CK12" s="72">
        <v>0</v>
      </c>
      <c r="CL12" s="72">
        <v>0</v>
      </c>
      <c r="CM12" s="72">
        <v>0</v>
      </c>
      <c r="CN12" s="72">
        <v>0</v>
      </c>
      <c r="CO12" s="72">
        <v>0</v>
      </c>
      <c r="CP12" s="72">
        <v>0</v>
      </c>
      <c r="CQ12" s="72">
        <v>0</v>
      </c>
      <c r="CR12" s="72">
        <v>0</v>
      </c>
      <c r="CS12" s="72">
        <v>0</v>
      </c>
      <c r="CT12" s="72">
        <v>0</v>
      </c>
      <c r="CU12" s="72">
        <v>0</v>
      </c>
      <c r="CV12" s="72">
        <v>0</v>
      </c>
      <c r="CW12" s="72">
        <v>0</v>
      </c>
      <c r="CX12" s="72">
        <v>0</v>
      </c>
      <c r="CY12" s="72">
        <v>0</v>
      </c>
      <c r="CZ12" s="72">
        <v>0</v>
      </c>
      <c r="DA12" s="72">
        <v>0</v>
      </c>
      <c r="DB12" s="72">
        <v>0</v>
      </c>
      <c r="DC12" s="72">
        <v>0</v>
      </c>
      <c r="DD12" s="72">
        <v>0</v>
      </c>
      <c r="DE12" s="72">
        <v>0</v>
      </c>
      <c r="DF12" s="72">
        <v>0</v>
      </c>
      <c r="DG12" s="72">
        <v>0</v>
      </c>
      <c r="DH12" s="72">
        <v>0</v>
      </c>
      <c r="DI12" s="72">
        <v>0</v>
      </c>
      <c r="DJ12" s="72">
        <v>0</v>
      </c>
      <c r="DK12" s="72">
        <v>0</v>
      </c>
      <c r="DL12" s="72">
        <v>0</v>
      </c>
      <c r="DM12" s="72">
        <v>0</v>
      </c>
    </row>
    <row r="13" spans="1:117" x14ac:dyDescent="0.35">
      <c r="A13" s="7"/>
      <c r="B13" s="77" t="s">
        <v>1192</v>
      </c>
      <c r="C13" s="9" t="s">
        <v>1196</v>
      </c>
      <c r="D13" s="10" t="s">
        <v>48</v>
      </c>
      <c r="E13" s="8" t="s">
        <v>1205</v>
      </c>
      <c r="F13" s="10"/>
      <c r="G13" s="10" t="s">
        <v>40</v>
      </c>
      <c r="H13" s="10" t="s">
        <v>41</v>
      </c>
      <c r="I13" s="11">
        <v>0</v>
      </c>
      <c r="J13" s="10"/>
      <c r="K13" s="10"/>
      <c r="L13" s="8"/>
      <c r="M13" s="12"/>
      <c r="N13" s="12">
        <f t="shared" si="0"/>
        <v>0</v>
      </c>
      <c r="O13" s="11">
        <v>0</v>
      </c>
      <c r="P13" s="11">
        <v>0</v>
      </c>
      <c r="Q13" s="11">
        <v>0</v>
      </c>
      <c r="R13" s="11">
        <v>0</v>
      </c>
      <c r="S13" s="11">
        <v>0</v>
      </c>
      <c r="T13" s="11">
        <v>0</v>
      </c>
      <c r="U13" s="11">
        <v>0</v>
      </c>
      <c r="V13" s="11">
        <v>0</v>
      </c>
      <c r="W13" s="11">
        <v>0</v>
      </c>
      <c r="X13" s="11">
        <v>0</v>
      </c>
      <c r="Y13" s="11">
        <v>0</v>
      </c>
      <c r="Z13" s="11">
        <v>0</v>
      </c>
      <c r="AA13" s="11">
        <v>0</v>
      </c>
      <c r="AB13" s="11">
        <v>0</v>
      </c>
      <c r="AC13" s="11">
        <v>0</v>
      </c>
      <c r="AD13" s="11">
        <v>0</v>
      </c>
      <c r="AE13" s="11">
        <v>0</v>
      </c>
      <c r="AF13" s="11">
        <v>0</v>
      </c>
      <c r="AG13" s="11">
        <v>0</v>
      </c>
      <c r="AH13" s="11">
        <v>0</v>
      </c>
      <c r="AI13" s="11">
        <v>0</v>
      </c>
      <c r="AJ13" s="11">
        <v>0</v>
      </c>
      <c r="AK13" s="11">
        <v>0</v>
      </c>
      <c r="AL13" s="11">
        <v>0</v>
      </c>
      <c r="AM13" s="11">
        <v>0</v>
      </c>
      <c r="AN13" s="11">
        <v>0</v>
      </c>
      <c r="AO13" s="11">
        <v>0</v>
      </c>
      <c r="AP13" s="72">
        <v>4</v>
      </c>
      <c r="AQ13" s="72">
        <v>4</v>
      </c>
      <c r="AR13" s="72">
        <v>4</v>
      </c>
      <c r="AS13" s="72">
        <v>4</v>
      </c>
      <c r="AT13" s="72">
        <v>4</v>
      </c>
      <c r="AU13" s="72">
        <v>4</v>
      </c>
      <c r="AV13" s="72">
        <v>4</v>
      </c>
      <c r="AW13" s="72">
        <v>0</v>
      </c>
      <c r="AX13" s="72">
        <v>0</v>
      </c>
      <c r="AY13" s="72">
        <v>0</v>
      </c>
      <c r="AZ13" s="72">
        <v>0</v>
      </c>
      <c r="BA13" s="72">
        <v>0</v>
      </c>
      <c r="BB13" s="72">
        <v>0</v>
      </c>
      <c r="BC13" s="72">
        <v>0</v>
      </c>
      <c r="BD13" s="72">
        <v>0</v>
      </c>
      <c r="BE13" s="72">
        <v>0</v>
      </c>
      <c r="BF13" s="72">
        <v>0</v>
      </c>
      <c r="BG13" s="72">
        <v>0</v>
      </c>
      <c r="BH13" s="72">
        <v>0</v>
      </c>
      <c r="BI13" s="72">
        <v>0</v>
      </c>
      <c r="BJ13" s="72">
        <v>0</v>
      </c>
      <c r="BK13" s="72">
        <v>0</v>
      </c>
      <c r="BL13" s="72">
        <v>0</v>
      </c>
      <c r="BM13" s="72">
        <v>0</v>
      </c>
      <c r="BN13" s="72">
        <v>0</v>
      </c>
      <c r="BO13" s="72">
        <v>0</v>
      </c>
      <c r="BP13" s="72">
        <v>0</v>
      </c>
      <c r="BQ13" s="72">
        <v>0</v>
      </c>
      <c r="BR13" s="72">
        <v>0</v>
      </c>
      <c r="BS13" s="72">
        <v>0</v>
      </c>
      <c r="BT13" s="72">
        <v>0</v>
      </c>
      <c r="BU13" s="72">
        <v>0</v>
      </c>
      <c r="BV13" s="72">
        <v>0</v>
      </c>
      <c r="BW13" s="72">
        <v>0</v>
      </c>
      <c r="BX13" s="72">
        <v>0</v>
      </c>
      <c r="BY13" s="72">
        <v>0</v>
      </c>
      <c r="BZ13" s="72">
        <v>0</v>
      </c>
      <c r="CA13" s="72">
        <v>0</v>
      </c>
      <c r="CB13" s="72">
        <v>0</v>
      </c>
      <c r="CC13" s="72">
        <v>0</v>
      </c>
      <c r="CD13" s="72">
        <v>0</v>
      </c>
      <c r="CE13" s="72">
        <v>0</v>
      </c>
      <c r="CF13" s="72">
        <v>0</v>
      </c>
      <c r="CG13" s="72">
        <v>0</v>
      </c>
      <c r="CH13" s="72">
        <v>0</v>
      </c>
      <c r="CI13" s="72">
        <v>0</v>
      </c>
      <c r="CJ13" s="72">
        <v>0</v>
      </c>
      <c r="CK13" s="72">
        <v>0</v>
      </c>
      <c r="CL13" s="72">
        <v>0</v>
      </c>
      <c r="CM13" s="72">
        <v>0</v>
      </c>
      <c r="CN13" s="72">
        <v>0</v>
      </c>
      <c r="CO13" s="72">
        <v>0</v>
      </c>
      <c r="CP13" s="72">
        <v>0</v>
      </c>
      <c r="CQ13" s="72">
        <v>0</v>
      </c>
      <c r="CR13" s="72">
        <v>0</v>
      </c>
      <c r="CS13" s="72">
        <v>0</v>
      </c>
      <c r="CT13" s="72">
        <v>0</v>
      </c>
      <c r="CU13" s="72">
        <v>0</v>
      </c>
      <c r="CV13" s="72">
        <v>0</v>
      </c>
      <c r="CW13" s="72">
        <v>0</v>
      </c>
      <c r="CX13" s="72">
        <v>0</v>
      </c>
      <c r="CY13" s="72">
        <v>0</v>
      </c>
      <c r="CZ13" s="72">
        <v>0</v>
      </c>
      <c r="DA13" s="72">
        <v>0</v>
      </c>
      <c r="DB13" s="72">
        <v>0</v>
      </c>
      <c r="DC13" s="72">
        <v>0</v>
      </c>
      <c r="DD13" s="72">
        <v>0</v>
      </c>
      <c r="DE13" s="72">
        <v>0</v>
      </c>
      <c r="DF13" s="72">
        <v>0</v>
      </c>
      <c r="DG13" s="72">
        <v>0</v>
      </c>
      <c r="DH13" s="72">
        <v>0</v>
      </c>
      <c r="DI13" s="72">
        <v>0</v>
      </c>
      <c r="DJ13" s="72">
        <v>0</v>
      </c>
      <c r="DK13" s="72">
        <v>0</v>
      </c>
      <c r="DL13" s="72">
        <v>0</v>
      </c>
      <c r="DM13" s="72">
        <v>0</v>
      </c>
    </row>
    <row r="14" spans="1:117" x14ac:dyDescent="0.35">
      <c r="A14" s="7"/>
      <c r="B14" s="77" t="s">
        <v>1508</v>
      </c>
      <c r="C14" s="9" t="s">
        <v>1511</v>
      </c>
      <c r="D14" s="10" t="s">
        <v>48</v>
      </c>
      <c r="E14" s="8" t="s">
        <v>1203</v>
      </c>
      <c r="F14" s="10">
        <v>1002</v>
      </c>
      <c r="G14" s="10" t="s">
        <v>40</v>
      </c>
      <c r="H14" s="10" t="s">
        <v>41</v>
      </c>
      <c r="I14" s="11"/>
      <c r="J14" s="10"/>
      <c r="K14" s="10"/>
      <c r="L14" s="8" t="s">
        <v>1512</v>
      </c>
      <c r="M14" s="12">
        <v>1000</v>
      </c>
      <c r="N14" s="12">
        <f t="shared" si="0"/>
        <v>0</v>
      </c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72"/>
      <c r="AQ14" s="72"/>
      <c r="AR14" s="72"/>
      <c r="AS14" s="72"/>
      <c r="AT14" s="72"/>
      <c r="AU14" s="72"/>
      <c r="AV14" s="72"/>
      <c r="AW14" s="72"/>
      <c r="AX14" s="72"/>
      <c r="AY14" s="72"/>
      <c r="AZ14" s="72"/>
      <c r="BA14" s="72"/>
      <c r="BB14" s="72"/>
      <c r="BC14" s="72"/>
      <c r="BD14" s="72"/>
      <c r="BE14" s="72"/>
      <c r="BF14" s="72"/>
      <c r="BG14" s="72"/>
      <c r="BH14" s="72"/>
      <c r="BI14" s="72"/>
      <c r="BJ14" s="72"/>
      <c r="BK14" s="72"/>
      <c r="BL14" s="72"/>
      <c r="BM14" s="72"/>
      <c r="BN14" s="72"/>
      <c r="BO14" s="72"/>
      <c r="BP14" s="72"/>
      <c r="BQ14" s="72"/>
      <c r="BR14" s="72"/>
      <c r="BS14" s="72"/>
      <c r="BT14" s="72"/>
      <c r="BU14" s="72"/>
      <c r="BV14" s="72"/>
      <c r="BW14" s="72"/>
      <c r="BX14" s="72"/>
      <c r="BY14" s="72"/>
      <c r="BZ14" s="72"/>
      <c r="CA14" s="72"/>
      <c r="CB14" s="72"/>
      <c r="CC14" s="72"/>
      <c r="CD14" s="72"/>
      <c r="CE14" s="72"/>
      <c r="CF14" s="72"/>
      <c r="CG14" s="72"/>
      <c r="CH14" s="72"/>
      <c r="CI14" s="72"/>
      <c r="CJ14" s="72"/>
      <c r="CK14" s="72"/>
      <c r="CL14" s="72"/>
      <c r="CM14" s="72"/>
      <c r="CN14" s="72"/>
      <c r="CO14" s="72"/>
      <c r="CP14" s="72"/>
      <c r="CQ14" s="72"/>
      <c r="CR14" s="72"/>
      <c r="CS14" s="72"/>
      <c r="CT14" s="72"/>
      <c r="CU14" s="72"/>
      <c r="CV14" s="72">
        <v>8</v>
      </c>
      <c r="CW14" s="72">
        <v>8</v>
      </c>
      <c r="CX14" s="72">
        <v>8</v>
      </c>
      <c r="CY14" s="72">
        <v>0</v>
      </c>
      <c r="CZ14" s="72">
        <v>0</v>
      </c>
      <c r="DA14" s="72">
        <v>0</v>
      </c>
      <c r="DB14" s="72">
        <v>0</v>
      </c>
      <c r="DC14" s="72">
        <v>0</v>
      </c>
      <c r="DD14" s="72">
        <v>0</v>
      </c>
      <c r="DE14" s="72">
        <v>0</v>
      </c>
      <c r="DF14" s="72">
        <v>0</v>
      </c>
      <c r="DG14" s="72">
        <v>0</v>
      </c>
      <c r="DH14" s="72">
        <v>0</v>
      </c>
      <c r="DI14" s="72">
        <v>0</v>
      </c>
      <c r="DJ14" s="72">
        <v>0</v>
      </c>
      <c r="DK14" s="72">
        <v>0</v>
      </c>
      <c r="DL14" s="72">
        <v>0</v>
      </c>
      <c r="DM14" s="72">
        <v>0</v>
      </c>
    </row>
    <row r="15" spans="1:117" x14ac:dyDescent="0.35">
      <c r="A15" s="16"/>
      <c r="B15" s="17" t="s">
        <v>71</v>
      </c>
      <c r="C15" s="18" t="s">
        <v>72</v>
      </c>
      <c r="D15" s="19" t="s">
        <v>48</v>
      </c>
      <c r="E15" s="17" t="s">
        <v>1206</v>
      </c>
      <c r="F15" s="19">
        <v>1002</v>
      </c>
      <c r="G15" s="19" t="s">
        <v>40</v>
      </c>
      <c r="H15" s="19" t="s">
        <v>41</v>
      </c>
      <c r="I15" s="20">
        <v>0</v>
      </c>
      <c r="J15" s="19"/>
      <c r="K15" s="19" t="s">
        <v>74</v>
      </c>
      <c r="L15" s="17" t="s">
        <v>75</v>
      </c>
      <c r="M15" s="116"/>
      <c r="N15" s="12">
        <f t="shared" si="0"/>
        <v>0</v>
      </c>
      <c r="O15" s="20">
        <v>0</v>
      </c>
      <c r="P15" s="20">
        <v>0</v>
      </c>
      <c r="Q15" s="20">
        <v>0</v>
      </c>
      <c r="R15" s="20">
        <v>0</v>
      </c>
      <c r="S15" s="20">
        <v>0</v>
      </c>
      <c r="T15" s="20">
        <v>0</v>
      </c>
      <c r="U15" s="20">
        <v>0</v>
      </c>
      <c r="V15" s="20">
        <v>0</v>
      </c>
      <c r="W15" s="20">
        <v>0</v>
      </c>
      <c r="X15" s="20">
        <v>0</v>
      </c>
      <c r="Y15" s="20">
        <v>0</v>
      </c>
      <c r="Z15" s="20">
        <v>1</v>
      </c>
      <c r="AA15" s="20">
        <v>1</v>
      </c>
      <c r="AB15" s="20">
        <v>1</v>
      </c>
      <c r="AC15" s="20">
        <v>1</v>
      </c>
      <c r="AD15" s="20">
        <v>1</v>
      </c>
      <c r="AE15" s="20">
        <v>1</v>
      </c>
      <c r="AF15" s="20">
        <v>1</v>
      </c>
      <c r="AG15" s="20">
        <v>1</v>
      </c>
      <c r="AH15" s="20">
        <v>1</v>
      </c>
      <c r="AI15" s="20">
        <v>1</v>
      </c>
      <c r="AJ15" s="20">
        <v>1</v>
      </c>
      <c r="AK15" s="20">
        <v>1</v>
      </c>
      <c r="AL15" s="20">
        <v>1</v>
      </c>
      <c r="AM15" s="20">
        <v>1</v>
      </c>
      <c r="AN15" s="74">
        <v>1</v>
      </c>
      <c r="AO15" s="74">
        <v>1</v>
      </c>
      <c r="AP15" s="74">
        <v>1</v>
      </c>
      <c r="AQ15" s="74">
        <v>1</v>
      </c>
      <c r="AR15" s="74">
        <v>1</v>
      </c>
      <c r="AS15" s="74">
        <v>1</v>
      </c>
      <c r="AT15" s="74">
        <v>1</v>
      </c>
      <c r="AU15" s="74">
        <v>1</v>
      </c>
      <c r="AV15" s="74">
        <v>1</v>
      </c>
      <c r="AW15" s="74">
        <v>1</v>
      </c>
      <c r="AX15" s="74">
        <v>1</v>
      </c>
      <c r="AY15" s="74">
        <v>1</v>
      </c>
      <c r="AZ15" s="74">
        <v>1</v>
      </c>
      <c r="BA15" s="74">
        <v>1</v>
      </c>
      <c r="BB15" s="74">
        <v>1</v>
      </c>
      <c r="BC15" s="74">
        <v>1</v>
      </c>
      <c r="BD15" s="74">
        <v>1</v>
      </c>
      <c r="BE15" s="74">
        <v>1</v>
      </c>
      <c r="BF15" s="74">
        <v>1</v>
      </c>
      <c r="BG15" s="74">
        <v>1</v>
      </c>
      <c r="BH15" s="74">
        <v>1</v>
      </c>
      <c r="BI15" s="74">
        <v>1</v>
      </c>
      <c r="BJ15" s="74">
        <v>1</v>
      </c>
      <c r="BK15" s="74">
        <v>1</v>
      </c>
      <c r="BL15" s="74">
        <v>1</v>
      </c>
      <c r="BM15" s="74">
        <v>1</v>
      </c>
      <c r="BN15" s="74">
        <v>1</v>
      </c>
      <c r="BO15" s="74">
        <v>1</v>
      </c>
      <c r="BP15" s="74">
        <v>1</v>
      </c>
      <c r="BQ15" s="74">
        <v>1</v>
      </c>
      <c r="BR15" s="74">
        <v>1</v>
      </c>
      <c r="BS15" s="74">
        <v>1</v>
      </c>
      <c r="BT15" s="74">
        <v>1</v>
      </c>
      <c r="BU15" s="74">
        <v>1</v>
      </c>
      <c r="BV15" s="74">
        <v>1</v>
      </c>
      <c r="BW15" s="74">
        <v>1</v>
      </c>
      <c r="BX15" s="74">
        <v>1</v>
      </c>
      <c r="BY15" s="74">
        <v>1</v>
      </c>
      <c r="BZ15" s="74">
        <v>1</v>
      </c>
      <c r="CA15" s="74">
        <v>1</v>
      </c>
      <c r="CB15" s="74">
        <v>1</v>
      </c>
      <c r="CC15" s="74">
        <v>1</v>
      </c>
      <c r="CD15" s="74">
        <v>1</v>
      </c>
      <c r="CE15" s="74">
        <v>1</v>
      </c>
      <c r="CF15" s="74">
        <v>1</v>
      </c>
      <c r="CG15" s="74">
        <v>1</v>
      </c>
      <c r="CH15" s="74">
        <v>1</v>
      </c>
      <c r="CI15" s="74">
        <v>1</v>
      </c>
      <c r="CJ15" s="74">
        <v>1</v>
      </c>
      <c r="CK15" s="74">
        <v>1</v>
      </c>
      <c r="CL15" s="74">
        <v>1</v>
      </c>
      <c r="CM15" s="74">
        <v>1</v>
      </c>
      <c r="CN15" s="74">
        <v>1</v>
      </c>
      <c r="CO15" s="74">
        <v>1</v>
      </c>
      <c r="CP15" s="74">
        <v>1</v>
      </c>
      <c r="CQ15" s="74">
        <v>1</v>
      </c>
      <c r="CR15" s="74">
        <v>1</v>
      </c>
      <c r="CS15" s="74">
        <v>1</v>
      </c>
      <c r="CT15" s="74">
        <v>1</v>
      </c>
      <c r="CU15" s="74">
        <v>1</v>
      </c>
      <c r="CV15" s="74">
        <v>1</v>
      </c>
      <c r="CW15" s="74">
        <v>1</v>
      </c>
      <c r="CX15" s="74">
        <v>1</v>
      </c>
      <c r="CY15" s="74">
        <v>1</v>
      </c>
      <c r="CZ15" s="74">
        <v>1</v>
      </c>
      <c r="DA15" s="74">
        <v>1</v>
      </c>
      <c r="DB15" s="74">
        <v>1</v>
      </c>
      <c r="DC15" s="74">
        <v>1</v>
      </c>
      <c r="DD15" s="74">
        <v>1</v>
      </c>
      <c r="DE15" s="74">
        <v>1</v>
      </c>
      <c r="DF15" s="74">
        <v>1</v>
      </c>
      <c r="DG15" s="74">
        <v>1</v>
      </c>
      <c r="DH15" s="74">
        <v>1</v>
      </c>
      <c r="DI15" s="74">
        <v>1</v>
      </c>
      <c r="DJ15" s="74">
        <v>1</v>
      </c>
      <c r="DK15" s="74">
        <v>1</v>
      </c>
      <c r="DL15" s="74">
        <v>1</v>
      </c>
      <c r="DM15" s="74">
        <v>1</v>
      </c>
    </row>
    <row r="16" spans="1:117" x14ac:dyDescent="0.35">
      <c r="A16" s="16"/>
      <c r="B16" s="17" t="s">
        <v>76</v>
      </c>
      <c r="C16" s="18" t="s">
        <v>77</v>
      </c>
      <c r="D16" s="19" t="s">
        <v>48</v>
      </c>
      <c r="E16" s="17" t="s">
        <v>1060</v>
      </c>
      <c r="F16" s="19">
        <v>1002</v>
      </c>
      <c r="G16" s="19" t="s">
        <v>40</v>
      </c>
      <c r="H16" s="19" t="s">
        <v>41</v>
      </c>
      <c r="I16" s="20">
        <v>0</v>
      </c>
      <c r="J16" s="19"/>
      <c r="K16" s="19" t="s">
        <v>74</v>
      </c>
      <c r="L16" s="17" t="s">
        <v>75</v>
      </c>
      <c r="M16" s="116"/>
      <c r="N16" s="12">
        <f t="shared" si="0"/>
        <v>0</v>
      </c>
      <c r="O16" s="20">
        <v>0</v>
      </c>
      <c r="P16" s="20">
        <v>0</v>
      </c>
      <c r="Q16" s="20">
        <v>0</v>
      </c>
      <c r="R16" s="20">
        <v>0</v>
      </c>
      <c r="S16" s="20">
        <v>0</v>
      </c>
      <c r="T16" s="20">
        <v>0</v>
      </c>
      <c r="U16" s="20">
        <v>0</v>
      </c>
      <c r="V16" s="20">
        <v>0</v>
      </c>
      <c r="W16" s="20">
        <v>0</v>
      </c>
      <c r="X16" s="20">
        <v>0</v>
      </c>
      <c r="Y16" s="20">
        <v>0</v>
      </c>
      <c r="Z16" s="20">
        <v>1</v>
      </c>
      <c r="AA16" s="20">
        <v>1</v>
      </c>
      <c r="AB16" s="20">
        <v>1</v>
      </c>
      <c r="AC16" s="20">
        <v>1</v>
      </c>
      <c r="AD16" s="20">
        <v>1</v>
      </c>
      <c r="AE16" s="20">
        <v>1</v>
      </c>
      <c r="AF16" s="20">
        <v>1</v>
      </c>
      <c r="AG16" s="20">
        <v>1</v>
      </c>
      <c r="AH16" s="20">
        <v>1</v>
      </c>
      <c r="AI16" s="20">
        <v>1</v>
      </c>
      <c r="AJ16" s="20">
        <v>1</v>
      </c>
      <c r="AK16" s="20">
        <v>1</v>
      </c>
      <c r="AL16" s="20">
        <v>1</v>
      </c>
      <c r="AM16" s="20">
        <v>1</v>
      </c>
      <c r="AN16" s="74">
        <v>1</v>
      </c>
      <c r="AO16" s="74">
        <v>1</v>
      </c>
      <c r="AP16" s="74">
        <v>1</v>
      </c>
      <c r="AQ16" s="74">
        <v>1</v>
      </c>
      <c r="AR16" s="74">
        <v>1</v>
      </c>
      <c r="AS16" s="74">
        <v>1</v>
      </c>
      <c r="AT16" s="74">
        <v>1</v>
      </c>
      <c r="AU16" s="74">
        <v>1</v>
      </c>
      <c r="AV16" s="74">
        <v>1</v>
      </c>
      <c r="AW16" s="74">
        <v>1</v>
      </c>
      <c r="AX16" s="74">
        <v>1</v>
      </c>
      <c r="AY16" s="74">
        <v>1</v>
      </c>
      <c r="AZ16" s="74">
        <v>1</v>
      </c>
      <c r="BA16" s="74">
        <v>1</v>
      </c>
      <c r="BB16" s="74">
        <v>1</v>
      </c>
      <c r="BC16" s="74">
        <v>1</v>
      </c>
      <c r="BD16" s="74">
        <v>1</v>
      </c>
      <c r="BE16" s="74">
        <v>1</v>
      </c>
      <c r="BF16" s="74">
        <v>1</v>
      </c>
      <c r="BG16" s="74">
        <v>1</v>
      </c>
      <c r="BH16" s="74">
        <v>1</v>
      </c>
      <c r="BI16" s="74">
        <v>1</v>
      </c>
      <c r="BJ16" s="74">
        <v>1</v>
      </c>
      <c r="BK16" s="74">
        <v>1</v>
      </c>
      <c r="BL16" s="74">
        <v>1</v>
      </c>
      <c r="BM16" s="74">
        <v>1</v>
      </c>
      <c r="BN16" s="74">
        <v>1</v>
      </c>
      <c r="BO16" s="74">
        <v>1</v>
      </c>
      <c r="BP16" s="74">
        <v>1</v>
      </c>
      <c r="BQ16" s="74">
        <v>1</v>
      </c>
      <c r="BR16" s="74">
        <v>1</v>
      </c>
      <c r="BS16" s="74">
        <v>1</v>
      </c>
      <c r="BT16" s="74">
        <v>1</v>
      </c>
      <c r="BU16" s="74">
        <v>1</v>
      </c>
      <c r="BV16" s="74">
        <v>1</v>
      </c>
      <c r="BW16" s="74">
        <v>1</v>
      </c>
      <c r="BX16" s="74">
        <v>1</v>
      </c>
      <c r="BY16" s="74">
        <v>1</v>
      </c>
      <c r="BZ16" s="74">
        <v>1</v>
      </c>
      <c r="CA16" s="74">
        <v>1</v>
      </c>
      <c r="CB16" s="74">
        <v>1</v>
      </c>
      <c r="CC16" s="74">
        <v>1</v>
      </c>
      <c r="CD16" s="74">
        <v>1</v>
      </c>
      <c r="CE16" s="74">
        <v>1</v>
      </c>
      <c r="CF16" s="74">
        <v>1</v>
      </c>
      <c r="CG16" s="74">
        <v>1</v>
      </c>
      <c r="CH16" s="74">
        <v>1</v>
      </c>
      <c r="CI16" s="74">
        <v>1</v>
      </c>
      <c r="CJ16" s="74">
        <v>1</v>
      </c>
      <c r="CK16" s="74">
        <v>1</v>
      </c>
      <c r="CL16" s="74">
        <v>1</v>
      </c>
      <c r="CM16" s="74">
        <v>1</v>
      </c>
      <c r="CN16" s="74">
        <v>1</v>
      </c>
      <c r="CO16" s="74">
        <v>1</v>
      </c>
      <c r="CP16" s="74">
        <v>1</v>
      </c>
      <c r="CQ16" s="74">
        <v>1</v>
      </c>
      <c r="CR16" s="74">
        <v>1</v>
      </c>
      <c r="CS16" s="74">
        <v>1</v>
      </c>
      <c r="CT16" s="74">
        <v>1</v>
      </c>
      <c r="CU16" s="74">
        <v>1</v>
      </c>
      <c r="CV16" s="74">
        <v>1</v>
      </c>
      <c r="CW16" s="74">
        <v>1</v>
      </c>
      <c r="CX16" s="74">
        <v>1</v>
      </c>
      <c r="CY16" s="74">
        <v>1</v>
      </c>
      <c r="CZ16" s="74">
        <v>1</v>
      </c>
      <c r="DA16" s="74">
        <v>1</v>
      </c>
      <c r="DB16" s="74">
        <v>1</v>
      </c>
      <c r="DC16" s="74">
        <v>1</v>
      </c>
      <c r="DD16" s="74">
        <v>1</v>
      </c>
      <c r="DE16" s="74">
        <v>1</v>
      </c>
      <c r="DF16" s="74">
        <v>1</v>
      </c>
      <c r="DG16" s="74">
        <v>1</v>
      </c>
      <c r="DH16" s="74">
        <v>1</v>
      </c>
      <c r="DI16" s="74">
        <v>1</v>
      </c>
      <c r="DJ16" s="74">
        <v>1</v>
      </c>
      <c r="DK16" s="74">
        <v>1</v>
      </c>
      <c r="DL16" s="74">
        <v>1</v>
      </c>
      <c r="DM16" s="74">
        <v>1</v>
      </c>
    </row>
    <row r="17" spans="1:117" x14ac:dyDescent="0.35">
      <c r="A17" s="16"/>
      <c r="B17" s="17" t="s">
        <v>78</v>
      </c>
      <c r="C17" s="18" t="s">
        <v>79</v>
      </c>
      <c r="D17" s="19" t="s">
        <v>48</v>
      </c>
      <c r="E17" s="17" t="s">
        <v>1206</v>
      </c>
      <c r="F17" s="19">
        <v>1002</v>
      </c>
      <c r="G17" s="19" t="s">
        <v>40</v>
      </c>
      <c r="H17" s="19" t="s">
        <v>41</v>
      </c>
      <c r="I17" s="20">
        <v>0</v>
      </c>
      <c r="J17" s="19"/>
      <c r="K17" s="19" t="s">
        <v>74</v>
      </c>
      <c r="L17" s="17" t="s">
        <v>75</v>
      </c>
      <c r="M17" s="116"/>
      <c r="N17" s="12">
        <f t="shared" si="0"/>
        <v>0</v>
      </c>
      <c r="O17" s="20">
        <v>0</v>
      </c>
      <c r="P17" s="20">
        <v>0</v>
      </c>
      <c r="Q17" s="20">
        <v>0</v>
      </c>
      <c r="R17" s="20">
        <v>0</v>
      </c>
      <c r="S17" s="20">
        <v>0</v>
      </c>
      <c r="T17" s="20">
        <v>0</v>
      </c>
      <c r="U17" s="20">
        <v>0</v>
      </c>
      <c r="V17" s="20">
        <v>0</v>
      </c>
      <c r="W17" s="20">
        <v>0</v>
      </c>
      <c r="X17" s="20">
        <v>0</v>
      </c>
      <c r="Y17" s="20">
        <v>0</v>
      </c>
      <c r="Z17" s="20">
        <v>2</v>
      </c>
      <c r="AA17" s="20">
        <v>2</v>
      </c>
      <c r="AB17" s="20">
        <v>2</v>
      </c>
      <c r="AC17" s="20">
        <v>2</v>
      </c>
      <c r="AD17" s="20">
        <v>2</v>
      </c>
      <c r="AE17" s="20">
        <v>2</v>
      </c>
      <c r="AF17" s="20">
        <v>2</v>
      </c>
      <c r="AG17" s="20">
        <v>2</v>
      </c>
      <c r="AH17" s="20">
        <v>2</v>
      </c>
      <c r="AI17" s="20">
        <v>2</v>
      </c>
      <c r="AJ17" s="20">
        <v>2</v>
      </c>
      <c r="AK17" s="20">
        <v>2</v>
      </c>
      <c r="AL17" s="20">
        <v>2</v>
      </c>
      <c r="AM17" s="20">
        <v>2</v>
      </c>
      <c r="AN17" s="74">
        <v>2</v>
      </c>
      <c r="AO17" s="74">
        <v>2</v>
      </c>
      <c r="AP17" s="74">
        <v>2</v>
      </c>
      <c r="AQ17" s="74">
        <v>2</v>
      </c>
      <c r="AR17" s="74">
        <v>2</v>
      </c>
      <c r="AS17" s="74">
        <v>2</v>
      </c>
      <c r="AT17" s="74">
        <v>2</v>
      </c>
      <c r="AU17" s="74">
        <v>2</v>
      </c>
      <c r="AV17" s="74">
        <v>2</v>
      </c>
      <c r="AW17" s="74">
        <v>2</v>
      </c>
      <c r="AX17" s="74">
        <v>2</v>
      </c>
      <c r="AY17" s="74">
        <v>2</v>
      </c>
      <c r="AZ17" s="74">
        <v>2</v>
      </c>
      <c r="BA17" s="74">
        <v>2</v>
      </c>
      <c r="BB17" s="74">
        <v>2</v>
      </c>
      <c r="BC17" s="74">
        <v>2</v>
      </c>
      <c r="BD17" s="74">
        <v>2</v>
      </c>
      <c r="BE17" s="74">
        <v>2</v>
      </c>
      <c r="BF17" s="74">
        <v>2</v>
      </c>
      <c r="BG17" s="74">
        <v>2</v>
      </c>
      <c r="BH17" s="74">
        <v>2</v>
      </c>
      <c r="BI17" s="74">
        <v>2</v>
      </c>
      <c r="BJ17" s="74">
        <v>2</v>
      </c>
      <c r="BK17" s="74">
        <v>2</v>
      </c>
      <c r="BL17" s="74">
        <v>2</v>
      </c>
      <c r="BM17" s="74">
        <v>2</v>
      </c>
      <c r="BN17" s="74">
        <v>2</v>
      </c>
      <c r="BO17" s="74">
        <v>2</v>
      </c>
      <c r="BP17" s="74">
        <v>2</v>
      </c>
      <c r="BQ17" s="74">
        <v>2</v>
      </c>
      <c r="BR17" s="74">
        <v>2</v>
      </c>
      <c r="BS17" s="74">
        <v>2</v>
      </c>
      <c r="BT17" s="74">
        <v>2</v>
      </c>
      <c r="BU17" s="74">
        <v>2</v>
      </c>
      <c r="BV17" s="74">
        <v>2</v>
      </c>
      <c r="BW17" s="74">
        <v>2</v>
      </c>
      <c r="BX17" s="74">
        <v>2</v>
      </c>
      <c r="BY17" s="74">
        <v>2</v>
      </c>
      <c r="BZ17" s="74">
        <v>2</v>
      </c>
      <c r="CA17" s="74">
        <v>2</v>
      </c>
      <c r="CB17" s="74">
        <v>2</v>
      </c>
      <c r="CC17" s="74">
        <v>2</v>
      </c>
      <c r="CD17" s="74">
        <v>2</v>
      </c>
      <c r="CE17" s="74">
        <v>2</v>
      </c>
      <c r="CF17" s="74">
        <v>2</v>
      </c>
      <c r="CG17" s="74">
        <v>2</v>
      </c>
      <c r="CH17" s="74">
        <v>2</v>
      </c>
      <c r="CI17" s="74">
        <v>2</v>
      </c>
      <c r="CJ17" s="74">
        <v>2</v>
      </c>
      <c r="CK17" s="74">
        <v>2</v>
      </c>
      <c r="CL17" s="74">
        <v>2</v>
      </c>
      <c r="CM17" s="74">
        <v>2</v>
      </c>
      <c r="CN17" s="74">
        <v>2</v>
      </c>
      <c r="CO17" s="74">
        <v>2</v>
      </c>
      <c r="CP17" s="74">
        <v>2</v>
      </c>
      <c r="CQ17" s="74">
        <v>2</v>
      </c>
      <c r="CR17" s="74">
        <v>2</v>
      </c>
      <c r="CS17" s="74">
        <v>2</v>
      </c>
      <c r="CT17" s="74">
        <v>2</v>
      </c>
      <c r="CU17" s="74">
        <v>2</v>
      </c>
      <c r="CV17" s="74">
        <v>2</v>
      </c>
      <c r="CW17" s="74">
        <v>2</v>
      </c>
      <c r="CX17" s="74">
        <v>2</v>
      </c>
      <c r="CY17" s="74">
        <v>2</v>
      </c>
      <c r="CZ17" s="74">
        <v>2</v>
      </c>
      <c r="DA17" s="74">
        <v>2</v>
      </c>
      <c r="DB17" s="74">
        <v>2</v>
      </c>
      <c r="DC17" s="74">
        <v>2</v>
      </c>
      <c r="DD17" s="74">
        <v>2</v>
      </c>
      <c r="DE17" s="74">
        <v>2</v>
      </c>
      <c r="DF17" s="74">
        <v>2</v>
      </c>
      <c r="DG17" s="74">
        <v>2</v>
      </c>
      <c r="DH17" s="74">
        <v>1</v>
      </c>
      <c r="DI17" s="74">
        <v>1</v>
      </c>
      <c r="DJ17" s="74">
        <v>1</v>
      </c>
      <c r="DK17" s="74">
        <v>1</v>
      </c>
      <c r="DL17" s="74">
        <v>1</v>
      </c>
      <c r="DM17" s="74">
        <v>1</v>
      </c>
    </row>
    <row r="18" spans="1:117" x14ac:dyDescent="0.35">
      <c r="A18" s="16"/>
      <c r="B18" s="17" t="s">
        <v>1316</v>
      </c>
      <c r="C18" s="18" t="s">
        <v>80</v>
      </c>
      <c r="D18" s="19" t="s">
        <v>48</v>
      </c>
      <c r="E18" s="17" t="s">
        <v>1205</v>
      </c>
      <c r="F18" s="19"/>
      <c r="G18" s="19" t="s">
        <v>40</v>
      </c>
      <c r="H18" s="19" t="s">
        <v>41</v>
      </c>
      <c r="I18" s="20">
        <v>0</v>
      </c>
      <c r="J18" s="19"/>
      <c r="K18" s="19" t="s">
        <v>74</v>
      </c>
      <c r="L18" s="17" t="s">
        <v>75</v>
      </c>
      <c r="M18" s="116"/>
      <c r="N18" s="12">
        <f t="shared" si="0"/>
        <v>0</v>
      </c>
      <c r="O18" s="20">
        <v>0</v>
      </c>
      <c r="P18" s="20">
        <v>0</v>
      </c>
      <c r="Q18" s="20">
        <v>0</v>
      </c>
      <c r="R18" s="20">
        <v>0</v>
      </c>
      <c r="S18" s="20">
        <v>0</v>
      </c>
      <c r="T18" s="20">
        <v>0</v>
      </c>
      <c r="U18" s="20">
        <v>0</v>
      </c>
      <c r="V18" s="20">
        <v>0</v>
      </c>
      <c r="W18" s="20">
        <v>0</v>
      </c>
      <c r="X18" s="20">
        <v>0</v>
      </c>
      <c r="Y18" s="20">
        <v>0</v>
      </c>
      <c r="Z18" s="20">
        <v>1</v>
      </c>
      <c r="AA18" s="20">
        <v>1</v>
      </c>
      <c r="AB18" s="20">
        <v>1</v>
      </c>
      <c r="AC18" s="20">
        <v>1</v>
      </c>
      <c r="AD18" s="20">
        <v>1</v>
      </c>
      <c r="AE18" s="20">
        <v>1</v>
      </c>
      <c r="AF18" s="20">
        <v>1</v>
      </c>
      <c r="AG18" s="20">
        <v>1</v>
      </c>
      <c r="AH18" s="20">
        <v>1</v>
      </c>
      <c r="AI18" s="20">
        <v>1</v>
      </c>
      <c r="AJ18" s="20">
        <v>1</v>
      </c>
      <c r="AK18" s="20">
        <v>1</v>
      </c>
      <c r="AL18" s="20">
        <v>1</v>
      </c>
      <c r="AM18" s="20">
        <v>1</v>
      </c>
      <c r="AN18" s="74">
        <v>1</v>
      </c>
      <c r="AO18" s="74">
        <v>1</v>
      </c>
      <c r="AP18" s="74">
        <v>1</v>
      </c>
      <c r="AQ18" s="74">
        <v>1</v>
      </c>
      <c r="AR18" s="74">
        <v>1</v>
      </c>
      <c r="AS18" s="74">
        <v>1</v>
      </c>
      <c r="AT18" s="74">
        <v>1</v>
      </c>
      <c r="AU18" s="74">
        <v>1</v>
      </c>
      <c r="AV18" s="74">
        <v>1</v>
      </c>
      <c r="AW18" s="74">
        <v>1</v>
      </c>
      <c r="AX18" s="74">
        <v>1</v>
      </c>
      <c r="AY18" s="74">
        <v>1</v>
      </c>
      <c r="AZ18" s="74">
        <v>1</v>
      </c>
      <c r="BA18" s="74">
        <v>1</v>
      </c>
      <c r="BB18" s="74">
        <v>1</v>
      </c>
      <c r="BC18" s="74">
        <v>1</v>
      </c>
      <c r="BD18" s="74">
        <v>1</v>
      </c>
      <c r="BE18" s="74">
        <v>1</v>
      </c>
      <c r="BF18" s="74">
        <v>1</v>
      </c>
      <c r="BG18" s="74">
        <v>1</v>
      </c>
      <c r="BH18" s="74">
        <v>1</v>
      </c>
      <c r="BI18" s="74">
        <v>1</v>
      </c>
      <c r="BJ18" s="74">
        <v>1</v>
      </c>
      <c r="BK18" s="74">
        <v>1</v>
      </c>
      <c r="BL18" s="74">
        <v>1</v>
      </c>
      <c r="BM18" s="74">
        <v>1</v>
      </c>
      <c r="BN18" s="74">
        <v>1</v>
      </c>
      <c r="BO18" s="74">
        <v>1</v>
      </c>
      <c r="BP18" s="74">
        <v>1</v>
      </c>
      <c r="BQ18" s="74">
        <v>1</v>
      </c>
      <c r="BR18" s="74">
        <v>1</v>
      </c>
      <c r="BS18" s="74">
        <v>1</v>
      </c>
      <c r="BT18" s="74">
        <v>1</v>
      </c>
      <c r="BU18" s="74">
        <v>1</v>
      </c>
      <c r="BV18" s="74">
        <v>1</v>
      </c>
      <c r="BW18" s="74">
        <v>1</v>
      </c>
      <c r="BX18" s="74">
        <v>1</v>
      </c>
      <c r="BY18" s="74">
        <v>1</v>
      </c>
      <c r="BZ18" s="74">
        <v>1</v>
      </c>
      <c r="CA18" s="74">
        <v>1</v>
      </c>
      <c r="CB18" s="74">
        <v>1</v>
      </c>
      <c r="CC18" s="74">
        <v>1</v>
      </c>
      <c r="CD18" s="74">
        <v>1</v>
      </c>
      <c r="CE18" s="74">
        <v>1</v>
      </c>
      <c r="CF18" s="74">
        <v>1</v>
      </c>
      <c r="CG18" s="74">
        <v>1</v>
      </c>
      <c r="CH18" s="74">
        <v>1</v>
      </c>
      <c r="CI18" s="74">
        <v>1</v>
      </c>
      <c r="CJ18" s="74">
        <v>1</v>
      </c>
      <c r="CK18" s="74">
        <v>1</v>
      </c>
      <c r="CL18" s="74">
        <v>1</v>
      </c>
      <c r="CM18" s="74">
        <v>1</v>
      </c>
      <c r="CN18" s="74">
        <v>1</v>
      </c>
      <c r="CO18" s="74">
        <v>1</v>
      </c>
      <c r="CP18" s="74">
        <v>1</v>
      </c>
      <c r="CQ18" s="74">
        <v>1</v>
      </c>
      <c r="CR18" s="74">
        <v>1</v>
      </c>
      <c r="CS18" s="74">
        <v>1</v>
      </c>
      <c r="CT18" s="74">
        <v>1</v>
      </c>
      <c r="CU18" s="74">
        <v>1</v>
      </c>
      <c r="CV18" s="74">
        <v>1</v>
      </c>
      <c r="CW18" s="74">
        <v>1</v>
      </c>
      <c r="CX18" s="74">
        <v>1</v>
      </c>
      <c r="CY18" s="74">
        <v>1</v>
      </c>
      <c r="CZ18" s="74">
        <v>1</v>
      </c>
      <c r="DA18" s="74">
        <v>1</v>
      </c>
      <c r="DB18" s="74">
        <v>1</v>
      </c>
      <c r="DC18" s="74">
        <v>1</v>
      </c>
      <c r="DD18" s="74">
        <v>1</v>
      </c>
      <c r="DE18" s="74">
        <v>1</v>
      </c>
      <c r="DF18" s="74">
        <v>1</v>
      </c>
      <c r="DG18" s="74">
        <v>1</v>
      </c>
      <c r="DH18" s="74">
        <v>1</v>
      </c>
      <c r="DI18" s="74">
        <v>1</v>
      </c>
      <c r="DJ18" s="74">
        <v>1</v>
      </c>
      <c r="DK18" s="74">
        <v>1</v>
      </c>
      <c r="DL18" s="74">
        <v>1</v>
      </c>
      <c r="DM18" s="74">
        <v>1</v>
      </c>
    </row>
    <row r="19" spans="1:117" x14ac:dyDescent="0.35">
      <c r="A19" s="16"/>
      <c r="B19" s="17" t="s">
        <v>81</v>
      </c>
      <c r="C19" s="18" t="s">
        <v>82</v>
      </c>
      <c r="D19" s="19" t="s">
        <v>48</v>
      </c>
      <c r="E19" s="17" t="s">
        <v>1205</v>
      </c>
      <c r="F19" s="19"/>
      <c r="G19" s="19" t="s">
        <v>40</v>
      </c>
      <c r="H19" s="19" t="s">
        <v>41</v>
      </c>
      <c r="I19" s="20">
        <v>0</v>
      </c>
      <c r="J19" s="19"/>
      <c r="K19" s="19" t="s">
        <v>74</v>
      </c>
      <c r="L19" s="17" t="s">
        <v>75</v>
      </c>
      <c r="M19" s="116">
        <v>7.5</v>
      </c>
      <c r="N19" s="12">
        <f t="shared" si="0"/>
        <v>67.5</v>
      </c>
      <c r="O19" s="20">
        <v>0</v>
      </c>
      <c r="P19" s="20">
        <v>0</v>
      </c>
      <c r="Q19" s="20">
        <v>0</v>
      </c>
      <c r="R19" s="20">
        <v>0</v>
      </c>
      <c r="S19" s="20">
        <v>0</v>
      </c>
      <c r="T19" s="20">
        <v>0</v>
      </c>
      <c r="U19" s="20">
        <v>0</v>
      </c>
      <c r="V19" s="20">
        <v>0</v>
      </c>
      <c r="W19" s="20">
        <v>0</v>
      </c>
      <c r="X19" s="20">
        <v>0</v>
      </c>
      <c r="Y19" s="20">
        <v>0</v>
      </c>
      <c r="Z19" s="20">
        <v>10</v>
      </c>
      <c r="AA19" s="20">
        <v>10</v>
      </c>
      <c r="AB19" s="20">
        <v>10</v>
      </c>
      <c r="AC19" s="20">
        <v>10</v>
      </c>
      <c r="AD19" s="20">
        <v>10</v>
      </c>
      <c r="AE19" s="20">
        <v>10</v>
      </c>
      <c r="AF19" s="20">
        <v>10</v>
      </c>
      <c r="AG19" s="20">
        <v>10</v>
      </c>
      <c r="AH19" s="20">
        <v>10</v>
      </c>
      <c r="AI19" s="20">
        <v>10</v>
      </c>
      <c r="AJ19" s="20">
        <v>10</v>
      </c>
      <c r="AK19" s="20">
        <v>10</v>
      </c>
      <c r="AL19" s="20">
        <v>10</v>
      </c>
      <c r="AM19" s="20">
        <v>10</v>
      </c>
      <c r="AN19" s="74">
        <v>10</v>
      </c>
      <c r="AO19" s="74">
        <v>10</v>
      </c>
      <c r="AP19" s="74">
        <v>10</v>
      </c>
      <c r="AQ19" s="74">
        <v>10</v>
      </c>
      <c r="AR19" s="74">
        <v>10</v>
      </c>
      <c r="AS19" s="74">
        <v>10</v>
      </c>
      <c r="AT19" s="74">
        <v>10</v>
      </c>
      <c r="AU19" s="74">
        <v>10</v>
      </c>
      <c r="AV19" s="74">
        <v>10</v>
      </c>
      <c r="AW19" s="74">
        <v>10</v>
      </c>
      <c r="AX19" s="74">
        <v>10</v>
      </c>
      <c r="AY19" s="74">
        <v>10</v>
      </c>
      <c r="AZ19" s="74">
        <v>10</v>
      </c>
      <c r="BA19" s="74">
        <v>10</v>
      </c>
      <c r="BB19" s="74">
        <v>10</v>
      </c>
      <c r="BC19" s="74">
        <v>10</v>
      </c>
      <c r="BD19" s="74">
        <v>10</v>
      </c>
      <c r="BE19" s="74">
        <v>10</v>
      </c>
      <c r="BF19" s="74">
        <v>10</v>
      </c>
      <c r="BG19" s="74">
        <v>10</v>
      </c>
      <c r="BH19" s="74">
        <v>10</v>
      </c>
      <c r="BI19" s="74">
        <v>10</v>
      </c>
      <c r="BJ19" s="74">
        <v>10</v>
      </c>
      <c r="BK19" s="74">
        <v>10</v>
      </c>
      <c r="BL19" s="74">
        <v>10</v>
      </c>
      <c r="BM19" s="74">
        <v>10</v>
      </c>
      <c r="BN19" s="74">
        <v>10</v>
      </c>
      <c r="BO19" s="74">
        <v>10</v>
      </c>
      <c r="BP19" s="74">
        <v>10</v>
      </c>
      <c r="BQ19" s="74">
        <v>10</v>
      </c>
      <c r="BR19" s="74">
        <v>10</v>
      </c>
      <c r="BS19" s="74">
        <v>10</v>
      </c>
      <c r="BT19" s="74">
        <v>10</v>
      </c>
      <c r="BU19" s="74">
        <v>10</v>
      </c>
      <c r="BV19" s="74">
        <v>10</v>
      </c>
      <c r="BW19" s="74">
        <v>10</v>
      </c>
      <c r="BX19" s="74">
        <v>10</v>
      </c>
      <c r="BY19" s="74">
        <v>10</v>
      </c>
      <c r="BZ19" s="74">
        <v>10</v>
      </c>
      <c r="CA19" s="74">
        <v>10</v>
      </c>
      <c r="CB19" s="74">
        <v>10</v>
      </c>
      <c r="CC19" s="74">
        <v>10</v>
      </c>
      <c r="CD19" s="74">
        <v>10</v>
      </c>
      <c r="CE19" s="74">
        <v>10</v>
      </c>
      <c r="CF19" s="74">
        <v>10</v>
      </c>
      <c r="CG19" s="74">
        <v>10</v>
      </c>
      <c r="CH19" s="74">
        <v>10</v>
      </c>
      <c r="CI19" s="74">
        <v>10</v>
      </c>
      <c r="CJ19" s="74">
        <v>10</v>
      </c>
      <c r="CK19" s="74">
        <v>10</v>
      </c>
      <c r="CL19" s="74">
        <v>10</v>
      </c>
      <c r="CM19" s="74">
        <v>10</v>
      </c>
      <c r="CN19" s="74">
        <v>10</v>
      </c>
      <c r="CO19" s="74">
        <v>10</v>
      </c>
      <c r="CP19" s="74">
        <v>10</v>
      </c>
      <c r="CQ19" s="74">
        <v>10</v>
      </c>
      <c r="CR19" s="74">
        <v>10</v>
      </c>
      <c r="CS19" s="74">
        <v>10</v>
      </c>
      <c r="CT19" s="74">
        <v>10</v>
      </c>
      <c r="CU19" s="74">
        <v>10</v>
      </c>
      <c r="CV19" s="74">
        <v>10</v>
      </c>
      <c r="CW19" s="74">
        <v>10</v>
      </c>
      <c r="CX19" s="74">
        <v>10</v>
      </c>
      <c r="CY19" s="74">
        <v>10</v>
      </c>
      <c r="CZ19" s="74">
        <v>10</v>
      </c>
      <c r="DA19" s="74">
        <v>10</v>
      </c>
      <c r="DB19" s="74">
        <v>10</v>
      </c>
      <c r="DC19" s="74">
        <v>10</v>
      </c>
      <c r="DD19" s="74">
        <v>10</v>
      </c>
      <c r="DE19" s="74">
        <v>10</v>
      </c>
      <c r="DF19" s="74">
        <v>10</v>
      </c>
      <c r="DG19" s="74">
        <v>10</v>
      </c>
      <c r="DH19" s="74">
        <v>9</v>
      </c>
      <c r="DI19" s="74">
        <v>9</v>
      </c>
      <c r="DJ19" s="74">
        <v>9</v>
      </c>
      <c r="DK19" s="74">
        <v>9</v>
      </c>
      <c r="DL19" s="74">
        <v>9</v>
      </c>
      <c r="DM19" s="74">
        <v>9</v>
      </c>
    </row>
    <row r="20" spans="1:117" x14ac:dyDescent="0.35">
      <c r="A20" s="7"/>
      <c r="B20" s="8" t="s">
        <v>63</v>
      </c>
      <c r="C20" s="9" t="s">
        <v>64</v>
      </c>
      <c r="D20" s="10" t="s">
        <v>1158</v>
      </c>
      <c r="E20" s="8" t="s">
        <v>1203</v>
      </c>
      <c r="F20" s="10">
        <v>1002</v>
      </c>
      <c r="G20" s="10" t="s">
        <v>40</v>
      </c>
      <c r="H20" s="10" t="s">
        <v>41</v>
      </c>
      <c r="I20" s="11">
        <v>0</v>
      </c>
      <c r="J20" s="10"/>
      <c r="K20" s="10"/>
      <c r="L20" s="8"/>
      <c r="M20" s="12"/>
      <c r="N20" s="12">
        <f t="shared" si="0"/>
        <v>0</v>
      </c>
      <c r="O20" s="11">
        <v>0</v>
      </c>
      <c r="P20" s="11">
        <v>0</v>
      </c>
      <c r="Q20" s="11">
        <v>0</v>
      </c>
      <c r="R20" s="11">
        <v>0</v>
      </c>
      <c r="S20" s="11">
        <v>0</v>
      </c>
      <c r="T20" s="11">
        <v>0</v>
      </c>
      <c r="U20" s="11">
        <v>0</v>
      </c>
      <c r="V20" s="11">
        <v>0</v>
      </c>
      <c r="W20" s="11">
        <v>0</v>
      </c>
      <c r="X20" s="11">
        <v>0</v>
      </c>
      <c r="Y20" s="11">
        <v>0</v>
      </c>
      <c r="Z20" s="11">
        <v>0</v>
      </c>
      <c r="AA20" s="11">
        <v>0</v>
      </c>
      <c r="AB20" s="11">
        <v>0</v>
      </c>
      <c r="AC20" s="11">
        <v>0</v>
      </c>
      <c r="AD20" s="11">
        <v>0</v>
      </c>
      <c r="AE20" s="11">
        <v>0</v>
      </c>
      <c r="AF20" s="11">
        <v>0</v>
      </c>
      <c r="AG20" s="11">
        <v>0</v>
      </c>
      <c r="AH20" s="11">
        <v>0</v>
      </c>
      <c r="AI20" s="11">
        <v>0</v>
      </c>
      <c r="AJ20" s="11">
        <v>0</v>
      </c>
      <c r="AK20" s="15">
        <v>2</v>
      </c>
      <c r="AL20" s="15">
        <v>2</v>
      </c>
      <c r="AM20" s="15">
        <v>2</v>
      </c>
      <c r="AN20" s="73">
        <v>2</v>
      </c>
      <c r="AO20" s="73">
        <v>2</v>
      </c>
      <c r="AP20" s="73">
        <v>2</v>
      </c>
      <c r="AQ20" s="73">
        <v>2</v>
      </c>
      <c r="AR20" s="73">
        <v>0</v>
      </c>
      <c r="AS20" s="73">
        <v>0</v>
      </c>
      <c r="AT20" s="73">
        <v>0</v>
      </c>
      <c r="AU20" s="73">
        <v>0</v>
      </c>
      <c r="AV20" s="73">
        <v>0</v>
      </c>
      <c r="AW20" s="73">
        <v>0</v>
      </c>
      <c r="AX20" s="73">
        <v>0</v>
      </c>
      <c r="AY20" s="73">
        <v>0</v>
      </c>
      <c r="AZ20" s="73">
        <v>0</v>
      </c>
      <c r="BA20" s="73">
        <v>0</v>
      </c>
      <c r="BB20" s="73">
        <v>0</v>
      </c>
      <c r="BC20" s="73">
        <v>0</v>
      </c>
      <c r="BD20" s="73">
        <v>0</v>
      </c>
      <c r="BE20" s="73">
        <v>0</v>
      </c>
      <c r="BF20" s="73">
        <v>0</v>
      </c>
      <c r="BG20" s="73">
        <v>0</v>
      </c>
      <c r="BH20" s="73">
        <v>0</v>
      </c>
      <c r="BI20" s="73">
        <v>0</v>
      </c>
      <c r="BJ20" s="73">
        <v>0</v>
      </c>
      <c r="BK20" s="73">
        <v>0</v>
      </c>
      <c r="BL20" s="73">
        <v>0</v>
      </c>
      <c r="BM20" s="73">
        <v>0</v>
      </c>
      <c r="BN20" s="73">
        <v>0</v>
      </c>
      <c r="BO20" s="73">
        <v>0</v>
      </c>
      <c r="BP20" s="73">
        <v>0</v>
      </c>
      <c r="BQ20" s="73">
        <v>0</v>
      </c>
      <c r="BR20" s="73">
        <v>0</v>
      </c>
      <c r="BS20" s="73">
        <v>0</v>
      </c>
      <c r="BT20" s="73">
        <v>0</v>
      </c>
      <c r="BU20" s="73">
        <v>0</v>
      </c>
      <c r="BV20" s="73">
        <v>0</v>
      </c>
      <c r="BW20" s="73">
        <v>0</v>
      </c>
      <c r="BX20" s="73">
        <v>0</v>
      </c>
      <c r="BY20" s="73">
        <v>0</v>
      </c>
      <c r="BZ20" s="73">
        <v>0</v>
      </c>
      <c r="CA20" s="73">
        <v>0</v>
      </c>
      <c r="CB20" s="73">
        <v>0</v>
      </c>
      <c r="CC20" s="73">
        <v>0</v>
      </c>
      <c r="CD20" s="73">
        <v>0</v>
      </c>
      <c r="CE20" s="73">
        <v>0</v>
      </c>
      <c r="CF20" s="73">
        <v>0</v>
      </c>
      <c r="CG20" s="73">
        <v>0</v>
      </c>
      <c r="CH20" s="73">
        <v>0</v>
      </c>
      <c r="CI20" s="73">
        <v>0</v>
      </c>
      <c r="CJ20" s="73">
        <v>0</v>
      </c>
      <c r="CK20" s="73">
        <v>0</v>
      </c>
      <c r="CL20" s="73">
        <v>0</v>
      </c>
      <c r="CM20" s="73">
        <v>0</v>
      </c>
      <c r="CN20" s="73">
        <v>0</v>
      </c>
      <c r="CO20" s="73">
        <v>0</v>
      </c>
      <c r="CP20" s="73">
        <v>0</v>
      </c>
      <c r="CQ20" s="73">
        <v>0</v>
      </c>
      <c r="CR20" s="73">
        <v>0</v>
      </c>
      <c r="CS20" s="73">
        <v>0</v>
      </c>
      <c r="CT20" s="73">
        <v>0</v>
      </c>
      <c r="CU20" s="73">
        <v>0</v>
      </c>
      <c r="CV20" s="73">
        <v>0</v>
      </c>
      <c r="CW20" s="73">
        <v>0</v>
      </c>
      <c r="CX20" s="73">
        <v>0</v>
      </c>
      <c r="CY20" s="73">
        <v>0</v>
      </c>
      <c r="CZ20" s="73">
        <v>0</v>
      </c>
      <c r="DA20" s="73">
        <v>0</v>
      </c>
      <c r="DB20" s="73">
        <v>0</v>
      </c>
      <c r="DC20" s="73">
        <v>0</v>
      </c>
      <c r="DD20" s="73">
        <v>0</v>
      </c>
      <c r="DE20" s="73">
        <v>0</v>
      </c>
      <c r="DF20" s="73">
        <v>0</v>
      </c>
      <c r="DG20" s="73">
        <v>0</v>
      </c>
      <c r="DH20" s="73">
        <v>0</v>
      </c>
      <c r="DI20" s="73">
        <v>0</v>
      </c>
      <c r="DJ20" s="73">
        <v>0</v>
      </c>
      <c r="DK20" s="73">
        <v>0</v>
      </c>
      <c r="DL20" s="73">
        <v>0</v>
      </c>
      <c r="DM20" s="73">
        <v>0</v>
      </c>
    </row>
    <row r="21" spans="1:117" x14ac:dyDescent="0.35">
      <c r="A21" s="7"/>
      <c r="B21" s="8" t="s">
        <v>65</v>
      </c>
      <c r="C21" s="9" t="s">
        <v>66</v>
      </c>
      <c r="D21" s="10" t="s">
        <v>1158</v>
      </c>
      <c r="E21" s="8" t="s">
        <v>1221</v>
      </c>
      <c r="F21" s="10"/>
      <c r="G21" s="10" t="s">
        <v>40</v>
      </c>
      <c r="H21" s="10" t="s">
        <v>41</v>
      </c>
      <c r="I21" s="11">
        <v>0</v>
      </c>
      <c r="J21" s="10"/>
      <c r="K21" s="10"/>
      <c r="L21" s="8"/>
      <c r="M21" s="12"/>
      <c r="N21" s="12">
        <f t="shared" si="0"/>
        <v>0</v>
      </c>
      <c r="O21" s="11">
        <v>0</v>
      </c>
      <c r="P21" s="11">
        <v>0</v>
      </c>
      <c r="Q21" s="11">
        <v>0</v>
      </c>
      <c r="R21" s="11">
        <v>0</v>
      </c>
      <c r="S21" s="11">
        <v>0</v>
      </c>
      <c r="T21" s="11">
        <v>0</v>
      </c>
      <c r="U21" s="11">
        <v>0</v>
      </c>
      <c r="V21" s="11">
        <v>0</v>
      </c>
      <c r="W21" s="11">
        <v>0</v>
      </c>
      <c r="X21" s="11">
        <v>0</v>
      </c>
      <c r="Y21" s="11">
        <v>0</v>
      </c>
      <c r="Z21" s="11">
        <v>0</v>
      </c>
      <c r="AA21" s="11">
        <v>0</v>
      </c>
      <c r="AB21" s="11">
        <v>0</v>
      </c>
      <c r="AC21" s="11">
        <v>0</v>
      </c>
      <c r="AD21" s="11">
        <v>0</v>
      </c>
      <c r="AE21" s="11">
        <v>0</v>
      </c>
      <c r="AF21" s="11">
        <v>0</v>
      </c>
      <c r="AG21" s="11">
        <v>0</v>
      </c>
      <c r="AH21" s="11">
        <v>0</v>
      </c>
      <c r="AI21" s="11">
        <v>0</v>
      </c>
      <c r="AJ21" s="11">
        <v>0</v>
      </c>
      <c r="AK21" s="15">
        <v>20</v>
      </c>
      <c r="AL21" s="15">
        <v>20</v>
      </c>
      <c r="AM21" s="15">
        <v>20</v>
      </c>
      <c r="AN21" s="73">
        <v>20</v>
      </c>
      <c r="AO21" s="73">
        <v>20</v>
      </c>
      <c r="AP21" s="73">
        <v>20</v>
      </c>
      <c r="AQ21" s="73">
        <v>20</v>
      </c>
      <c r="AR21" s="73">
        <v>0</v>
      </c>
      <c r="AS21" s="73">
        <v>0</v>
      </c>
      <c r="AT21" s="73">
        <v>0</v>
      </c>
      <c r="AU21" s="73">
        <v>0</v>
      </c>
      <c r="AV21" s="73">
        <v>0</v>
      </c>
      <c r="AW21" s="73">
        <v>0</v>
      </c>
      <c r="AX21" s="73">
        <v>0</v>
      </c>
      <c r="AY21" s="73">
        <v>0</v>
      </c>
      <c r="AZ21" s="73">
        <v>0</v>
      </c>
      <c r="BA21" s="73">
        <v>0</v>
      </c>
      <c r="BB21" s="73">
        <v>0</v>
      </c>
      <c r="BC21" s="73">
        <v>0</v>
      </c>
      <c r="BD21" s="73">
        <v>0</v>
      </c>
      <c r="BE21" s="73">
        <v>0</v>
      </c>
      <c r="BF21" s="73">
        <v>0</v>
      </c>
      <c r="BG21" s="73">
        <v>0</v>
      </c>
      <c r="BH21" s="73">
        <v>0</v>
      </c>
      <c r="BI21" s="73">
        <v>0</v>
      </c>
      <c r="BJ21" s="73">
        <v>0</v>
      </c>
      <c r="BK21" s="73">
        <v>0</v>
      </c>
      <c r="BL21" s="73">
        <v>0</v>
      </c>
      <c r="BM21" s="73">
        <v>0</v>
      </c>
      <c r="BN21" s="73">
        <v>0</v>
      </c>
      <c r="BO21" s="73">
        <v>0</v>
      </c>
      <c r="BP21" s="73">
        <v>0</v>
      </c>
      <c r="BQ21" s="73">
        <v>0</v>
      </c>
      <c r="BR21" s="73">
        <v>0</v>
      </c>
      <c r="BS21" s="73">
        <v>0</v>
      </c>
      <c r="BT21" s="73">
        <v>0</v>
      </c>
      <c r="BU21" s="73">
        <v>0</v>
      </c>
      <c r="BV21" s="73">
        <v>0</v>
      </c>
      <c r="BW21" s="73">
        <v>0</v>
      </c>
      <c r="BX21" s="73">
        <v>0</v>
      </c>
      <c r="BY21" s="73">
        <v>0</v>
      </c>
      <c r="BZ21" s="73">
        <v>0</v>
      </c>
      <c r="CA21" s="73">
        <v>0</v>
      </c>
      <c r="CB21" s="73">
        <v>0</v>
      </c>
      <c r="CC21" s="73">
        <v>0</v>
      </c>
      <c r="CD21" s="73">
        <v>0</v>
      </c>
      <c r="CE21" s="73">
        <v>0</v>
      </c>
      <c r="CF21" s="73">
        <v>0</v>
      </c>
      <c r="CG21" s="73">
        <v>0</v>
      </c>
      <c r="CH21" s="73">
        <v>0</v>
      </c>
      <c r="CI21" s="73">
        <v>0</v>
      </c>
      <c r="CJ21" s="73">
        <v>0</v>
      </c>
      <c r="CK21" s="73">
        <v>0</v>
      </c>
      <c r="CL21" s="73">
        <v>0</v>
      </c>
      <c r="CM21" s="73">
        <v>0</v>
      </c>
      <c r="CN21" s="73">
        <v>0</v>
      </c>
      <c r="CO21" s="73">
        <v>0</v>
      </c>
      <c r="CP21" s="73">
        <v>0</v>
      </c>
      <c r="CQ21" s="73">
        <v>0</v>
      </c>
      <c r="CR21" s="73">
        <v>0</v>
      </c>
      <c r="CS21" s="73">
        <v>0</v>
      </c>
      <c r="CT21" s="73">
        <v>0</v>
      </c>
      <c r="CU21" s="73">
        <v>0</v>
      </c>
      <c r="CV21" s="73">
        <v>0</v>
      </c>
      <c r="CW21" s="73">
        <v>0</v>
      </c>
      <c r="CX21" s="73">
        <v>0</v>
      </c>
      <c r="CY21" s="73">
        <v>0</v>
      </c>
      <c r="CZ21" s="73">
        <v>0</v>
      </c>
      <c r="DA21" s="73">
        <v>0</v>
      </c>
      <c r="DB21" s="73">
        <v>0</v>
      </c>
      <c r="DC21" s="73">
        <v>0</v>
      </c>
      <c r="DD21" s="73">
        <v>0</v>
      </c>
      <c r="DE21" s="73">
        <v>0</v>
      </c>
      <c r="DF21" s="73">
        <v>0</v>
      </c>
      <c r="DG21" s="73">
        <v>0</v>
      </c>
      <c r="DH21" s="73">
        <v>0</v>
      </c>
      <c r="DI21" s="73">
        <v>0</v>
      </c>
      <c r="DJ21" s="73">
        <v>0</v>
      </c>
      <c r="DK21" s="73">
        <v>0</v>
      </c>
      <c r="DL21" s="73">
        <v>0</v>
      </c>
      <c r="DM21" s="73">
        <v>0</v>
      </c>
    </row>
    <row r="22" spans="1:117" x14ac:dyDescent="0.35">
      <c r="A22" s="7"/>
      <c r="B22" s="8" t="s">
        <v>67</v>
      </c>
      <c r="C22" s="93" t="s">
        <v>1340</v>
      </c>
      <c r="D22" s="10" t="s">
        <v>1158</v>
      </c>
      <c r="E22" s="8" t="s">
        <v>1221</v>
      </c>
      <c r="F22" s="10"/>
      <c r="G22" s="10" t="s">
        <v>40</v>
      </c>
      <c r="H22" s="10" t="s">
        <v>41</v>
      </c>
      <c r="I22" s="11">
        <v>0</v>
      </c>
      <c r="J22" s="10"/>
      <c r="K22" s="10"/>
      <c r="L22" s="8"/>
      <c r="M22" s="12"/>
      <c r="N22" s="12">
        <f t="shared" si="0"/>
        <v>0</v>
      </c>
      <c r="O22" s="11">
        <v>0</v>
      </c>
      <c r="P22" s="11">
        <v>0</v>
      </c>
      <c r="Q22" s="11">
        <v>0</v>
      </c>
      <c r="R22" s="11">
        <v>0</v>
      </c>
      <c r="S22" s="11">
        <v>0</v>
      </c>
      <c r="T22" s="11">
        <v>0</v>
      </c>
      <c r="U22" s="11">
        <v>0</v>
      </c>
      <c r="V22" s="11">
        <v>0</v>
      </c>
      <c r="W22" s="11">
        <v>0</v>
      </c>
      <c r="X22" s="11">
        <v>0</v>
      </c>
      <c r="Y22" s="11">
        <v>0</v>
      </c>
      <c r="Z22" s="11">
        <v>0</v>
      </c>
      <c r="AA22" s="11">
        <v>0</v>
      </c>
      <c r="AB22" s="11">
        <v>0</v>
      </c>
      <c r="AC22" s="11">
        <v>0</v>
      </c>
      <c r="AD22" s="11">
        <v>0</v>
      </c>
      <c r="AE22" s="11">
        <v>0</v>
      </c>
      <c r="AF22" s="11">
        <v>0</v>
      </c>
      <c r="AG22" s="11">
        <v>0</v>
      </c>
      <c r="AH22" s="11">
        <v>0</v>
      </c>
      <c r="AI22" s="11">
        <v>0</v>
      </c>
      <c r="AJ22" s="11">
        <v>0</v>
      </c>
      <c r="AK22" s="15">
        <v>20</v>
      </c>
      <c r="AL22" s="15">
        <v>20</v>
      </c>
      <c r="AM22" s="15">
        <v>20</v>
      </c>
      <c r="AN22" s="73">
        <v>20</v>
      </c>
      <c r="AO22" s="73">
        <v>20</v>
      </c>
      <c r="AP22" s="73">
        <v>20</v>
      </c>
      <c r="AQ22" s="73">
        <v>20</v>
      </c>
      <c r="AR22" s="73">
        <v>0</v>
      </c>
      <c r="AS22" s="73">
        <v>0</v>
      </c>
      <c r="AT22" s="73">
        <v>0</v>
      </c>
      <c r="AU22" s="73">
        <v>0</v>
      </c>
      <c r="AV22" s="73">
        <v>0</v>
      </c>
      <c r="AW22" s="73">
        <v>0</v>
      </c>
      <c r="AX22" s="73">
        <v>0</v>
      </c>
      <c r="AY22" s="73">
        <v>0</v>
      </c>
      <c r="AZ22" s="73">
        <v>0</v>
      </c>
      <c r="BA22" s="73">
        <v>0</v>
      </c>
      <c r="BB22" s="73">
        <v>0</v>
      </c>
      <c r="BC22" s="73">
        <v>0</v>
      </c>
      <c r="BD22" s="73">
        <v>0</v>
      </c>
      <c r="BE22" s="73">
        <v>0</v>
      </c>
      <c r="BF22" s="73">
        <v>0</v>
      </c>
      <c r="BG22" s="73">
        <v>0</v>
      </c>
      <c r="BH22" s="73">
        <v>0</v>
      </c>
      <c r="BI22" s="73">
        <v>0</v>
      </c>
      <c r="BJ22" s="73">
        <v>0</v>
      </c>
      <c r="BK22" s="73">
        <v>0</v>
      </c>
      <c r="BL22" s="73">
        <v>0</v>
      </c>
      <c r="BM22" s="73">
        <v>0</v>
      </c>
      <c r="BN22" s="73">
        <v>0</v>
      </c>
      <c r="BO22" s="73">
        <v>0</v>
      </c>
      <c r="BP22" s="73">
        <v>0</v>
      </c>
      <c r="BQ22" s="73">
        <v>0</v>
      </c>
      <c r="BR22" s="73">
        <v>0</v>
      </c>
      <c r="BS22" s="73">
        <v>0</v>
      </c>
      <c r="BT22" s="73">
        <v>0</v>
      </c>
      <c r="BU22" s="73">
        <v>0</v>
      </c>
      <c r="BV22" s="73">
        <v>0</v>
      </c>
      <c r="BW22" s="73">
        <v>0</v>
      </c>
      <c r="BX22" s="73">
        <v>0</v>
      </c>
      <c r="BY22" s="73">
        <v>0</v>
      </c>
      <c r="BZ22" s="73">
        <v>0</v>
      </c>
      <c r="CA22" s="73">
        <v>0</v>
      </c>
      <c r="CB22" s="73">
        <v>0</v>
      </c>
      <c r="CC22" s="73">
        <v>0</v>
      </c>
      <c r="CD22" s="73">
        <v>0</v>
      </c>
      <c r="CE22" s="73">
        <v>0</v>
      </c>
      <c r="CF22" s="73">
        <v>0</v>
      </c>
      <c r="CG22" s="73">
        <v>0</v>
      </c>
      <c r="CH22" s="73">
        <v>0</v>
      </c>
      <c r="CI22" s="73">
        <v>0</v>
      </c>
      <c r="CJ22" s="73">
        <v>0</v>
      </c>
      <c r="CK22" s="73">
        <v>0</v>
      </c>
      <c r="CL22" s="73">
        <v>0</v>
      </c>
      <c r="CM22" s="73">
        <v>0</v>
      </c>
      <c r="CN22" s="73">
        <v>0</v>
      </c>
      <c r="CO22" s="73">
        <v>0</v>
      </c>
      <c r="CP22" s="73">
        <v>0</v>
      </c>
      <c r="CQ22" s="73">
        <v>0</v>
      </c>
      <c r="CR22" s="73">
        <v>0</v>
      </c>
      <c r="CS22" s="73">
        <v>0</v>
      </c>
      <c r="CT22" s="73">
        <v>0</v>
      </c>
      <c r="CU22" s="73">
        <v>0</v>
      </c>
      <c r="CV22" s="73">
        <v>0</v>
      </c>
      <c r="CW22" s="73">
        <v>0</v>
      </c>
      <c r="CX22" s="73">
        <v>0</v>
      </c>
      <c r="CY22" s="73">
        <v>0</v>
      </c>
      <c r="CZ22" s="73">
        <v>0</v>
      </c>
      <c r="DA22" s="73">
        <v>0</v>
      </c>
      <c r="DB22" s="73">
        <v>0</v>
      </c>
      <c r="DC22" s="73">
        <v>0</v>
      </c>
      <c r="DD22" s="73">
        <v>0</v>
      </c>
      <c r="DE22" s="73">
        <v>0</v>
      </c>
      <c r="DF22" s="73">
        <v>0</v>
      </c>
      <c r="DG22" s="73">
        <v>0</v>
      </c>
      <c r="DH22" s="73">
        <v>0</v>
      </c>
      <c r="DI22" s="73">
        <v>0</v>
      </c>
      <c r="DJ22" s="73">
        <v>0</v>
      </c>
      <c r="DK22" s="73">
        <v>0</v>
      </c>
      <c r="DL22" s="73">
        <v>0</v>
      </c>
      <c r="DM22" s="73">
        <v>0</v>
      </c>
    </row>
    <row r="23" spans="1:117" x14ac:dyDescent="0.35">
      <c r="A23" s="7"/>
      <c r="B23" s="8" t="s">
        <v>68</v>
      </c>
      <c r="C23" s="9" t="s">
        <v>69</v>
      </c>
      <c r="D23" s="10" t="s">
        <v>1158</v>
      </c>
      <c r="E23" s="8" t="s">
        <v>1221</v>
      </c>
      <c r="F23" s="10"/>
      <c r="G23" s="10" t="s">
        <v>40</v>
      </c>
      <c r="H23" s="10" t="s">
        <v>41</v>
      </c>
      <c r="I23" s="11">
        <v>0</v>
      </c>
      <c r="J23" s="10"/>
      <c r="K23" s="10"/>
      <c r="L23" s="8"/>
      <c r="M23" s="12"/>
      <c r="N23" s="12">
        <f t="shared" si="0"/>
        <v>0</v>
      </c>
      <c r="O23" s="11">
        <v>0</v>
      </c>
      <c r="P23" s="11">
        <v>0</v>
      </c>
      <c r="Q23" s="11">
        <v>0</v>
      </c>
      <c r="R23" s="11">
        <v>0</v>
      </c>
      <c r="S23" s="11">
        <v>0</v>
      </c>
      <c r="T23" s="11">
        <v>0</v>
      </c>
      <c r="U23" s="11">
        <v>0</v>
      </c>
      <c r="V23" s="11">
        <v>0</v>
      </c>
      <c r="W23" s="11">
        <v>0</v>
      </c>
      <c r="X23" s="11">
        <v>0</v>
      </c>
      <c r="Y23" s="11">
        <v>0</v>
      </c>
      <c r="Z23" s="11">
        <v>0</v>
      </c>
      <c r="AA23" s="11">
        <v>0</v>
      </c>
      <c r="AB23" s="11">
        <v>0</v>
      </c>
      <c r="AC23" s="11">
        <v>0</v>
      </c>
      <c r="AD23" s="11">
        <v>0</v>
      </c>
      <c r="AE23" s="11">
        <v>0</v>
      </c>
      <c r="AF23" s="11">
        <v>0</v>
      </c>
      <c r="AG23" s="11">
        <v>0</v>
      </c>
      <c r="AH23" s="11">
        <v>0</v>
      </c>
      <c r="AI23" s="11">
        <v>0</v>
      </c>
      <c r="AJ23" s="11">
        <v>0</v>
      </c>
      <c r="AK23" s="15">
        <v>2</v>
      </c>
      <c r="AL23" s="15">
        <v>2</v>
      </c>
      <c r="AM23" s="15">
        <v>2</v>
      </c>
      <c r="AN23" s="73">
        <v>2</v>
      </c>
      <c r="AO23" s="73">
        <v>2</v>
      </c>
      <c r="AP23" s="73">
        <v>2</v>
      </c>
      <c r="AQ23" s="73">
        <v>2</v>
      </c>
      <c r="AR23" s="73">
        <v>0</v>
      </c>
      <c r="AS23" s="73">
        <v>0</v>
      </c>
      <c r="AT23" s="73">
        <v>0</v>
      </c>
      <c r="AU23" s="73">
        <v>0</v>
      </c>
      <c r="AV23" s="73">
        <v>0</v>
      </c>
      <c r="AW23" s="73">
        <v>0</v>
      </c>
      <c r="AX23" s="73">
        <v>0</v>
      </c>
      <c r="AY23" s="73">
        <v>0</v>
      </c>
      <c r="AZ23" s="73">
        <v>0</v>
      </c>
      <c r="BA23" s="73">
        <v>0</v>
      </c>
      <c r="BB23" s="73">
        <v>0</v>
      </c>
      <c r="BC23" s="73">
        <v>0</v>
      </c>
      <c r="BD23" s="73">
        <v>0</v>
      </c>
      <c r="BE23" s="73">
        <v>0</v>
      </c>
      <c r="BF23" s="73">
        <v>0</v>
      </c>
      <c r="BG23" s="73">
        <v>0</v>
      </c>
      <c r="BH23" s="73">
        <v>0</v>
      </c>
      <c r="BI23" s="73">
        <v>0</v>
      </c>
      <c r="BJ23" s="73">
        <v>0</v>
      </c>
      <c r="BK23" s="73">
        <v>0</v>
      </c>
      <c r="BL23" s="73">
        <v>0</v>
      </c>
      <c r="BM23" s="73">
        <v>0</v>
      </c>
      <c r="BN23" s="73">
        <v>0</v>
      </c>
      <c r="BO23" s="73">
        <v>0</v>
      </c>
      <c r="BP23" s="73">
        <v>0</v>
      </c>
      <c r="BQ23" s="73">
        <v>0</v>
      </c>
      <c r="BR23" s="73">
        <v>0</v>
      </c>
      <c r="BS23" s="73">
        <v>0</v>
      </c>
      <c r="BT23" s="73">
        <v>0</v>
      </c>
      <c r="BU23" s="73">
        <v>0</v>
      </c>
      <c r="BV23" s="73">
        <v>0</v>
      </c>
      <c r="BW23" s="73">
        <v>0</v>
      </c>
      <c r="BX23" s="73">
        <v>0</v>
      </c>
      <c r="BY23" s="73">
        <v>0</v>
      </c>
      <c r="BZ23" s="73">
        <v>0</v>
      </c>
      <c r="CA23" s="73">
        <v>0</v>
      </c>
      <c r="CB23" s="73">
        <v>0</v>
      </c>
      <c r="CC23" s="73">
        <v>0</v>
      </c>
      <c r="CD23" s="73">
        <v>0</v>
      </c>
      <c r="CE23" s="73">
        <v>0</v>
      </c>
      <c r="CF23" s="73">
        <v>0</v>
      </c>
      <c r="CG23" s="73">
        <v>0</v>
      </c>
      <c r="CH23" s="73">
        <v>0</v>
      </c>
      <c r="CI23" s="73">
        <v>0</v>
      </c>
      <c r="CJ23" s="73">
        <v>0</v>
      </c>
      <c r="CK23" s="73">
        <v>0</v>
      </c>
      <c r="CL23" s="73">
        <v>0</v>
      </c>
      <c r="CM23" s="73">
        <v>0</v>
      </c>
      <c r="CN23" s="73">
        <v>0</v>
      </c>
      <c r="CO23" s="73">
        <v>0</v>
      </c>
      <c r="CP23" s="73">
        <v>0</v>
      </c>
      <c r="CQ23" s="73">
        <v>0</v>
      </c>
      <c r="CR23" s="73">
        <v>0</v>
      </c>
      <c r="CS23" s="73">
        <v>0</v>
      </c>
      <c r="CT23" s="73">
        <v>0</v>
      </c>
      <c r="CU23" s="73">
        <v>0</v>
      </c>
      <c r="CV23" s="73">
        <v>0</v>
      </c>
      <c r="CW23" s="73">
        <v>0</v>
      </c>
      <c r="CX23" s="73">
        <v>0</v>
      </c>
      <c r="CY23" s="73">
        <v>0</v>
      </c>
      <c r="CZ23" s="73">
        <v>0</v>
      </c>
      <c r="DA23" s="73">
        <v>0</v>
      </c>
      <c r="DB23" s="73">
        <v>0</v>
      </c>
      <c r="DC23" s="73">
        <v>0</v>
      </c>
      <c r="DD23" s="73">
        <v>0</v>
      </c>
      <c r="DE23" s="73">
        <v>0</v>
      </c>
      <c r="DF23" s="73">
        <v>0</v>
      </c>
      <c r="DG23" s="73">
        <v>0</v>
      </c>
      <c r="DH23" s="73">
        <v>0</v>
      </c>
      <c r="DI23" s="73">
        <v>0</v>
      </c>
      <c r="DJ23" s="73">
        <v>0</v>
      </c>
      <c r="DK23" s="73">
        <v>0</v>
      </c>
      <c r="DL23" s="73">
        <v>0</v>
      </c>
      <c r="DM23" s="73">
        <v>0</v>
      </c>
    </row>
    <row r="24" spans="1:117" x14ac:dyDescent="0.35">
      <c r="A24" s="7"/>
      <c r="B24" s="8" t="s">
        <v>70</v>
      </c>
      <c r="C24" s="9" t="s">
        <v>1188</v>
      </c>
      <c r="D24" s="10" t="s">
        <v>1158</v>
      </c>
      <c r="E24" s="8" t="s">
        <v>1207</v>
      </c>
      <c r="F24" s="10">
        <v>1006</v>
      </c>
      <c r="G24" s="10" t="s">
        <v>40</v>
      </c>
      <c r="H24" s="10" t="s">
        <v>41</v>
      </c>
      <c r="I24" s="11">
        <v>0</v>
      </c>
      <c r="J24" s="10"/>
      <c r="K24" s="10"/>
      <c r="L24" s="8"/>
      <c r="M24" s="12"/>
      <c r="N24" s="12">
        <f t="shared" si="0"/>
        <v>0</v>
      </c>
      <c r="O24" s="11">
        <v>0</v>
      </c>
      <c r="P24" s="11">
        <v>0</v>
      </c>
      <c r="Q24" s="11">
        <v>0</v>
      </c>
      <c r="R24" s="11">
        <v>0</v>
      </c>
      <c r="S24" s="11">
        <v>0</v>
      </c>
      <c r="T24" s="11">
        <v>0</v>
      </c>
      <c r="U24" s="11">
        <v>0</v>
      </c>
      <c r="V24" s="11">
        <v>0</v>
      </c>
      <c r="W24" s="11">
        <v>0</v>
      </c>
      <c r="X24" s="11">
        <v>0</v>
      </c>
      <c r="Y24" s="11">
        <v>0</v>
      </c>
      <c r="Z24" s="11">
        <v>0</v>
      </c>
      <c r="AA24" s="11">
        <v>0</v>
      </c>
      <c r="AB24" s="11">
        <v>0</v>
      </c>
      <c r="AC24" s="11">
        <v>0</v>
      </c>
      <c r="AD24" s="11">
        <v>0</v>
      </c>
      <c r="AE24" s="11">
        <v>0</v>
      </c>
      <c r="AF24" s="11">
        <v>0</v>
      </c>
      <c r="AG24" s="11">
        <v>0</v>
      </c>
      <c r="AH24" s="11">
        <v>0</v>
      </c>
      <c r="AI24" s="11">
        <v>0</v>
      </c>
      <c r="AJ24" s="11">
        <v>0</v>
      </c>
      <c r="AK24" s="15">
        <v>52</v>
      </c>
      <c r="AL24" s="15">
        <v>52</v>
      </c>
      <c r="AM24" s="15">
        <v>52</v>
      </c>
      <c r="AN24" s="73">
        <v>52</v>
      </c>
      <c r="AO24" s="73">
        <v>52</v>
      </c>
      <c r="AP24" s="73">
        <v>52</v>
      </c>
      <c r="AQ24" s="73">
        <v>52</v>
      </c>
      <c r="AR24" s="73">
        <v>0</v>
      </c>
      <c r="AS24" s="73">
        <v>0</v>
      </c>
      <c r="AT24" s="73">
        <v>0</v>
      </c>
      <c r="AU24" s="73">
        <v>0</v>
      </c>
      <c r="AV24" s="73">
        <v>0</v>
      </c>
      <c r="AW24" s="73">
        <v>0</v>
      </c>
      <c r="AX24" s="73">
        <v>0</v>
      </c>
      <c r="AY24" s="73">
        <v>0</v>
      </c>
      <c r="AZ24" s="73">
        <v>0</v>
      </c>
      <c r="BA24" s="73">
        <v>0</v>
      </c>
      <c r="BB24" s="73">
        <v>0</v>
      </c>
      <c r="BC24" s="73">
        <v>0</v>
      </c>
      <c r="BD24" s="73">
        <v>0</v>
      </c>
      <c r="BE24" s="73">
        <v>0</v>
      </c>
      <c r="BF24" s="73">
        <v>0</v>
      </c>
      <c r="BG24" s="73">
        <v>0</v>
      </c>
      <c r="BH24" s="73">
        <v>0</v>
      </c>
      <c r="BI24" s="73">
        <v>0</v>
      </c>
      <c r="BJ24" s="73">
        <v>0</v>
      </c>
      <c r="BK24" s="73">
        <v>0</v>
      </c>
      <c r="BL24" s="73">
        <v>0</v>
      </c>
      <c r="BM24" s="73">
        <v>0</v>
      </c>
      <c r="BN24" s="73">
        <v>0</v>
      </c>
      <c r="BO24" s="73">
        <v>0</v>
      </c>
      <c r="BP24" s="73">
        <v>0</v>
      </c>
      <c r="BQ24" s="73">
        <v>0</v>
      </c>
      <c r="BR24" s="73">
        <v>0</v>
      </c>
      <c r="BS24" s="73">
        <v>0</v>
      </c>
      <c r="BT24" s="73">
        <v>0</v>
      </c>
      <c r="BU24" s="73">
        <v>0</v>
      </c>
      <c r="BV24" s="73">
        <v>0</v>
      </c>
      <c r="BW24" s="73">
        <v>0</v>
      </c>
      <c r="BX24" s="73">
        <v>0</v>
      </c>
      <c r="BY24" s="73">
        <v>0</v>
      </c>
      <c r="BZ24" s="73">
        <v>0</v>
      </c>
      <c r="CA24" s="73">
        <v>0</v>
      </c>
      <c r="CB24" s="73">
        <v>0</v>
      </c>
      <c r="CC24" s="73">
        <v>0</v>
      </c>
      <c r="CD24" s="73">
        <v>0</v>
      </c>
      <c r="CE24" s="73">
        <v>0</v>
      </c>
      <c r="CF24" s="73">
        <v>0</v>
      </c>
      <c r="CG24" s="73">
        <v>0</v>
      </c>
      <c r="CH24" s="73">
        <v>0</v>
      </c>
      <c r="CI24" s="73">
        <v>0</v>
      </c>
      <c r="CJ24" s="73">
        <v>0</v>
      </c>
      <c r="CK24" s="73">
        <v>0</v>
      </c>
      <c r="CL24" s="73">
        <v>0</v>
      </c>
      <c r="CM24" s="73">
        <v>0</v>
      </c>
      <c r="CN24" s="73">
        <v>0</v>
      </c>
      <c r="CO24" s="73">
        <v>0</v>
      </c>
      <c r="CP24" s="73">
        <v>0</v>
      </c>
      <c r="CQ24" s="73">
        <v>0</v>
      </c>
      <c r="CR24" s="73">
        <v>0</v>
      </c>
      <c r="CS24" s="73">
        <v>0</v>
      </c>
      <c r="CT24" s="73">
        <v>0</v>
      </c>
      <c r="CU24" s="73">
        <v>0</v>
      </c>
      <c r="CV24" s="73">
        <v>0</v>
      </c>
      <c r="CW24" s="73">
        <v>0</v>
      </c>
      <c r="CX24" s="73">
        <v>0</v>
      </c>
      <c r="CY24" s="73">
        <v>0</v>
      </c>
      <c r="CZ24" s="73">
        <v>0</v>
      </c>
      <c r="DA24" s="73">
        <v>0</v>
      </c>
      <c r="DB24" s="73">
        <v>0</v>
      </c>
      <c r="DC24" s="73">
        <v>0</v>
      </c>
      <c r="DD24" s="73">
        <v>0</v>
      </c>
      <c r="DE24" s="73">
        <v>0</v>
      </c>
      <c r="DF24" s="73">
        <v>0</v>
      </c>
      <c r="DG24" s="73">
        <v>0</v>
      </c>
      <c r="DH24" s="73">
        <v>0</v>
      </c>
      <c r="DI24" s="73">
        <v>0</v>
      </c>
      <c r="DJ24" s="73">
        <v>0</v>
      </c>
      <c r="DK24" s="73">
        <v>0</v>
      </c>
      <c r="DL24" s="73">
        <v>0</v>
      </c>
      <c r="DM24" s="73">
        <v>0</v>
      </c>
    </row>
    <row r="25" spans="1:117" x14ac:dyDescent="0.35">
      <c r="A25" s="7"/>
      <c r="B25" s="77" t="s">
        <v>921</v>
      </c>
      <c r="C25" s="9" t="s">
        <v>1464</v>
      </c>
      <c r="D25" s="10" t="s">
        <v>85</v>
      </c>
      <c r="E25" s="8" t="s">
        <v>1207</v>
      </c>
      <c r="F25" s="10"/>
      <c r="G25" s="10"/>
      <c r="H25" s="10" t="s">
        <v>41</v>
      </c>
      <c r="I25" s="11"/>
      <c r="J25" s="10"/>
      <c r="K25" s="10"/>
      <c r="L25" s="8"/>
      <c r="M25" s="12">
        <v>78.48</v>
      </c>
      <c r="N25" s="12">
        <f t="shared" si="0"/>
        <v>156.96</v>
      </c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5"/>
      <c r="AL25" s="15"/>
      <c r="AM25" s="15"/>
      <c r="AN25" s="73"/>
      <c r="AO25" s="73"/>
      <c r="AP25" s="73"/>
      <c r="AQ25" s="73"/>
      <c r="AR25" s="73"/>
      <c r="AS25" s="73"/>
      <c r="AT25" s="73"/>
      <c r="AU25" s="73"/>
      <c r="AV25" s="73"/>
      <c r="AW25" s="73"/>
      <c r="AX25" s="73"/>
      <c r="AY25" s="73"/>
      <c r="AZ25" s="73"/>
      <c r="BA25" s="73"/>
      <c r="BB25" s="73"/>
      <c r="BC25" s="73"/>
      <c r="BD25" s="73"/>
      <c r="BE25" s="73"/>
      <c r="BF25" s="73"/>
      <c r="BG25" s="73"/>
      <c r="BH25" s="73"/>
      <c r="BI25" s="73"/>
      <c r="BJ25" s="73"/>
      <c r="BK25" s="73"/>
      <c r="BL25" s="73"/>
      <c r="BM25" s="73"/>
      <c r="BN25" s="73"/>
      <c r="BO25" s="73"/>
      <c r="BP25" s="73"/>
      <c r="BQ25" s="73"/>
      <c r="BR25" s="73"/>
      <c r="BS25" s="73"/>
      <c r="BT25" s="73"/>
      <c r="BU25" s="73"/>
      <c r="BV25" s="73"/>
      <c r="BW25" s="73"/>
      <c r="BX25" s="73"/>
      <c r="BY25" s="73"/>
      <c r="BZ25" s="73"/>
      <c r="CA25" s="73">
        <v>3</v>
      </c>
      <c r="CB25" s="73">
        <v>2</v>
      </c>
      <c r="CC25" s="73">
        <v>2</v>
      </c>
      <c r="CD25" s="73">
        <v>2</v>
      </c>
      <c r="CE25" s="73">
        <v>2</v>
      </c>
      <c r="CF25" s="73">
        <v>2</v>
      </c>
      <c r="CG25" s="73">
        <v>2</v>
      </c>
      <c r="CH25" s="73">
        <v>2</v>
      </c>
      <c r="CI25" s="73">
        <v>2</v>
      </c>
      <c r="CJ25" s="73">
        <v>2</v>
      </c>
      <c r="CK25" s="73">
        <v>2</v>
      </c>
      <c r="CL25" s="73">
        <v>2</v>
      </c>
      <c r="CM25" s="73">
        <v>2</v>
      </c>
      <c r="CN25" s="73">
        <v>2</v>
      </c>
      <c r="CO25" s="73">
        <v>2</v>
      </c>
      <c r="CP25" s="73">
        <v>2</v>
      </c>
      <c r="CQ25" s="73">
        <v>2</v>
      </c>
      <c r="CR25" s="73">
        <v>2</v>
      </c>
      <c r="CS25" s="73">
        <v>2</v>
      </c>
      <c r="CT25" s="73">
        <v>2</v>
      </c>
      <c r="CU25" s="73">
        <v>2</v>
      </c>
      <c r="CV25" s="73">
        <v>2</v>
      </c>
      <c r="CW25" s="73">
        <v>2</v>
      </c>
      <c r="CX25" s="73">
        <v>2</v>
      </c>
      <c r="CY25" s="73">
        <v>2</v>
      </c>
      <c r="CZ25" s="73">
        <v>2</v>
      </c>
      <c r="DA25" s="73">
        <v>2</v>
      </c>
      <c r="DB25" s="73">
        <v>2</v>
      </c>
      <c r="DC25" s="73">
        <v>2</v>
      </c>
      <c r="DD25" s="73">
        <v>2</v>
      </c>
      <c r="DE25" s="73">
        <v>2</v>
      </c>
      <c r="DF25" s="73">
        <v>2</v>
      </c>
      <c r="DG25" s="73">
        <v>2</v>
      </c>
      <c r="DH25" s="73">
        <v>2</v>
      </c>
      <c r="DI25" s="73">
        <v>2</v>
      </c>
      <c r="DJ25" s="73">
        <v>2</v>
      </c>
      <c r="DK25" s="73">
        <v>2</v>
      </c>
      <c r="DL25" s="73">
        <v>2</v>
      </c>
      <c r="DM25" s="73">
        <v>2</v>
      </c>
    </row>
    <row r="26" spans="1:117" x14ac:dyDescent="0.35">
      <c r="A26" s="7"/>
      <c r="B26" s="8" t="s">
        <v>83</v>
      </c>
      <c r="C26" s="9" t="s">
        <v>84</v>
      </c>
      <c r="D26" s="10" t="s">
        <v>85</v>
      </c>
      <c r="E26" s="8" t="s">
        <v>1208</v>
      </c>
      <c r="F26" s="10">
        <v>1102</v>
      </c>
      <c r="G26" s="10" t="s">
        <v>40</v>
      </c>
      <c r="H26" s="10" t="s">
        <v>41</v>
      </c>
      <c r="I26" s="11">
        <v>1</v>
      </c>
      <c r="J26" s="10"/>
      <c r="K26" s="10"/>
      <c r="L26" s="8"/>
      <c r="M26" s="12">
        <v>6.36</v>
      </c>
      <c r="N26" s="12">
        <f t="shared" si="0"/>
        <v>6.36</v>
      </c>
      <c r="O26" s="11">
        <v>1</v>
      </c>
      <c r="P26" s="11">
        <v>1</v>
      </c>
      <c r="Q26" s="11">
        <v>1</v>
      </c>
      <c r="R26" s="11">
        <v>1</v>
      </c>
      <c r="S26" s="11">
        <v>1</v>
      </c>
      <c r="T26" s="11">
        <v>1</v>
      </c>
      <c r="U26" s="11">
        <v>1</v>
      </c>
      <c r="V26" s="11">
        <v>1</v>
      </c>
      <c r="W26" s="11">
        <v>1</v>
      </c>
      <c r="X26" s="11">
        <v>1</v>
      </c>
      <c r="Y26" s="11">
        <v>1</v>
      </c>
      <c r="Z26" s="11">
        <v>1</v>
      </c>
      <c r="AA26" s="11">
        <v>1</v>
      </c>
      <c r="AB26" s="11">
        <v>1</v>
      </c>
      <c r="AC26" s="11">
        <v>1</v>
      </c>
      <c r="AD26" s="11">
        <v>1</v>
      </c>
      <c r="AE26" s="11">
        <v>1</v>
      </c>
      <c r="AF26" s="11">
        <v>1</v>
      </c>
      <c r="AG26" s="11">
        <v>1</v>
      </c>
      <c r="AH26" s="11">
        <v>1</v>
      </c>
      <c r="AI26" s="11">
        <v>1</v>
      </c>
      <c r="AJ26" s="11">
        <v>1</v>
      </c>
      <c r="AK26" s="11">
        <v>1</v>
      </c>
      <c r="AL26" s="11">
        <v>1</v>
      </c>
      <c r="AM26" s="11">
        <v>1</v>
      </c>
      <c r="AN26" s="72">
        <v>1</v>
      </c>
      <c r="AO26" s="72">
        <v>1</v>
      </c>
      <c r="AP26" s="72">
        <v>1</v>
      </c>
      <c r="AQ26" s="72">
        <v>1</v>
      </c>
      <c r="AR26" s="72">
        <v>1</v>
      </c>
      <c r="AS26" s="72">
        <v>1</v>
      </c>
      <c r="AT26" s="72">
        <v>1</v>
      </c>
      <c r="AU26" s="72">
        <v>1</v>
      </c>
      <c r="AV26" s="72">
        <v>1</v>
      </c>
      <c r="AW26" s="72">
        <v>1</v>
      </c>
      <c r="AX26" s="72">
        <v>1</v>
      </c>
      <c r="AY26" s="72">
        <v>1</v>
      </c>
      <c r="AZ26" s="72">
        <v>1</v>
      </c>
      <c r="BA26" s="72">
        <v>1</v>
      </c>
      <c r="BB26" s="72">
        <v>1</v>
      </c>
      <c r="BC26" s="72">
        <v>1</v>
      </c>
      <c r="BD26" s="72">
        <v>1</v>
      </c>
      <c r="BE26" s="72">
        <v>1</v>
      </c>
      <c r="BF26" s="72">
        <v>1</v>
      </c>
      <c r="BG26" s="72">
        <v>1</v>
      </c>
      <c r="BH26" s="72">
        <v>1</v>
      </c>
      <c r="BI26" s="72">
        <v>1</v>
      </c>
      <c r="BJ26" s="72">
        <v>1</v>
      </c>
      <c r="BK26" s="72">
        <v>1</v>
      </c>
      <c r="BL26" s="72">
        <v>1</v>
      </c>
      <c r="BM26" s="72">
        <v>1</v>
      </c>
      <c r="BN26" s="72">
        <v>1</v>
      </c>
      <c r="BO26" s="72">
        <v>1</v>
      </c>
      <c r="BP26" s="72">
        <v>1</v>
      </c>
      <c r="BQ26" s="72">
        <v>1</v>
      </c>
      <c r="BR26" s="72">
        <v>1</v>
      </c>
      <c r="BS26" s="72">
        <v>1</v>
      </c>
      <c r="BT26" s="72">
        <v>1</v>
      </c>
      <c r="BU26" s="72">
        <v>1</v>
      </c>
      <c r="BV26" s="72">
        <v>1</v>
      </c>
      <c r="BW26" s="72">
        <v>1</v>
      </c>
      <c r="BX26" s="72">
        <v>1</v>
      </c>
      <c r="BY26" s="72">
        <v>1</v>
      </c>
      <c r="BZ26" s="72">
        <v>1</v>
      </c>
      <c r="CA26" s="72">
        <v>1</v>
      </c>
      <c r="CB26" s="72">
        <v>1</v>
      </c>
      <c r="CC26" s="72">
        <v>1</v>
      </c>
      <c r="CD26" s="72">
        <v>1</v>
      </c>
      <c r="CE26" s="72">
        <v>1</v>
      </c>
      <c r="CF26" s="72">
        <v>1</v>
      </c>
      <c r="CG26" s="72">
        <v>1</v>
      </c>
      <c r="CH26" s="72">
        <v>1</v>
      </c>
      <c r="CI26" s="72">
        <v>1</v>
      </c>
      <c r="CJ26" s="72">
        <v>1</v>
      </c>
      <c r="CK26" s="72">
        <v>1</v>
      </c>
      <c r="CL26" s="72">
        <v>1</v>
      </c>
      <c r="CM26" s="72">
        <v>1</v>
      </c>
      <c r="CN26" s="72">
        <v>1</v>
      </c>
      <c r="CO26" s="72">
        <v>1</v>
      </c>
      <c r="CP26" s="72">
        <v>1</v>
      </c>
      <c r="CQ26" s="72">
        <v>1</v>
      </c>
      <c r="CR26" s="72">
        <v>1</v>
      </c>
      <c r="CS26" s="72">
        <v>1</v>
      </c>
      <c r="CT26" s="72">
        <v>1</v>
      </c>
      <c r="CU26" s="72">
        <v>1</v>
      </c>
      <c r="CV26" s="72">
        <v>1</v>
      </c>
      <c r="CW26" s="72">
        <v>1</v>
      </c>
      <c r="CX26" s="72">
        <v>1</v>
      </c>
      <c r="CY26" s="72">
        <v>1</v>
      </c>
      <c r="CZ26" s="72">
        <v>1</v>
      </c>
      <c r="DA26" s="72">
        <v>1</v>
      </c>
      <c r="DB26" s="72">
        <v>1</v>
      </c>
      <c r="DC26" s="72">
        <v>1</v>
      </c>
      <c r="DD26" s="72">
        <v>1</v>
      </c>
      <c r="DE26" s="72">
        <v>1</v>
      </c>
      <c r="DF26" s="72">
        <v>1</v>
      </c>
      <c r="DG26" s="72">
        <v>1</v>
      </c>
      <c r="DH26" s="72">
        <v>1</v>
      </c>
      <c r="DI26" s="72">
        <v>1</v>
      </c>
      <c r="DJ26" s="72">
        <v>1</v>
      </c>
      <c r="DK26" s="72">
        <v>1</v>
      </c>
      <c r="DL26" s="72">
        <v>1</v>
      </c>
      <c r="DM26" s="72">
        <v>1</v>
      </c>
    </row>
    <row r="27" spans="1:117" x14ac:dyDescent="0.35">
      <c r="A27" s="7"/>
      <c r="B27" s="8" t="s">
        <v>86</v>
      </c>
      <c r="C27" s="9" t="s">
        <v>87</v>
      </c>
      <c r="D27" s="10" t="s">
        <v>85</v>
      </c>
      <c r="E27" s="8" t="s">
        <v>1209</v>
      </c>
      <c r="F27" s="10">
        <v>1101</v>
      </c>
      <c r="G27" s="10" t="s">
        <v>92</v>
      </c>
      <c r="H27" s="10" t="s">
        <v>41</v>
      </c>
      <c r="I27" s="11">
        <v>28</v>
      </c>
      <c r="J27" s="10"/>
      <c r="K27" s="97" t="s">
        <v>566</v>
      </c>
      <c r="L27" s="8"/>
      <c r="M27" s="12">
        <v>0.41</v>
      </c>
      <c r="N27" s="12">
        <f t="shared" si="0"/>
        <v>11.479999999999999</v>
      </c>
      <c r="O27" s="11">
        <v>28</v>
      </c>
      <c r="P27" s="11">
        <v>28</v>
      </c>
      <c r="Q27" s="11">
        <v>28</v>
      </c>
      <c r="R27" s="11">
        <v>28</v>
      </c>
      <c r="S27" s="11">
        <v>28</v>
      </c>
      <c r="T27" s="11">
        <v>28</v>
      </c>
      <c r="U27" s="11">
        <v>28</v>
      </c>
      <c r="V27" s="11">
        <v>28</v>
      </c>
      <c r="W27" s="11">
        <v>28</v>
      </c>
      <c r="X27" s="11">
        <v>28</v>
      </c>
      <c r="Y27" s="11">
        <v>28</v>
      </c>
      <c r="Z27" s="11">
        <v>28</v>
      </c>
      <c r="AA27" s="11">
        <v>28</v>
      </c>
      <c r="AB27" s="11">
        <v>28</v>
      </c>
      <c r="AC27" s="11">
        <v>28</v>
      </c>
      <c r="AD27" s="11">
        <v>28</v>
      </c>
      <c r="AE27" s="11">
        <v>28</v>
      </c>
      <c r="AF27" s="11">
        <v>28</v>
      </c>
      <c r="AG27" s="11">
        <v>28</v>
      </c>
      <c r="AH27" s="11">
        <v>28</v>
      </c>
      <c r="AI27" s="11">
        <v>28</v>
      </c>
      <c r="AJ27" s="11">
        <v>28</v>
      </c>
      <c r="AK27" s="11">
        <v>28</v>
      </c>
      <c r="AL27" s="11">
        <v>28</v>
      </c>
      <c r="AM27" s="11">
        <v>28</v>
      </c>
      <c r="AN27" s="72">
        <v>28</v>
      </c>
      <c r="AO27" s="72">
        <v>28</v>
      </c>
      <c r="AP27" s="72">
        <v>28</v>
      </c>
      <c r="AQ27" s="72">
        <v>28</v>
      </c>
      <c r="AR27" s="72">
        <v>28</v>
      </c>
      <c r="AS27" s="72">
        <v>28</v>
      </c>
      <c r="AT27" s="72">
        <v>28</v>
      </c>
      <c r="AU27" s="72">
        <v>28</v>
      </c>
      <c r="AV27" s="72">
        <v>28</v>
      </c>
      <c r="AW27" s="72">
        <v>28</v>
      </c>
      <c r="AX27" s="72">
        <v>28</v>
      </c>
      <c r="AY27" s="72">
        <v>28</v>
      </c>
      <c r="AZ27" s="72">
        <v>28</v>
      </c>
      <c r="BA27" s="72">
        <v>28</v>
      </c>
      <c r="BB27" s="72">
        <v>28</v>
      </c>
      <c r="BC27" s="72">
        <v>28</v>
      </c>
      <c r="BD27" s="72">
        <v>28</v>
      </c>
      <c r="BE27" s="72">
        <v>28</v>
      </c>
      <c r="BF27" s="72">
        <v>28</v>
      </c>
      <c r="BG27" s="72">
        <v>28</v>
      </c>
      <c r="BH27" s="72">
        <v>28</v>
      </c>
      <c r="BI27" s="72">
        <v>28</v>
      </c>
      <c r="BJ27" s="72">
        <v>28</v>
      </c>
      <c r="BK27" s="72">
        <v>28</v>
      </c>
      <c r="BL27" s="72">
        <v>28</v>
      </c>
      <c r="BM27" s="72">
        <v>28</v>
      </c>
      <c r="BN27" s="72">
        <v>28</v>
      </c>
      <c r="BO27" s="72">
        <v>28</v>
      </c>
      <c r="BP27" s="72">
        <v>28</v>
      </c>
      <c r="BQ27" s="72">
        <v>28</v>
      </c>
      <c r="BR27" s="72">
        <v>28</v>
      </c>
      <c r="BS27" s="72">
        <v>28</v>
      </c>
      <c r="BT27" s="72">
        <v>28</v>
      </c>
      <c r="BU27" s="72">
        <v>28</v>
      </c>
      <c r="BV27" s="72">
        <v>28</v>
      </c>
      <c r="BW27" s="72">
        <v>28</v>
      </c>
      <c r="BX27" s="72">
        <v>28</v>
      </c>
      <c r="BY27" s="72">
        <v>28</v>
      </c>
      <c r="BZ27" s="72">
        <v>28</v>
      </c>
      <c r="CA27" s="72">
        <v>28</v>
      </c>
      <c r="CB27" s="72">
        <v>28</v>
      </c>
      <c r="CC27" s="72">
        <v>28</v>
      </c>
      <c r="CD27" s="72">
        <v>28</v>
      </c>
      <c r="CE27" s="72">
        <v>28</v>
      </c>
      <c r="CF27" s="72">
        <v>28</v>
      </c>
      <c r="CG27" s="72">
        <v>28</v>
      </c>
      <c r="CH27" s="72">
        <v>28</v>
      </c>
      <c r="CI27" s="72">
        <v>28</v>
      </c>
      <c r="CJ27" s="72">
        <v>28</v>
      </c>
      <c r="CK27" s="72">
        <v>28</v>
      </c>
      <c r="CL27" s="72">
        <v>28</v>
      </c>
      <c r="CM27" s="72">
        <v>28</v>
      </c>
      <c r="CN27" s="72">
        <v>28</v>
      </c>
      <c r="CO27" s="72">
        <v>28</v>
      </c>
      <c r="CP27" s="72">
        <v>28</v>
      </c>
      <c r="CQ27" s="72">
        <v>28</v>
      </c>
      <c r="CR27" s="72">
        <v>28</v>
      </c>
      <c r="CS27" s="72">
        <v>28</v>
      </c>
      <c r="CT27" s="72">
        <v>28</v>
      </c>
      <c r="CU27" s="72">
        <v>28</v>
      </c>
      <c r="CV27" s="72">
        <v>28</v>
      </c>
      <c r="CW27" s="72">
        <v>28</v>
      </c>
      <c r="CX27" s="72">
        <v>28</v>
      </c>
      <c r="CY27" s="72">
        <v>28</v>
      </c>
      <c r="CZ27" s="72">
        <v>28</v>
      </c>
      <c r="DA27" s="72">
        <v>28</v>
      </c>
      <c r="DB27" s="72">
        <v>28</v>
      </c>
      <c r="DC27" s="72">
        <v>28</v>
      </c>
      <c r="DD27" s="72">
        <v>28</v>
      </c>
      <c r="DE27" s="72">
        <v>28</v>
      </c>
      <c r="DF27" s="72">
        <v>28</v>
      </c>
      <c r="DG27" s="72">
        <v>28</v>
      </c>
      <c r="DH27" s="72">
        <v>28</v>
      </c>
      <c r="DI27" s="72">
        <v>28</v>
      </c>
      <c r="DJ27" s="72">
        <v>28</v>
      </c>
      <c r="DK27" s="72">
        <v>28</v>
      </c>
      <c r="DL27" s="72">
        <v>28</v>
      </c>
      <c r="DM27" s="72">
        <v>28</v>
      </c>
    </row>
    <row r="28" spans="1:117" x14ac:dyDescent="0.35">
      <c r="A28" s="7"/>
      <c r="B28" s="8" t="s">
        <v>1557</v>
      </c>
      <c r="C28" s="9" t="s">
        <v>1565</v>
      </c>
      <c r="D28" s="10" t="s">
        <v>85</v>
      </c>
      <c r="E28" s="8" t="s">
        <v>1209</v>
      </c>
      <c r="F28" s="10"/>
      <c r="G28" s="10"/>
      <c r="H28" s="10"/>
      <c r="I28" s="11"/>
      <c r="J28" s="10"/>
      <c r="K28" s="97" t="s">
        <v>566</v>
      </c>
      <c r="L28" s="8"/>
      <c r="M28" s="12">
        <v>0.41</v>
      </c>
      <c r="N28" s="12">
        <f t="shared" si="0"/>
        <v>12.299999999999999</v>
      </c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72"/>
      <c r="AO28" s="72"/>
      <c r="AP28" s="72"/>
      <c r="AQ28" s="72"/>
      <c r="AR28" s="72"/>
      <c r="AS28" s="72"/>
      <c r="AT28" s="72"/>
      <c r="AU28" s="72"/>
      <c r="AV28" s="72"/>
      <c r="AW28" s="72"/>
      <c r="AX28" s="72"/>
      <c r="AY28" s="72"/>
      <c r="AZ28" s="72"/>
      <c r="BA28" s="72"/>
      <c r="BB28" s="72"/>
      <c r="BC28" s="72"/>
      <c r="BD28" s="72"/>
      <c r="BE28" s="72"/>
      <c r="BF28" s="72"/>
      <c r="BG28" s="72"/>
      <c r="BH28" s="72"/>
      <c r="BI28" s="72"/>
      <c r="BJ28" s="72"/>
      <c r="BK28" s="72"/>
      <c r="BL28" s="72"/>
      <c r="BM28" s="72"/>
      <c r="BN28" s="72"/>
      <c r="BO28" s="72"/>
      <c r="BP28" s="72"/>
      <c r="BQ28" s="72"/>
      <c r="BR28" s="72"/>
      <c r="BS28" s="72"/>
      <c r="BT28" s="72"/>
      <c r="BU28" s="72"/>
      <c r="BV28" s="72"/>
      <c r="BW28" s="72"/>
      <c r="BX28" s="72"/>
      <c r="BY28" s="72"/>
      <c r="BZ28" s="72"/>
      <c r="CA28" s="72"/>
      <c r="CB28" s="72"/>
      <c r="CC28" s="72"/>
      <c r="CD28" s="72"/>
      <c r="CE28" s="72"/>
      <c r="CF28" s="72"/>
      <c r="CG28" s="72"/>
      <c r="CH28" s="72"/>
      <c r="CI28" s="72"/>
      <c r="CJ28" s="72"/>
      <c r="CK28" s="72"/>
      <c r="CL28" s="72"/>
      <c r="CM28" s="72"/>
      <c r="CN28" s="72"/>
      <c r="CO28" s="72"/>
      <c r="CP28" s="72"/>
      <c r="CQ28" s="72"/>
      <c r="CR28" s="72"/>
      <c r="CS28" s="72"/>
      <c r="CT28" s="72"/>
      <c r="CU28" s="72"/>
      <c r="CV28" s="72"/>
      <c r="CW28" s="72"/>
      <c r="CX28" s="72"/>
      <c r="CY28" s="72"/>
      <c r="CZ28" s="72"/>
      <c r="DA28" s="72"/>
      <c r="DB28" s="72"/>
      <c r="DC28" s="72"/>
      <c r="DD28" s="72"/>
      <c r="DE28" s="72"/>
      <c r="DF28" s="72"/>
      <c r="DG28" s="72"/>
      <c r="DH28" s="72"/>
      <c r="DI28" s="72"/>
      <c r="DJ28" s="72"/>
      <c r="DK28" s="72"/>
      <c r="DL28" s="72"/>
      <c r="DM28" s="72">
        <v>30</v>
      </c>
    </row>
    <row r="29" spans="1:117" x14ac:dyDescent="0.35">
      <c r="A29" s="7"/>
      <c r="B29" s="8" t="s">
        <v>88</v>
      </c>
      <c r="C29" s="9" t="s">
        <v>89</v>
      </c>
      <c r="D29" s="10" t="s">
        <v>85</v>
      </c>
      <c r="E29" s="8" t="s">
        <v>1209</v>
      </c>
      <c r="F29" s="10">
        <v>1101</v>
      </c>
      <c r="G29" s="10" t="s">
        <v>92</v>
      </c>
      <c r="H29" s="10" t="s">
        <v>41</v>
      </c>
      <c r="I29" s="11">
        <v>28</v>
      </c>
      <c r="J29" s="10"/>
      <c r="K29" s="97" t="s">
        <v>566</v>
      </c>
      <c r="L29" s="8"/>
      <c r="M29" s="12">
        <v>0.41</v>
      </c>
      <c r="N29" s="12">
        <f t="shared" si="0"/>
        <v>11.479999999999999</v>
      </c>
      <c r="O29" s="11">
        <v>28</v>
      </c>
      <c r="P29" s="11">
        <v>28</v>
      </c>
      <c r="Q29" s="11">
        <v>28</v>
      </c>
      <c r="R29" s="11">
        <v>28</v>
      </c>
      <c r="S29" s="11">
        <v>28</v>
      </c>
      <c r="T29" s="11">
        <v>28</v>
      </c>
      <c r="U29" s="11">
        <v>28</v>
      </c>
      <c r="V29" s="11">
        <v>28</v>
      </c>
      <c r="W29" s="11">
        <v>28</v>
      </c>
      <c r="X29" s="11">
        <v>28</v>
      </c>
      <c r="Y29" s="11">
        <v>28</v>
      </c>
      <c r="Z29" s="11">
        <v>28</v>
      </c>
      <c r="AA29" s="11">
        <v>28</v>
      </c>
      <c r="AB29" s="11">
        <v>28</v>
      </c>
      <c r="AC29" s="11">
        <v>28</v>
      </c>
      <c r="AD29" s="11">
        <v>28</v>
      </c>
      <c r="AE29" s="11">
        <v>28</v>
      </c>
      <c r="AF29" s="11">
        <v>28</v>
      </c>
      <c r="AG29" s="11">
        <v>28</v>
      </c>
      <c r="AH29" s="11">
        <v>28</v>
      </c>
      <c r="AI29" s="11">
        <v>28</v>
      </c>
      <c r="AJ29" s="11">
        <v>28</v>
      </c>
      <c r="AK29" s="11">
        <v>28</v>
      </c>
      <c r="AL29" s="11">
        <v>28</v>
      </c>
      <c r="AM29" s="11">
        <v>28</v>
      </c>
      <c r="AN29" s="72">
        <v>28</v>
      </c>
      <c r="AO29" s="72">
        <v>28</v>
      </c>
      <c r="AP29" s="72">
        <v>28</v>
      </c>
      <c r="AQ29" s="72">
        <v>28</v>
      </c>
      <c r="AR29" s="72">
        <v>28</v>
      </c>
      <c r="AS29" s="72">
        <v>28</v>
      </c>
      <c r="AT29" s="72">
        <v>28</v>
      </c>
      <c r="AU29" s="72">
        <v>28</v>
      </c>
      <c r="AV29" s="72">
        <v>28</v>
      </c>
      <c r="AW29" s="72">
        <v>28</v>
      </c>
      <c r="AX29" s="72">
        <v>28</v>
      </c>
      <c r="AY29" s="72">
        <v>28</v>
      </c>
      <c r="AZ29" s="72">
        <v>28</v>
      </c>
      <c r="BA29" s="72">
        <v>28</v>
      </c>
      <c r="BB29" s="72">
        <v>28</v>
      </c>
      <c r="BC29" s="72">
        <v>28</v>
      </c>
      <c r="BD29" s="72">
        <v>28</v>
      </c>
      <c r="BE29" s="72">
        <v>28</v>
      </c>
      <c r="BF29" s="72">
        <v>28</v>
      </c>
      <c r="BG29" s="72">
        <v>28</v>
      </c>
      <c r="BH29" s="72">
        <v>28</v>
      </c>
      <c r="BI29" s="72">
        <v>28</v>
      </c>
      <c r="BJ29" s="72">
        <v>28</v>
      </c>
      <c r="BK29" s="72">
        <v>28</v>
      </c>
      <c r="BL29" s="72">
        <v>28</v>
      </c>
      <c r="BM29" s="72">
        <v>28</v>
      </c>
      <c r="BN29" s="72">
        <v>28</v>
      </c>
      <c r="BO29" s="72">
        <v>28</v>
      </c>
      <c r="BP29" s="72">
        <v>28</v>
      </c>
      <c r="BQ29" s="72">
        <v>28</v>
      </c>
      <c r="BR29" s="72">
        <v>28</v>
      </c>
      <c r="BS29" s="72">
        <v>28</v>
      </c>
      <c r="BT29" s="72">
        <v>28</v>
      </c>
      <c r="BU29" s="72">
        <v>28</v>
      </c>
      <c r="BV29" s="72">
        <v>28</v>
      </c>
      <c r="BW29" s="72">
        <v>28</v>
      </c>
      <c r="BX29" s="72">
        <v>28</v>
      </c>
      <c r="BY29" s="72">
        <v>28</v>
      </c>
      <c r="BZ29" s="72">
        <v>28</v>
      </c>
      <c r="CA29" s="72">
        <v>28</v>
      </c>
      <c r="CB29" s="72">
        <v>28</v>
      </c>
      <c r="CC29" s="72">
        <v>28</v>
      </c>
      <c r="CD29" s="72">
        <v>28</v>
      </c>
      <c r="CE29" s="72">
        <v>28</v>
      </c>
      <c r="CF29" s="72">
        <v>28</v>
      </c>
      <c r="CG29" s="72">
        <v>28</v>
      </c>
      <c r="CH29" s="72">
        <v>28</v>
      </c>
      <c r="CI29" s="72">
        <v>28</v>
      </c>
      <c r="CJ29" s="72">
        <v>28</v>
      </c>
      <c r="CK29" s="72">
        <v>28</v>
      </c>
      <c r="CL29" s="72">
        <v>28</v>
      </c>
      <c r="CM29" s="72">
        <v>28</v>
      </c>
      <c r="CN29" s="72">
        <v>28</v>
      </c>
      <c r="CO29" s="72">
        <v>28</v>
      </c>
      <c r="CP29" s="72">
        <v>28</v>
      </c>
      <c r="CQ29" s="72">
        <v>28</v>
      </c>
      <c r="CR29" s="72">
        <v>28</v>
      </c>
      <c r="CS29" s="72">
        <v>28</v>
      </c>
      <c r="CT29" s="72">
        <v>28</v>
      </c>
      <c r="CU29" s="72">
        <v>28</v>
      </c>
      <c r="CV29" s="72">
        <v>28</v>
      </c>
      <c r="CW29" s="72">
        <v>28</v>
      </c>
      <c r="CX29" s="72">
        <v>28</v>
      </c>
      <c r="CY29" s="72">
        <v>28</v>
      </c>
      <c r="CZ29" s="72">
        <v>28</v>
      </c>
      <c r="DA29" s="72">
        <v>28</v>
      </c>
      <c r="DB29" s="72">
        <v>28</v>
      </c>
      <c r="DC29" s="72">
        <v>28</v>
      </c>
      <c r="DD29" s="72">
        <v>28</v>
      </c>
      <c r="DE29" s="72">
        <v>28</v>
      </c>
      <c r="DF29" s="72">
        <v>28</v>
      </c>
      <c r="DG29" s="72">
        <v>28</v>
      </c>
      <c r="DH29" s="72">
        <v>28</v>
      </c>
      <c r="DI29" s="72">
        <v>28</v>
      </c>
      <c r="DJ29" s="72">
        <v>28</v>
      </c>
      <c r="DK29" s="72">
        <v>28</v>
      </c>
      <c r="DL29" s="72">
        <v>28</v>
      </c>
      <c r="DM29" s="72">
        <v>28</v>
      </c>
    </row>
    <row r="30" spans="1:117" x14ac:dyDescent="0.35">
      <c r="A30" s="7"/>
      <c r="B30" s="77" t="s">
        <v>1558</v>
      </c>
      <c r="C30" s="9" t="s">
        <v>1566</v>
      </c>
      <c r="D30" s="10" t="s">
        <v>85</v>
      </c>
      <c r="E30" s="8" t="s">
        <v>1209</v>
      </c>
      <c r="F30" s="10"/>
      <c r="G30" s="10"/>
      <c r="H30" s="10"/>
      <c r="I30" s="11"/>
      <c r="J30" s="10"/>
      <c r="K30" s="97" t="s">
        <v>42</v>
      </c>
      <c r="L30" s="8"/>
      <c r="M30" s="12">
        <v>0.51</v>
      </c>
      <c r="N30" s="12">
        <f t="shared" si="0"/>
        <v>5.0999999999999996</v>
      </c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72"/>
      <c r="AO30" s="72"/>
      <c r="AP30" s="72"/>
      <c r="AQ30" s="72"/>
      <c r="AR30" s="72"/>
      <c r="AS30" s="72"/>
      <c r="AT30" s="72"/>
      <c r="AU30" s="72"/>
      <c r="AV30" s="72"/>
      <c r="AW30" s="72"/>
      <c r="AX30" s="72"/>
      <c r="AY30" s="72"/>
      <c r="AZ30" s="72"/>
      <c r="BA30" s="72"/>
      <c r="BB30" s="72"/>
      <c r="BC30" s="72"/>
      <c r="BD30" s="72"/>
      <c r="BE30" s="72"/>
      <c r="BF30" s="72"/>
      <c r="BG30" s="72"/>
      <c r="BH30" s="72"/>
      <c r="BI30" s="72"/>
      <c r="BJ30" s="72"/>
      <c r="BK30" s="72"/>
      <c r="BL30" s="72"/>
      <c r="BM30" s="72"/>
      <c r="BN30" s="72"/>
      <c r="BO30" s="72"/>
      <c r="BP30" s="72"/>
      <c r="BQ30" s="72"/>
      <c r="BR30" s="72"/>
      <c r="BS30" s="72"/>
      <c r="BT30" s="72"/>
      <c r="BU30" s="72"/>
      <c r="BV30" s="72"/>
      <c r="BW30" s="72"/>
      <c r="BX30" s="72"/>
      <c r="BY30" s="72"/>
      <c r="BZ30" s="72"/>
      <c r="CA30" s="72"/>
      <c r="CB30" s="72"/>
      <c r="CC30" s="72"/>
      <c r="CD30" s="72"/>
      <c r="CE30" s="72"/>
      <c r="CF30" s="72"/>
      <c r="CG30" s="72"/>
      <c r="CH30" s="72"/>
      <c r="CI30" s="72"/>
      <c r="CJ30" s="72"/>
      <c r="CK30" s="72"/>
      <c r="CL30" s="72"/>
      <c r="CM30" s="72"/>
      <c r="CN30" s="72"/>
      <c r="CO30" s="72"/>
      <c r="CP30" s="72"/>
      <c r="CQ30" s="72"/>
      <c r="CR30" s="72"/>
      <c r="CS30" s="72"/>
      <c r="CT30" s="72"/>
      <c r="CU30" s="72"/>
      <c r="CV30" s="72"/>
      <c r="CW30" s="72"/>
      <c r="CX30" s="72"/>
      <c r="CY30" s="72"/>
      <c r="CZ30" s="72"/>
      <c r="DA30" s="72"/>
      <c r="DB30" s="72"/>
      <c r="DC30" s="72"/>
      <c r="DD30" s="72"/>
      <c r="DE30" s="72"/>
      <c r="DF30" s="72"/>
      <c r="DG30" s="72"/>
      <c r="DH30" s="72"/>
      <c r="DI30" s="72"/>
      <c r="DJ30" s="72"/>
      <c r="DK30" s="72"/>
      <c r="DL30" s="72"/>
      <c r="DM30" s="72">
        <v>10</v>
      </c>
    </row>
    <row r="31" spans="1:117" x14ac:dyDescent="0.35">
      <c r="A31" s="7"/>
      <c r="B31" s="8" t="s">
        <v>90</v>
      </c>
      <c r="C31" s="9" t="s">
        <v>91</v>
      </c>
      <c r="D31" s="10" t="s">
        <v>85</v>
      </c>
      <c r="E31" s="8" t="s">
        <v>1210</v>
      </c>
      <c r="F31" s="10">
        <v>1005</v>
      </c>
      <c r="G31" s="10" t="s">
        <v>92</v>
      </c>
      <c r="H31" s="10" t="s">
        <v>41</v>
      </c>
      <c r="I31" s="11">
        <v>0</v>
      </c>
      <c r="J31" s="10"/>
      <c r="K31" s="97" t="s">
        <v>42</v>
      </c>
      <c r="L31" s="8"/>
      <c r="M31" s="12"/>
      <c r="N31" s="12">
        <f t="shared" si="0"/>
        <v>0</v>
      </c>
      <c r="O31" s="11">
        <v>5</v>
      </c>
      <c r="P31" s="11">
        <v>0</v>
      </c>
      <c r="Q31" s="11">
        <v>0</v>
      </c>
      <c r="R31" s="11">
        <v>0</v>
      </c>
      <c r="S31" s="11">
        <v>0</v>
      </c>
      <c r="T31" s="11">
        <v>0</v>
      </c>
      <c r="U31" s="11">
        <v>0</v>
      </c>
      <c r="V31" s="11">
        <v>0</v>
      </c>
      <c r="W31" s="11">
        <v>0</v>
      </c>
      <c r="X31" s="11">
        <v>0</v>
      </c>
      <c r="Y31" s="11">
        <v>0</v>
      </c>
      <c r="Z31" s="11">
        <v>0</v>
      </c>
      <c r="AA31" s="11">
        <v>0</v>
      </c>
      <c r="AB31" s="11">
        <v>0</v>
      </c>
      <c r="AC31" s="11">
        <v>0</v>
      </c>
      <c r="AD31" s="11">
        <v>0</v>
      </c>
      <c r="AE31" s="11">
        <v>0</v>
      </c>
      <c r="AF31" s="11">
        <v>0</v>
      </c>
      <c r="AG31" s="11">
        <v>0</v>
      </c>
      <c r="AH31" s="11">
        <v>0</v>
      </c>
      <c r="AI31" s="11">
        <v>0</v>
      </c>
      <c r="AJ31" s="11">
        <v>0</v>
      </c>
      <c r="AK31" s="11">
        <v>0</v>
      </c>
      <c r="AL31" s="11">
        <v>0</v>
      </c>
      <c r="AM31" s="11">
        <v>0</v>
      </c>
      <c r="AN31" s="72">
        <v>0</v>
      </c>
      <c r="AO31" s="72">
        <v>0</v>
      </c>
      <c r="AP31" s="72">
        <v>0</v>
      </c>
      <c r="AQ31" s="72">
        <v>0</v>
      </c>
      <c r="AR31" s="72">
        <v>0</v>
      </c>
      <c r="AS31" s="72">
        <v>0</v>
      </c>
      <c r="AT31" s="72">
        <v>0</v>
      </c>
      <c r="AU31" s="72">
        <v>0</v>
      </c>
      <c r="AV31" s="72">
        <v>0</v>
      </c>
      <c r="AW31" s="72">
        <v>0</v>
      </c>
      <c r="AX31" s="72">
        <v>0</v>
      </c>
      <c r="AY31" s="72">
        <v>0</v>
      </c>
      <c r="AZ31" s="72">
        <v>0</v>
      </c>
      <c r="BA31" s="72">
        <v>0</v>
      </c>
      <c r="BB31" s="72">
        <v>0</v>
      </c>
      <c r="BC31" s="72">
        <v>0</v>
      </c>
      <c r="BD31" s="72">
        <v>0</v>
      </c>
      <c r="BE31" s="72">
        <v>0</v>
      </c>
      <c r="BF31" s="72">
        <v>0</v>
      </c>
      <c r="BG31" s="72">
        <v>0</v>
      </c>
      <c r="BH31" s="72">
        <v>0</v>
      </c>
      <c r="BI31" s="72">
        <v>0</v>
      </c>
      <c r="BJ31" s="72">
        <v>0</v>
      </c>
      <c r="BK31" s="72">
        <v>0</v>
      </c>
      <c r="BL31" s="72">
        <v>0</v>
      </c>
      <c r="BM31" s="72">
        <v>0</v>
      </c>
      <c r="BN31" s="72">
        <v>0</v>
      </c>
      <c r="BO31" s="72">
        <v>0</v>
      </c>
      <c r="BP31" s="72">
        <v>0</v>
      </c>
      <c r="BQ31" s="72">
        <v>0</v>
      </c>
      <c r="BR31" s="72">
        <v>0</v>
      </c>
      <c r="BS31" s="72">
        <v>0</v>
      </c>
      <c r="BT31" s="72">
        <v>0</v>
      </c>
      <c r="BU31" s="72">
        <v>0</v>
      </c>
      <c r="BV31" s="72">
        <v>0</v>
      </c>
      <c r="BW31" s="72">
        <v>0</v>
      </c>
      <c r="BX31" s="72">
        <v>0</v>
      </c>
      <c r="BY31" s="72">
        <v>0</v>
      </c>
      <c r="BZ31" s="72">
        <v>0</v>
      </c>
      <c r="CA31" s="72">
        <v>0</v>
      </c>
      <c r="CB31" s="72">
        <v>0</v>
      </c>
      <c r="CC31" s="72">
        <v>0</v>
      </c>
      <c r="CD31" s="72">
        <v>0</v>
      </c>
      <c r="CE31" s="72">
        <v>0</v>
      </c>
      <c r="CF31" s="72">
        <v>0</v>
      </c>
      <c r="CG31" s="72">
        <v>0</v>
      </c>
      <c r="CH31" s="72">
        <v>0</v>
      </c>
      <c r="CI31" s="72">
        <v>0</v>
      </c>
      <c r="CJ31" s="72">
        <v>0</v>
      </c>
      <c r="CK31" s="72">
        <v>0</v>
      </c>
      <c r="CL31" s="72">
        <v>0</v>
      </c>
      <c r="CM31" s="72">
        <v>0</v>
      </c>
      <c r="CN31" s="72">
        <v>0</v>
      </c>
      <c r="CO31" s="72">
        <v>0</v>
      </c>
      <c r="CP31" s="72">
        <v>0</v>
      </c>
      <c r="CQ31" s="72">
        <v>0</v>
      </c>
      <c r="CR31" s="72">
        <v>0</v>
      </c>
      <c r="CS31" s="72">
        <v>0</v>
      </c>
      <c r="CT31" s="72">
        <v>0</v>
      </c>
      <c r="CU31" s="72">
        <v>0</v>
      </c>
      <c r="CV31" s="72">
        <v>0</v>
      </c>
      <c r="CW31" s="72">
        <v>0</v>
      </c>
      <c r="CX31" s="72">
        <v>0</v>
      </c>
      <c r="CY31" s="72">
        <v>0</v>
      </c>
      <c r="CZ31" s="72">
        <v>0</v>
      </c>
      <c r="DA31" s="72">
        <v>0</v>
      </c>
      <c r="DB31" s="72">
        <v>0</v>
      </c>
      <c r="DC31" s="72">
        <v>0</v>
      </c>
      <c r="DD31" s="72">
        <v>0</v>
      </c>
      <c r="DE31" s="72">
        <v>0</v>
      </c>
      <c r="DF31" s="72">
        <v>0</v>
      </c>
      <c r="DG31" s="72">
        <v>0</v>
      </c>
      <c r="DH31" s="72">
        <v>0</v>
      </c>
      <c r="DI31" s="72">
        <v>0</v>
      </c>
      <c r="DJ31" s="72">
        <v>0</v>
      </c>
      <c r="DK31" s="72">
        <v>0</v>
      </c>
      <c r="DL31" s="72">
        <v>0</v>
      </c>
      <c r="DM31" s="72">
        <v>0</v>
      </c>
    </row>
    <row r="32" spans="1:117" x14ac:dyDescent="0.35">
      <c r="A32" s="7"/>
      <c r="B32" s="8" t="s">
        <v>93</v>
      </c>
      <c r="C32" s="9" t="s">
        <v>94</v>
      </c>
      <c r="D32" s="10" t="s">
        <v>85</v>
      </c>
      <c r="E32" s="8" t="s">
        <v>1211</v>
      </c>
      <c r="F32" s="10">
        <v>1101</v>
      </c>
      <c r="G32" s="10" t="s">
        <v>92</v>
      </c>
      <c r="H32" s="10" t="s">
        <v>95</v>
      </c>
      <c r="I32" s="11">
        <v>500</v>
      </c>
      <c r="J32" s="10"/>
      <c r="K32" s="10"/>
      <c r="L32" s="8"/>
      <c r="M32" s="12">
        <v>0.5</v>
      </c>
      <c r="N32" s="12">
        <f t="shared" si="0"/>
        <v>250</v>
      </c>
      <c r="O32" s="11">
        <v>1500</v>
      </c>
      <c r="P32" s="11">
        <v>1500</v>
      </c>
      <c r="Q32" s="11">
        <v>1500</v>
      </c>
      <c r="R32" s="11">
        <v>1500</v>
      </c>
      <c r="S32" s="11">
        <v>1500</v>
      </c>
      <c r="T32" s="11">
        <v>1500</v>
      </c>
      <c r="U32" s="11">
        <v>1500</v>
      </c>
      <c r="V32" s="11">
        <v>1500</v>
      </c>
      <c r="W32" s="11">
        <v>1500</v>
      </c>
      <c r="X32" s="11">
        <v>1500</v>
      </c>
      <c r="Y32" s="11">
        <v>1500</v>
      </c>
      <c r="Z32" s="11">
        <v>1500</v>
      </c>
      <c r="AA32" s="11">
        <v>1500</v>
      </c>
      <c r="AB32" s="11">
        <v>1500</v>
      </c>
      <c r="AC32" s="11">
        <v>1500</v>
      </c>
      <c r="AD32" s="11">
        <v>1500</v>
      </c>
      <c r="AE32" s="11">
        <v>1500</v>
      </c>
      <c r="AF32" s="11">
        <v>500</v>
      </c>
      <c r="AG32" s="11">
        <v>500</v>
      </c>
      <c r="AH32" s="11">
        <v>500</v>
      </c>
      <c r="AI32" s="11">
        <v>500</v>
      </c>
      <c r="AJ32" s="11">
        <v>500</v>
      </c>
      <c r="AK32" s="11">
        <v>500</v>
      </c>
      <c r="AL32" s="11">
        <v>500</v>
      </c>
      <c r="AM32" s="11">
        <v>500</v>
      </c>
      <c r="AN32" s="72">
        <v>500</v>
      </c>
      <c r="AO32" s="72">
        <v>500</v>
      </c>
      <c r="AP32" s="72">
        <v>500</v>
      </c>
      <c r="AQ32" s="72">
        <v>500</v>
      </c>
      <c r="AR32" s="72">
        <v>500</v>
      </c>
      <c r="AS32" s="72">
        <v>500</v>
      </c>
      <c r="AT32" s="72">
        <v>500</v>
      </c>
      <c r="AU32" s="72">
        <v>500</v>
      </c>
      <c r="AV32" s="72">
        <v>500</v>
      </c>
      <c r="AW32" s="72">
        <v>500</v>
      </c>
      <c r="AX32" s="72">
        <v>500</v>
      </c>
      <c r="AY32" s="72">
        <v>500</v>
      </c>
      <c r="AZ32" s="72">
        <v>500</v>
      </c>
      <c r="BA32" s="72">
        <v>500</v>
      </c>
      <c r="BB32" s="72">
        <v>500</v>
      </c>
      <c r="BC32" s="72">
        <v>500</v>
      </c>
      <c r="BD32" s="72">
        <v>500</v>
      </c>
      <c r="BE32" s="72">
        <v>500</v>
      </c>
      <c r="BF32" s="72">
        <v>500</v>
      </c>
      <c r="BG32" s="72">
        <v>500</v>
      </c>
      <c r="BH32" s="72">
        <v>500</v>
      </c>
      <c r="BI32" s="72">
        <v>500</v>
      </c>
      <c r="BJ32" s="72">
        <v>500</v>
      </c>
      <c r="BK32" s="72">
        <v>500</v>
      </c>
      <c r="BL32" s="72">
        <v>500</v>
      </c>
      <c r="BM32" s="72">
        <v>500</v>
      </c>
      <c r="BN32" s="72">
        <v>500</v>
      </c>
      <c r="BO32" s="72">
        <v>500</v>
      </c>
      <c r="BP32" s="72">
        <v>500</v>
      </c>
      <c r="BQ32" s="72">
        <v>500</v>
      </c>
      <c r="BR32" s="72">
        <v>500</v>
      </c>
      <c r="BS32" s="72">
        <v>500</v>
      </c>
      <c r="BT32" s="72">
        <v>500</v>
      </c>
      <c r="BU32" s="72">
        <v>500</v>
      </c>
      <c r="BV32" s="72">
        <v>500</v>
      </c>
      <c r="BW32" s="72">
        <v>500</v>
      </c>
      <c r="BX32" s="72">
        <v>500</v>
      </c>
      <c r="BY32" s="72">
        <v>500</v>
      </c>
      <c r="BZ32" s="72">
        <v>500</v>
      </c>
      <c r="CA32" s="72">
        <v>500</v>
      </c>
      <c r="CB32" s="72">
        <v>500</v>
      </c>
      <c r="CC32" s="72">
        <v>500</v>
      </c>
      <c r="CD32" s="72">
        <v>500</v>
      </c>
      <c r="CE32" s="72">
        <v>500</v>
      </c>
      <c r="CF32" s="72">
        <v>500</v>
      </c>
      <c r="CG32" s="72">
        <v>500</v>
      </c>
      <c r="CH32" s="72">
        <v>500</v>
      </c>
      <c r="CI32" s="72">
        <v>500</v>
      </c>
      <c r="CJ32" s="72">
        <v>500</v>
      </c>
      <c r="CK32" s="72">
        <v>500</v>
      </c>
      <c r="CL32" s="72">
        <v>500</v>
      </c>
      <c r="CM32" s="72">
        <v>500</v>
      </c>
      <c r="CN32" s="72">
        <v>500</v>
      </c>
      <c r="CO32" s="72">
        <v>500</v>
      </c>
      <c r="CP32" s="72">
        <v>500</v>
      </c>
      <c r="CQ32" s="72">
        <v>500</v>
      </c>
      <c r="CR32" s="72">
        <v>500</v>
      </c>
      <c r="CS32" s="72">
        <v>500</v>
      </c>
      <c r="CT32" s="72">
        <v>500</v>
      </c>
      <c r="CU32" s="72">
        <v>500</v>
      </c>
      <c r="CV32" s="72">
        <v>500</v>
      </c>
      <c r="CW32" s="72">
        <v>500</v>
      </c>
      <c r="CX32" s="72">
        <v>500</v>
      </c>
      <c r="CY32" s="72">
        <v>500</v>
      </c>
      <c r="CZ32" s="72">
        <v>500</v>
      </c>
      <c r="DA32" s="72">
        <v>500</v>
      </c>
      <c r="DB32" s="72">
        <v>500</v>
      </c>
      <c r="DC32" s="72">
        <v>500</v>
      </c>
      <c r="DD32" s="72">
        <v>500</v>
      </c>
      <c r="DE32" s="72">
        <v>500</v>
      </c>
      <c r="DF32" s="72">
        <v>500</v>
      </c>
      <c r="DG32" s="72">
        <v>500</v>
      </c>
      <c r="DH32" s="72">
        <v>500</v>
      </c>
      <c r="DI32" s="72">
        <v>500</v>
      </c>
      <c r="DJ32" s="72">
        <v>500</v>
      </c>
      <c r="DK32" s="72">
        <v>500</v>
      </c>
      <c r="DL32" s="72">
        <v>500</v>
      </c>
      <c r="DM32" s="72">
        <v>500</v>
      </c>
    </row>
    <row r="33" spans="1:117" x14ac:dyDescent="0.35">
      <c r="A33" s="7"/>
      <c r="B33" s="8" t="s">
        <v>96</v>
      </c>
      <c r="C33" s="9" t="s">
        <v>97</v>
      </c>
      <c r="D33" s="10" t="s">
        <v>85</v>
      </c>
      <c r="E33" s="8" t="s">
        <v>1212</v>
      </c>
      <c r="F33" s="10">
        <v>1101</v>
      </c>
      <c r="G33" s="10" t="s">
        <v>40</v>
      </c>
      <c r="H33" s="10" t="s">
        <v>95</v>
      </c>
      <c r="I33" s="11">
        <v>207</v>
      </c>
      <c r="J33" s="10"/>
      <c r="K33" s="10"/>
      <c r="L33" s="14" t="s">
        <v>98</v>
      </c>
      <c r="M33" s="12">
        <v>0.48</v>
      </c>
      <c r="N33" s="12">
        <f t="shared" si="0"/>
        <v>99.36</v>
      </c>
      <c r="O33" s="11">
        <v>207</v>
      </c>
      <c r="P33" s="11">
        <v>207</v>
      </c>
      <c r="Q33" s="11">
        <v>207</v>
      </c>
      <c r="R33" s="11">
        <v>207</v>
      </c>
      <c r="S33" s="11">
        <v>207</v>
      </c>
      <c r="T33" s="11">
        <v>207</v>
      </c>
      <c r="U33" s="11">
        <v>207</v>
      </c>
      <c r="V33" s="11">
        <v>207</v>
      </c>
      <c r="W33" s="11">
        <v>207</v>
      </c>
      <c r="X33" s="11">
        <v>207</v>
      </c>
      <c r="Y33" s="11">
        <v>207</v>
      </c>
      <c r="Z33" s="11">
        <v>207</v>
      </c>
      <c r="AA33" s="11">
        <v>207</v>
      </c>
      <c r="AB33" s="11">
        <v>207</v>
      </c>
      <c r="AC33" s="11">
        <v>207</v>
      </c>
      <c r="AD33" s="11">
        <v>207</v>
      </c>
      <c r="AE33" s="11">
        <v>207</v>
      </c>
      <c r="AF33" s="11">
        <v>207</v>
      </c>
      <c r="AG33" s="11">
        <v>207</v>
      </c>
      <c r="AH33" s="11">
        <v>207</v>
      </c>
      <c r="AI33" s="11">
        <v>207</v>
      </c>
      <c r="AJ33" s="11">
        <v>207</v>
      </c>
      <c r="AK33" s="11">
        <v>207</v>
      </c>
      <c r="AL33" s="11">
        <v>207</v>
      </c>
      <c r="AM33" s="11">
        <v>207</v>
      </c>
      <c r="AN33" s="72">
        <v>207</v>
      </c>
      <c r="AO33" s="72">
        <v>207</v>
      </c>
      <c r="AP33" s="72">
        <v>207</v>
      </c>
      <c r="AQ33" s="72">
        <v>207</v>
      </c>
      <c r="AR33" s="72">
        <v>207</v>
      </c>
      <c r="AS33" s="72">
        <v>207</v>
      </c>
      <c r="AT33" s="72">
        <v>207</v>
      </c>
      <c r="AU33" s="72">
        <v>207</v>
      </c>
      <c r="AV33" s="72">
        <v>207</v>
      </c>
      <c r="AW33" s="72">
        <v>207</v>
      </c>
      <c r="AX33" s="72">
        <v>207</v>
      </c>
      <c r="AY33" s="72">
        <v>207</v>
      </c>
      <c r="AZ33" s="72">
        <v>207</v>
      </c>
      <c r="BA33" s="72">
        <v>207</v>
      </c>
      <c r="BB33" s="72">
        <v>207</v>
      </c>
      <c r="BC33" s="72">
        <v>207</v>
      </c>
      <c r="BD33" s="72">
        <v>207</v>
      </c>
      <c r="BE33" s="72">
        <v>207</v>
      </c>
      <c r="BF33" s="72">
        <v>207</v>
      </c>
      <c r="BG33" s="72">
        <v>207</v>
      </c>
      <c r="BH33" s="72">
        <v>207</v>
      </c>
      <c r="BI33" s="72">
        <v>207</v>
      </c>
      <c r="BJ33" s="72">
        <v>207</v>
      </c>
      <c r="BK33" s="72">
        <v>207</v>
      </c>
      <c r="BL33" s="72">
        <v>207</v>
      </c>
      <c r="BM33" s="72">
        <v>207</v>
      </c>
      <c r="BN33" s="72">
        <v>207</v>
      </c>
      <c r="BO33" s="72">
        <v>207</v>
      </c>
      <c r="BP33" s="72">
        <v>207</v>
      </c>
      <c r="BQ33" s="72">
        <v>207</v>
      </c>
      <c r="BR33" s="72">
        <v>207</v>
      </c>
      <c r="BS33" s="72">
        <v>207</v>
      </c>
      <c r="BT33" s="72">
        <v>207</v>
      </c>
      <c r="BU33" s="72">
        <v>207</v>
      </c>
      <c r="BV33" s="72">
        <v>207</v>
      </c>
      <c r="BW33" s="72">
        <v>207</v>
      </c>
      <c r="BX33" s="72">
        <v>207</v>
      </c>
      <c r="BY33" s="72">
        <v>207</v>
      </c>
      <c r="BZ33" s="72">
        <v>207</v>
      </c>
      <c r="CA33" s="72">
        <v>207</v>
      </c>
      <c r="CB33" s="72">
        <v>207</v>
      </c>
      <c r="CC33" s="72">
        <v>207</v>
      </c>
      <c r="CD33" s="72">
        <v>207</v>
      </c>
      <c r="CE33" s="72">
        <v>207</v>
      </c>
      <c r="CF33" s="72">
        <v>207</v>
      </c>
      <c r="CG33" s="72">
        <v>207</v>
      </c>
      <c r="CH33" s="72">
        <v>207</v>
      </c>
      <c r="CI33" s="72">
        <v>207</v>
      </c>
      <c r="CJ33" s="72">
        <v>207</v>
      </c>
      <c r="CK33" s="72">
        <v>207</v>
      </c>
      <c r="CL33" s="72">
        <v>207</v>
      </c>
      <c r="CM33" s="72">
        <v>207</v>
      </c>
      <c r="CN33" s="72">
        <v>207</v>
      </c>
      <c r="CO33" s="72">
        <v>207</v>
      </c>
      <c r="CP33" s="72">
        <v>207</v>
      </c>
      <c r="CQ33" s="72">
        <v>207</v>
      </c>
      <c r="CR33" s="72">
        <v>207</v>
      </c>
      <c r="CS33" s="72">
        <v>207</v>
      </c>
      <c r="CT33" s="72">
        <v>207</v>
      </c>
      <c r="CU33" s="72">
        <v>207</v>
      </c>
      <c r="CV33" s="72">
        <v>207</v>
      </c>
      <c r="CW33" s="72">
        <v>207</v>
      </c>
      <c r="CX33" s="72">
        <v>207</v>
      </c>
      <c r="CY33" s="72">
        <v>207</v>
      </c>
      <c r="CZ33" s="72">
        <v>207</v>
      </c>
      <c r="DA33" s="72">
        <v>207</v>
      </c>
      <c r="DB33" s="72">
        <v>207</v>
      </c>
      <c r="DC33" s="72">
        <v>207</v>
      </c>
      <c r="DD33" s="72">
        <v>207</v>
      </c>
      <c r="DE33" s="72">
        <v>207</v>
      </c>
      <c r="DF33" s="72">
        <v>207</v>
      </c>
      <c r="DG33" s="72">
        <v>207</v>
      </c>
      <c r="DH33" s="72">
        <v>207</v>
      </c>
      <c r="DI33" s="72">
        <v>207</v>
      </c>
      <c r="DJ33" s="72">
        <v>207</v>
      </c>
      <c r="DK33" s="72">
        <v>207</v>
      </c>
      <c r="DL33" s="72">
        <v>207</v>
      </c>
      <c r="DM33" s="72">
        <v>207</v>
      </c>
    </row>
    <row r="34" spans="1:117" x14ac:dyDescent="0.35">
      <c r="A34" s="7"/>
      <c r="B34" s="77" t="s">
        <v>1193</v>
      </c>
      <c r="C34" s="78" t="s">
        <v>1199</v>
      </c>
      <c r="D34" s="10" t="s">
        <v>85</v>
      </c>
      <c r="E34" s="8" t="s">
        <v>1213</v>
      </c>
      <c r="F34" s="10">
        <v>1101</v>
      </c>
      <c r="G34" s="10" t="s">
        <v>92</v>
      </c>
      <c r="H34" s="10" t="s">
        <v>41</v>
      </c>
      <c r="I34" s="11">
        <v>0</v>
      </c>
      <c r="J34" s="10"/>
      <c r="K34" s="10"/>
      <c r="L34" s="14"/>
      <c r="M34" s="12">
        <v>8.19</v>
      </c>
      <c r="N34" s="12">
        <f t="shared" si="0"/>
        <v>106.47</v>
      </c>
      <c r="O34" s="11">
        <v>0</v>
      </c>
      <c r="P34" s="11">
        <v>0</v>
      </c>
      <c r="Q34" s="11">
        <v>0</v>
      </c>
      <c r="R34" s="11">
        <v>0</v>
      </c>
      <c r="S34" s="11">
        <v>0</v>
      </c>
      <c r="T34" s="11">
        <v>0</v>
      </c>
      <c r="U34" s="11">
        <v>0</v>
      </c>
      <c r="V34" s="11">
        <v>0</v>
      </c>
      <c r="W34" s="11">
        <v>0</v>
      </c>
      <c r="X34" s="11">
        <v>0</v>
      </c>
      <c r="Y34" s="11">
        <v>0</v>
      </c>
      <c r="Z34" s="11">
        <v>0</v>
      </c>
      <c r="AA34" s="11">
        <v>0</v>
      </c>
      <c r="AB34" s="11">
        <v>0</v>
      </c>
      <c r="AC34" s="11">
        <v>0</v>
      </c>
      <c r="AD34" s="11">
        <v>0</v>
      </c>
      <c r="AE34" s="11">
        <v>0</v>
      </c>
      <c r="AF34" s="11">
        <v>0</v>
      </c>
      <c r="AG34" s="11">
        <v>0</v>
      </c>
      <c r="AH34" s="11">
        <v>0</v>
      </c>
      <c r="AI34" s="11">
        <v>0</v>
      </c>
      <c r="AJ34" s="11">
        <v>0</v>
      </c>
      <c r="AK34" s="11">
        <v>0</v>
      </c>
      <c r="AL34" s="11">
        <v>0</v>
      </c>
      <c r="AM34" s="11">
        <v>0</v>
      </c>
      <c r="AN34" s="72">
        <v>0</v>
      </c>
      <c r="AO34" s="72">
        <v>0</v>
      </c>
      <c r="AP34" s="72">
        <v>2</v>
      </c>
      <c r="AQ34" s="72">
        <v>2</v>
      </c>
      <c r="AR34" s="72">
        <v>2</v>
      </c>
      <c r="AS34" s="72">
        <v>2</v>
      </c>
      <c r="AT34" s="72">
        <v>2</v>
      </c>
      <c r="AU34" s="72">
        <v>2</v>
      </c>
      <c r="AV34" s="72">
        <v>2</v>
      </c>
      <c r="AW34" s="72">
        <v>2</v>
      </c>
      <c r="AX34" s="72">
        <v>2</v>
      </c>
      <c r="AY34" s="72">
        <v>2</v>
      </c>
      <c r="AZ34" s="72">
        <v>2</v>
      </c>
      <c r="BA34" s="72">
        <v>2</v>
      </c>
      <c r="BB34" s="72">
        <v>2</v>
      </c>
      <c r="BC34" s="72">
        <v>2</v>
      </c>
      <c r="BD34" s="72">
        <v>2</v>
      </c>
      <c r="BE34" s="72">
        <v>2</v>
      </c>
      <c r="BF34" s="72">
        <v>2</v>
      </c>
      <c r="BG34" s="72">
        <v>2</v>
      </c>
      <c r="BH34" s="72">
        <v>2</v>
      </c>
      <c r="BI34" s="72">
        <v>2</v>
      </c>
      <c r="BJ34" s="72">
        <v>2</v>
      </c>
      <c r="BK34" s="72">
        <v>2</v>
      </c>
      <c r="BL34" s="72">
        <v>2</v>
      </c>
      <c r="BM34" s="72">
        <v>2</v>
      </c>
      <c r="BN34" s="72">
        <v>2</v>
      </c>
      <c r="BO34" s="72">
        <v>2</v>
      </c>
      <c r="BP34" s="72">
        <v>2</v>
      </c>
      <c r="BQ34" s="72">
        <v>2</v>
      </c>
      <c r="BR34" s="72">
        <v>2</v>
      </c>
      <c r="BS34" s="72">
        <v>1</v>
      </c>
      <c r="BT34" s="72">
        <v>1</v>
      </c>
      <c r="BU34" s="72">
        <v>1</v>
      </c>
      <c r="BV34" s="72">
        <v>1</v>
      </c>
      <c r="BW34" s="72">
        <v>1</v>
      </c>
      <c r="BX34" s="72">
        <v>1</v>
      </c>
      <c r="BY34" s="72">
        <v>0</v>
      </c>
      <c r="BZ34" s="72">
        <v>0</v>
      </c>
      <c r="CA34" s="72">
        <v>9</v>
      </c>
      <c r="CB34" s="72">
        <v>9</v>
      </c>
      <c r="CC34" s="72">
        <v>10</v>
      </c>
      <c r="CD34" s="72">
        <v>10</v>
      </c>
      <c r="CE34" s="72">
        <v>10</v>
      </c>
      <c r="CF34" s="72">
        <v>10</v>
      </c>
      <c r="CG34" s="72">
        <v>10</v>
      </c>
      <c r="CH34" s="72">
        <v>10</v>
      </c>
      <c r="CI34" s="72">
        <v>10</v>
      </c>
      <c r="CJ34" s="72">
        <v>10</v>
      </c>
      <c r="CK34" s="72">
        <v>10</v>
      </c>
      <c r="CL34" s="72">
        <v>10</v>
      </c>
      <c r="CM34" s="72">
        <v>10</v>
      </c>
      <c r="CN34" s="72">
        <v>13</v>
      </c>
      <c r="CO34" s="72">
        <v>13</v>
      </c>
      <c r="CP34" s="72">
        <v>13</v>
      </c>
      <c r="CQ34" s="72">
        <v>13</v>
      </c>
      <c r="CR34" s="72">
        <v>13</v>
      </c>
      <c r="CS34" s="72">
        <v>13</v>
      </c>
      <c r="CT34" s="72">
        <v>13</v>
      </c>
      <c r="CU34" s="72">
        <v>13</v>
      </c>
      <c r="CV34" s="72">
        <v>13</v>
      </c>
      <c r="CW34" s="72">
        <v>13</v>
      </c>
      <c r="CX34" s="72">
        <v>13</v>
      </c>
      <c r="CY34" s="72">
        <v>13</v>
      </c>
      <c r="CZ34" s="72">
        <v>13</v>
      </c>
      <c r="DA34" s="72">
        <v>13</v>
      </c>
      <c r="DB34" s="72">
        <v>13</v>
      </c>
      <c r="DC34" s="72">
        <v>13</v>
      </c>
      <c r="DD34" s="72">
        <v>13</v>
      </c>
      <c r="DE34" s="72">
        <v>13</v>
      </c>
      <c r="DF34" s="72">
        <v>13</v>
      </c>
      <c r="DG34" s="72">
        <v>13</v>
      </c>
      <c r="DH34" s="72">
        <v>13</v>
      </c>
      <c r="DI34" s="72">
        <v>13</v>
      </c>
      <c r="DJ34" s="72">
        <v>13</v>
      </c>
      <c r="DK34" s="72">
        <v>13</v>
      </c>
      <c r="DL34" s="72">
        <v>13</v>
      </c>
      <c r="DM34" s="72">
        <v>13</v>
      </c>
    </row>
    <row r="35" spans="1:117" x14ac:dyDescent="0.35">
      <c r="A35" s="7"/>
      <c r="B35" s="77" t="s">
        <v>1491</v>
      </c>
      <c r="C35" s="9" t="s">
        <v>1495</v>
      </c>
      <c r="D35" s="10" t="s">
        <v>85</v>
      </c>
      <c r="E35" s="8" t="s">
        <v>1218</v>
      </c>
      <c r="F35" s="10">
        <v>1102</v>
      </c>
      <c r="G35" s="10" t="s">
        <v>40</v>
      </c>
      <c r="H35" s="10" t="s">
        <v>41</v>
      </c>
      <c r="I35" s="11">
        <v>0</v>
      </c>
      <c r="J35" s="10"/>
      <c r="K35" s="10"/>
      <c r="L35" s="14"/>
      <c r="M35" s="12">
        <v>21.42</v>
      </c>
      <c r="N35" s="12">
        <f t="shared" si="0"/>
        <v>42.84</v>
      </c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72"/>
      <c r="AO35" s="72"/>
      <c r="AP35" s="72"/>
      <c r="AQ35" s="72"/>
      <c r="AR35" s="72"/>
      <c r="AS35" s="72"/>
      <c r="AT35" s="72"/>
      <c r="AU35" s="72"/>
      <c r="AV35" s="72"/>
      <c r="AW35" s="72"/>
      <c r="AX35" s="72"/>
      <c r="AY35" s="72"/>
      <c r="AZ35" s="72"/>
      <c r="BA35" s="72"/>
      <c r="BB35" s="72"/>
      <c r="BC35" s="72"/>
      <c r="BD35" s="72"/>
      <c r="BE35" s="72"/>
      <c r="BF35" s="72"/>
      <c r="BG35" s="72"/>
      <c r="BH35" s="72"/>
      <c r="BI35" s="72"/>
      <c r="BJ35" s="72"/>
      <c r="BK35" s="72"/>
      <c r="BL35" s="72"/>
      <c r="BM35" s="72"/>
      <c r="BN35" s="72"/>
      <c r="BO35" s="72"/>
      <c r="BP35" s="72"/>
      <c r="BQ35" s="72"/>
      <c r="BR35" s="72"/>
      <c r="BS35" s="72"/>
      <c r="BT35" s="72"/>
      <c r="BU35" s="72"/>
      <c r="BV35" s="72"/>
      <c r="BW35" s="72"/>
      <c r="BX35" s="72"/>
      <c r="BY35" s="72"/>
      <c r="BZ35" s="72"/>
      <c r="CA35" s="72"/>
      <c r="CB35" s="72"/>
      <c r="CC35" s="72"/>
      <c r="CD35" s="72"/>
      <c r="CE35" s="72"/>
      <c r="CF35" s="72"/>
      <c r="CG35" s="72"/>
      <c r="CH35" s="72"/>
      <c r="CI35" s="72"/>
      <c r="CJ35" s="72"/>
      <c r="CK35" s="72"/>
      <c r="CL35" s="72"/>
      <c r="CM35" s="72"/>
      <c r="CN35" s="72">
        <v>2</v>
      </c>
      <c r="CO35" s="72">
        <v>2</v>
      </c>
      <c r="CP35" s="72">
        <v>2</v>
      </c>
      <c r="CQ35" s="72">
        <v>2</v>
      </c>
      <c r="CR35" s="72">
        <v>2</v>
      </c>
      <c r="CS35" s="72">
        <v>2</v>
      </c>
      <c r="CT35" s="72">
        <v>2</v>
      </c>
      <c r="CU35" s="72">
        <v>2</v>
      </c>
      <c r="CV35" s="72">
        <v>2</v>
      </c>
      <c r="CW35" s="72">
        <v>2</v>
      </c>
      <c r="CX35" s="72">
        <v>2</v>
      </c>
      <c r="CY35" s="72">
        <v>2</v>
      </c>
      <c r="CZ35" s="72">
        <v>2</v>
      </c>
      <c r="DA35" s="72">
        <v>2</v>
      </c>
      <c r="DB35" s="72">
        <v>2</v>
      </c>
      <c r="DC35" s="72">
        <v>2</v>
      </c>
      <c r="DD35" s="72">
        <v>2</v>
      </c>
      <c r="DE35" s="72">
        <v>2</v>
      </c>
      <c r="DF35" s="72">
        <v>2</v>
      </c>
      <c r="DG35" s="72">
        <v>2</v>
      </c>
      <c r="DH35" s="72">
        <v>2</v>
      </c>
      <c r="DI35" s="72">
        <v>2</v>
      </c>
      <c r="DJ35" s="72">
        <v>2</v>
      </c>
      <c r="DK35" s="72">
        <v>2</v>
      </c>
      <c r="DL35" s="72">
        <v>2</v>
      </c>
      <c r="DM35" s="72">
        <v>2</v>
      </c>
    </row>
    <row r="36" spans="1:117" x14ac:dyDescent="0.35">
      <c r="A36" s="7"/>
      <c r="B36" s="77" t="s">
        <v>1492</v>
      </c>
      <c r="C36" s="9" t="s">
        <v>1494</v>
      </c>
      <c r="D36" s="10" t="s">
        <v>85</v>
      </c>
      <c r="E36" s="8" t="s">
        <v>1219</v>
      </c>
      <c r="F36" s="10">
        <v>1102</v>
      </c>
      <c r="G36" s="10" t="s">
        <v>40</v>
      </c>
      <c r="H36" s="10" t="s">
        <v>41</v>
      </c>
      <c r="I36" s="11">
        <v>0</v>
      </c>
      <c r="J36" s="10"/>
      <c r="K36" s="10"/>
      <c r="L36" s="14"/>
      <c r="M36" s="12">
        <v>0.57999999999999996</v>
      </c>
      <c r="N36" s="12">
        <f t="shared" si="0"/>
        <v>13.919999999999998</v>
      </c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72"/>
      <c r="AO36" s="72"/>
      <c r="AP36" s="72"/>
      <c r="AQ36" s="72"/>
      <c r="AR36" s="72"/>
      <c r="AS36" s="72"/>
      <c r="AT36" s="72"/>
      <c r="AU36" s="72"/>
      <c r="AV36" s="72"/>
      <c r="AW36" s="72"/>
      <c r="AX36" s="72"/>
      <c r="AY36" s="72"/>
      <c r="AZ36" s="72"/>
      <c r="BA36" s="72"/>
      <c r="BB36" s="72"/>
      <c r="BC36" s="72"/>
      <c r="BD36" s="72"/>
      <c r="BE36" s="72"/>
      <c r="BF36" s="72"/>
      <c r="BG36" s="72"/>
      <c r="BH36" s="72"/>
      <c r="BI36" s="72"/>
      <c r="BJ36" s="72"/>
      <c r="BK36" s="72"/>
      <c r="BL36" s="72"/>
      <c r="BM36" s="72"/>
      <c r="BN36" s="72"/>
      <c r="BO36" s="72"/>
      <c r="BP36" s="72"/>
      <c r="BQ36" s="72"/>
      <c r="BR36" s="72"/>
      <c r="BS36" s="72"/>
      <c r="BT36" s="72"/>
      <c r="BU36" s="72"/>
      <c r="BV36" s="72"/>
      <c r="BW36" s="72"/>
      <c r="BX36" s="72"/>
      <c r="BY36" s="72"/>
      <c r="BZ36" s="72"/>
      <c r="CA36" s="72"/>
      <c r="CB36" s="72"/>
      <c r="CC36" s="72"/>
      <c r="CD36" s="72"/>
      <c r="CE36" s="72"/>
      <c r="CF36" s="72"/>
      <c r="CG36" s="72"/>
      <c r="CH36" s="72"/>
      <c r="CI36" s="72"/>
      <c r="CJ36" s="72"/>
      <c r="CK36" s="72"/>
      <c r="CL36" s="72"/>
      <c r="CM36" s="72"/>
      <c r="CN36" s="72">
        <v>24</v>
      </c>
      <c r="CO36" s="72">
        <v>24</v>
      </c>
      <c r="CP36" s="72">
        <v>24</v>
      </c>
      <c r="CQ36" s="72">
        <v>24</v>
      </c>
      <c r="CR36" s="72">
        <v>24</v>
      </c>
      <c r="CS36" s="72">
        <v>24</v>
      </c>
      <c r="CT36" s="72">
        <v>24</v>
      </c>
      <c r="CU36" s="72">
        <v>24</v>
      </c>
      <c r="CV36" s="72">
        <v>24</v>
      </c>
      <c r="CW36" s="72">
        <v>24</v>
      </c>
      <c r="CX36" s="72">
        <v>24</v>
      </c>
      <c r="CY36" s="72">
        <v>24</v>
      </c>
      <c r="CZ36" s="72">
        <v>24</v>
      </c>
      <c r="DA36" s="72">
        <v>24</v>
      </c>
      <c r="DB36" s="72">
        <v>24</v>
      </c>
      <c r="DC36" s="72">
        <v>24</v>
      </c>
      <c r="DD36" s="72">
        <v>24</v>
      </c>
      <c r="DE36" s="72">
        <v>24</v>
      </c>
      <c r="DF36" s="72">
        <v>24</v>
      </c>
      <c r="DG36" s="72">
        <v>24</v>
      </c>
      <c r="DH36" s="72">
        <v>24</v>
      </c>
      <c r="DI36" s="72">
        <v>24</v>
      </c>
      <c r="DJ36" s="72">
        <v>24</v>
      </c>
      <c r="DK36" s="72">
        <v>24</v>
      </c>
      <c r="DL36" s="72">
        <v>24</v>
      </c>
      <c r="DM36" s="72">
        <v>24</v>
      </c>
    </row>
    <row r="37" spans="1:117" x14ac:dyDescent="0.35">
      <c r="A37" s="7"/>
      <c r="B37" s="21" t="s">
        <v>99</v>
      </c>
      <c r="C37" s="22" t="s">
        <v>100</v>
      </c>
      <c r="D37" s="10" t="s">
        <v>101</v>
      </c>
      <c r="E37" s="8" t="s">
        <v>1221</v>
      </c>
      <c r="F37" s="23">
        <v>1006</v>
      </c>
      <c r="G37" s="10" t="s">
        <v>40</v>
      </c>
      <c r="H37" s="10" t="s">
        <v>41</v>
      </c>
      <c r="I37" s="11">
        <v>2</v>
      </c>
      <c r="J37" s="23"/>
      <c r="K37" s="10"/>
      <c r="L37" s="8"/>
      <c r="M37" s="12"/>
      <c r="N37" s="12">
        <f t="shared" si="0"/>
        <v>0</v>
      </c>
      <c r="O37" s="11">
        <v>2</v>
      </c>
      <c r="P37" s="11">
        <v>2</v>
      </c>
      <c r="Q37" s="11">
        <v>2</v>
      </c>
      <c r="R37" s="11">
        <v>2</v>
      </c>
      <c r="S37" s="11">
        <v>2</v>
      </c>
      <c r="T37" s="11">
        <v>2</v>
      </c>
      <c r="U37" s="11">
        <v>2</v>
      </c>
      <c r="V37" s="11">
        <v>2</v>
      </c>
      <c r="W37" s="11">
        <v>2</v>
      </c>
      <c r="X37" s="11">
        <v>2</v>
      </c>
      <c r="Y37" s="11">
        <v>2</v>
      </c>
      <c r="Z37" s="11">
        <v>2</v>
      </c>
      <c r="AA37" s="11">
        <v>2</v>
      </c>
      <c r="AB37" s="11">
        <v>2</v>
      </c>
      <c r="AC37" s="11">
        <v>2</v>
      </c>
      <c r="AD37" s="11">
        <v>2</v>
      </c>
      <c r="AE37" s="11">
        <v>2</v>
      </c>
      <c r="AF37" s="11">
        <v>2</v>
      </c>
      <c r="AG37" s="11">
        <v>2</v>
      </c>
      <c r="AH37" s="11">
        <v>2</v>
      </c>
      <c r="AI37" s="11">
        <v>2</v>
      </c>
      <c r="AJ37" s="11">
        <v>2</v>
      </c>
      <c r="AK37" s="11">
        <v>2</v>
      </c>
      <c r="AL37" s="11">
        <v>2</v>
      </c>
      <c r="AM37" s="11">
        <v>2</v>
      </c>
      <c r="AN37" s="72">
        <v>2</v>
      </c>
      <c r="AO37" s="72">
        <v>2</v>
      </c>
      <c r="AP37" s="72">
        <v>2</v>
      </c>
      <c r="AQ37" s="72">
        <v>2</v>
      </c>
      <c r="AR37" s="72">
        <v>2</v>
      </c>
      <c r="AS37" s="72">
        <v>2</v>
      </c>
      <c r="AT37" s="72">
        <v>2</v>
      </c>
      <c r="AU37" s="72">
        <v>2</v>
      </c>
      <c r="AV37" s="72">
        <v>2</v>
      </c>
      <c r="AW37" s="72">
        <v>2</v>
      </c>
      <c r="AX37" s="72">
        <v>2</v>
      </c>
      <c r="AY37" s="72">
        <v>2</v>
      </c>
      <c r="AZ37" s="72">
        <v>2</v>
      </c>
      <c r="BA37" s="72">
        <v>2</v>
      </c>
      <c r="BB37" s="72">
        <v>2</v>
      </c>
      <c r="BC37" s="72">
        <v>2</v>
      </c>
      <c r="BD37" s="72">
        <v>2</v>
      </c>
      <c r="BE37" s="72">
        <v>2</v>
      </c>
      <c r="BF37" s="72">
        <v>2</v>
      </c>
      <c r="BG37" s="72">
        <v>2</v>
      </c>
      <c r="BH37" s="72">
        <v>2</v>
      </c>
      <c r="BI37" s="72">
        <v>2</v>
      </c>
      <c r="BJ37" s="72">
        <v>2</v>
      </c>
      <c r="BK37" s="72">
        <v>2</v>
      </c>
      <c r="BL37" s="72">
        <v>2</v>
      </c>
      <c r="BM37" s="72">
        <v>2</v>
      </c>
      <c r="BN37" s="72">
        <v>2</v>
      </c>
      <c r="BO37" s="72">
        <v>2</v>
      </c>
      <c r="BP37" s="72">
        <v>2</v>
      </c>
      <c r="BQ37" s="72">
        <v>2</v>
      </c>
      <c r="BR37" s="72">
        <v>2</v>
      </c>
      <c r="BS37" s="72">
        <v>2</v>
      </c>
      <c r="BT37" s="72">
        <v>2</v>
      </c>
      <c r="BU37" s="72">
        <v>2</v>
      </c>
      <c r="BV37" s="72">
        <v>2</v>
      </c>
      <c r="BW37" s="72">
        <v>2</v>
      </c>
      <c r="BX37" s="72">
        <v>2</v>
      </c>
      <c r="BY37" s="72">
        <v>2</v>
      </c>
      <c r="BZ37" s="72">
        <v>2</v>
      </c>
      <c r="CA37" s="72">
        <v>2</v>
      </c>
      <c r="CB37" s="72">
        <v>2</v>
      </c>
      <c r="CC37" s="72">
        <v>2</v>
      </c>
      <c r="CD37" s="72">
        <v>2</v>
      </c>
      <c r="CE37" s="72">
        <v>2</v>
      </c>
      <c r="CF37" s="72">
        <v>2</v>
      </c>
      <c r="CG37" s="72">
        <v>2</v>
      </c>
      <c r="CH37" s="72">
        <v>2</v>
      </c>
      <c r="CI37" s="72">
        <v>2</v>
      </c>
      <c r="CJ37" s="72">
        <v>2</v>
      </c>
      <c r="CK37" s="72">
        <v>2</v>
      </c>
      <c r="CL37" s="72">
        <v>2</v>
      </c>
      <c r="CM37" s="72">
        <v>2</v>
      </c>
      <c r="CN37" s="72">
        <v>2</v>
      </c>
      <c r="CO37" s="72">
        <v>2</v>
      </c>
      <c r="CP37" s="72">
        <v>2</v>
      </c>
      <c r="CQ37" s="72">
        <v>2</v>
      </c>
      <c r="CR37" s="72">
        <v>2</v>
      </c>
      <c r="CS37" s="72">
        <v>2</v>
      </c>
      <c r="CT37" s="72">
        <v>2</v>
      </c>
      <c r="CU37" s="72">
        <v>2</v>
      </c>
      <c r="CV37" s="72">
        <v>2</v>
      </c>
      <c r="CW37" s="72">
        <v>2</v>
      </c>
      <c r="CX37" s="72">
        <v>2</v>
      </c>
      <c r="CY37" s="72">
        <v>2</v>
      </c>
      <c r="CZ37" s="72">
        <v>2</v>
      </c>
      <c r="DA37" s="72">
        <v>2</v>
      </c>
      <c r="DB37" s="72">
        <v>2</v>
      </c>
      <c r="DC37" s="72">
        <v>2</v>
      </c>
      <c r="DD37" s="72">
        <v>2</v>
      </c>
      <c r="DE37" s="72">
        <v>2</v>
      </c>
      <c r="DF37" s="72">
        <v>2</v>
      </c>
      <c r="DG37" s="72">
        <v>2</v>
      </c>
      <c r="DH37" s="72">
        <v>2</v>
      </c>
      <c r="DI37" s="72">
        <v>2</v>
      </c>
      <c r="DJ37" s="72">
        <v>2</v>
      </c>
      <c r="DK37" s="72">
        <v>2</v>
      </c>
      <c r="DL37" s="72">
        <v>2</v>
      </c>
      <c r="DM37" s="72">
        <v>2</v>
      </c>
    </row>
    <row r="38" spans="1:117" x14ac:dyDescent="0.35">
      <c r="A38" s="7"/>
      <c r="B38" s="8" t="s">
        <v>102</v>
      </c>
      <c r="C38" s="9" t="s">
        <v>103</v>
      </c>
      <c r="D38" s="10" t="s">
        <v>104</v>
      </c>
      <c r="E38" s="8" t="s">
        <v>1206</v>
      </c>
      <c r="F38" s="10">
        <v>1002</v>
      </c>
      <c r="G38" s="10" t="s">
        <v>40</v>
      </c>
      <c r="H38" s="10" t="s">
        <v>41</v>
      </c>
      <c r="I38" s="11">
        <v>0</v>
      </c>
      <c r="J38" s="10">
        <v>1</v>
      </c>
      <c r="K38" s="11"/>
      <c r="L38" s="14" t="s">
        <v>105</v>
      </c>
      <c r="M38" s="12"/>
      <c r="N38" s="12">
        <f t="shared" si="0"/>
        <v>0</v>
      </c>
      <c r="O38" s="11">
        <v>0</v>
      </c>
      <c r="P38" s="11">
        <v>0</v>
      </c>
      <c r="Q38" s="11">
        <v>0</v>
      </c>
      <c r="R38" s="11">
        <v>0</v>
      </c>
      <c r="S38" s="11">
        <v>0</v>
      </c>
      <c r="T38" s="11">
        <v>0</v>
      </c>
      <c r="U38" s="11">
        <v>0</v>
      </c>
      <c r="V38" s="11">
        <v>0</v>
      </c>
      <c r="W38" s="11">
        <v>0</v>
      </c>
      <c r="X38" s="11">
        <v>0</v>
      </c>
      <c r="Y38" s="11">
        <v>0</v>
      </c>
      <c r="Z38" s="11">
        <v>0</v>
      </c>
      <c r="AA38" s="11">
        <v>0</v>
      </c>
      <c r="AB38" s="11">
        <v>0</v>
      </c>
      <c r="AC38" s="11">
        <v>0</v>
      </c>
      <c r="AD38" s="11">
        <v>0</v>
      </c>
      <c r="AE38" s="11">
        <v>0</v>
      </c>
      <c r="AF38" s="11">
        <v>0</v>
      </c>
      <c r="AG38" s="11">
        <v>0</v>
      </c>
      <c r="AH38" s="11">
        <v>0</v>
      </c>
      <c r="AI38" s="11">
        <v>0</v>
      </c>
      <c r="AJ38" s="11">
        <v>0</v>
      </c>
      <c r="AK38" s="11">
        <v>0</v>
      </c>
      <c r="AL38" s="11">
        <v>0</v>
      </c>
      <c r="AM38" s="11">
        <v>0</v>
      </c>
      <c r="AN38" s="11">
        <v>0</v>
      </c>
      <c r="AO38" s="11">
        <v>0</v>
      </c>
      <c r="AP38" s="11">
        <v>0</v>
      </c>
      <c r="AQ38" s="11">
        <v>0</v>
      </c>
      <c r="AR38" s="72"/>
      <c r="AS38" s="72"/>
      <c r="AT38" s="72"/>
      <c r="AU38" s="72"/>
      <c r="AV38" s="72"/>
      <c r="AW38" s="72"/>
      <c r="AX38" s="72"/>
      <c r="AY38" s="72"/>
      <c r="AZ38" s="72"/>
      <c r="BA38" s="72"/>
      <c r="BB38" s="72"/>
      <c r="BC38" s="72"/>
      <c r="BD38" s="72"/>
      <c r="BE38" s="72"/>
      <c r="BF38" s="72"/>
      <c r="BG38" s="72"/>
      <c r="BH38" s="72">
        <v>0</v>
      </c>
      <c r="BI38" s="72">
        <v>0</v>
      </c>
      <c r="BJ38" s="72">
        <v>0</v>
      </c>
      <c r="BK38" s="72">
        <v>0</v>
      </c>
      <c r="BL38" s="72">
        <v>1</v>
      </c>
      <c r="BM38" s="72">
        <v>1</v>
      </c>
      <c r="BN38" s="72">
        <v>1</v>
      </c>
      <c r="BO38" s="72">
        <v>1</v>
      </c>
      <c r="BP38" s="72">
        <v>1</v>
      </c>
      <c r="BQ38" s="72">
        <v>1</v>
      </c>
      <c r="BR38" s="72">
        <v>1</v>
      </c>
      <c r="BS38" s="72">
        <v>1</v>
      </c>
      <c r="BT38" s="72">
        <v>1</v>
      </c>
      <c r="BU38" s="72">
        <v>1</v>
      </c>
      <c r="BV38" s="72">
        <v>1</v>
      </c>
      <c r="BW38" s="72">
        <v>1</v>
      </c>
      <c r="BX38" s="72">
        <v>1</v>
      </c>
      <c r="BY38" s="72">
        <v>1</v>
      </c>
      <c r="BZ38" s="72">
        <v>1</v>
      </c>
      <c r="CA38" s="72">
        <v>1</v>
      </c>
      <c r="CB38" s="72">
        <v>1</v>
      </c>
      <c r="CC38" s="72">
        <v>1</v>
      </c>
      <c r="CD38" s="72">
        <v>1</v>
      </c>
      <c r="CE38" s="72">
        <v>1</v>
      </c>
      <c r="CF38" s="72">
        <v>1</v>
      </c>
      <c r="CG38" s="72">
        <v>1</v>
      </c>
      <c r="CH38" s="72">
        <v>1</v>
      </c>
      <c r="CI38" s="72">
        <v>1</v>
      </c>
      <c r="CJ38" s="72">
        <v>1</v>
      </c>
      <c r="CK38" s="72">
        <v>1</v>
      </c>
      <c r="CL38" s="72">
        <v>1</v>
      </c>
      <c r="CM38" s="72">
        <v>1</v>
      </c>
      <c r="CN38" s="72">
        <v>1</v>
      </c>
      <c r="CO38" s="72">
        <v>1</v>
      </c>
      <c r="CP38" s="72">
        <v>1</v>
      </c>
      <c r="CQ38" s="72">
        <v>1</v>
      </c>
      <c r="CR38" s="72">
        <v>1</v>
      </c>
      <c r="CS38" s="72">
        <v>1</v>
      </c>
      <c r="CT38" s="72">
        <v>1</v>
      </c>
      <c r="CU38" s="72">
        <v>1</v>
      </c>
      <c r="CV38" s="72">
        <v>1</v>
      </c>
      <c r="CW38" s="72">
        <v>1</v>
      </c>
      <c r="CX38" s="72">
        <v>1</v>
      </c>
      <c r="CY38" s="72">
        <v>1</v>
      </c>
      <c r="CZ38" s="72">
        <v>1</v>
      </c>
      <c r="DA38" s="72">
        <v>1</v>
      </c>
      <c r="DB38" s="72">
        <v>1</v>
      </c>
      <c r="DC38" s="72">
        <v>1</v>
      </c>
      <c r="DD38" s="72">
        <v>1</v>
      </c>
      <c r="DE38" s="72">
        <v>1</v>
      </c>
      <c r="DF38" s="72">
        <v>1</v>
      </c>
      <c r="DG38" s="72">
        <v>1</v>
      </c>
      <c r="DH38" s="72">
        <v>1</v>
      </c>
      <c r="DI38" s="72">
        <v>1</v>
      </c>
      <c r="DJ38" s="72">
        <v>1</v>
      </c>
      <c r="DK38" s="72">
        <v>1</v>
      </c>
      <c r="DL38" s="72">
        <v>1</v>
      </c>
      <c r="DM38" s="72">
        <v>1</v>
      </c>
    </row>
    <row r="39" spans="1:117" x14ac:dyDescent="0.35">
      <c r="A39" s="7"/>
      <c r="B39" s="8" t="s">
        <v>106</v>
      </c>
      <c r="C39" s="9" t="s">
        <v>107</v>
      </c>
      <c r="D39" s="10" t="s">
        <v>104</v>
      </c>
      <c r="E39" s="8" t="s">
        <v>1206</v>
      </c>
      <c r="F39" s="10">
        <v>1002</v>
      </c>
      <c r="G39" s="10" t="s">
        <v>40</v>
      </c>
      <c r="H39" s="10" t="s">
        <v>41</v>
      </c>
      <c r="I39" s="11">
        <v>0</v>
      </c>
      <c r="J39" s="10">
        <v>1</v>
      </c>
      <c r="K39" s="11"/>
      <c r="L39" s="14" t="s">
        <v>105</v>
      </c>
      <c r="M39" s="12"/>
      <c r="N39" s="12">
        <f t="shared" si="0"/>
        <v>0</v>
      </c>
      <c r="O39" s="11">
        <v>0</v>
      </c>
      <c r="P39" s="11">
        <v>0</v>
      </c>
      <c r="Q39" s="11">
        <v>0</v>
      </c>
      <c r="R39" s="11">
        <v>0</v>
      </c>
      <c r="S39" s="11">
        <v>0</v>
      </c>
      <c r="T39" s="11">
        <v>0</v>
      </c>
      <c r="U39" s="11">
        <v>0</v>
      </c>
      <c r="V39" s="11">
        <v>0</v>
      </c>
      <c r="W39" s="11">
        <v>0</v>
      </c>
      <c r="X39" s="11">
        <v>0</v>
      </c>
      <c r="Y39" s="11">
        <v>0</v>
      </c>
      <c r="Z39" s="11">
        <v>0</v>
      </c>
      <c r="AA39" s="11">
        <v>0</v>
      </c>
      <c r="AB39" s="11">
        <v>0</v>
      </c>
      <c r="AC39" s="11">
        <v>0</v>
      </c>
      <c r="AD39" s="11">
        <v>0</v>
      </c>
      <c r="AE39" s="11">
        <v>0</v>
      </c>
      <c r="AF39" s="11">
        <v>0</v>
      </c>
      <c r="AG39" s="11">
        <v>0</v>
      </c>
      <c r="AH39" s="11">
        <v>0</v>
      </c>
      <c r="AI39" s="11">
        <v>0</v>
      </c>
      <c r="AJ39" s="11">
        <v>0</v>
      </c>
      <c r="AK39" s="11">
        <v>0</v>
      </c>
      <c r="AL39" s="11">
        <v>0</v>
      </c>
      <c r="AM39" s="11">
        <v>0</v>
      </c>
      <c r="AN39" s="11">
        <v>0</v>
      </c>
      <c r="AO39" s="11">
        <v>0</v>
      </c>
      <c r="AP39" s="11">
        <v>0</v>
      </c>
      <c r="AQ39" s="11">
        <v>0</v>
      </c>
      <c r="AR39" s="72"/>
      <c r="AS39" s="72"/>
      <c r="AT39" s="72"/>
      <c r="AU39" s="72"/>
      <c r="AV39" s="72"/>
      <c r="AW39" s="72"/>
      <c r="AX39" s="72"/>
      <c r="AY39" s="72"/>
      <c r="AZ39" s="72"/>
      <c r="BA39" s="72"/>
      <c r="BB39" s="72"/>
      <c r="BC39" s="72"/>
      <c r="BD39" s="72"/>
      <c r="BE39" s="72"/>
      <c r="BF39" s="72"/>
      <c r="BG39" s="72"/>
      <c r="BH39" s="72">
        <v>0</v>
      </c>
      <c r="BI39" s="72">
        <v>0</v>
      </c>
      <c r="BJ39" s="72">
        <v>0</v>
      </c>
      <c r="BK39" s="72">
        <v>0</v>
      </c>
      <c r="BL39" s="72">
        <v>0</v>
      </c>
      <c r="BM39" s="72">
        <v>0</v>
      </c>
      <c r="BN39" s="72">
        <v>0</v>
      </c>
      <c r="BO39" s="72">
        <v>0</v>
      </c>
      <c r="BP39" s="72">
        <v>0</v>
      </c>
      <c r="BQ39" s="72">
        <v>0</v>
      </c>
      <c r="BR39" s="72">
        <v>0</v>
      </c>
      <c r="BS39" s="72">
        <v>0</v>
      </c>
      <c r="BT39" s="72">
        <v>0</v>
      </c>
      <c r="BU39" s="72">
        <v>0</v>
      </c>
      <c r="BV39" s="72">
        <v>0</v>
      </c>
      <c r="BW39" s="72">
        <v>0</v>
      </c>
      <c r="BX39" s="72">
        <v>0</v>
      </c>
      <c r="BY39" s="72">
        <v>0</v>
      </c>
      <c r="BZ39" s="72">
        <v>0</v>
      </c>
      <c r="CA39" s="72">
        <v>0</v>
      </c>
      <c r="CB39" s="72">
        <v>0</v>
      </c>
      <c r="CC39" s="72">
        <v>0</v>
      </c>
      <c r="CD39" s="72">
        <v>0</v>
      </c>
      <c r="CE39" s="72">
        <v>0</v>
      </c>
      <c r="CF39" s="72">
        <v>0</v>
      </c>
      <c r="CG39" s="72">
        <v>0</v>
      </c>
      <c r="CH39" s="72">
        <v>0</v>
      </c>
      <c r="CI39" s="72">
        <v>0</v>
      </c>
      <c r="CJ39" s="72">
        <v>0</v>
      </c>
      <c r="CK39" s="72">
        <v>0</v>
      </c>
      <c r="CL39" s="72">
        <v>0</v>
      </c>
      <c r="CM39" s="72">
        <v>0</v>
      </c>
      <c r="CN39" s="72">
        <v>0</v>
      </c>
      <c r="CO39" s="72">
        <v>0</v>
      </c>
      <c r="CP39" s="72">
        <v>0</v>
      </c>
      <c r="CQ39" s="72">
        <v>0</v>
      </c>
      <c r="CR39" s="72">
        <v>0</v>
      </c>
      <c r="CS39" s="72">
        <v>0</v>
      </c>
      <c r="CT39" s="72">
        <v>0</v>
      </c>
      <c r="CU39" s="72">
        <v>0</v>
      </c>
      <c r="CV39" s="72">
        <v>0</v>
      </c>
      <c r="CW39" s="72">
        <v>0</v>
      </c>
      <c r="CX39" s="72">
        <v>0</v>
      </c>
      <c r="CY39" s="72">
        <v>0</v>
      </c>
      <c r="CZ39" s="72">
        <v>0</v>
      </c>
      <c r="DA39" s="72">
        <v>0</v>
      </c>
      <c r="DB39" s="72">
        <v>0</v>
      </c>
      <c r="DC39" s="72">
        <v>0</v>
      </c>
      <c r="DD39" s="72">
        <v>0</v>
      </c>
      <c r="DE39" s="72">
        <v>0</v>
      </c>
      <c r="DF39" s="72">
        <v>0</v>
      </c>
      <c r="DG39" s="72">
        <v>0</v>
      </c>
      <c r="DH39" s="72">
        <v>0</v>
      </c>
      <c r="DI39" s="72">
        <v>0</v>
      </c>
      <c r="DJ39" s="72">
        <v>0</v>
      </c>
      <c r="DK39" s="72">
        <v>0</v>
      </c>
      <c r="DL39" s="72">
        <v>0</v>
      </c>
      <c r="DM39" s="72">
        <v>0</v>
      </c>
    </row>
    <row r="40" spans="1:117" x14ac:dyDescent="0.35">
      <c r="A40" s="7"/>
      <c r="B40" s="8" t="s">
        <v>108</v>
      </c>
      <c r="C40" s="9" t="s">
        <v>109</v>
      </c>
      <c r="D40" s="10" t="s">
        <v>104</v>
      </c>
      <c r="E40" s="8" t="s">
        <v>1206</v>
      </c>
      <c r="F40" s="10">
        <v>1002</v>
      </c>
      <c r="G40" s="10" t="s">
        <v>40</v>
      </c>
      <c r="H40" s="10" t="s">
        <v>41</v>
      </c>
      <c r="I40" s="11">
        <v>1</v>
      </c>
      <c r="J40" s="10"/>
      <c r="K40" s="10"/>
      <c r="L40" s="8"/>
      <c r="M40" s="12"/>
      <c r="N40" s="12">
        <f t="shared" si="0"/>
        <v>0</v>
      </c>
      <c r="O40" s="11">
        <v>1</v>
      </c>
      <c r="P40" s="11">
        <v>1</v>
      </c>
      <c r="Q40" s="11">
        <v>1</v>
      </c>
      <c r="R40" s="11">
        <v>1</v>
      </c>
      <c r="S40" s="11">
        <v>1</v>
      </c>
      <c r="T40" s="11">
        <v>1</v>
      </c>
      <c r="U40" s="11">
        <v>1</v>
      </c>
      <c r="V40" s="11">
        <v>1</v>
      </c>
      <c r="W40" s="11">
        <v>1</v>
      </c>
      <c r="X40" s="11">
        <v>1</v>
      </c>
      <c r="Y40" s="11">
        <v>1</v>
      </c>
      <c r="Z40" s="11">
        <v>1</v>
      </c>
      <c r="AA40" s="11">
        <v>1</v>
      </c>
      <c r="AB40" s="11">
        <v>1</v>
      </c>
      <c r="AC40" s="11">
        <v>1</v>
      </c>
      <c r="AD40" s="11">
        <v>1</v>
      </c>
      <c r="AE40" s="11">
        <v>1</v>
      </c>
      <c r="AF40" s="11">
        <v>1</v>
      </c>
      <c r="AG40" s="11">
        <v>1</v>
      </c>
      <c r="AH40" s="11">
        <v>1</v>
      </c>
      <c r="AI40" s="11">
        <v>1</v>
      </c>
      <c r="AJ40" s="11">
        <v>1</v>
      </c>
      <c r="AK40" s="11">
        <v>1</v>
      </c>
      <c r="AL40" s="11">
        <v>1</v>
      </c>
      <c r="AM40" s="11">
        <v>1</v>
      </c>
      <c r="AN40" s="72">
        <v>1</v>
      </c>
      <c r="AO40" s="72">
        <v>1</v>
      </c>
      <c r="AP40" s="72">
        <v>1</v>
      </c>
      <c r="AQ40" s="72">
        <v>1</v>
      </c>
      <c r="AR40" s="72">
        <v>1</v>
      </c>
      <c r="AS40" s="72">
        <v>1</v>
      </c>
      <c r="AT40" s="72">
        <v>1</v>
      </c>
      <c r="AU40" s="72">
        <v>1</v>
      </c>
      <c r="AV40" s="72">
        <v>1</v>
      </c>
      <c r="AW40" s="72">
        <v>1</v>
      </c>
      <c r="AX40" s="72">
        <v>1</v>
      </c>
      <c r="AY40" s="72">
        <v>1</v>
      </c>
      <c r="AZ40" s="72">
        <v>1</v>
      </c>
      <c r="BA40" s="72">
        <v>1</v>
      </c>
      <c r="BB40" s="72">
        <v>1</v>
      </c>
      <c r="BC40" s="72">
        <v>1</v>
      </c>
      <c r="BD40" s="72">
        <v>1</v>
      </c>
      <c r="BE40" s="72">
        <v>1</v>
      </c>
      <c r="BF40" s="72">
        <v>1</v>
      </c>
      <c r="BG40" s="72">
        <v>1</v>
      </c>
      <c r="BH40" s="72">
        <v>1</v>
      </c>
      <c r="BI40" s="72">
        <v>1</v>
      </c>
      <c r="BJ40" s="72">
        <v>1</v>
      </c>
      <c r="BK40" s="72">
        <v>1</v>
      </c>
      <c r="BL40" s="72">
        <v>1</v>
      </c>
      <c r="BM40" s="72">
        <v>1</v>
      </c>
      <c r="BN40" s="72">
        <v>1</v>
      </c>
      <c r="BO40" s="72">
        <v>1</v>
      </c>
      <c r="BP40" s="72">
        <v>1</v>
      </c>
      <c r="BQ40" s="72">
        <v>1</v>
      </c>
      <c r="BR40" s="72">
        <v>1</v>
      </c>
      <c r="BS40" s="72">
        <v>1</v>
      </c>
      <c r="BT40" s="72">
        <v>1</v>
      </c>
      <c r="BU40" s="72">
        <v>1</v>
      </c>
      <c r="BV40" s="72">
        <v>1</v>
      </c>
      <c r="BW40" s="72">
        <v>1</v>
      </c>
      <c r="BX40" s="72">
        <v>1</v>
      </c>
      <c r="BY40" s="72">
        <v>1</v>
      </c>
      <c r="BZ40" s="72">
        <v>1</v>
      </c>
      <c r="CA40" s="72">
        <v>1</v>
      </c>
      <c r="CB40" s="72">
        <v>1</v>
      </c>
      <c r="CC40" s="72">
        <v>1</v>
      </c>
      <c r="CD40" s="72">
        <v>1</v>
      </c>
      <c r="CE40" s="72">
        <v>1</v>
      </c>
      <c r="CF40" s="72">
        <v>1</v>
      </c>
      <c r="CG40" s="72">
        <v>1</v>
      </c>
      <c r="CH40" s="72">
        <v>1</v>
      </c>
      <c r="CI40" s="72">
        <v>1</v>
      </c>
      <c r="CJ40" s="72">
        <v>1</v>
      </c>
      <c r="CK40" s="72">
        <v>1</v>
      </c>
      <c r="CL40" s="72">
        <v>1</v>
      </c>
      <c r="CM40" s="72">
        <v>1</v>
      </c>
      <c r="CN40" s="72">
        <v>1</v>
      </c>
      <c r="CO40" s="72">
        <v>1</v>
      </c>
      <c r="CP40" s="72">
        <v>1</v>
      </c>
      <c r="CQ40" s="72">
        <v>1</v>
      </c>
      <c r="CR40" s="72">
        <v>1</v>
      </c>
      <c r="CS40" s="72">
        <v>1</v>
      </c>
      <c r="CT40" s="72">
        <v>1</v>
      </c>
      <c r="CU40" s="72">
        <v>1</v>
      </c>
      <c r="CV40" s="72">
        <v>1</v>
      </c>
      <c r="CW40" s="72">
        <v>1</v>
      </c>
      <c r="CX40" s="72">
        <v>1</v>
      </c>
      <c r="CY40" s="72">
        <v>1</v>
      </c>
      <c r="CZ40" s="72">
        <v>1</v>
      </c>
      <c r="DA40" s="72">
        <v>1</v>
      </c>
      <c r="DB40" s="72">
        <v>1</v>
      </c>
      <c r="DC40" s="72">
        <v>1</v>
      </c>
      <c r="DD40" s="72">
        <v>1</v>
      </c>
      <c r="DE40" s="72">
        <v>1</v>
      </c>
      <c r="DF40" s="72">
        <v>1</v>
      </c>
      <c r="DG40" s="72">
        <v>1</v>
      </c>
      <c r="DH40" s="72">
        <v>1</v>
      </c>
      <c r="DI40" s="72">
        <v>1</v>
      </c>
      <c r="DJ40" s="72">
        <v>1</v>
      </c>
      <c r="DK40" s="72">
        <v>1</v>
      </c>
      <c r="DL40" s="72">
        <v>1</v>
      </c>
      <c r="DM40" s="72">
        <v>1</v>
      </c>
    </row>
    <row r="41" spans="1:117" x14ac:dyDescent="0.35">
      <c r="A41" s="7"/>
      <c r="B41" s="8" t="s">
        <v>110</v>
      </c>
      <c r="C41" s="9" t="s">
        <v>111</v>
      </c>
      <c r="D41" s="10" t="s">
        <v>104</v>
      </c>
      <c r="E41" s="8" t="s">
        <v>1203</v>
      </c>
      <c r="F41" s="10">
        <v>1002</v>
      </c>
      <c r="G41" s="10" t="s">
        <v>40</v>
      </c>
      <c r="H41" s="10" t="s">
        <v>41</v>
      </c>
      <c r="I41" s="11">
        <v>1</v>
      </c>
      <c r="J41" s="10"/>
      <c r="K41" s="10" t="s">
        <v>42</v>
      </c>
      <c r="L41" s="8"/>
      <c r="M41" s="12">
        <v>367.2</v>
      </c>
      <c r="N41" s="12">
        <f t="shared" si="0"/>
        <v>367.2</v>
      </c>
      <c r="O41" s="11">
        <v>1</v>
      </c>
      <c r="P41" s="11">
        <v>1</v>
      </c>
      <c r="Q41" s="11">
        <v>1</v>
      </c>
      <c r="R41" s="11">
        <v>1</v>
      </c>
      <c r="S41" s="11">
        <v>1</v>
      </c>
      <c r="T41" s="11">
        <v>1</v>
      </c>
      <c r="U41" s="11">
        <v>1</v>
      </c>
      <c r="V41" s="11">
        <v>1</v>
      </c>
      <c r="W41" s="11">
        <v>1</v>
      </c>
      <c r="X41" s="11">
        <v>1</v>
      </c>
      <c r="Y41" s="11">
        <v>1</v>
      </c>
      <c r="Z41" s="11">
        <v>1</v>
      </c>
      <c r="AA41" s="11">
        <v>1</v>
      </c>
      <c r="AB41" s="11">
        <v>1</v>
      </c>
      <c r="AC41" s="11">
        <v>1</v>
      </c>
      <c r="AD41" s="11">
        <v>1</v>
      </c>
      <c r="AE41" s="11">
        <v>1</v>
      </c>
      <c r="AF41" s="11">
        <v>1</v>
      </c>
      <c r="AG41" s="11">
        <v>1</v>
      </c>
      <c r="AH41" s="11">
        <v>1</v>
      </c>
      <c r="AI41" s="11">
        <v>1</v>
      </c>
      <c r="AJ41" s="11">
        <v>1</v>
      </c>
      <c r="AK41" s="11">
        <v>1</v>
      </c>
      <c r="AL41" s="11">
        <v>1</v>
      </c>
      <c r="AM41" s="11">
        <v>1</v>
      </c>
      <c r="AN41" s="72">
        <v>1</v>
      </c>
      <c r="AO41" s="72">
        <v>1</v>
      </c>
      <c r="AP41" s="72">
        <v>1</v>
      </c>
      <c r="AQ41" s="72">
        <v>1</v>
      </c>
      <c r="AR41" s="72">
        <v>1</v>
      </c>
      <c r="AS41" s="72">
        <v>1</v>
      </c>
      <c r="AT41" s="72">
        <v>1</v>
      </c>
      <c r="AU41" s="72">
        <v>1</v>
      </c>
      <c r="AV41" s="72">
        <v>1</v>
      </c>
      <c r="AW41" s="72">
        <v>1</v>
      </c>
      <c r="AX41" s="72">
        <v>1</v>
      </c>
      <c r="AY41" s="72">
        <v>1</v>
      </c>
      <c r="AZ41" s="72">
        <v>1</v>
      </c>
      <c r="BA41" s="72">
        <v>1</v>
      </c>
      <c r="BB41" s="72">
        <v>1</v>
      </c>
      <c r="BC41" s="72">
        <v>1</v>
      </c>
      <c r="BD41" s="72">
        <v>1</v>
      </c>
      <c r="BE41" s="72">
        <v>1</v>
      </c>
      <c r="BF41" s="72">
        <v>1</v>
      </c>
      <c r="BG41" s="72">
        <v>1</v>
      </c>
      <c r="BH41" s="72">
        <v>1</v>
      </c>
      <c r="BI41" s="72">
        <v>1</v>
      </c>
      <c r="BJ41" s="72">
        <v>1</v>
      </c>
      <c r="BK41" s="72">
        <v>1</v>
      </c>
      <c r="BL41" s="72">
        <v>1</v>
      </c>
      <c r="BM41" s="72">
        <v>1</v>
      </c>
      <c r="BN41" s="72">
        <v>1</v>
      </c>
      <c r="BO41" s="72">
        <v>1</v>
      </c>
      <c r="BP41" s="72">
        <v>1</v>
      </c>
      <c r="BQ41" s="72">
        <v>1</v>
      </c>
      <c r="BR41" s="72">
        <v>1</v>
      </c>
      <c r="BS41" s="72">
        <v>1</v>
      </c>
      <c r="BT41" s="72">
        <v>1</v>
      </c>
      <c r="BU41" s="72">
        <v>1</v>
      </c>
      <c r="BV41" s="72">
        <v>1</v>
      </c>
      <c r="BW41" s="72">
        <v>1</v>
      </c>
      <c r="BX41" s="72">
        <v>1</v>
      </c>
      <c r="BY41" s="72">
        <v>1</v>
      </c>
      <c r="BZ41" s="72">
        <v>1</v>
      </c>
      <c r="CA41" s="72">
        <v>1</v>
      </c>
      <c r="CB41" s="72">
        <v>1</v>
      </c>
      <c r="CC41" s="72">
        <v>1</v>
      </c>
      <c r="CD41" s="72">
        <v>1</v>
      </c>
      <c r="CE41" s="72">
        <v>1</v>
      </c>
      <c r="CF41" s="72">
        <v>1</v>
      </c>
      <c r="CG41" s="72">
        <v>1</v>
      </c>
      <c r="CH41" s="72">
        <v>1</v>
      </c>
      <c r="CI41" s="72">
        <v>1</v>
      </c>
      <c r="CJ41" s="72">
        <v>1</v>
      </c>
      <c r="CK41" s="72">
        <v>1</v>
      </c>
      <c r="CL41" s="72">
        <v>1</v>
      </c>
      <c r="CM41" s="72">
        <v>1</v>
      </c>
      <c r="CN41" s="72">
        <v>1</v>
      </c>
      <c r="CO41" s="72">
        <v>1</v>
      </c>
      <c r="CP41" s="72">
        <v>1</v>
      </c>
      <c r="CQ41" s="72">
        <v>1</v>
      </c>
      <c r="CR41" s="72">
        <v>1</v>
      </c>
      <c r="CS41" s="72">
        <v>1</v>
      </c>
      <c r="CT41" s="72">
        <v>1</v>
      </c>
      <c r="CU41" s="72">
        <v>1</v>
      </c>
      <c r="CV41" s="72">
        <v>1</v>
      </c>
      <c r="CW41" s="72">
        <v>1</v>
      </c>
      <c r="CX41" s="72">
        <v>1</v>
      </c>
      <c r="CY41" s="72">
        <v>1</v>
      </c>
      <c r="CZ41" s="72">
        <v>1</v>
      </c>
      <c r="DA41" s="72">
        <v>1</v>
      </c>
      <c r="DB41" s="72">
        <v>1</v>
      </c>
      <c r="DC41" s="72">
        <v>1</v>
      </c>
      <c r="DD41" s="72">
        <v>1</v>
      </c>
      <c r="DE41" s="72">
        <v>1</v>
      </c>
      <c r="DF41" s="72">
        <v>1</v>
      </c>
      <c r="DG41" s="72">
        <v>1</v>
      </c>
      <c r="DH41" s="72">
        <v>1</v>
      </c>
      <c r="DI41" s="72">
        <v>1</v>
      </c>
      <c r="DJ41" s="72">
        <v>1</v>
      </c>
      <c r="DK41" s="72">
        <v>1</v>
      </c>
      <c r="DL41" s="72">
        <v>1</v>
      </c>
      <c r="DM41" s="72">
        <v>1</v>
      </c>
    </row>
    <row r="42" spans="1:117" x14ac:dyDescent="0.35">
      <c r="A42" s="7"/>
      <c r="B42" s="8" t="s">
        <v>112</v>
      </c>
      <c r="C42" s="9" t="s">
        <v>113</v>
      </c>
      <c r="D42" s="10" t="s">
        <v>104</v>
      </c>
      <c r="E42" s="8" t="s">
        <v>1206</v>
      </c>
      <c r="F42" s="10">
        <v>1002</v>
      </c>
      <c r="G42" s="10" t="s">
        <v>40</v>
      </c>
      <c r="H42" s="10" t="s">
        <v>41</v>
      </c>
      <c r="I42" s="11">
        <v>1</v>
      </c>
      <c r="J42" s="10"/>
      <c r="K42" s="10"/>
      <c r="L42" s="8"/>
      <c r="M42" s="12"/>
      <c r="N42" s="12">
        <f t="shared" si="0"/>
        <v>0</v>
      </c>
      <c r="O42" s="11">
        <v>5</v>
      </c>
      <c r="P42" s="11">
        <v>5</v>
      </c>
      <c r="Q42" s="11">
        <v>5</v>
      </c>
      <c r="R42" s="11">
        <v>5</v>
      </c>
      <c r="S42" s="11">
        <v>5</v>
      </c>
      <c r="T42" s="11">
        <v>5</v>
      </c>
      <c r="U42" s="11">
        <v>1</v>
      </c>
      <c r="V42" s="11">
        <v>1</v>
      </c>
      <c r="W42" s="11">
        <v>1</v>
      </c>
      <c r="X42" s="11">
        <v>1</v>
      </c>
      <c r="Y42" s="11">
        <v>1</v>
      </c>
      <c r="Z42" s="11">
        <v>1</v>
      </c>
      <c r="AA42" s="11">
        <v>1</v>
      </c>
      <c r="AB42" s="11">
        <v>1</v>
      </c>
      <c r="AC42" s="11">
        <v>1</v>
      </c>
      <c r="AD42" s="11">
        <v>1</v>
      </c>
      <c r="AE42" s="11">
        <v>1</v>
      </c>
      <c r="AF42" s="11">
        <v>1</v>
      </c>
      <c r="AG42" s="11">
        <v>1</v>
      </c>
      <c r="AH42" s="11">
        <v>1</v>
      </c>
      <c r="AI42" s="11">
        <v>1</v>
      </c>
      <c r="AJ42" s="11">
        <v>1</v>
      </c>
      <c r="AK42" s="11">
        <v>1</v>
      </c>
      <c r="AL42" s="11">
        <v>1</v>
      </c>
      <c r="AM42" s="11">
        <v>1</v>
      </c>
      <c r="AN42" s="72">
        <v>1</v>
      </c>
      <c r="AO42" s="72">
        <v>1</v>
      </c>
      <c r="AP42" s="72">
        <v>1</v>
      </c>
      <c r="AQ42" s="72">
        <v>1</v>
      </c>
      <c r="AR42" s="72">
        <v>1</v>
      </c>
      <c r="AS42" s="72">
        <v>1</v>
      </c>
      <c r="AT42" s="72">
        <v>1</v>
      </c>
      <c r="AU42" s="72">
        <v>1</v>
      </c>
      <c r="AV42" s="72">
        <v>1</v>
      </c>
      <c r="AW42" s="72">
        <v>1</v>
      </c>
      <c r="AX42" s="72">
        <v>1</v>
      </c>
      <c r="AY42" s="72">
        <v>1</v>
      </c>
      <c r="AZ42" s="72">
        <v>1</v>
      </c>
      <c r="BA42" s="72">
        <v>1</v>
      </c>
      <c r="BB42" s="72">
        <v>1</v>
      </c>
      <c r="BC42" s="72">
        <v>1</v>
      </c>
      <c r="BD42" s="72">
        <v>1</v>
      </c>
      <c r="BE42" s="72">
        <v>1</v>
      </c>
      <c r="BF42" s="72">
        <v>1</v>
      </c>
      <c r="BG42" s="72">
        <v>1</v>
      </c>
      <c r="BH42" s="72">
        <v>1</v>
      </c>
      <c r="BI42" s="72">
        <v>1</v>
      </c>
      <c r="BJ42" s="72">
        <v>1</v>
      </c>
      <c r="BK42" s="72">
        <v>1</v>
      </c>
      <c r="BL42" s="72">
        <v>1</v>
      </c>
      <c r="BM42" s="72">
        <v>1</v>
      </c>
      <c r="BN42" s="72">
        <v>1</v>
      </c>
      <c r="BO42" s="72">
        <v>1</v>
      </c>
      <c r="BP42" s="72">
        <v>1</v>
      </c>
      <c r="BQ42" s="72">
        <v>1</v>
      </c>
      <c r="BR42" s="72">
        <v>1</v>
      </c>
      <c r="BS42" s="72">
        <v>1</v>
      </c>
      <c r="BT42" s="72">
        <v>1</v>
      </c>
      <c r="BU42" s="72">
        <v>1</v>
      </c>
      <c r="BV42" s="72">
        <v>1</v>
      </c>
      <c r="BW42" s="72">
        <v>1</v>
      </c>
      <c r="BX42" s="72">
        <v>1</v>
      </c>
      <c r="BY42" s="72">
        <v>1</v>
      </c>
      <c r="BZ42" s="72">
        <v>1</v>
      </c>
      <c r="CA42" s="72">
        <v>1</v>
      </c>
      <c r="CB42" s="72">
        <v>1</v>
      </c>
      <c r="CC42" s="72">
        <v>1</v>
      </c>
      <c r="CD42" s="72">
        <v>1</v>
      </c>
      <c r="CE42" s="72">
        <v>1</v>
      </c>
      <c r="CF42" s="72">
        <v>1</v>
      </c>
      <c r="CG42" s="72">
        <v>1</v>
      </c>
      <c r="CH42" s="72">
        <v>1</v>
      </c>
      <c r="CI42" s="72">
        <v>1</v>
      </c>
      <c r="CJ42" s="72">
        <v>1</v>
      </c>
      <c r="CK42" s="72">
        <v>1</v>
      </c>
      <c r="CL42" s="72">
        <v>1</v>
      </c>
      <c r="CM42" s="72">
        <v>1</v>
      </c>
      <c r="CN42" s="72">
        <v>1</v>
      </c>
      <c r="CO42" s="72">
        <v>1</v>
      </c>
      <c r="CP42" s="72">
        <v>1</v>
      </c>
      <c r="CQ42" s="72">
        <v>1</v>
      </c>
      <c r="CR42" s="72">
        <v>1</v>
      </c>
      <c r="CS42" s="72">
        <v>1</v>
      </c>
      <c r="CT42" s="72">
        <v>1</v>
      </c>
      <c r="CU42" s="72">
        <v>1</v>
      </c>
      <c r="CV42" s="72">
        <v>1</v>
      </c>
      <c r="CW42" s="72">
        <v>1</v>
      </c>
      <c r="CX42" s="72">
        <v>1</v>
      </c>
      <c r="CY42" s="72">
        <v>1</v>
      </c>
      <c r="CZ42" s="72">
        <v>1</v>
      </c>
      <c r="DA42" s="72">
        <v>1</v>
      </c>
      <c r="DB42" s="72">
        <v>1</v>
      </c>
      <c r="DC42" s="72">
        <v>1</v>
      </c>
      <c r="DD42" s="72">
        <v>1</v>
      </c>
      <c r="DE42" s="72">
        <v>1</v>
      </c>
      <c r="DF42" s="72">
        <v>1</v>
      </c>
      <c r="DG42" s="72">
        <v>1</v>
      </c>
      <c r="DH42" s="72">
        <v>1</v>
      </c>
      <c r="DI42" s="72">
        <v>1</v>
      </c>
      <c r="DJ42" s="72">
        <v>1</v>
      </c>
      <c r="DK42" s="72">
        <v>0</v>
      </c>
      <c r="DL42" s="72">
        <v>0</v>
      </c>
      <c r="DM42" s="72">
        <v>0</v>
      </c>
    </row>
    <row r="43" spans="1:117" x14ac:dyDescent="0.35">
      <c r="A43" s="7"/>
      <c r="B43" s="8" t="s">
        <v>114</v>
      </c>
      <c r="C43" s="9" t="s">
        <v>115</v>
      </c>
      <c r="D43" s="10" t="s">
        <v>104</v>
      </c>
      <c r="E43" s="8" t="s">
        <v>1207</v>
      </c>
      <c r="F43" s="10">
        <v>1006</v>
      </c>
      <c r="G43" s="10" t="s">
        <v>40</v>
      </c>
      <c r="H43" s="10" t="s">
        <v>41</v>
      </c>
      <c r="I43" s="11">
        <v>7</v>
      </c>
      <c r="J43" s="10"/>
      <c r="K43" s="10"/>
      <c r="L43" s="8"/>
      <c r="M43" s="12">
        <v>254.37</v>
      </c>
      <c r="N43" s="12">
        <f t="shared" si="0"/>
        <v>1780.5900000000001</v>
      </c>
      <c r="O43" s="11">
        <v>7</v>
      </c>
      <c r="P43" s="11">
        <v>7</v>
      </c>
      <c r="Q43" s="11">
        <v>7</v>
      </c>
      <c r="R43" s="11">
        <v>7</v>
      </c>
      <c r="S43" s="11">
        <v>7</v>
      </c>
      <c r="T43" s="11">
        <v>7</v>
      </c>
      <c r="U43" s="11">
        <v>7</v>
      </c>
      <c r="V43" s="11">
        <v>7</v>
      </c>
      <c r="W43" s="11">
        <v>7</v>
      </c>
      <c r="X43" s="11">
        <v>7</v>
      </c>
      <c r="Y43" s="11">
        <v>7</v>
      </c>
      <c r="Z43" s="11">
        <v>7</v>
      </c>
      <c r="AA43" s="11">
        <v>7</v>
      </c>
      <c r="AB43" s="11">
        <v>7</v>
      </c>
      <c r="AC43" s="11">
        <v>7</v>
      </c>
      <c r="AD43" s="11">
        <v>7</v>
      </c>
      <c r="AE43" s="11">
        <v>7</v>
      </c>
      <c r="AF43" s="11">
        <v>7</v>
      </c>
      <c r="AG43" s="11">
        <v>7</v>
      </c>
      <c r="AH43" s="11">
        <v>7</v>
      </c>
      <c r="AI43" s="11">
        <v>7</v>
      </c>
      <c r="AJ43" s="11">
        <v>7</v>
      </c>
      <c r="AK43" s="11">
        <v>7</v>
      </c>
      <c r="AL43" s="11">
        <v>7</v>
      </c>
      <c r="AM43" s="11">
        <v>7</v>
      </c>
      <c r="AN43" s="72">
        <v>7</v>
      </c>
      <c r="AO43" s="72">
        <v>7</v>
      </c>
      <c r="AP43" s="72">
        <v>7</v>
      </c>
      <c r="AQ43" s="72">
        <v>7</v>
      </c>
      <c r="AR43" s="72">
        <v>7</v>
      </c>
      <c r="AS43" s="72">
        <v>7</v>
      </c>
      <c r="AT43" s="72">
        <v>7</v>
      </c>
      <c r="AU43" s="72">
        <v>7</v>
      </c>
      <c r="AV43" s="72">
        <v>7</v>
      </c>
      <c r="AW43" s="72">
        <v>7</v>
      </c>
      <c r="AX43" s="72">
        <v>7</v>
      </c>
      <c r="AY43" s="72">
        <v>7</v>
      </c>
      <c r="AZ43" s="72">
        <v>7</v>
      </c>
      <c r="BA43" s="72">
        <v>7</v>
      </c>
      <c r="BB43" s="72">
        <v>7</v>
      </c>
      <c r="BC43" s="72">
        <v>7</v>
      </c>
      <c r="BD43" s="72">
        <v>7</v>
      </c>
      <c r="BE43" s="72">
        <v>7</v>
      </c>
      <c r="BF43" s="72">
        <v>7</v>
      </c>
      <c r="BG43" s="72">
        <v>7</v>
      </c>
      <c r="BH43" s="72">
        <v>7</v>
      </c>
      <c r="BI43" s="72">
        <v>7</v>
      </c>
      <c r="BJ43" s="72">
        <v>7</v>
      </c>
      <c r="BK43" s="72">
        <v>7</v>
      </c>
      <c r="BL43" s="72">
        <v>7</v>
      </c>
      <c r="BM43" s="72">
        <v>7</v>
      </c>
      <c r="BN43" s="72">
        <v>7</v>
      </c>
      <c r="BO43" s="72">
        <v>7</v>
      </c>
      <c r="BP43" s="72">
        <v>7</v>
      </c>
      <c r="BQ43" s="72">
        <v>7</v>
      </c>
      <c r="BR43" s="72">
        <v>7</v>
      </c>
      <c r="BS43" s="72">
        <v>7</v>
      </c>
      <c r="BT43" s="72">
        <v>7</v>
      </c>
      <c r="BU43" s="72">
        <v>7</v>
      </c>
      <c r="BV43" s="72">
        <v>7</v>
      </c>
      <c r="BW43" s="72">
        <v>7</v>
      </c>
      <c r="BX43" s="72">
        <v>7</v>
      </c>
      <c r="BY43" s="72">
        <v>7</v>
      </c>
      <c r="BZ43" s="72">
        <v>7</v>
      </c>
      <c r="CA43" s="72">
        <v>7</v>
      </c>
      <c r="CB43" s="72">
        <v>7</v>
      </c>
      <c r="CC43" s="72">
        <v>7</v>
      </c>
      <c r="CD43" s="72">
        <v>7</v>
      </c>
      <c r="CE43" s="72">
        <v>7</v>
      </c>
      <c r="CF43" s="72">
        <v>7</v>
      </c>
      <c r="CG43" s="72">
        <v>7</v>
      </c>
      <c r="CH43" s="72">
        <v>7</v>
      </c>
      <c r="CI43" s="72">
        <v>7</v>
      </c>
      <c r="CJ43" s="72">
        <v>7</v>
      </c>
      <c r="CK43" s="72">
        <v>7</v>
      </c>
      <c r="CL43" s="72">
        <v>7</v>
      </c>
      <c r="CM43" s="72">
        <v>7</v>
      </c>
      <c r="CN43" s="72">
        <v>7</v>
      </c>
      <c r="CO43" s="72">
        <v>7</v>
      </c>
      <c r="CP43" s="72">
        <v>7</v>
      </c>
      <c r="CQ43" s="72">
        <v>7</v>
      </c>
      <c r="CR43" s="72">
        <v>7</v>
      </c>
      <c r="CS43" s="72">
        <v>7</v>
      </c>
      <c r="CT43" s="72">
        <v>7</v>
      </c>
      <c r="CU43" s="72">
        <v>7</v>
      </c>
      <c r="CV43" s="72">
        <v>7</v>
      </c>
      <c r="CW43" s="72">
        <v>7</v>
      </c>
      <c r="CX43" s="72">
        <v>7</v>
      </c>
      <c r="CY43" s="72">
        <v>7</v>
      </c>
      <c r="CZ43" s="72">
        <v>7</v>
      </c>
      <c r="DA43" s="72">
        <v>7</v>
      </c>
      <c r="DB43" s="72">
        <v>7</v>
      </c>
      <c r="DC43" s="72">
        <v>7</v>
      </c>
      <c r="DD43" s="72">
        <v>7</v>
      </c>
      <c r="DE43" s="72">
        <v>7</v>
      </c>
      <c r="DF43" s="72">
        <v>7</v>
      </c>
      <c r="DG43" s="72">
        <v>7</v>
      </c>
      <c r="DH43" s="72">
        <v>7</v>
      </c>
      <c r="DI43" s="72">
        <v>7</v>
      </c>
      <c r="DJ43" s="72">
        <v>7</v>
      </c>
      <c r="DK43" s="72">
        <v>7</v>
      </c>
      <c r="DL43" s="72">
        <v>7</v>
      </c>
      <c r="DM43" s="72">
        <v>7</v>
      </c>
    </row>
    <row r="44" spans="1:117" x14ac:dyDescent="0.35">
      <c r="A44" s="7"/>
      <c r="B44" s="77" t="s">
        <v>1468</v>
      </c>
      <c r="C44" s="9" t="s">
        <v>1470</v>
      </c>
      <c r="D44" s="10" t="s">
        <v>104</v>
      </c>
      <c r="E44" s="8" t="s">
        <v>1207</v>
      </c>
      <c r="F44" s="10"/>
      <c r="G44" s="10"/>
      <c r="H44" s="10"/>
      <c r="I44" s="11"/>
      <c r="J44" s="10"/>
      <c r="K44" s="10"/>
      <c r="L44" s="8"/>
      <c r="M44" s="12"/>
      <c r="N44" s="12">
        <f t="shared" si="0"/>
        <v>0</v>
      </c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72"/>
      <c r="AO44" s="72"/>
      <c r="AP44" s="72"/>
      <c r="AQ44" s="72"/>
      <c r="AR44" s="72"/>
      <c r="AS44" s="72"/>
      <c r="AT44" s="72"/>
      <c r="AU44" s="72"/>
      <c r="AV44" s="72"/>
      <c r="AW44" s="72"/>
      <c r="AX44" s="72"/>
      <c r="AY44" s="72"/>
      <c r="AZ44" s="72"/>
      <c r="BA44" s="72"/>
      <c r="BB44" s="72"/>
      <c r="BC44" s="72"/>
      <c r="BD44" s="72"/>
      <c r="BE44" s="72"/>
      <c r="BF44" s="72"/>
      <c r="BG44" s="72"/>
      <c r="BH44" s="72"/>
      <c r="BI44" s="72"/>
      <c r="BJ44" s="72"/>
      <c r="BK44" s="72"/>
      <c r="BL44" s="72"/>
      <c r="BM44" s="72"/>
      <c r="BN44" s="72"/>
      <c r="BO44" s="72"/>
      <c r="BP44" s="72"/>
      <c r="BQ44" s="72"/>
      <c r="BR44" s="72"/>
      <c r="BS44" s="72"/>
      <c r="BT44" s="72"/>
      <c r="BU44" s="72"/>
      <c r="BV44" s="72"/>
      <c r="BW44" s="72"/>
      <c r="BX44" s="72"/>
      <c r="BY44" s="72"/>
      <c r="BZ44" s="72"/>
      <c r="CA44" s="72"/>
      <c r="CB44" s="72"/>
      <c r="CC44" s="72"/>
      <c r="CD44" s="72">
        <v>10</v>
      </c>
      <c r="CE44" s="72">
        <v>2</v>
      </c>
      <c r="CF44" s="72">
        <v>2</v>
      </c>
      <c r="CG44" s="72">
        <v>0</v>
      </c>
      <c r="CH44" s="72">
        <v>0</v>
      </c>
      <c r="CI44" s="72">
        <v>0</v>
      </c>
      <c r="CJ44" s="72">
        <v>0</v>
      </c>
      <c r="CK44" s="72">
        <v>0</v>
      </c>
      <c r="CL44" s="72">
        <v>0</v>
      </c>
      <c r="CM44" s="72">
        <v>0</v>
      </c>
      <c r="CN44" s="72">
        <v>0</v>
      </c>
      <c r="CO44" s="72">
        <v>0</v>
      </c>
      <c r="CP44" s="72">
        <v>0</v>
      </c>
      <c r="CQ44" s="72">
        <v>0</v>
      </c>
      <c r="CR44" s="72">
        <v>0</v>
      </c>
      <c r="CS44" s="72">
        <v>0</v>
      </c>
      <c r="CT44" s="72">
        <v>0</v>
      </c>
      <c r="CU44" s="72">
        <v>0</v>
      </c>
      <c r="CV44" s="72">
        <v>0</v>
      </c>
      <c r="CW44" s="72">
        <v>0</v>
      </c>
      <c r="CX44" s="72">
        <v>0</v>
      </c>
      <c r="CY44" s="72">
        <v>0</v>
      </c>
      <c r="CZ44" s="72">
        <v>0</v>
      </c>
      <c r="DA44" s="72">
        <v>0</v>
      </c>
      <c r="DB44" s="72">
        <v>0</v>
      </c>
      <c r="DC44" s="72">
        <v>0</v>
      </c>
      <c r="DD44" s="72">
        <v>0</v>
      </c>
      <c r="DE44" s="72">
        <v>0</v>
      </c>
      <c r="DF44" s="72">
        <v>0</v>
      </c>
      <c r="DG44" s="72">
        <v>0</v>
      </c>
      <c r="DH44" s="72">
        <v>0</v>
      </c>
      <c r="DI44" s="72">
        <v>0</v>
      </c>
      <c r="DJ44" s="72">
        <v>0</v>
      </c>
      <c r="DK44" s="72">
        <v>0</v>
      </c>
      <c r="DL44" s="72">
        <v>0</v>
      </c>
      <c r="DM44" s="72">
        <v>0</v>
      </c>
    </row>
    <row r="45" spans="1:117" ht="14.85" x14ac:dyDescent="0.35">
      <c r="A45" s="7"/>
      <c r="B45" s="24" t="s">
        <v>116</v>
      </c>
      <c r="C45" s="9" t="s">
        <v>117</v>
      </c>
      <c r="D45" s="10" t="s">
        <v>104</v>
      </c>
      <c r="E45" s="8" t="s">
        <v>1203</v>
      </c>
      <c r="F45" s="10">
        <v>1002</v>
      </c>
      <c r="G45" s="10" t="s">
        <v>40</v>
      </c>
      <c r="H45" s="10" t="s">
        <v>41</v>
      </c>
      <c r="I45" s="11">
        <v>0</v>
      </c>
      <c r="J45" s="10"/>
      <c r="K45" s="10"/>
      <c r="L45" s="14"/>
      <c r="M45" s="12"/>
      <c r="N45" s="12">
        <f t="shared" si="0"/>
        <v>0</v>
      </c>
      <c r="O45" s="11">
        <v>0</v>
      </c>
      <c r="P45" s="11">
        <v>0</v>
      </c>
      <c r="Q45" s="11">
        <v>1</v>
      </c>
      <c r="R45" s="11">
        <v>1</v>
      </c>
      <c r="S45" s="11">
        <v>1</v>
      </c>
      <c r="T45" s="11">
        <v>1</v>
      </c>
      <c r="U45" s="11">
        <v>0</v>
      </c>
      <c r="V45" s="11">
        <v>0</v>
      </c>
      <c r="W45" s="11">
        <v>0</v>
      </c>
      <c r="X45" s="11">
        <v>0</v>
      </c>
      <c r="Y45" s="11">
        <v>0</v>
      </c>
      <c r="Z45" s="11">
        <v>0</v>
      </c>
      <c r="AA45" s="11">
        <v>0</v>
      </c>
      <c r="AB45" s="11">
        <v>0</v>
      </c>
      <c r="AC45" s="11">
        <v>0</v>
      </c>
      <c r="AD45" s="11">
        <v>0</v>
      </c>
      <c r="AE45" s="11">
        <v>0</v>
      </c>
      <c r="AF45" s="11">
        <v>0</v>
      </c>
      <c r="AG45" s="11">
        <v>0</v>
      </c>
      <c r="AH45" s="11">
        <v>0</v>
      </c>
      <c r="AI45" s="11">
        <v>0</v>
      </c>
      <c r="AJ45" s="11">
        <v>0</v>
      </c>
      <c r="AK45" s="11">
        <v>0</v>
      </c>
      <c r="AL45" s="11">
        <v>0</v>
      </c>
      <c r="AM45" s="11">
        <v>0</v>
      </c>
      <c r="AN45" s="72">
        <v>0</v>
      </c>
      <c r="AO45" s="72">
        <v>0</v>
      </c>
      <c r="AP45" s="72">
        <v>0</v>
      </c>
      <c r="AQ45" s="72">
        <v>0</v>
      </c>
      <c r="AR45" s="72">
        <v>0</v>
      </c>
      <c r="AS45" s="72">
        <v>0</v>
      </c>
      <c r="AT45" s="72">
        <v>0</v>
      </c>
      <c r="AU45" s="72">
        <v>0</v>
      </c>
      <c r="AV45" s="72">
        <v>0</v>
      </c>
      <c r="AW45" s="72">
        <v>0</v>
      </c>
      <c r="AX45" s="72">
        <v>0</v>
      </c>
      <c r="AY45" s="72">
        <v>0</v>
      </c>
      <c r="AZ45" s="72">
        <v>0</v>
      </c>
      <c r="BA45" s="72">
        <v>0</v>
      </c>
      <c r="BB45" s="72">
        <v>0</v>
      </c>
      <c r="BC45" s="72">
        <v>0</v>
      </c>
      <c r="BD45" s="72">
        <v>0</v>
      </c>
      <c r="BE45" s="72">
        <v>0</v>
      </c>
      <c r="BF45" s="72">
        <v>0</v>
      </c>
      <c r="BG45" s="72">
        <v>0</v>
      </c>
      <c r="BH45" s="72">
        <v>0</v>
      </c>
      <c r="BI45" s="72">
        <v>0</v>
      </c>
      <c r="BJ45" s="72">
        <v>0</v>
      </c>
      <c r="BK45" s="72">
        <v>0</v>
      </c>
      <c r="BL45" s="72">
        <v>0</v>
      </c>
      <c r="BM45" s="72">
        <v>0</v>
      </c>
      <c r="BN45" s="72">
        <v>0</v>
      </c>
      <c r="BO45" s="72">
        <v>0</v>
      </c>
      <c r="BP45" s="72">
        <v>0</v>
      </c>
      <c r="BQ45" s="72">
        <v>0</v>
      </c>
      <c r="BR45" s="72">
        <v>0</v>
      </c>
      <c r="BS45" s="72">
        <v>0</v>
      </c>
      <c r="BT45" s="72">
        <v>0</v>
      </c>
      <c r="BU45" s="72">
        <v>0</v>
      </c>
      <c r="BV45" s="72">
        <v>0</v>
      </c>
      <c r="BW45" s="72">
        <v>0</v>
      </c>
      <c r="BX45" s="72">
        <v>0</v>
      </c>
      <c r="BY45" s="72">
        <v>0</v>
      </c>
      <c r="BZ45" s="72">
        <v>0</v>
      </c>
      <c r="CA45" s="72">
        <v>0</v>
      </c>
      <c r="CB45" s="72">
        <v>0</v>
      </c>
      <c r="CC45" s="72">
        <v>0</v>
      </c>
      <c r="CD45" s="72">
        <v>0</v>
      </c>
      <c r="CE45" s="72">
        <v>0</v>
      </c>
      <c r="CF45" s="72">
        <v>0</v>
      </c>
      <c r="CG45" s="72">
        <v>0</v>
      </c>
      <c r="CH45" s="72">
        <v>0</v>
      </c>
      <c r="CI45" s="72">
        <v>0</v>
      </c>
      <c r="CJ45" s="72">
        <v>0</v>
      </c>
      <c r="CK45" s="72">
        <v>0</v>
      </c>
      <c r="CL45" s="72">
        <v>0</v>
      </c>
      <c r="CM45" s="72">
        <v>0</v>
      </c>
      <c r="CN45" s="72">
        <v>0</v>
      </c>
      <c r="CO45" s="72">
        <v>0</v>
      </c>
      <c r="CP45" s="72">
        <v>0</v>
      </c>
      <c r="CQ45" s="72">
        <v>0</v>
      </c>
      <c r="CR45" s="72">
        <v>0</v>
      </c>
      <c r="CS45" s="72">
        <v>0</v>
      </c>
      <c r="CT45" s="72">
        <v>0</v>
      </c>
      <c r="CU45" s="72">
        <v>0</v>
      </c>
      <c r="CV45" s="72">
        <v>0</v>
      </c>
      <c r="CW45" s="72">
        <v>0</v>
      </c>
      <c r="CX45" s="72">
        <v>0</v>
      </c>
      <c r="CY45" s="72">
        <v>0</v>
      </c>
      <c r="CZ45" s="72">
        <v>0</v>
      </c>
      <c r="DA45" s="72">
        <v>0</v>
      </c>
      <c r="DB45" s="72">
        <v>0</v>
      </c>
      <c r="DC45" s="72">
        <v>0</v>
      </c>
      <c r="DD45" s="72">
        <v>0</v>
      </c>
      <c r="DE45" s="72">
        <v>0</v>
      </c>
      <c r="DF45" s="72">
        <v>0</v>
      </c>
      <c r="DG45" s="72">
        <v>0</v>
      </c>
      <c r="DH45" s="72">
        <v>0</v>
      </c>
      <c r="DI45" s="72">
        <v>0</v>
      </c>
      <c r="DJ45" s="72">
        <v>0</v>
      </c>
      <c r="DK45" s="72">
        <v>0</v>
      </c>
      <c r="DL45" s="72">
        <v>0</v>
      </c>
      <c r="DM45" s="72">
        <v>0</v>
      </c>
    </row>
    <row r="46" spans="1:117" ht="14.85" x14ac:dyDescent="0.35">
      <c r="A46" s="7"/>
      <c r="B46" s="120" t="s">
        <v>1527</v>
      </c>
      <c r="C46" s="9" t="s">
        <v>1531</v>
      </c>
      <c r="D46" s="10" t="s">
        <v>104</v>
      </c>
      <c r="E46" s="8" t="s">
        <v>1203</v>
      </c>
      <c r="F46" s="10"/>
      <c r="G46" s="10"/>
      <c r="H46" s="10"/>
      <c r="I46" s="11"/>
      <c r="J46" s="10"/>
      <c r="K46" s="10"/>
      <c r="L46" s="14"/>
      <c r="M46" s="12">
        <v>1772.71</v>
      </c>
      <c r="N46" s="12">
        <f t="shared" si="0"/>
        <v>3545.42</v>
      </c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72"/>
      <c r="AO46" s="72"/>
      <c r="AP46" s="72"/>
      <c r="AQ46" s="72"/>
      <c r="AR46" s="72"/>
      <c r="AS46" s="72"/>
      <c r="AT46" s="72"/>
      <c r="AU46" s="72"/>
      <c r="AV46" s="72"/>
      <c r="AW46" s="72"/>
      <c r="AX46" s="72"/>
      <c r="AY46" s="72"/>
      <c r="AZ46" s="72"/>
      <c r="BA46" s="72"/>
      <c r="BB46" s="72"/>
      <c r="BC46" s="72"/>
      <c r="BD46" s="72"/>
      <c r="BE46" s="72"/>
      <c r="BF46" s="72"/>
      <c r="BG46" s="72"/>
      <c r="BH46" s="72"/>
      <c r="BI46" s="72"/>
      <c r="BJ46" s="72"/>
      <c r="BK46" s="72"/>
      <c r="BL46" s="72"/>
      <c r="BM46" s="72"/>
      <c r="BN46" s="72"/>
      <c r="BO46" s="72"/>
      <c r="BP46" s="72"/>
      <c r="BQ46" s="72"/>
      <c r="BR46" s="72"/>
      <c r="BS46" s="72"/>
      <c r="BT46" s="72"/>
      <c r="BU46" s="72"/>
      <c r="BV46" s="72"/>
      <c r="BW46" s="72"/>
      <c r="BX46" s="72"/>
      <c r="BY46" s="72"/>
      <c r="BZ46" s="72"/>
      <c r="CA46" s="72"/>
      <c r="CB46" s="72"/>
      <c r="CC46" s="72"/>
      <c r="CD46" s="72"/>
      <c r="CE46" s="72"/>
      <c r="CF46" s="72"/>
      <c r="CG46" s="72"/>
      <c r="CH46" s="72"/>
      <c r="CI46" s="72"/>
      <c r="CJ46" s="72"/>
      <c r="CK46" s="72"/>
      <c r="CL46" s="72"/>
      <c r="CM46" s="72"/>
      <c r="CN46" s="72"/>
      <c r="CO46" s="72"/>
      <c r="CP46" s="72"/>
      <c r="CQ46" s="72"/>
      <c r="CR46" s="72"/>
      <c r="CS46" s="72"/>
      <c r="CT46" s="72"/>
      <c r="CU46" s="72"/>
      <c r="CV46" s="72"/>
      <c r="CW46" s="72"/>
      <c r="CX46" s="72"/>
      <c r="CY46" s="72"/>
      <c r="CZ46" s="72"/>
      <c r="DA46" s="72"/>
      <c r="DB46" s="72"/>
      <c r="DC46" s="72">
        <v>2</v>
      </c>
      <c r="DD46" s="72">
        <v>2</v>
      </c>
      <c r="DE46" s="72">
        <v>2</v>
      </c>
      <c r="DF46" s="72">
        <v>2</v>
      </c>
      <c r="DG46" s="72">
        <v>2</v>
      </c>
      <c r="DH46" s="72">
        <v>2</v>
      </c>
      <c r="DI46" s="72">
        <v>2</v>
      </c>
      <c r="DJ46" s="72">
        <v>2</v>
      </c>
      <c r="DK46" s="72">
        <v>2</v>
      </c>
      <c r="DL46" s="72">
        <v>2</v>
      </c>
      <c r="DM46" s="72">
        <v>2</v>
      </c>
    </row>
    <row r="47" spans="1:117" ht="14.85" x14ac:dyDescent="0.35">
      <c r="A47" s="7"/>
      <c r="B47" s="120" t="s">
        <v>1528</v>
      </c>
      <c r="C47" s="9" t="s">
        <v>1532</v>
      </c>
      <c r="D47" s="10" t="s">
        <v>104</v>
      </c>
      <c r="E47" s="8" t="s">
        <v>1203</v>
      </c>
      <c r="F47" s="10"/>
      <c r="G47" s="10"/>
      <c r="H47" s="10"/>
      <c r="I47" s="11"/>
      <c r="J47" s="10"/>
      <c r="K47" s="10"/>
      <c r="L47" s="14"/>
      <c r="M47" s="12">
        <v>941.46</v>
      </c>
      <c r="N47" s="12">
        <f t="shared" si="0"/>
        <v>7531.68</v>
      </c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72"/>
      <c r="AO47" s="72"/>
      <c r="AP47" s="72"/>
      <c r="AQ47" s="72"/>
      <c r="AR47" s="72"/>
      <c r="AS47" s="72"/>
      <c r="AT47" s="72"/>
      <c r="AU47" s="72"/>
      <c r="AV47" s="72"/>
      <c r="AW47" s="72"/>
      <c r="AX47" s="72"/>
      <c r="AY47" s="72"/>
      <c r="AZ47" s="72"/>
      <c r="BA47" s="72"/>
      <c r="BB47" s="72"/>
      <c r="BC47" s="72"/>
      <c r="BD47" s="72"/>
      <c r="BE47" s="72"/>
      <c r="BF47" s="72"/>
      <c r="BG47" s="72"/>
      <c r="BH47" s="72"/>
      <c r="BI47" s="72"/>
      <c r="BJ47" s="72"/>
      <c r="BK47" s="72"/>
      <c r="BL47" s="72"/>
      <c r="BM47" s="72"/>
      <c r="BN47" s="72"/>
      <c r="BO47" s="72"/>
      <c r="BP47" s="72"/>
      <c r="BQ47" s="72"/>
      <c r="BR47" s="72"/>
      <c r="BS47" s="72"/>
      <c r="BT47" s="72"/>
      <c r="BU47" s="72"/>
      <c r="BV47" s="72"/>
      <c r="BW47" s="72"/>
      <c r="BX47" s="72"/>
      <c r="BY47" s="72"/>
      <c r="BZ47" s="72"/>
      <c r="CA47" s="72"/>
      <c r="CB47" s="72"/>
      <c r="CC47" s="72"/>
      <c r="CD47" s="72"/>
      <c r="CE47" s="72"/>
      <c r="CF47" s="72"/>
      <c r="CG47" s="72"/>
      <c r="CH47" s="72"/>
      <c r="CI47" s="72"/>
      <c r="CJ47" s="72"/>
      <c r="CK47" s="72"/>
      <c r="CL47" s="72"/>
      <c r="CM47" s="72"/>
      <c r="CN47" s="72"/>
      <c r="CO47" s="72"/>
      <c r="CP47" s="72"/>
      <c r="CQ47" s="72"/>
      <c r="CR47" s="72"/>
      <c r="CS47" s="72"/>
      <c r="CT47" s="72"/>
      <c r="CU47" s="72"/>
      <c r="CV47" s="72"/>
      <c r="CW47" s="72"/>
      <c r="CX47" s="72"/>
      <c r="CY47" s="72"/>
      <c r="CZ47" s="72"/>
      <c r="DA47" s="72"/>
      <c r="DB47" s="72"/>
      <c r="DC47" s="72">
        <v>8</v>
      </c>
      <c r="DD47" s="72">
        <v>8</v>
      </c>
      <c r="DE47" s="72">
        <v>8</v>
      </c>
      <c r="DF47" s="72">
        <v>8</v>
      </c>
      <c r="DG47" s="72">
        <v>8</v>
      </c>
      <c r="DH47" s="72">
        <v>8</v>
      </c>
      <c r="DI47" s="72">
        <v>8</v>
      </c>
      <c r="DJ47" s="72">
        <v>8</v>
      </c>
      <c r="DK47" s="72">
        <v>8</v>
      </c>
      <c r="DL47" s="72">
        <v>8</v>
      </c>
      <c r="DM47" s="72">
        <v>8</v>
      </c>
    </row>
    <row r="48" spans="1:117" ht="14.85" x14ac:dyDescent="0.35">
      <c r="A48" s="7"/>
      <c r="B48" s="8" t="s">
        <v>118</v>
      </c>
      <c r="C48" s="25" t="s">
        <v>119</v>
      </c>
      <c r="D48" s="10" t="s">
        <v>104</v>
      </c>
      <c r="E48" s="8" t="s">
        <v>1207</v>
      </c>
      <c r="F48" s="10">
        <v>1006</v>
      </c>
      <c r="G48" s="10" t="s">
        <v>40</v>
      </c>
      <c r="H48" s="10" t="s">
        <v>41</v>
      </c>
      <c r="I48" s="11">
        <v>2</v>
      </c>
      <c r="J48" s="10"/>
      <c r="K48" s="10"/>
      <c r="L48" s="8" t="s">
        <v>120</v>
      </c>
      <c r="M48" s="12">
        <v>182.99</v>
      </c>
      <c r="N48" s="12">
        <f t="shared" si="0"/>
        <v>3293.82</v>
      </c>
      <c r="O48" s="11">
        <v>0</v>
      </c>
      <c r="P48" s="11">
        <v>0</v>
      </c>
      <c r="Q48" s="11">
        <v>0</v>
      </c>
      <c r="R48" s="11">
        <v>0</v>
      </c>
      <c r="S48" s="11">
        <v>0</v>
      </c>
      <c r="T48" s="11">
        <v>0</v>
      </c>
      <c r="U48" s="11">
        <v>0</v>
      </c>
      <c r="V48" s="11">
        <v>0</v>
      </c>
      <c r="W48" s="11">
        <v>0</v>
      </c>
      <c r="X48" s="11">
        <v>0</v>
      </c>
      <c r="Y48" s="11">
        <v>0</v>
      </c>
      <c r="Z48" s="11">
        <v>0</v>
      </c>
      <c r="AA48" s="11">
        <v>0</v>
      </c>
      <c r="AB48" s="11">
        <v>0</v>
      </c>
      <c r="AC48" s="11">
        <v>0</v>
      </c>
      <c r="AD48" s="11">
        <v>0</v>
      </c>
      <c r="AE48" s="11">
        <v>0</v>
      </c>
      <c r="AF48" s="11">
        <v>0</v>
      </c>
      <c r="AG48" s="11">
        <v>0</v>
      </c>
      <c r="AH48" s="11">
        <v>0</v>
      </c>
      <c r="AI48" s="11">
        <v>0</v>
      </c>
      <c r="AJ48" s="11">
        <v>2</v>
      </c>
      <c r="AK48" s="11">
        <v>2</v>
      </c>
      <c r="AL48" s="11">
        <v>2</v>
      </c>
      <c r="AM48" s="11">
        <v>2</v>
      </c>
      <c r="AN48" s="72">
        <v>2</v>
      </c>
      <c r="AO48" s="72">
        <v>2</v>
      </c>
      <c r="AP48" s="72">
        <v>2</v>
      </c>
      <c r="AQ48" s="72">
        <v>2</v>
      </c>
      <c r="AR48" s="72">
        <v>2</v>
      </c>
      <c r="AS48" s="72">
        <v>2</v>
      </c>
      <c r="AT48" s="72">
        <v>2</v>
      </c>
      <c r="AU48" s="72">
        <v>2</v>
      </c>
      <c r="AV48" s="72">
        <v>2</v>
      </c>
      <c r="AW48" s="72">
        <v>2</v>
      </c>
      <c r="AX48" s="72">
        <v>2</v>
      </c>
      <c r="AY48" s="72">
        <v>2</v>
      </c>
      <c r="AZ48" s="72">
        <v>2</v>
      </c>
      <c r="BA48" s="72">
        <v>2</v>
      </c>
      <c r="BB48" s="72">
        <v>2</v>
      </c>
      <c r="BC48" s="72">
        <v>2</v>
      </c>
      <c r="BD48" s="72">
        <v>2</v>
      </c>
      <c r="BE48" s="72">
        <v>2</v>
      </c>
      <c r="BF48" s="72">
        <v>2</v>
      </c>
      <c r="BG48" s="72">
        <v>2</v>
      </c>
      <c r="BH48" s="72">
        <v>2</v>
      </c>
      <c r="BI48" s="72">
        <v>2</v>
      </c>
      <c r="BJ48" s="72">
        <v>2</v>
      </c>
      <c r="BK48" s="72">
        <v>2</v>
      </c>
      <c r="BL48" s="72">
        <v>2</v>
      </c>
      <c r="BM48" s="72">
        <v>2</v>
      </c>
      <c r="BN48" s="72">
        <v>2</v>
      </c>
      <c r="BO48" s="72">
        <v>2</v>
      </c>
      <c r="BP48" s="72">
        <v>2</v>
      </c>
      <c r="BQ48" s="72">
        <v>2</v>
      </c>
      <c r="BR48" s="72">
        <v>2</v>
      </c>
      <c r="BS48" s="72">
        <v>2</v>
      </c>
      <c r="BT48" s="72">
        <v>2</v>
      </c>
      <c r="BU48" s="72">
        <v>2</v>
      </c>
      <c r="BV48" s="72">
        <v>2</v>
      </c>
      <c r="BW48" s="72">
        <v>2</v>
      </c>
      <c r="BX48" s="72">
        <v>2</v>
      </c>
      <c r="BY48" s="72">
        <v>2</v>
      </c>
      <c r="BZ48" s="72">
        <v>2</v>
      </c>
      <c r="CA48" s="72">
        <v>2</v>
      </c>
      <c r="CB48" s="72">
        <v>2</v>
      </c>
      <c r="CC48" s="72">
        <v>2</v>
      </c>
      <c r="CD48" s="72">
        <v>2</v>
      </c>
      <c r="CE48" s="72">
        <v>2</v>
      </c>
      <c r="CF48" s="72">
        <v>2</v>
      </c>
      <c r="CG48" s="72">
        <v>2</v>
      </c>
      <c r="CH48" s="72">
        <v>2</v>
      </c>
      <c r="CI48" s="72">
        <v>2</v>
      </c>
      <c r="CJ48" s="72">
        <v>2</v>
      </c>
      <c r="CK48" s="72">
        <v>2</v>
      </c>
      <c r="CL48" s="72">
        <v>2</v>
      </c>
      <c r="CM48" s="72">
        <v>2</v>
      </c>
      <c r="CN48" s="72">
        <v>2</v>
      </c>
      <c r="CO48" s="72">
        <v>2</v>
      </c>
      <c r="CP48" s="72">
        <v>2</v>
      </c>
      <c r="CQ48" s="72">
        <v>2</v>
      </c>
      <c r="CR48" s="72">
        <v>2</v>
      </c>
      <c r="CS48" s="72">
        <v>2</v>
      </c>
      <c r="CT48" s="72">
        <v>2</v>
      </c>
      <c r="CU48" s="72">
        <v>2</v>
      </c>
      <c r="CV48" s="72">
        <v>2</v>
      </c>
      <c r="CW48" s="72">
        <v>2</v>
      </c>
      <c r="CX48" s="72">
        <v>2</v>
      </c>
      <c r="CY48" s="72">
        <v>2</v>
      </c>
      <c r="CZ48" s="72">
        <v>2</v>
      </c>
      <c r="DA48" s="72">
        <v>2</v>
      </c>
      <c r="DB48" s="72">
        <v>2</v>
      </c>
      <c r="DC48" s="72">
        <v>18</v>
      </c>
      <c r="DD48" s="72">
        <v>18</v>
      </c>
      <c r="DE48" s="72">
        <v>18</v>
      </c>
      <c r="DF48" s="72">
        <v>18</v>
      </c>
      <c r="DG48" s="72">
        <v>18</v>
      </c>
      <c r="DH48" s="72">
        <v>18</v>
      </c>
      <c r="DI48" s="72">
        <v>18</v>
      </c>
      <c r="DJ48" s="72">
        <v>18</v>
      </c>
      <c r="DK48" s="72">
        <v>18</v>
      </c>
      <c r="DL48" s="72">
        <v>18</v>
      </c>
      <c r="DM48" s="72">
        <v>18</v>
      </c>
    </row>
    <row r="49" spans="1:117" ht="14.85" x14ac:dyDescent="0.35">
      <c r="A49" s="7"/>
      <c r="B49" s="77" t="s">
        <v>1529</v>
      </c>
      <c r="C49" s="25" t="s">
        <v>1533</v>
      </c>
      <c r="D49" s="10" t="s">
        <v>104</v>
      </c>
      <c r="E49" s="8" t="s">
        <v>1207</v>
      </c>
      <c r="F49" s="10"/>
      <c r="G49" s="10"/>
      <c r="H49" s="10"/>
      <c r="I49" s="11"/>
      <c r="J49" s="10"/>
      <c r="K49" s="10"/>
      <c r="L49" s="8"/>
      <c r="M49" s="12">
        <v>364.16</v>
      </c>
      <c r="N49" s="12">
        <f t="shared" si="0"/>
        <v>1456.64</v>
      </c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72"/>
      <c r="AO49" s="72"/>
      <c r="AP49" s="72"/>
      <c r="AQ49" s="72"/>
      <c r="AR49" s="72"/>
      <c r="AS49" s="72"/>
      <c r="AT49" s="72"/>
      <c r="AU49" s="72"/>
      <c r="AV49" s="72"/>
      <c r="AW49" s="72"/>
      <c r="AX49" s="72"/>
      <c r="AY49" s="72"/>
      <c r="AZ49" s="72"/>
      <c r="BA49" s="72"/>
      <c r="BB49" s="72"/>
      <c r="BC49" s="72"/>
      <c r="BD49" s="72"/>
      <c r="BE49" s="72"/>
      <c r="BF49" s="72"/>
      <c r="BG49" s="72"/>
      <c r="BH49" s="72"/>
      <c r="BI49" s="72"/>
      <c r="BJ49" s="72"/>
      <c r="BK49" s="72"/>
      <c r="BL49" s="72"/>
      <c r="BM49" s="72"/>
      <c r="BN49" s="72"/>
      <c r="BO49" s="72"/>
      <c r="BP49" s="72"/>
      <c r="BQ49" s="72"/>
      <c r="BR49" s="72"/>
      <c r="BS49" s="72"/>
      <c r="BT49" s="72"/>
      <c r="BU49" s="72"/>
      <c r="BV49" s="72"/>
      <c r="BW49" s="72"/>
      <c r="BX49" s="72"/>
      <c r="BY49" s="72"/>
      <c r="BZ49" s="72"/>
      <c r="CA49" s="72"/>
      <c r="CB49" s="72"/>
      <c r="CC49" s="72"/>
      <c r="CD49" s="72"/>
      <c r="CE49" s="72"/>
      <c r="CF49" s="72"/>
      <c r="CG49" s="72"/>
      <c r="CH49" s="72"/>
      <c r="CI49" s="72"/>
      <c r="CJ49" s="72"/>
      <c r="CK49" s="72"/>
      <c r="CL49" s="72"/>
      <c r="CM49" s="72"/>
      <c r="CN49" s="72"/>
      <c r="CO49" s="72"/>
      <c r="CP49" s="72"/>
      <c r="CQ49" s="72"/>
      <c r="CR49" s="72"/>
      <c r="CS49" s="72"/>
      <c r="CT49" s="72"/>
      <c r="CU49" s="72"/>
      <c r="CV49" s="72"/>
      <c r="CW49" s="72"/>
      <c r="CX49" s="72"/>
      <c r="CY49" s="72"/>
      <c r="CZ49" s="72"/>
      <c r="DA49" s="72"/>
      <c r="DB49" s="72"/>
      <c r="DC49" s="72">
        <v>4</v>
      </c>
      <c r="DD49" s="72">
        <v>4</v>
      </c>
      <c r="DE49" s="72">
        <v>4</v>
      </c>
      <c r="DF49" s="72">
        <v>4</v>
      </c>
      <c r="DG49" s="72">
        <v>4</v>
      </c>
      <c r="DH49" s="72">
        <v>4</v>
      </c>
      <c r="DI49" s="72">
        <v>4</v>
      </c>
      <c r="DJ49" s="72">
        <v>4</v>
      </c>
      <c r="DK49" s="72">
        <v>4</v>
      </c>
      <c r="DL49" s="72">
        <v>4</v>
      </c>
      <c r="DM49" s="72">
        <v>4</v>
      </c>
    </row>
    <row r="50" spans="1:117" ht="14.85" x14ac:dyDescent="0.35">
      <c r="A50" s="7"/>
      <c r="B50" s="77" t="s">
        <v>1231</v>
      </c>
      <c r="C50" s="25" t="s">
        <v>1233</v>
      </c>
      <c r="D50" s="10" t="s">
        <v>104</v>
      </c>
      <c r="E50" s="8" t="s">
        <v>1207</v>
      </c>
      <c r="F50" s="10">
        <v>1006</v>
      </c>
      <c r="G50" s="10" t="s">
        <v>40</v>
      </c>
      <c r="H50" s="10" t="s">
        <v>41</v>
      </c>
      <c r="I50" s="11">
        <v>0</v>
      </c>
      <c r="J50" s="10"/>
      <c r="K50" s="10"/>
      <c r="L50" s="8"/>
      <c r="M50" s="12"/>
      <c r="N50" s="12">
        <f t="shared" si="0"/>
        <v>0</v>
      </c>
      <c r="O50" s="11">
        <v>0</v>
      </c>
      <c r="P50" s="11">
        <v>0</v>
      </c>
      <c r="Q50" s="11">
        <v>0</v>
      </c>
      <c r="R50" s="11">
        <v>0</v>
      </c>
      <c r="S50" s="11">
        <v>0</v>
      </c>
      <c r="T50" s="11">
        <v>0</v>
      </c>
      <c r="U50" s="11">
        <v>0</v>
      </c>
      <c r="V50" s="11">
        <v>0</v>
      </c>
      <c r="W50" s="11">
        <v>0</v>
      </c>
      <c r="X50" s="11">
        <v>0</v>
      </c>
      <c r="Y50" s="11">
        <v>0</v>
      </c>
      <c r="Z50" s="11">
        <v>0</v>
      </c>
      <c r="AA50" s="11">
        <v>0</v>
      </c>
      <c r="AB50" s="11">
        <v>0</v>
      </c>
      <c r="AC50" s="11">
        <v>0</v>
      </c>
      <c r="AD50" s="11">
        <v>0</v>
      </c>
      <c r="AE50" s="11">
        <v>0</v>
      </c>
      <c r="AF50" s="11">
        <v>0</v>
      </c>
      <c r="AG50" s="11">
        <v>0</v>
      </c>
      <c r="AH50" s="11">
        <v>0</v>
      </c>
      <c r="AI50" s="11">
        <v>0</v>
      </c>
      <c r="AJ50" s="11">
        <v>0</v>
      </c>
      <c r="AK50" s="11">
        <v>0</v>
      </c>
      <c r="AL50" s="11">
        <v>0</v>
      </c>
      <c r="AM50" s="11">
        <v>0</v>
      </c>
      <c r="AN50" s="72">
        <v>0</v>
      </c>
      <c r="AO50" s="72">
        <v>0</v>
      </c>
      <c r="AP50" s="72">
        <v>0</v>
      </c>
      <c r="AQ50" s="72">
        <v>8</v>
      </c>
      <c r="AR50" s="72">
        <v>8</v>
      </c>
      <c r="AS50" s="72">
        <v>8</v>
      </c>
      <c r="AT50" s="72">
        <v>8</v>
      </c>
      <c r="AU50" s="72">
        <v>8</v>
      </c>
      <c r="AV50" s="72">
        <v>8</v>
      </c>
      <c r="AW50" s="72">
        <v>8</v>
      </c>
      <c r="AX50" s="72">
        <v>8</v>
      </c>
      <c r="AY50" s="72">
        <v>8</v>
      </c>
      <c r="AZ50" s="72">
        <v>8</v>
      </c>
      <c r="BA50" s="72">
        <v>8</v>
      </c>
      <c r="BB50" s="72">
        <v>8</v>
      </c>
      <c r="BC50" s="72">
        <v>8</v>
      </c>
      <c r="BD50" s="72">
        <v>8</v>
      </c>
      <c r="BE50" s="72">
        <v>8</v>
      </c>
      <c r="BF50" s="72">
        <v>0</v>
      </c>
      <c r="BG50" s="72">
        <v>0</v>
      </c>
      <c r="BH50" s="72">
        <v>0</v>
      </c>
      <c r="BI50" s="72">
        <v>0</v>
      </c>
      <c r="BJ50" s="72">
        <v>0</v>
      </c>
      <c r="BK50" s="72">
        <v>0</v>
      </c>
      <c r="BL50" s="72">
        <v>0</v>
      </c>
      <c r="BM50" s="72">
        <v>0</v>
      </c>
      <c r="BN50" s="72">
        <v>0</v>
      </c>
      <c r="BO50" s="72">
        <v>0</v>
      </c>
      <c r="BP50" s="72">
        <v>0</v>
      </c>
      <c r="BQ50" s="72">
        <v>0</v>
      </c>
      <c r="BR50" s="72">
        <v>0</v>
      </c>
      <c r="BS50" s="72">
        <v>0</v>
      </c>
      <c r="BT50" s="72">
        <v>0</v>
      </c>
      <c r="BU50" s="72">
        <v>0</v>
      </c>
      <c r="BV50" s="72">
        <v>0</v>
      </c>
      <c r="BW50" s="72">
        <v>0</v>
      </c>
      <c r="BX50" s="72">
        <v>0</v>
      </c>
      <c r="BY50" s="72">
        <v>0</v>
      </c>
      <c r="BZ50" s="72">
        <v>0</v>
      </c>
      <c r="CA50" s="72">
        <v>0</v>
      </c>
      <c r="CB50" s="72">
        <v>0</v>
      </c>
      <c r="CC50" s="72">
        <v>0</v>
      </c>
      <c r="CD50" s="72">
        <v>0</v>
      </c>
      <c r="CE50" s="72">
        <v>0</v>
      </c>
      <c r="CF50" s="72">
        <v>0</v>
      </c>
      <c r="CG50" s="72">
        <v>0</v>
      </c>
      <c r="CH50" s="72">
        <v>0</v>
      </c>
      <c r="CI50" s="72">
        <v>0</v>
      </c>
      <c r="CJ50" s="72">
        <v>0</v>
      </c>
      <c r="CK50" s="72">
        <v>0</v>
      </c>
      <c r="CL50" s="72">
        <v>0</v>
      </c>
      <c r="CM50" s="72">
        <v>0</v>
      </c>
      <c r="CN50" s="72">
        <v>0</v>
      </c>
      <c r="CO50" s="72">
        <v>0</v>
      </c>
      <c r="CP50" s="72">
        <v>0</v>
      </c>
      <c r="CQ50" s="72">
        <v>0</v>
      </c>
      <c r="CR50" s="72">
        <v>0</v>
      </c>
      <c r="CS50" s="72">
        <v>0</v>
      </c>
      <c r="CT50" s="72">
        <v>0</v>
      </c>
      <c r="CU50" s="72">
        <v>0</v>
      </c>
      <c r="CV50" s="72">
        <v>0</v>
      </c>
      <c r="CW50" s="72">
        <v>0</v>
      </c>
      <c r="CX50" s="72">
        <v>0</v>
      </c>
      <c r="CY50" s="72">
        <v>0</v>
      </c>
      <c r="CZ50" s="72">
        <v>0</v>
      </c>
      <c r="DA50" s="72">
        <v>0</v>
      </c>
      <c r="DB50" s="72">
        <v>0</v>
      </c>
      <c r="DC50" s="72">
        <v>0</v>
      </c>
      <c r="DD50" s="72">
        <v>0</v>
      </c>
      <c r="DE50" s="72">
        <v>0</v>
      </c>
      <c r="DF50" s="72">
        <v>0</v>
      </c>
      <c r="DG50" s="72">
        <v>0</v>
      </c>
      <c r="DH50" s="72">
        <v>0</v>
      </c>
      <c r="DI50" s="72">
        <v>0</v>
      </c>
      <c r="DJ50" s="72">
        <v>0</v>
      </c>
      <c r="DK50" s="72">
        <v>0</v>
      </c>
      <c r="DL50" s="72">
        <v>0</v>
      </c>
      <c r="DM50" s="72">
        <v>0</v>
      </c>
    </row>
    <row r="51" spans="1:117" x14ac:dyDescent="0.35">
      <c r="A51" s="7"/>
      <c r="B51" s="8" t="s">
        <v>121</v>
      </c>
      <c r="C51" s="9" t="s">
        <v>122</v>
      </c>
      <c r="D51" s="10" t="s">
        <v>123</v>
      </c>
      <c r="E51" s="8" t="s">
        <v>1211</v>
      </c>
      <c r="F51" s="10">
        <v>1101</v>
      </c>
      <c r="G51" s="10" t="s">
        <v>40</v>
      </c>
      <c r="H51" s="10" t="s">
        <v>95</v>
      </c>
      <c r="I51" s="11">
        <v>8142</v>
      </c>
      <c r="J51" s="10"/>
      <c r="K51" s="10"/>
      <c r="L51" s="8" t="s">
        <v>124</v>
      </c>
      <c r="M51" s="12">
        <v>0.6</v>
      </c>
      <c r="N51" s="12">
        <f t="shared" si="0"/>
        <v>0</v>
      </c>
      <c r="O51" s="11">
        <v>15364</v>
      </c>
      <c r="P51" s="11">
        <v>10343</v>
      </c>
      <c r="Q51" s="11">
        <v>10343</v>
      </c>
      <c r="R51" s="11">
        <v>10343</v>
      </c>
      <c r="S51" s="11">
        <v>10343</v>
      </c>
      <c r="T51" s="11">
        <v>10343</v>
      </c>
      <c r="U51" s="11">
        <v>10343</v>
      </c>
      <c r="V51" s="11">
        <v>10343</v>
      </c>
      <c r="W51" s="11">
        <v>10343</v>
      </c>
      <c r="X51" s="11">
        <v>10343</v>
      </c>
      <c r="Y51" s="11">
        <v>10343</v>
      </c>
      <c r="Z51" s="11">
        <v>10343</v>
      </c>
      <c r="AA51" s="11">
        <v>10343</v>
      </c>
      <c r="AB51" s="11">
        <v>10343</v>
      </c>
      <c r="AC51" s="11">
        <v>10343</v>
      </c>
      <c r="AD51" s="11">
        <v>10343</v>
      </c>
      <c r="AE51" s="11">
        <v>10343</v>
      </c>
      <c r="AF51" s="11">
        <v>10343</v>
      </c>
      <c r="AG51" s="11">
        <v>10343</v>
      </c>
      <c r="AH51" s="11">
        <v>10343</v>
      </c>
      <c r="AI51" s="11">
        <v>10343</v>
      </c>
      <c r="AJ51" s="11">
        <v>8142</v>
      </c>
      <c r="AK51" s="11">
        <v>8142</v>
      </c>
      <c r="AL51" s="11">
        <v>8142</v>
      </c>
      <c r="AM51" s="11">
        <v>8142</v>
      </c>
      <c r="AN51" s="72">
        <v>8142</v>
      </c>
      <c r="AO51" s="72">
        <v>8142</v>
      </c>
      <c r="AP51" s="72">
        <v>8142</v>
      </c>
      <c r="AQ51" s="72">
        <v>8142</v>
      </c>
      <c r="AR51" s="72">
        <v>8142</v>
      </c>
      <c r="AS51" s="72">
        <v>8142</v>
      </c>
      <c r="AT51" s="72">
        <v>8142</v>
      </c>
      <c r="AU51" s="72">
        <v>8142</v>
      </c>
      <c r="AV51" s="72">
        <v>8142</v>
      </c>
      <c r="AW51" s="72">
        <v>8142</v>
      </c>
      <c r="AX51" s="72">
        <v>8142</v>
      </c>
      <c r="AY51" s="72">
        <v>8142</v>
      </c>
      <c r="AZ51" s="72">
        <v>8142</v>
      </c>
      <c r="BA51" s="72">
        <v>8142</v>
      </c>
      <c r="BB51" s="72">
        <v>8142</v>
      </c>
      <c r="BC51" s="72">
        <v>8142</v>
      </c>
      <c r="BD51" s="72">
        <v>8142</v>
      </c>
      <c r="BE51" s="72">
        <v>8142</v>
      </c>
      <c r="BF51" s="72">
        <v>8142</v>
      </c>
      <c r="BG51" s="72">
        <v>8142</v>
      </c>
      <c r="BH51" s="72">
        <v>8142</v>
      </c>
      <c r="BI51" s="72">
        <v>8142</v>
      </c>
      <c r="BJ51" s="72">
        <v>8142</v>
      </c>
      <c r="BK51" s="72">
        <v>8142</v>
      </c>
      <c r="BL51" s="72">
        <v>8142</v>
      </c>
      <c r="BM51" s="72">
        <v>8142</v>
      </c>
      <c r="BN51" s="72">
        <v>8142</v>
      </c>
      <c r="BO51" s="72">
        <v>8142</v>
      </c>
      <c r="BP51" s="72">
        <v>662</v>
      </c>
      <c r="BQ51" s="72">
        <v>662</v>
      </c>
      <c r="BR51" s="72">
        <v>662</v>
      </c>
      <c r="BS51" s="72">
        <v>662</v>
      </c>
      <c r="BT51" s="72">
        <v>662</v>
      </c>
      <c r="BU51" s="72">
        <v>662</v>
      </c>
      <c r="BV51" s="72">
        <v>662</v>
      </c>
      <c r="BW51" s="72">
        <v>662</v>
      </c>
      <c r="BX51" s="72">
        <v>662</v>
      </c>
      <c r="BY51" s="72">
        <v>657</v>
      </c>
      <c r="BZ51" s="72">
        <v>657</v>
      </c>
      <c r="CA51" s="72">
        <v>0</v>
      </c>
      <c r="CB51" s="72">
        <v>0</v>
      </c>
      <c r="CC51" s="72">
        <v>0</v>
      </c>
      <c r="CD51" s="72">
        <v>0</v>
      </c>
      <c r="CE51" s="72">
        <v>0</v>
      </c>
      <c r="CF51" s="72">
        <v>0</v>
      </c>
      <c r="CG51" s="72">
        <v>0</v>
      </c>
      <c r="CH51" s="72">
        <v>0</v>
      </c>
      <c r="CI51" s="72">
        <v>0</v>
      </c>
      <c r="CJ51" s="72">
        <v>0</v>
      </c>
      <c r="CK51" s="72">
        <v>0</v>
      </c>
      <c r="CL51" s="72">
        <v>0</v>
      </c>
      <c r="CM51" s="72">
        <v>0</v>
      </c>
      <c r="CN51" s="72">
        <v>0</v>
      </c>
      <c r="CO51" s="72">
        <v>0</v>
      </c>
      <c r="CP51" s="72">
        <v>0</v>
      </c>
      <c r="CQ51" s="72">
        <v>0</v>
      </c>
      <c r="CR51" s="72">
        <v>0</v>
      </c>
      <c r="CS51" s="72">
        <v>0</v>
      </c>
      <c r="CT51" s="72">
        <v>0</v>
      </c>
      <c r="CU51" s="72">
        <v>0</v>
      </c>
      <c r="CV51" s="72">
        <v>0</v>
      </c>
      <c r="CW51" s="72">
        <v>0</v>
      </c>
      <c r="CX51" s="72">
        <v>0</v>
      </c>
      <c r="CY51" s="72">
        <v>0</v>
      </c>
      <c r="CZ51" s="72">
        <v>0</v>
      </c>
      <c r="DA51" s="72">
        <v>0</v>
      </c>
      <c r="DB51" s="72">
        <v>0</v>
      </c>
      <c r="DC51" s="72">
        <v>0</v>
      </c>
      <c r="DD51" s="72">
        <v>0</v>
      </c>
      <c r="DE51" s="72">
        <v>0</v>
      </c>
      <c r="DF51" s="72">
        <v>0</v>
      </c>
      <c r="DG51" s="72">
        <v>0</v>
      </c>
      <c r="DH51" s="72">
        <v>0</v>
      </c>
      <c r="DI51" s="72">
        <v>0</v>
      </c>
      <c r="DJ51" s="72">
        <v>0</v>
      </c>
      <c r="DK51" s="72">
        <v>0</v>
      </c>
      <c r="DL51" s="72">
        <v>0</v>
      </c>
      <c r="DM51" s="72">
        <v>0</v>
      </c>
    </row>
    <row r="52" spans="1:117" x14ac:dyDescent="0.35">
      <c r="A52" s="7"/>
      <c r="B52" s="8" t="s">
        <v>125</v>
      </c>
      <c r="C52" s="9" t="s">
        <v>126</v>
      </c>
      <c r="D52" s="10" t="s">
        <v>123</v>
      </c>
      <c r="E52" s="8" t="s">
        <v>183</v>
      </c>
      <c r="F52" s="10">
        <v>1101</v>
      </c>
      <c r="G52" s="10" t="s">
        <v>40</v>
      </c>
      <c r="H52" s="10" t="s">
        <v>41</v>
      </c>
      <c r="I52" s="11">
        <v>0</v>
      </c>
      <c r="J52" s="10"/>
      <c r="K52" s="10" t="s">
        <v>42</v>
      </c>
      <c r="L52" s="8"/>
      <c r="M52" s="12"/>
      <c r="N52" s="12">
        <f t="shared" si="0"/>
        <v>0</v>
      </c>
      <c r="O52" s="11">
        <v>56</v>
      </c>
      <c r="P52" s="11">
        <v>56</v>
      </c>
      <c r="Q52" s="11">
        <v>56</v>
      </c>
      <c r="R52" s="11">
        <v>56</v>
      </c>
      <c r="S52" s="11">
        <v>56</v>
      </c>
      <c r="T52" s="11">
        <v>56</v>
      </c>
      <c r="U52" s="11">
        <v>56</v>
      </c>
      <c r="V52" s="11">
        <v>56</v>
      </c>
      <c r="W52" s="11">
        <v>56</v>
      </c>
      <c r="X52" s="11">
        <v>56</v>
      </c>
      <c r="Y52" s="11">
        <v>56</v>
      </c>
      <c r="Z52" s="11">
        <v>0</v>
      </c>
      <c r="AA52" s="11">
        <v>0</v>
      </c>
      <c r="AB52" s="11">
        <v>0</v>
      </c>
      <c r="AC52" s="11">
        <v>0</v>
      </c>
      <c r="AD52" s="11">
        <v>0</v>
      </c>
      <c r="AE52" s="11">
        <v>0</v>
      </c>
      <c r="AF52" s="11">
        <v>0</v>
      </c>
      <c r="AG52" s="11">
        <v>0</v>
      </c>
      <c r="AH52" s="11">
        <v>0</v>
      </c>
      <c r="AI52" s="11">
        <v>0</v>
      </c>
      <c r="AJ52" s="11">
        <v>0</v>
      </c>
      <c r="AK52" s="11">
        <v>0</v>
      </c>
      <c r="AL52" s="11">
        <v>0</v>
      </c>
      <c r="AM52" s="11">
        <v>0</v>
      </c>
      <c r="AN52" s="72">
        <v>0</v>
      </c>
      <c r="AO52" s="72">
        <v>0</v>
      </c>
      <c r="AP52" s="72">
        <v>0</v>
      </c>
      <c r="AQ52" s="72">
        <v>0</v>
      </c>
      <c r="AR52" s="72">
        <v>0</v>
      </c>
      <c r="AS52" s="72">
        <v>0</v>
      </c>
      <c r="AT52" s="72">
        <v>0</v>
      </c>
      <c r="AU52" s="72">
        <v>0</v>
      </c>
      <c r="AV52" s="72">
        <v>0</v>
      </c>
      <c r="AW52" s="72">
        <v>0</v>
      </c>
      <c r="AX52" s="72">
        <v>0</v>
      </c>
      <c r="AY52" s="72">
        <v>0</v>
      </c>
      <c r="AZ52" s="72">
        <v>0</v>
      </c>
      <c r="BA52" s="72">
        <v>0</v>
      </c>
      <c r="BB52" s="72">
        <v>0</v>
      </c>
      <c r="BC52" s="72">
        <v>0</v>
      </c>
      <c r="BD52" s="72">
        <v>0</v>
      </c>
      <c r="BE52" s="72">
        <v>0</v>
      </c>
      <c r="BF52" s="72">
        <v>0</v>
      </c>
      <c r="BG52" s="72">
        <v>0</v>
      </c>
      <c r="BH52" s="72">
        <v>0</v>
      </c>
      <c r="BI52" s="72">
        <v>0</v>
      </c>
      <c r="BJ52" s="72">
        <v>0</v>
      </c>
      <c r="BK52" s="72">
        <v>0</v>
      </c>
      <c r="BL52" s="72">
        <v>0</v>
      </c>
      <c r="BM52" s="72">
        <v>0</v>
      </c>
      <c r="BN52" s="72">
        <v>0</v>
      </c>
      <c r="BO52" s="72">
        <v>0</v>
      </c>
      <c r="BP52" s="72">
        <v>0</v>
      </c>
      <c r="BQ52" s="72">
        <v>0</v>
      </c>
      <c r="BR52" s="72">
        <v>0</v>
      </c>
      <c r="BS52" s="72">
        <v>0</v>
      </c>
      <c r="BT52" s="72">
        <v>0</v>
      </c>
      <c r="BU52" s="72">
        <v>0</v>
      </c>
      <c r="BV52" s="72">
        <v>0</v>
      </c>
      <c r="BW52" s="72">
        <v>0</v>
      </c>
      <c r="BX52" s="72">
        <v>0</v>
      </c>
      <c r="BY52" s="72">
        <v>0</v>
      </c>
      <c r="BZ52" s="72">
        <v>0</v>
      </c>
      <c r="CA52" s="72">
        <v>0</v>
      </c>
      <c r="CB52" s="72">
        <v>0</v>
      </c>
      <c r="CC52" s="72">
        <v>0</v>
      </c>
      <c r="CD52" s="72">
        <v>0</v>
      </c>
      <c r="CE52" s="72">
        <v>0</v>
      </c>
      <c r="CF52" s="72">
        <v>0</v>
      </c>
      <c r="CG52" s="72">
        <v>0</v>
      </c>
      <c r="CH52" s="72">
        <v>0</v>
      </c>
      <c r="CI52" s="72">
        <v>0</v>
      </c>
      <c r="CJ52" s="72">
        <v>0</v>
      </c>
      <c r="CK52" s="72">
        <v>0</v>
      </c>
      <c r="CL52" s="72">
        <v>0</v>
      </c>
      <c r="CM52" s="72">
        <v>0</v>
      </c>
      <c r="CN52" s="72">
        <v>0</v>
      </c>
      <c r="CO52" s="72">
        <v>0</v>
      </c>
      <c r="CP52" s="72">
        <v>0</v>
      </c>
      <c r="CQ52" s="72">
        <v>0</v>
      </c>
      <c r="CR52" s="72">
        <v>0</v>
      </c>
      <c r="CS52" s="72">
        <v>0</v>
      </c>
      <c r="CT52" s="72">
        <v>0</v>
      </c>
      <c r="CU52" s="72">
        <v>0</v>
      </c>
      <c r="CV52" s="72">
        <v>0</v>
      </c>
      <c r="CW52" s="72">
        <v>0</v>
      </c>
      <c r="CX52" s="72">
        <v>0</v>
      </c>
      <c r="CY52" s="72">
        <v>0</v>
      </c>
      <c r="CZ52" s="72">
        <v>0</v>
      </c>
      <c r="DA52" s="72">
        <v>0</v>
      </c>
      <c r="DB52" s="72">
        <v>0</v>
      </c>
      <c r="DC52" s="72">
        <v>0</v>
      </c>
      <c r="DD52" s="72">
        <v>0</v>
      </c>
      <c r="DE52" s="72">
        <v>0</v>
      </c>
      <c r="DF52" s="72">
        <v>0</v>
      </c>
      <c r="DG52" s="72">
        <v>0</v>
      </c>
      <c r="DH52" s="72">
        <v>0</v>
      </c>
      <c r="DI52" s="72">
        <v>0</v>
      </c>
      <c r="DJ52" s="72">
        <v>0</v>
      </c>
      <c r="DK52" s="72">
        <v>0</v>
      </c>
      <c r="DL52" s="72">
        <v>0</v>
      </c>
      <c r="DM52" s="72">
        <v>0</v>
      </c>
    </row>
    <row r="53" spans="1:117" x14ac:dyDescent="0.35">
      <c r="A53" s="7"/>
      <c r="B53" s="8" t="s">
        <v>127</v>
      </c>
      <c r="C53" s="9" t="s">
        <v>128</v>
      </c>
      <c r="D53" s="10" t="s">
        <v>123</v>
      </c>
      <c r="E53" s="8" t="s">
        <v>183</v>
      </c>
      <c r="F53" s="10">
        <v>1101</v>
      </c>
      <c r="G53" s="10" t="s">
        <v>40</v>
      </c>
      <c r="H53" s="10" t="s">
        <v>41</v>
      </c>
      <c r="I53" s="11">
        <v>0</v>
      </c>
      <c r="J53" s="10"/>
      <c r="K53" s="10" t="s">
        <v>42</v>
      </c>
      <c r="L53" s="8"/>
      <c r="M53" s="12"/>
      <c r="N53" s="12">
        <f t="shared" si="0"/>
        <v>0</v>
      </c>
      <c r="O53" s="11">
        <v>46</v>
      </c>
      <c r="P53" s="11">
        <v>46</v>
      </c>
      <c r="Q53" s="11">
        <v>46</v>
      </c>
      <c r="R53" s="11">
        <v>46</v>
      </c>
      <c r="S53" s="11">
        <v>46</v>
      </c>
      <c r="T53" s="11">
        <v>46</v>
      </c>
      <c r="U53" s="11">
        <v>46</v>
      </c>
      <c r="V53" s="11">
        <v>46</v>
      </c>
      <c r="W53" s="11">
        <v>46</v>
      </c>
      <c r="X53" s="11">
        <v>46</v>
      </c>
      <c r="Y53" s="11">
        <v>46</v>
      </c>
      <c r="Z53" s="11">
        <v>0</v>
      </c>
      <c r="AA53" s="11">
        <v>0</v>
      </c>
      <c r="AB53" s="11">
        <v>0</v>
      </c>
      <c r="AC53" s="11">
        <v>0</v>
      </c>
      <c r="AD53" s="11">
        <v>0</v>
      </c>
      <c r="AE53" s="11">
        <v>0</v>
      </c>
      <c r="AF53" s="11">
        <v>0</v>
      </c>
      <c r="AG53" s="11">
        <v>0</v>
      </c>
      <c r="AH53" s="11">
        <v>0</v>
      </c>
      <c r="AI53" s="11">
        <v>0</v>
      </c>
      <c r="AJ53" s="11">
        <v>0</v>
      </c>
      <c r="AK53" s="11">
        <v>0</v>
      </c>
      <c r="AL53" s="11">
        <v>0</v>
      </c>
      <c r="AM53" s="11">
        <v>0</v>
      </c>
      <c r="AN53" s="72">
        <v>0</v>
      </c>
      <c r="AO53" s="72">
        <v>0</v>
      </c>
      <c r="AP53" s="72">
        <v>0</v>
      </c>
      <c r="AQ53" s="72">
        <v>0</v>
      </c>
      <c r="AR53" s="72">
        <v>0</v>
      </c>
      <c r="AS53" s="72">
        <v>0</v>
      </c>
      <c r="AT53" s="72">
        <v>0</v>
      </c>
      <c r="AU53" s="72">
        <v>0</v>
      </c>
      <c r="AV53" s="72">
        <v>0</v>
      </c>
      <c r="AW53" s="72">
        <v>0</v>
      </c>
      <c r="AX53" s="72">
        <v>0</v>
      </c>
      <c r="AY53" s="72">
        <v>0</v>
      </c>
      <c r="AZ53" s="72">
        <v>0</v>
      </c>
      <c r="BA53" s="72">
        <v>0</v>
      </c>
      <c r="BB53" s="72">
        <v>0</v>
      </c>
      <c r="BC53" s="72">
        <v>0</v>
      </c>
      <c r="BD53" s="72">
        <v>0</v>
      </c>
      <c r="BE53" s="72">
        <v>0</v>
      </c>
      <c r="BF53" s="72">
        <v>0</v>
      </c>
      <c r="BG53" s="72">
        <v>0</v>
      </c>
      <c r="BH53" s="72">
        <v>0</v>
      </c>
      <c r="BI53" s="72">
        <v>0</v>
      </c>
      <c r="BJ53" s="72">
        <v>0</v>
      </c>
      <c r="BK53" s="72">
        <v>0</v>
      </c>
      <c r="BL53" s="72">
        <v>0</v>
      </c>
      <c r="BM53" s="72">
        <v>0</v>
      </c>
      <c r="BN53" s="72">
        <v>0</v>
      </c>
      <c r="BO53" s="72">
        <v>0</v>
      </c>
      <c r="BP53" s="72">
        <v>0</v>
      </c>
      <c r="BQ53" s="72">
        <v>0</v>
      </c>
      <c r="BR53" s="72">
        <v>0</v>
      </c>
      <c r="BS53" s="72">
        <v>0</v>
      </c>
      <c r="BT53" s="72">
        <v>0</v>
      </c>
      <c r="BU53" s="72">
        <v>0</v>
      </c>
      <c r="BV53" s="72">
        <v>0</v>
      </c>
      <c r="BW53" s="72">
        <v>0</v>
      </c>
      <c r="BX53" s="72">
        <v>0</v>
      </c>
      <c r="BY53" s="72">
        <v>0</v>
      </c>
      <c r="BZ53" s="72">
        <v>0</v>
      </c>
      <c r="CA53" s="72">
        <v>0</v>
      </c>
      <c r="CB53" s="72">
        <v>0</v>
      </c>
      <c r="CC53" s="72">
        <v>0</v>
      </c>
      <c r="CD53" s="72">
        <v>0</v>
      </c>
      <c r="CE53" s="72">
        <v>0</v>
      </c>
      <c r="CF53" s="72">
        <v>0</v>
      </c>
      <c r="CG53" s="72">
        <v>0</v>
      </c>
      <c r="CH53" s="72">
        <v>0</v>
      </c>
      <c r="CI53" s="72">
        <v>0</v>
      </c>
      <c r="CJ53" s="72">
        <v>0</v>
      </c>
      <c r="CK53" s="72">
        <v>0</v>
      </c>
      <c r="CL53" s="72">
        <v>0</v>
      </c>
      <c r="CM53" s="72">
        <v>0</v>
      </c>
      <c r="CN53" s="72">
        <v>0</v>
      </c>
      <c r="CO53" s="72">
        <v>0</v>
      </c>
      <c r="CP53" s="72">
        <v>0</v>
      </c>
      <c r="CQ53" s="72">
        <v>0</v>
      </c>
      <c r="CR53" s="72">
        <v>0</v>
      </c>
      <c r="CS53" s="72">
        <v>0</v>
      </c>
      <c r="CT53" s="72">
        <v>0</v>
      </c>
      <c r="CU53" s="72">
        <v>0</v>
      </c>
      <c r="CV53" s="72">
        <v>0</v>
      </c>
      <c r="CW53" s="72">
        <v>0</v>
      </c>
      <c r="CX53" s="72">
        <v>0</v>
      </c>
      <c r="CY53" s="72">
        <v>0</v>
      </c>
      <c r="CZ53" s="72">
        <v>0</v>
      </c>
      <c r="DA53" s="72">
        <v>0</v>
      </c>
      <c r="DB53" s="72">
        <v>0</v>
      </c>
      <c r="DC53" s="72">
        <v>0</v>
      </c>
      <c r="DD53" s="72">
        <v>0</v>
      </c>
      <c r="DE53" s="72">
        <v>0</v>
      </c>
      <c r="DF53" s="72">
        <v>0</v>
      </c>
      <c r="DG53" s="72">
        <v>0</v>
      </c>
      <c r="DH53" s="72">
        <v>0</v>
      </c>
      <c r="DI53" s="72">
        <v>0</v>
      </c>
      <c r="DJ53" s="72">
        <v>0</v>
      </c>
      <c r="DK53" s="72">
        <v>0</v>
      </c>
      <c r="DL53" s="72">
        <v>0</v>
      </c>
      <c r="DM53" s="72">
        <v>0</v>
      </c>
    </row>
    <row r="54" spans="1:117" x14ac:dyDescent="0.35">
      <c r="A54" s="7"/>
      <c r="B54" s="8" t="s">
        <v>129</v>
      </c>
      <c r="C54" s="9" t="s">
        <v>130</v>
      </c>
      <c r="D54" s="10" t="s">
        <v>123</v>
      </c>
      <c r="E54" s="8" t="s">
        <v>1205</v>
      </c>
      <c r="F54" s="10">
        <v>1104</v>
      </c>
      <c r="G54" s="10" t="s">
        <v>40</v>
      </c>
      <c r="H54" s="10" t="s">
        <v>41</v>
      </c>
      <c r="I54" s="11">
        <v>24</v>
      </c>
      <c r="J54" s="10"/>
      <c r="K54" s="10" t="s">
        <v>42</v>
      </c>
      <c r="L54" s="8"/>
      <c r="M54" s="12">
        <v>0.55000000000000004</v>
      </c>
      <c r="N54" s="12">
        <f t="shared" si="0"/>
        <v>13.200000000000001</v>
      </c>
      <c r="O54" s="11">
        <v>24</v>
      </c>
      <c r="P54" s="11">
        <v>24</v>
      </c>
      <c r="Q54" s="11">
        <v>24</v>
      </c>
      <c r="R54" s="11">
        <v>24</v>
      </c>
      <c r="S54" s="11">
        <v>24</v>
      </c>
      <c r="T54" s="11">
        <v>24</v>
      </c>
      <c r="U54" s="11">
        <v>24</v>
      </c>
      <c r="V54" s="11">
        <v>24</v>
      </c>
      <c r="W54" s="11">
        <v>24</v>
      </c>
      <c r="X54" s="11">
        <v>24</v>
      </c>
      <c r="Y54" s="11">
        <v>24</v>
      </c>
      <c r="Z54" s="11">
        <v>24</v>
      </c>
      <c r="AA54" s="11">
        <v>24</v>
      </c>
      <c r="AB54" s="11">
        <v>24</v>
      </c>
      <c r="AC54" s="11">
        <v>24</v>
      </c>
      <c r="AD54" s="11">
        <v>24</v>
      </c>
      <c r="AE54" s="11">
        <v>24</v>
      </c>
      <c r="AF54" s="11">
        <v>24</v>
      </c>
      <c r="AG54" s="11">
        <v>24</v>
      </c>
      <c r="AH54" s="11">
        <v>24</v>
      </c>
      <c r="AI54" s="11">
        <v>24</v>
      </c>
      <c r="AJ54" s="11">
        <v>24</v>
      </c>
      <c r="AK54" s="11">
        <v>24</v>
      </c>
      <c r="AL54" s="11">
        <v>24</v>
      </c>
      <c r="AM54" s="11">
        <v>24</v>
      </c>
      <c r="AN54" s="72">
        <v>24</v>
      </c>
      <c r="AO54" s="72">
        <v>24</v>
      </c>
      <c r="AP54" s="72">
        <v>24</v>
      </c>
      <c r="AQ54" s="72">
        <v>24</v>
      </c>
      <c r="AR54" s="72">
        <v>24</v>
      </c>
      <c r="AS54" s="72">
        <v>24</v>
      </c>
      <c r="AT54" s="72">
        <v>24</v>
      </c>
      <c r="AU54" s="72">
        <v>24</v>
      </c>
      <c r="AV54" s="72">
        <v>24</v>
      </c>
      <c r="AW54" s="72">
        <v>24</v>
      </c>
      <c r="AX54" s="72">
        <v>24</v>
      </c>
      <c r="AY54" s="72">
        <v>24</v>
      </c>
      <c r="AZ54" s="72">
        <v>24</v>
      </c>
      <c r="BA54" s="72">
        <v>24</v>
      </c>
      <c r="BB54" s="72">
        <v>24</v>
      </c>
      <c r="BC54" s="72">
        <v>24</v>
      </c>
      <c r="BD54" s="72">
        <v>24</v>
      </c>
      <c r="BE54" s="72">
        <v>24</v>
      </c>
      <c r="BF54" s="72">
        <v>24</v>
      </c>
      <c r="BG54" s="72">
        <v>24</v>
      </c>
      <c r="BH54" s="72">
        <v>24</v>
      </c>
      <c r="BI54" s="72">
        <v>24</v>
      </c>
      <c r="BJ54" s="72">
        <v>24</v>
      </c>
      <c r="BK54" s="72">
        <v>24</v>
      </c>
      <c r="BL54" s="72">
        <v>24</v>
      </c>
      <c r="BM54" s="72">
        <v>24</v>
      </c>
      <c r="BN54" s="72">
        <v>24</v>
      </c>
      <c r="BO54" s="72">
        <v>24</v>
      </c>
      <c r="BP54" s="72">
        <v>24</v>
      </c>
      <c r="BQ54" s="72">
        <v>24</v>
      </c>
      <c r="BR54" s="72">
        <v>24</v>
      </c>
      <c r="BS54" s="72">
        <v>24</v>
      </c>
      <c r="BT54" s="72">
        <v>24</v>
      </c>
      <c r="BU54" s="72">
        <v>24</v>
      </c>
      <c r="BV54" s="72">
        <v>24</v>
      </c>
      <c r="BW54" s="72">
        <v>24</v>
      </c>
      <c r="BX54" s="72">
        <v>24</v>
      </c>
      <c r="BY54" s="72">
        <v>24</v>
      </c>
      <c r="BZ54" s="72">
        <v>24</v>
      </c>
      <c r="CA54" s="72">
        <v>24</v>
      </c>
      <c r="CB54" s="72">
        <v>24</v>
      </c>
      <c r="CC54" s="72">
        <v>24</v>
      </c>
      <c r="CD54" s="72">
        <v>24</v>
      </c>
      <c r="CE54" s="72">
        <v>24</v>
      </c>
      <c r="CF54" s="72">
        <v>24</v>
      </c>
      <c r="CG54" s="72">
        <v>24</v>
      </c>
      <c r="CH54" s="72">
        <v>24</v>
      </c>
      <c r="CI54" s="72">
        <v>24</v>
      </c>
      <c r="CJ54" s="72">
        <v>24</v>
      </c>
      <c r="CK54" s="72">
        <v>24</v>
      </c>
      <c r="CL54" s="72">
        <v>24</v>
      </c>
      <c r="CM54" s="72">
        <v>24</v>
      </c>
      <c r="CN54" s="72">
        <v>24</v>
      </c>
      <c r="CO54" s="72">
        <v>24</v>
      </c>
      <c r="CP54" s="72">
        <v>24</v>
      </c>
      <c r="CQ54" s="72">
        <v>24</v>
      </c>
      <c r="CR54" s="72">
        <v>24</v>
      </c>
      <c r="CS54" s="72">
        <v>24</v>
      </c>
      <c r="CT54" s="72">
        <v>24</v>
      </c>
      <c r="CU54" s="72">
        <v>24</v>
      </c>
      <c r="CV54" s="72">
        <v>24</v>
      </c>
      <c r="CW54" s="72">
        <v>24</v>
      </c>
      <c r="CX54" s="72">
        <v>24</v>
      </c>
      <c r="CY54" s="72">
        <v>24</v>
      </c>
      <c r="CZ54" s="72">
        <v>24</v>
      </c>
      <c r="DA54" s="72">
        <v>24</v>
      </c>
      <c r="DB54" s="72">
        <v>24</v>
      </c>
      <c r="DC54" s="72">
        <v>24</v>
      </c>
      <c r="DD54" s="72">
        <v>24</v>
      </c>
      <c r="DE54" s="72">
        <v>24</v>
      </c>
      <c r="DF54" s="72">
        <v>24</v>
      </c>
      <c r="DG54" s="72">
        <v>24</v>
      </c>
      <c r="DH54" s="72">
        <v>24</v>
      </c>
      <c r="DI54" s="72">
        <v>24</v>
      </c>
      <c r="DJ54" s="72">
        <v>24</v>
      </c>
      <c r="DK54" s="72">
        <v>24</v>
      </c>
      <c r="DL54" s="72">
        <v>24</v>
      </c>
      <c r="DM54" s="72">
        <v>24</v>
      </c>
    </row>
    <row r="55" spans="1:117" x14ac:dyDescent="0.35">
      <c r="A55" s="7"/>
      <c r="B55" s="8" t="s">
        <v>131</v>
      </c>
      <c r="C55" s="9" t="s">
        <v>132</v>
      </c>
      <c r="D55" s="10" t="s">
        <v>123</v>
      </c>
      <c r="E55" s="8" t="s">
        <v>1205</v>
      </c>
      <c r="F55" s="10">
        <v>1101</v>
      </c>
      <c r="G55" s="10" t="s">
        <v>40</v>
      </c>
      <c r="H55" s="10" t="s">
        <v>41</v>
      </c>
      <c r="I55" s="11">
        <v>214</v>
      </c>
      <c r="J55" s="10"/>
      <c r="K55" s="10" t="s">
        <v>42</v>
      </c>
      <c r="L55" s="8"/>
      <c r="M55" s="12">
        <v>0.3</v>
      </c>
      <c r="N55" s="12">
        <f t="shared" si="0"/>
        <v>48.3</v>
      </c>
      <c r="O55" s="11">
        <v>214</v>
      </c>
      <c r="P55" s="11">
        <v>214</v>
      </c>
      <c r="Q55" s="11">
        <v>214</v>
      </c>
      <c r="R55" s="11">
        <v>214</v>
      </c>
      <c r="S55" s="11">
        <v>214</v>
      </c>
      <c r="T55" s="11">
        <v>214</v>
      </c>
      <c r="U55" s="11">
        <v>214</v>
      </c>
      <c r="V55" s="11">
        <v>214</v>
      </c>
      <c r="W55" s="11">
        <v>214</v>
      </c>
      <c r="X55" s="11">
        <v>214</v>
      </c>
      <c r="Y55" s="11">
        <v>214</v>
      </c>
      <c r="Z55" s="11">
        <v>214</v>
      </c>
      <c r="AA55" s="11">
        <v>214</v>
      </c>
      <c r="AB55" s="11">
        <v>214</v>
      </c>
      <c r="AC55" s="11">
        <v>214</v>
      </c>
      <c r="AD55" s="11">
        <v>214</v>
      </c>
      <c r="AE55" s="11">
        <v>214</v>
      </c>
      <c r="AF55" s="11">
        <v>214</v>
      </c>
      <c r="AG55" s="11">
        <v>214</v>
      </c>
      <c r="AH55" s="11">
        <v>214</v>
      </c>
      <c r="AI55" s="11">
        <v>214</v>
      </c>
      <c r="AJ55" s="11">
        <v>214</v>
      </c>
      <c r="AK55" s="11">
        <v>214</v>
      </c>
      <c r="AL55" s="11">
        <v>214</v>
      </c>
      <c r="AM55" s="11">
        <v>214</v>
      </c>
      <c r="AN55" s="72">
        <v>214</v>
      </c>
      <c r="AO55" s="72">
        <v>214</v>
      </c>
      <c r="AP55" s="72">
        <v>214</v>
      </c>
      <c r="AQ55" s="72">
        <v>214</v>
      </c>
      <c r="AR55" s="72">
        <v>214</v>
      </c>
      <c r="AS55" s="72">
        <v>214</v>
      </c>
      <c r="AT55" s="72">
        <v>214</v>
      </c>
      <c r="AU55" s="72">
        <v>214</v>
      </c>
      <c r="AV55" s="72">
        <v>214</v>
      </c>
      <c r="AW55" s="72">
        <v>214</v>
      </c>
      <c r="AX55" s="72">
        <v>214</v>
      </c>
      <c r="AY55" s="72">
        <v>214</v>
      </c>
      <c r="AZ55" s="72">
        <v>214</v>
      </c>
      <c r="BA55" s="72">
        <v>214</v>
      </c>
      <c r="BB55" s="72">
        <v>214</v>
      </c>
      <c r="BC55" s="72">
        <v>214</v>
      </c>
      <c r="BD55" s="72">
        <v>214</v>
      </c>
      <c r="BE55" s="72">
        <v>214</v>
      </c>
      <c r="BF55" s="72">
        <v>214</v>
      </c>
      <c r="BG55" s="72">
        <v>214</v>
      </c>
      <c r="BH55" s="72">
        <v>214</v>
      </c>
      <c r="BI55" s="72">
        <v>194</v>
      </c>
      <c r="BJ55" s="72">
        <v>194</v>
      </c>
      <c r="BK55" s="72">
        <v>174</v>
      </c>
      <c r="BL55" s="72">
        <v>174</v>
      </c>
      <c r="BM55" s="72">
        <v>174</v>
      </c>
      <c r="BN55" s="72">
        <v>174</v>
      </c>
      <c r="BO55" s="72">
        <v>174</v>
      </c>
      <c r="BP55" s="72">
        <v>174</v>
      </c>
      <c r="BQ55" s="72">
        <v>161</v>
      </c>
      <c r="BR55" s="72">
        <v>161</v>
      </c>
      <c r="BS55" s="72">
        <v>161</v>
      </c>
      <c r="BT55" s="72">
        <v>161</v>
      </c>
      <c r="BU55" s="72">
        <v>161</v>
      </c>
      <c r="BV55" s="72">
        <v>161</v>
      </c>
      <c r="BW55" s="72">
        <v>161</v>
      </c>
      <c r="BX55" s="72">
        <v>161</v>
      </c>
      <c r="BY55" s="72">
        <v>161</v>
      </c>
      <c r="BZ55" s="72">
        <v>161</v>
      </c>
      <c r="CA55" s="72">
        <v>161</v>
      </c>
      <c r="CB55" s="72">
        <v>161</v>
      </c>
      <c r="CC55" s="72">
        <v>161</v>
      </c>
      <c r="CD55" s="72">
        <v>161</v>
      </c>
      <c r="CE55" s="72">
        <v>161</v>
      </c>
      <c r="CF55" s="72">
        <v>161</v>
      </c>
      <c r="CG55" s="72">
        <v>161</v>
      </c>
      <c r="CH55" s="72">
        <v>161</v>
      </c>
      <c r="CI55" s="72">
        <v>161</v>
      </c>
      <c r="CJ55" s="72">
        <v>161</v>
      </c>
      <c r="CK55" s="72">
        <v>161</v>
      </c>
      <c r="CL55" s="72">
        <v>161</v>
      </c>
      <c r="CM55" s="72">
        <v>161</v>
      </c>
      <c r="CN55" s="72">
        <v>161</v>
      </c>
      <c r="CO55" s="72">
        <v>161</v>
      </c>
      <c r="CP55" s="72">
        <v>161</v>
      </c>
      <c r="CQ55" s="72">
        <v>161</v>
      </c>
      <c r="CR55" s="72">
        <v>161</v>
      </c>
      <c r="CS55" s="72">
        <v>161</v>
      </c>
      <c r="CT55" s="72">
        <v>161</v>
      </c>
      <c r="CU55" s="72">
        <v>161</v>
      </c>
      <c r="CV55" s="72">
        <v>161</v>
      </c>
      <c r="CW55" s="72">
        <v>161</v>
      </c>
      <c r="CX55" s="72">
        <v>161</v>
      </c>
      <c r="CY55" s="72">
        <v>161</v>
      </c>
      <c r="CZ55" s="72">
        <v>161</v>
      </c>
      <c r="DA55" s="72">
        <v>161</v>
      </c>
      <c r="DB55" s="72">
        <v>161</v>
      </c>
      <c r="DC55" s="72">
        <v>161</v>
      </c>
      <c r="DD55" s="72">
        <v>161</v>
      </c>
      <c r="DE55" s="72">
        <v>161</v>
      </c>
      <c r="DF55" s="72">
        <v>161</v>
      </c>
      <c r="DG55" s="72">
        <v>161</v>
      </c>
      <c r="DH55" s="72">
        <v>161</v>
      </c>
      <c r="DI55" s="72">
        <v>161</v>
      </c>
      <c r="DJ55" s="72">
        <v>161</v>
      </c>
      <c r="DK55" s="72">
        <v>161</v>
      </c>
      <c r="DL55" s="72">
        <v>161</v>
      </c>
      <c r="DM55" s="72">
        <v>161</v>
      </c>
    </row>
    <row r="56" spans="1:117" x14ac:dyDescent="0.35">
      <c r="A56" s="7"/>
      <c r="B56" s="8" t="s">
        <v>133</v>
      </c>
      <c r="C56" s="9" t="s">
        <v>134</v>
      </c>
      <c r="D56" s="10" t="s">
        <v>123</v>
      </c>
      <c r="E56" s="8" t="s">
        <v>1205</v>
      </c>
      <c r="F56" s="10">
        <v>1101</v>
      </c>
      <c r="G56" s="10" t="s">
        <v>40</v>
      </c>
      <c r="H56" s="10" t="s">
        <v>41</v>
      </c>
      <c r="I56" s="11">
        <v>134</v>
      </c>
      <c r="J56" s="10"/>
      <c r="K56" s="10" t="s">
        <v>42</v>
      </c>
      <c r="L56" s="8"/>
      <c r="M56" s="12">
        <v>0.56999999999999995</v>
      </c>
      <c r="N56" s="12">
        <f t="shared" si="0"/>
        <v>0</v>
      </c>
      <c r="O56" s="11">
        <v>134</v>
      </c>
      <c r="P56" s="11">
        <v>134</v>
      </c>
      <c r="Q56" s="11">
        <v>134</v>
      </c>
      <c r="R56" s="11">
        <v>134</v>
      </c>
      <c r="S56" s="11">
        <v>134</v>
      </c>
      <c r="T56" s="11">
        <v>134</v>
      </c>
      <c r="U56" s="11">
        <v>134</v>
      </c>
      <c r="V56" s="11">
        <v>134</v>
      </c>
      <c r="W56" s="11">
        <v>134</v>
      </c>
      <c r="X56" s="11">
        <v>134</v>
      </c>
      <c r="Y56" s="11">
        <v>134</v>
      </c>
      <c r="Z56" s="11">
        <v>134</v>
      </c>
      <c r="AA56" s="11">
        <v>134</v>
      </c>
      <c r="AB56" s="11">
        <v>134</v>
      </c>
      <c r="AC56" s="11">
        <v>134</v>
      </c>
      <c r="AD56" s="11">
        <v>134</v>
      </c>
      <c r="AE56" s="11">
        <v>134</v>
      </c>
      <c r="AF56" s="11">
        <v>134</v>
      </c>
      <c r="AG56" s="11">
        <v>134</v>
      </c>
      <c r="AH56" s="11">
        <v>134</v>
      </c>
      <c r="AI56" s="11">
        <v>134</v>
      </c>
      <c r="AJ56" s="11">
        <v>134</v>
      </c>
      <c r="AK56" s="11">
        <v>134</v>
      </c>
      <c r="AL56" s="11">
        <v>134</v>
      </c>
      <c r="AM56" s="11">
        <v>134</v>
      </c>
      <c r="AN56" s="72">
        <v>134</v>
      </c>
      <c r="AO56" s="72">
        <v>134</v>
      </c>
      <c r="AP56" s="72">
        <v>134</v>
      </c>
      <c r="AQ56" s="72">
        <v>134</v>
      </c>
      <c r="AR56" s="72">
        <v>134</v>
      </c>
      <c r="AS56" s="72">
        <v>134</v>
      </c>
      <c r="AT56" s="72">
        <v>134</v>
      </c>
      <c r="AU56" s="72">
        <v>134</v>
      </c>
      <c r="AV56" s="72">
        <v>134</v>
      </c>
      <c r="AW56" s="72">
        <v>134</v>
      </c>
      <c r="AX56" s="72">
        <v>134</v>
      </c>
      <c r="AY56" s="72">
        <v>134</v>
      </c>
      <c r="AZ56" s="72">
        <v>134</v>
      </c>
      <c r="BA56" s="72">
        <v>134</v>
      </c>
      <c r="BB56" s="72">
        <v>134</v>
      </c>
      <c r="BC56" s="72">
        <v>134</v>
      </c>
      <c r="BD56" s="72">
        <v>134</v>
      </c>
      <c r="BE56" s="72">
        <v>134</v>
      </c>
      <c r="BF56" s="72">
        <v>134</v>
      </c>
      <c r="BG56" s="72">
        <v>134</v>
      </c>
      <c r="BH56" s="72">
        <v>134</v>
      </c>
      <c r="BI56" s="72">
        <v>134</v>
      </c>
      <c r="BJ56" s="72">
        <v>134</v>
      </c>
      <c r="BK56" s="72">
        <v>134</v>
      </c>
      <c r="BL56" s="72">
        <v>134</v>
      </c>
      <c r="BM56" s="72">
        <v>134</v>
      </c>
      <c r="BN56" s="72">
        <v>134</v>
      </c>
      <c r="BO56" s="72">
        <v>134</v>
      </c>
      <c r="BP56" s="72">
        <v>134</v>
      </c>
      <c r="BQ56" s="72">
        <v>0</v>
      </c>
      <c r="BR56" s="72">
        <v>0</v>
      </c>
      <c r="BS56" s="72">
        <v>0</v>
      </c>
      <c r="BT56" s="72">
        <v>0</v>
      </c>
      <c r="BU56" s="72">
        <v>0</v>
      </c>
      <c r="BV56" s="72">
        <v>0</v>
      </c>
      <c r="BW56" s="72">
        <v>0</v>
      </c>
      <c r="BX56" s="72">
        <v>0</v>
      </c>
      <c r="BY56" s="72">
        <v>0</v>
      </c>
      <c r="BZ56" s="72">
        <v>0</v>
      </c>
      <c r="CA56" s="72">
        <v>0</v>
      </c>
      <c r="CB56" s="72">
        <v>0</v>
      </c>
      <c r="CC56" s="72">
        <v>0</v>
      </c>
      <c r="CD56" s="72">
        <v>0</v>
      </c>
      <c r="CE56" s="72">
        <v>0</v>
      </c>
      <c r="CF56" s="72">
        <v>0</v>
      </c>
      <c r="CG56" s="72">
        <v>0</v>
      </c>
      <c r="CH56" s="72">
        <v>0</v>
      </c>
      <c r="CI56" s="72">
        <v>0</v>
      </c>
      <c r="CJ56" s="72">
        <v>0</v>
      </c>
      <c r="CK56" s="72">
        <v>0</v>
      </c>
      <c r="CL56" s="72">
        <v>0</v>
      </c>
      <c r="CM56" s="72">
        <v>0</v>
      </c>
      <c r="CN56" s="72">
        <v>0</v>
      </c>
      <c r="CO56" s="72">
        <v>0</v>
      </c>
      <c r="CP56" s="72">
        <v>0</v>
      </c>
      <c r="CQ56" s="72">
        <v>0</v>
      </c>
      <c r="CR56" s="72">
        <v>0</v>
      </c>
      <c r="CS56" s="72">
        <v>0</v>
      </c>
      <c r="CT56" s="72">
        <v>0</v>
      </c>
      <c r="CU56" s="72">
        <v>0</v>
      </c>
      <c r="CV56" s="72">
        <v>0</v>
      </c>
      <c r="CW56" s="72">
        <v>0</v>
      </c>
      <c r="CX56" s="72">
        <v>0</v>
      </c>
      <c r="CY56" s="72">
        <v>0</v>
      </c>
      <c r="CZ56" s="72">
        <v>0</v>
      </c>
      <c r="DA56" s="72">
        <v>0</v>
      </c>
      <c r="DB56" s="72">
        <v>0</v>
      </c>
      <c r="DC56" s="72">
        <v>0</v>
      </c>
      <c r="DD56" s="72">
        <v>0</v>
      </c>
      <c r="DE56" s="72">
        <v>0</v>
      </c>
      <c r="DF56" s="72">
        <v>0</v>
      </c>
      <c r="DG56" s="72">
        <v>0</v>
      </c>
      <c r="DH56" s="72">
        <v>0</v>
      </c>
      <c r="DI56" s="72">
        <v>0</v>
      </c>
      <c r="DJ56" s="72">
        <v>0</v>
      </c>
      <c r="DK56" s="72">
        <v>0</v>
      </c>
      <c r="DL56" s="72">
        <v>0</v>
      </c>
      <c r="DM56" s="72">
        <v>0</v>
      </c>
    </row>
    <row r="57" spans="1:117" x14ac:dyDescent="0.35">
      <c r="A57" s="7"/>
      <c r="B57" s="8" t="s">
        <v>1317</v>
      </c>
      <c r="C57" s="9" t="s">
        <v>134</v>
      </c>
      <c r="D57" s="10" t="s">
        <v>123</v>
      </c>
      <c r="E57" s="8" t="s">
        <v>1205</v>
      </c>
      <c r="F57" s="10">
        <v>1101</v>
      </c>
      <c r="G57" s="10" t="s">
        <v>40</v>
      </c>
      <c r="H57" s="10" t="s">
        <v>41</v>
      </c>
      <c r="I57" s="11">
        <v>18</v>
      </c>
      <c r="J57" s="10"/>
      <c r="K57" s="10" t="s">
        <v>135</v>
      </c>
      <c r="L57" s="8"/>
      <c r="M57" s="12">
        <v>0.56999999999999995</v>
      </c>
      <c r="N57" s="12">
        <f t="shared" si="0"/>
        <v>0</v>
      </c>
      <c r="O57" s="11">
        <v>18</v>
      </c>
      <c r="P57" s="11">
        <v>18</v>
      </c>
      <c r="Q57" s="11">
        <v>18</v>
      </c>
      <c r="R57" s="11">
        <v>18</v>
      </c>
      <c r="S57" s="11">
        <v>18</v>
      </c>
      <c r="T57" s="11">
        <v>18</v>
      </c>
      <c r="U57" s="11">
        <v>18</v>
      </c>
      <c r="V57" s="11">
        <v>18</v>
      </c>
      <c r="W57" s="11">
        <v>18</v>
      </c>
      <c r="X57" s="11">
        <v>18</v>
      </c>
      <c r="Y57" s="11">
        <v>18</v>
      </c>
      <c r="Z57" s="11">
        <v>18</v>
      </c>
      <c r="AA57" s="11">
        <v>18</v>
      </c>
      <c r="AB57" s="11">
        <v>18</v>
      </c>
      <c r="AC57" s="11">
        <v>18</v>
      </c>
      <c r="AD57" s="11">
        <v>18</v>
      </c>
      <c r="AE57" s="11">
        <v>18</v>
      </c>
      <c r="AF57" s="11">
        <v>18</v>
      </c>
      <c r="AG57" s="11">
        <v>18</v>
      </c>
      <c r="AH57" s="11">
        <v>18</v>
      </c>
      <c r="AI57" s="11">
        <v>18</v>
      </c>
      <c r="AJ57" s="11">
        <v>18</v>
      </c>
      <c r="AK57" s="11">
        <v>18</v>
      </c>
      <c r="AL57" s="11">
        <v>18</v>
      </c>
      <c r="AM57" s="11">
        <v>18</v>
      </c>
      <c r="AN57" s="72">
        <v>18</v>
      </c>
      <c r="AO57" s="72">
        <v>18</v>
      </c>
      <c r="AP57" s="72">
        <v>18</v>
      </c>
      <c r="AQ57" s="72">
        <v>18</v>
      </c>
      <c r="AR57" s="72">
        <v>18</v>
      </c>
      <c r="AS57" s="72">
        <v>18</v>
      </c>
      <c r="AT57" s="72">
        <v>18</v>
      </c>
      <c r="AU57" s="72">
        <v>18</v>
      </c>
      <c r="AV57" s="72">
        <v>18</v>
      </c>
      <c r="AW57" s="72">
        <v>18</v>
      </c>
      <c r="AX57" s="72">
        <v>18</v>
      </c>
      <c r="AY57" s="72">
        <v>18</v>
      </c>
      <c r="AZ57" s="72">
        <v>18</v>
      </c>
      <c r="BA57" s="72">
        <v>18</v>
      </c>
      <c r="BB57" s="72">
        <v>18</v>
      </c>
      <c r="BC57" s="72">
        <v>18</v>
      </c>
      <c r="BD57" s="72">
        <v>18</v>
      </c>
      <c r="BE57" s="72">
        <v>18</v>
      </c>
      <c r="BF57" s="72">
        <v>18</v>
      </c>
      <c r="BG57" s="72">
        <v>18</v>
      </c>
      <c r="BH57" s="72">
        <v>18</v>
      </c>
      <c r="BI57" s="72">
        <v>18</v>
      </c>
      <c r="BJ57" s="72">
        <v>18</v>
      </c>
      <c r="BK57" s="72">
        <v>18</v>
      </c>
      <c r="BL57" s="72">
        <v>18</v>
      </c>
      <c r="BM57" s="72">
        <v>18</v>
      </c>
      <c r="BN57" s="72">
        <v>18</v>
      </c>
      <c r="BO57" s="72">
        <v>18</v>
      </c>
      <c r="BP57" s="72">
        <v>18</v>
      </c>
      <c r="BQ57" s="72">
        <v>0</v>
      </c>
      <c r="BR57" s="72">
        <v>0</v>
      </c>
      <c r="BS57" s="72">
        <v>0</v>
      </c>
      <c r="BT57" s="72">
        <v>0</v>
      </c>
      <c r="BU57" s="72">
        <v>0</v>
      </c>
      <c r="BV57" s="72">
        <v>0</v>
      </c>
      <c r="BW57" s="72">
        <v>0</v>
      </c>
      <c r="BX57" s="72">
        <v>0</v>
      </c>
      <c r="BY57" s="72">
        <v>0</v>
      </c>
      <c r="BZ57" s="72">
        <v>0</v>
      </c>
      <c r="CA57" s="72">
        <v>0</v>
      </c>
      <c r="CB57" s="72">
        <v>0</v>
      </c>
      <c r="CC57" s="72">
        <v>0</v>
      </c>
      <c r="CD57" s="72">
        <v>0</v>
      </c>
      <c r="CE57" s="72">
        <v>0</v>
      </c>
      <c r="CF57" s="72">
        <v>0</v>
      </c>
      <c r="CG57" s="72">
        <v>0</v>
      </c>
      <c r="CH57" s="72">
        <v>0</v>
      </c>
      <c r="CI57" s="72">
        <v>0</v>
      </c>
      <c r="CJ57" s="72">
        <v>0</v>
      </c>
      <c r="CK57" s="72">
        <v>0</v>
      </c>
      <c r="CL57" s="72">
        <v>0</v>
      </c>
      <c r="CM57" s="72">
        <v>0</v>
      </c>
      <c r="CN57" s="72">
        <v>0</v>
      </c>
      <c r="CO57" s="72">
        <v>0</v>
      </c>
      <c r="CP57" s="72">
        <v>0</v>
      </c>
      <c r="CQ57" s="72">
        <v>0</v>
      </c>
      <c r="CR57" s="72">
        <v>0</v>
      </c>
      <c r="CS57" s="72">
        <v>0</v>
      </c>
      <c r="CT57" s="72">
        <v>0</v>
      </c>
      <c r="CU57" s="72">
        <v>0</v>
      </c>
      <c r="CV57" s="72">
        <v>0</v>
      </c>
      <c r="CW57" s="72">
        <v>0</v>
      </c>
      <c r="CX57" s="72">
        <v>0</v>
      </c>
      <c r="CY57" s="72">
        <v>0</v>
      </c>
      <c r="CZ57" s="72">
        <v>0</v>
      </c>
      <c r="DA57" s="72">
        <v>0</v>
      </c>
      <c r="DB57" s="72">
        <v>0</v>
      </c>
      <c r="DC57" s="72">
        <v>0</v>
      </c>
      <c r="DD57" s="72">
        <v>0</v>
      </c>
      <c r="DE57" s="72">
        <v>0</v>
      </c>
      <c r="DF57" s="72">
        <v>0</v>
      </c>
      <c r="DG57" s="72">
        <v>0</v>
      </c>
      <c r="DH57" s="72">
        <v>0</v>
      </c>
      <c r="DI57" s="72">
        <v>0</v>
      </c>
      <c r="DJ57" s="72">
        <v>0</v>
      </c>
      <c r="DK57" s="72">
        <v>0</v>
      </c>
      <c r="DL57" s="72">
        <v>0</v>
      </c>
      <c r="DM57" s="72">
        <v>0</v>
      </c>
    </row>
    <row r="58" spans="1:117" x14ac:dyDescent="0.35">
      <c r="A58" s="7"/>
      <c r="B58" s="8" t="s">
        <v>136</v>
      </c>
      <c r="C58" s="9" t="s">
        <v>137</v>
      </c>
      <c r="D58" s="10" t="s">
        <v>123</v>
      </c>
      <c r="E58" s="8" t="s">
        <v>1208</v>
      </c>
      <c r="F58" s="10">
        <v>1102</v>
      </c>
      <c r="G58" s="10" t="s">
        <v>40</v>
      </c>
      <c r="H58" s="10" t="s">
        <v>41</v>
      </c>
      <c r="I58" s="11">
        <v>6</v>
      </c>
      <c r="J58" s="10"/>
      <c r="K58" s="10" t="s">
        <v>42</v>
      </c>
      <c r="L58" s="8"/>
      <c r="M58" s="12">
        <v>20.55</v>
      </c>
      <c r="N58" s="12">
        <f t="shared" si="0"/>
        <v>123.30000000000001</v>
      </c>
      <c r="O58" s="11">
        <v>6</v>
      </c>
      <c r="P58" s="11">
        <v>6</v>
      </c>
      <c r="Q58" s="11">
        <v>6</v>
      </c>
      <c r="R58" s="11">
        <v>6</v>
      </c>
      <c r="S58" s="11">
        <v>6</v>
      </c>
      <c r="T58" s="11">
        <v>6</v>
      </c>
      <c r="U58" s="11">
        <v>6</v>
      </c>
      <c r="V58" s="11">
        <v>6</v>
      </c>
      <c r="W58" s="11">
        <v>6</v>
      </c>
      <c r="X58" s="11">
        <v>6</v>
      </c>
      <c r="Y58" s="11">
        <v>6</v>
      </c>
      <c r="Z58" s="11">
        <v>6</v>
      </c>
      <c r="AA58" s="11">
        <v>6</v>
      </c>
      <c r="AB58" s="11">
        <v>6</v>
      </c>
      <c r="AC58" s="11">
        <v>6</v>
      </c>
      <c r="AD58" s="11">
        <v>6</v>
      </c>
      <c r="AE58" s="11">
        <v>6</v>
      </c>
      <c r="AF58" s="11">
        <v>6</v>
      </c>
      <c r="AG58" s="11">
        <v>6</v>
      </c>
      <c r="AH58" s="11">
        <v>6</v>
      </c>
      <c r="AI58" s="11">
        <v>6</v>
      </c>
      <c r="AJ58" s="11">
        <v>6</v>
      </c>
      <c r="AK58" s="11">
        <v>6</v>
      </c>
      <c r="AL58" s="11">
        <v>6</v>
      </c>
      <c r="AM58" s="11">
        <v>6</v>
      </c>
      <c r="AN58" s="72">
        <v>6</v>
      </c>
      <c r="AO58" s="72">
        <v>6</v>
      </c>
      <c r="AP58" s="72">
        <v>6</v>
      </c>
      <c r="AQ58" s="72">
        <v>6</v>
      </c>
      <c r="AR58" s="72">
        <v>6</v>
      </c>
      <c r="AS58" s="72">
        <v>6</v>
      </c>
      <c r="AT58" s="72">
        <v>6</v>
      </c>
      <c r="AU58" s="72">
        <v>6</v>
      </c>
      <c r="AV58" s="72">
        <v>6</v>
      </c>
      <c r="AW58" s="72">
        <v>6</v>
      </c>
      <c r="AX58" s="72">
        <v>6</v>
      </c>
      <c r="AY58" s="72">
        <v>6</v>
      </c>
      <c r="AZ58" s="72">
        <v>6</v>
      </c>
      <c r="BA58" s="72">
        <v>6</v>
      </c>
      <c r="BB58" s="72">
        <v>6</v>
      </c>
      <c r="BC58" s="72">
        <v>6</v>
      </c>
      <c r="BD58" s="72">
        <v>6</v>
      </c>
      <c r="BE58" s="72">
        <v>6</v>
      </c>
      <c r="BF58" s="72">
        <v>6</v>
      </c>
      <c r="BG58" s="72">
        <v>6</v>
      </c>
      <c r="BH58" s="72">
        <v>6</v>
      </c>
      <c r="BI58" s="72">
        <v>6</v>
      </c>
      <c r="BJ58" s="72">
        <v>6</v>
      </c>
      <c r="BK58" s="72">
        <v>6</v>
      </c>
      <c r="BL58" s="72">
        <v>6</v>
      </c>
      <c r="BM58" s="72">
        <v>6</v>
      </c>
      <c r="BN58" s="72">
        <v>6</v>
      </c>
      <c r="BO58" s="72">
        <v>6</v>
      </c>
      <c r="BP58" s="72">
        <v>6</v>
      </c>
      <c r="BQ58" s="72">
        <v>6</v>
      </c>
      <c r="BR58" s="72">
        <v>6</v>
      </c>
      <c r="BS58" s="72">
        <v>6</v>
      </c>
      <c r="BT58" s="72">
        <v>6</v>
      </c>
      <c r="BU58" s="72">
        <v>6</v>
      </c>
      <c r="BV58" s="72">
        <v>6</v>
      </c>
      <c r="BW58" s="72">
        <v>6</v>
      </c>
      <c r="BX58" s="72">
        <v>6</v>
      </c>
      <c r="BY58" s="72">
        <v>6</v>
      </c>
      <c r="BZ58" s="72">
        <v>6</v>
      </c>
      <c r="CA58" s="72">
        <v>6</v>
      </c>
      <c r="CB58" s="72">
        <v>6</v>
      </c>
      <c r="CC58" s="72">
        <v>6</v>
      </c>
      <c r="CD58" s="72">
        <v>6</v>
      </c>
      <c r="CE58" s="72">
        <v>6</v>
      </c>
      <c r="CF58" s="72">
        <v>6</v>
      </c>
      <c r="CG58" s="72">
        <v>6</v>
      </c>
      <c r="CH58" s="72">
        <v>6</v>
      </c>
      <c r="CI58" s="72">
        <v>6</v>
      </c>
      <c r="CJ58" s="72">
        <v>6</v>
      </c>
      <c r="CK58" s="72">
        <v>6</v>
      </c>
      <c r="CL58" s="72">
        <v>6</v>
      </c>
      <c r="CM58" s="72">
        <v>6</v>
      </c>
      <c r="CN58" s="72">
        <v>6</v>
      </c>
      <c r="CO58" s="72">
        <v>6</v>
      </c>
      <c r="CP58" s="72">
        <v>6</v>
      </c>
      <c r="CQ58" s="72">
        <v>6</v>
      </c>
      <c r="CR58" s="72">
        <v>6</v>
      </c>
      <c r="CS58" s="72">
        <v>6</v>
      </c>
      <c r="CT58" s="72">
        <v>6</v>
      </c>
      <c r="CU58" s="72">
        <v>6</v>
      </c>
      <c r="CV58" s="72">
        <v>6</v>
      </c>
      <c r="CW58" s="72">
        <v>6</v>
      </c>
      <c r="CX58" s="72">
        <v>6</v>
      </c>
      <c r="CY58" s="72">
        <v>6</v>
      </c>
      <c r="CZ58" s="72">
        <v>6</v>
      </c>
      <c r="DA58" s="72">
        <v>6</v>
      </c>
      <c r="DB58" s="72">
        <v>6</v>
      </c>
      <c r="DC58" s="72">
        <v>6</v>
      </c>
      <c r="DD58" s="72">
        <v>6</v>
      </c>
      <c r="DE58" s="72">
        <v>6</v>
      </c>
      <c r="DF58" s="72">
        <v>6</v>
      </c>
      <c r="DG58" s="72">
        <v>6</v>
      </c>
      <c r="DH58" s="72">
        <v>6</v>
      </c>
      <c r="DI58" s="72">
        <v>6</v>
      </c>
      <c r="DJ58" s="72">
        <v>6</v>
      </c>
      <c r="DK58" s="72">
        <v>6</v>
      </c>
      <c r="DL58" s="72">
        <v>6</v>
      </c>
      <c r="DM58" s="72">
        <v>6</v>
      </c>
    </row>
    <row r="59" spans="1:117" ht="12.8" customHeight="1" x14ac:dyDescent="0.35">
      <c r="A59" s="7"/>
      <c r="B59" s="8" t="s">
        <v>138</v>
      </c>
      <c r="C59" s="9" t="s">
        <v>139</v>
      </c>
      <c r="D59" s="10" t="s">
        <v>123</v>
      </c>
      <c r="E59" s="8" t="s">
        <v>1208</v>
      </c>
      <c r="F59" s="10">
        <v>1102</v>
      </c>
      <c r="G59" s="10" t="s">
        <v>40</v>
      </c>
      <c r="H59" s="10" t="s">
        <v>41</v>
      </c>
      <c r="I59" s="11">
        <v>27</v>
      </c>
      <c r="J59" s="10"/>
      <c r="K59" s="10" t="s">
        <v>42</v>
      </c>
      <c r="L59" s="8"/>
      <c r="M59" s="12">
        <v>22.45</v>
      </c>
      <c r="N59" s="12">
        <f t="shared" si="0"/>
        <v>606.15</v>
      </c>
      <c r="O59" s="11">
        <v>27</v>
      </c>
      <c r="P59" s="11">
        <v>27</v>
      </c>
      <c r="Q59" s="11">
        <v>27</v>
      </c>
      <c r="R59" s="11">
        <v>27</v>
      </c>
      <c r="S59" s="11">
        <v>27</v>
      </c>
      <c r="T59" s="11">
        <v>27</v>
      </c>
      <c r="U59" s="11">
        <v>27</v>
      </c>
      <c r="V59" s="11">
        <v>27</v>
      </c>
      <c r="W59" s="11">
        <v>27</v>
      </c>
      <c r="X59" s="11">
        <v>27</v>
      </c>
      <c r="Y59" s="11">
        <v>27</v>
      </c>
      <c r="Z59" s="11">
        <v>27</v>
      </c>
      <c r="AA59" s="11">
        <v>27</v>
      </c>
      <c r="AB59" s="11">
        <v>27</v>
      </c>
      <c r="AC59" s="11">
        <v>27</v>
      </c>
      <c r="AD59" s="11">
        <v>27</v>
      </c>
      <c r="AE59" s="11">
        <v>27</v>
      </c>
      <c r="AF59" s="11">
        <v>27</v>
      </c>
      <c r="AG59" s="11">
        <v>27</v>
      </c>
      <c r="AH59" s="11">
        <v>27</v>
      </c>
      <c r="AI59" s="11">
        <v>27</v>
      </c>
      <c r="AJ59" s="11">
        <v>27</v>
      </c>
      <c r="AK59" s="11">
        <v>27</v>
      </c>
      <c r="AL59" s="11">
        <v>27</v>
      </c>
      <c r="AM59" s="11">
        <v>27</v>
      </c>
      <c r="AN59" s="72">
        <v>27</v>
      </c>
      <c r="AO59" s="72">
        <v>27</v>
      </c>
      <c r="AP59" s="72">
        <v>27</v>
      </c>
      <c r="AQ59" s="72">
        <v>27</v>
      </c>
      <c r="AR59" s="72">
        <v>27</v>
      </c>
      <c r="AS59" s="72">
        <v>27</v>
      </c>
      <c r="AT59" s="72">
        <v>27</v>
      </c>
      <c r="AU59" s="72">
        <v>27</v>
      </c>
      <c r="AV59" s="72">
        <v>27</v>
      </c>
      <c r="AW59" s="72">
        <v>27</v>
      </c>
      <c r="AX59" s="72">
        <v>27</v>
      </c>
      <c r="AY59" s="72">
        <v>27</v>
      </c>
      <c r="AZ59" s="72">
        <v>27</v>
      </c>
      <c r="BA59" s="72">
        <v>27</v>
      </c>
      <c r="BB59" s="72">
        <v>27</v>
      </c>
      <c r="BC59" s="72">
        <v>27</v>
      </c>
      <c r="BD59" s="72">
        <v>27</v>
      </c>
      <c r="BE59" s="72">
        <v>27</v>
      </c>
      <c r="BF59" s="72">
        <v>27</v>
      </c>
      <c r="BG59" s="72">
        <v>27</v>
      </c>
      <c r="BH59" s="72">
        <v>27</v>
      </c>
      <c r="BI59" s="72">
        <v>27</v>
      </c>
      <c r="BJ59" s="72">
        <v>27</v>
      </c>
      <c r="BK59" s="72">
        <v>27</v>
      </c>
      <c r="BL59" s="72">
        <v>27</v>
      </c>
      <c r="BM59" s="72">
        <v>27</v>
      </c>
      <c r="BN59" s="72">
        <v>27</v>
      </c>
      <c r="BO59" s="72">
        <v>27</v>
      </c>
      <c r="BP59" s="72">
        <v>27</v>
      </c>
      <c r="BQ59" s="72">
        <v>27</v>
      </c>
      <c r="BR59" s="72">
        <v>27</v>
      </c>
      <c r="BS59" s="72">
        <v>27</v>
      </c>
      <c r="BT59" s="72">
        <v>27</v>
      </c>
      <c r="BU59" s="72">
        <v>27</v>
      </c>
      <c r="BV59" s="72">
        <v>27</v>
      </c>
      <c r="BW59" s="72">
        <v>27</v>
      </c>
      <c r="BX59" s="72">
        <v>27</v>
      </c>
      <c r="BY59" s="72">
        <v>27</v>
      </c>
      <c r="BZ59" s="72">
        <v>27</v>
      </c>
      <c r="CA59" s="72">
        <v>27</v>
      </c>
      <c r="CB59" s="72">
        <v>27</v>
      </c>
      <c r="CC59" s="72">
        <v>27</v>
      </c>
      <c r="CD59" s="72">
        <v>27</v>
      </c>
      <c r="CE59" s="72">
        <v>27</v>
      </c>
      <c r="CF59" s="72">
        <v>27</v>
      </c>
      <c r="CG59" s="72">
        <v>27</v>
      </c>
      <c r="CH59" s="72">
        <v>27</v>
      </c>
      <c r="CI59" s="72">
        <v>27</v>
      </c>
      <c r="CJ59" s="72">
        <v>27</v>
      </c>
      <c r="CK59" s="72">
        <v>27</v>
      </c>
      <c r="CL59" s="72">
        <v>27</v>
      </c>
      <c r="CM59" s="72">
        <v>27</v>
      </c>
      <c r="CN59" s="72">
        <v>27</v>
      </c>
      <c r="CO59" s="72">
        <v>27</v>
      </c>
      <c r="CP59" s="72">
        <v>27</v>
      </c>
      <c r="CQ59" s="72">
        <v>27</v>
      </c>
      <c r="CR59" s="72">
        <v>27</v>
      </c>
      <c r="CS59" s="72">
        <v>27</v>
      </c>
      <c r="CT59" s="72">
        <v>27</v>
      </c>
      <c r="CU59" s="72">
        <v>27</v>
      </c>
      <c r="CV59" s="72">
        <v>27</v>
      </c>
      <c r="CW59" s="72">
        <v>27</v>
      </c>
      <c r="CX59" s="72">
        <v>27</v>
      </c>
      <c r="CY59" s="72">
        <v>27</v>
      </c>
      <c r="CZ59" s="72">
        <v>27</v>
      </c>
      <c r="DA59" s="72">
        <v>27</v>
      </c>
      <c r="DB59" s="72">
        <v>27</v>
      </c>
      <c r="DC59" s="72">
        <v>27</v>
      </c>
      <c r="DD59" s="72">
        <v>27</v>
      </c>
      <c r="DE59" s="72">
        <v>27</v>
      </c>
      <c r="DF59" s="72">
        <v>27</v>
      </c>
      <c r="DG59" s="72">
        <v>27</v>
      </c>
      <c r="DH59" s="72">
        <v>27</v>
      </c>
      <c r="DI59" s="72">
        <v>27</v>
      </c>
      <c r="DJ59" s="72">
        <v>27</v>
      </c>
      <c r="DK59" s="72">
        <v>27</v>
      </c>
      <c r="DL59" s="72">
        <v>27</v>
      </c>
      <c r="DM59" s="72">
        <v>27</v>
      </c>
    </row>
    <row r="60" spans="1:117" ht="12.8" customHeight="1" x14ac:dyDescent="0.35">
      <c r="A60" s="7"/>
      <c r="B60" s="8" t="s">
        <v>140</v>
      </c>
      <c r="C60" s="9" t="s">
        <v>141</v>
      </c>
      <c r="D60" s="10" t="s">
        <v>123</v>
      </c>
      <c r="E60" s="8" t="s">
        <v>1211</v>
      </c>
      <c r="F60" s="10">
        <v>1101</v>
      </c>
      <c r="G60" s="10" t="s">
        <v>40</v>
      </c>
      <c r="H60" s="10" t="s">
        <v>95</v>
      </c>
      <c r="I60" s="11">
        <v>0</v>
      </c>
      <c r="J60" s="10"/>
      <c r="K60" s="10" t="s">
        <v>42</v>
      </c>
      <c r="L60" s="8"/>
      <c r="M60" s="12">
        <v>0.37</v>
      </c>
      <c r="N60" s="12">
        <f t="shared" si="0"/>
        <v>0</v>
      </c>
      <c r="O60" s="11">
        <v>6405</v>
      </c>
      <c r="P60" s="11">
        <v>6405</v>
      </c>
      <c r="Q60" s="11">
        <v>6405</v>
      </c>
      <c r="R60" s="11">
        <v>6405</v>
      </c>
      <c r="S60" s="11">
        <v>6405</v>
      </c>
      <c r="T60" s="11">
        <v>4880</v>
      </c>
      <c r="U60" s="11">
        <v>4880</v>
      </c>
      <c r="V60" s="11">
        <v>4880</v>
      </c>
      <c r="W60" s="11">
        <v>4880</v>
      </c>
      <c r="X60" s="11">
        <v>4880</v>
      </c>
      <c r="Y60" s="11">
        <v>4880</v>
      </c>
      <c r="Z60" s="11">
        <v>4880</v>
      </c>
      <c r="AA60" s="11">
        <v>4880</v>
      </c>
      <c r="AB60" s="11">
        <v>4880</v>
      </c>
      <c r="AC60" s="11">
        <v>4880</v>
      </c>
      <c r="AD60" s="11">
        <v>4880</v>
      </c>
      <c r="AE60" s="11">
        <v>4880</v>
      </c>
      <c r="AF60" s="11">
        <v>0</v>
      </c>
      <c r="AG60" s="11">
        <v>0</v>
      </c>
      <c r="AH60" s="11">
        <v>0</v>
      </c>
      <c r="AI60" s="11">
        <v>0</v>
      </c>
      <c r="AJ60" s="11">
        <v>0</v>
      </c>
      <c r="AK60" s="11">
        <v>0</v>
      </c>
      <c r="AL60" s="11">
        <v>0</v>
      </c>
      <c r="AM60" s="11">
        <v>0</v>
      </c>
      <c r="AN60" s="72">
        <v>0</v>
      </c>
      <c r="AO60" s="72">
        <v>0</v>
      </c>
      <c r="AP60" s="72">
        <v>0</v>
      </c>
      <c r="AQ60" s="72">
        <v>0</v>
      </c>
      <c r="AR60" s="72">
        <v>0</v>
      </c>
      <c r="AS60" s="72">
        <v>0</v>
      </c>
      <c r="AT60" s="72">
        <v>0</v>
      </c>
      <c r="AU60" s="72">
        <v>0</v>
      </c>
      <c r="AV60" s="72">
        <v>0</v>
      </c>
      <c r="AW60" s="72">
        <v>0</v>
      </c>
      <c r="AX60" s="72">
        <v>0</v>
      </c>
      <c r="AY60" s="72">
        <v>0</v>
      </c>
      <c r="AZ60" s="72">
        <v>0</v>
      </c>
      <c r="BA60" s="72">
        <v>0</v>
      </c>
      <c r="BB60" s="72">
        <v>0</v>
      </c>
      <c r="BC60" s="72">
        <v>0</v>
      </c>
      <c r="BD60" s="72">
        <v>0</v>
      </c>
      <c r="BE60" s="72">
        <v>0</v>
      </c>
      <c r="BF60" s="72">
        <v>0</v>
      </c>
      <c r="BG60" s="72">
        <v>0</v>
      </c>
      <c r="BH60" s="72">
        <v>0</v>
      </c>
      <c r="BI60" s="72">
        <v>0</v>
      </c>
      <c r="BJ60" s="72">
        <v>0</v>
      </c>
      <c r="BK60" s="72">
        <v>0</v>
      </c>
      <c r="BL60" s="72">
        <v>0</v>
      </c>
      <c r="BM60" s="72">
        <v>0</v>
      </c>
      <c r="BN60" s="72">
        <v>0</v>
      </c>
      <c r="BO60" s="72">
        <v>0</v>
      </c>
      <c r="BP60" s="72">
        <v>0</v>
      </c>
      <c r="BQ60" s="72">
        <v>0</v>
      </c>
      <c r="BR60" s="72">
        <v>0</v>
      </c>
      <c r="BS60" s="72">
        <v>0</v>
      </c>
      <c r="BT60" s="72">
        <v>0</v>
      </c>
      <c r="BU60" s="72">
        <v>0</v>
      </c>
      <c r="BV60" s="72">
        <v>0</v>
      </c>
      <c r="BW60" s="72">
        <v>0</v>
      </c>
      <c r="BX60" s="72">
        <v>0</v>
      </c>
      <c r="BY60" s="72">
        <v>0</v>
      </c>
      <c r="BZ60" s="72">
        <v>0</v>
      </c>
      <c r="CA60" s="72">
        <v>0</v>
      </c>
      <c r="CB60" s="72">
        <v>0</v>
      </c>
      <c r="CC60" s="72">
        <v>0</v>
      </c>
      <c r="CD60" s="72">
        <v>0</v>
      </c>
      <c r="CE60" s="72">
        <v>0</v>
      </c>
      <c r="CF60" s="72">
        <v>0</v>
      </c>
      <c r="CG60" s="72">
        <v>0</v>
      </c>
      <c r="CH60" s="72">
        <v>0</v>
      </c>
      <c r="CI60" s="72">
        <v>0</v>
      </c>
      <c r="CJ60" s="72">
        <v>0</v>
      </c>
      <c r="CK60" s="72">
        <v>0</v>
      </c>
      <c r="CL60" s="72">
        <v>0</v>
      </c>
      <c r="CM60" s="72">
        <v>0</v>
      </c>
      <c r="CN60" s="72">
        <v>0</v>
      </c>
      <c r="CO60" s="72">
        <v>0</v>
      </c>
      <c r="CP60" s="72">
        <v>0</v>
      </c>
      <c r="CQ60" s="72">
        <v>0</v>
      </c>
      <c r="CR60" s="72">
        <v>0</v>
      </c>
      <c r="CS60" s="72">
        <v>0</v>
      </c>
      <c r="CT60" s="72">
        <v>0</v>
      </c>
      <c r="CU60" s="72">
        <v>0</v>
      </c>
      <c r="CV60" s="72">
        <v>0</v>
      </c>
      <c r="CW60" s="72">
        <v>0</v>
      </c>
      <c r="CX60" s="72">
        <v>0</v>
      </c>
      <c r="CY60" s="72">
        <v>0</v>
      </c>
      <c r="CZ60" s="72">
        <v>0</v>
      </c>
      <c r="DA60" s="72">
        <v>0</v>
      </c>
      <c r="DB60" s="72">
        <v>0</v>
      </c>
      <c r="DC60" s="72">
        <v>0</v>
      </c>
      <c r="DD60" s="72">
        <v>0</v>
      </c>
      <c r="DE60" s="72">
        <v>0</v>
      </c>
      <c r="DF60" s="72">
        <v>0</v>
      </c>
      <c r="DG60" s="72">
        <v>0</v>
      </c>
      <c r="DH60" s="72">
        <v>0</v>
      </c>
      <c r="DI60" s="72">
        <v>0</v>
      </c>
      <c r="DJ60" s="72">
        <v>0</v>
      </c>
      <c r="DK60" s="72">
        <v>0</v>
      </c>
      <c r="DL60" s="72">
        <v>0</v>
      </c>
      <c r="DM60" s="72">
        <v>0</v>
      </c>
    </row>
    <row r="61" spans="1:117" x14ac:dyDescent="0.35">
      <c r="A61" s="7"/>
      <c r="B61" s="8" t="s">
        <v>142</v>
      </c>
      <c r="C61" s="9" t="s">
        <v>143</v>
      </c>
      <c r="D61" s="10" t="s">
        <v>123</v>
      </c>
      <c r="E61" s="8" t="s">
        <v>1209</v>
      </c>
      <c r="F61" s="10">
        <v>1101</v>
      </c>
      <c r="G61" s="10" t="s">
        <v>40</v>
      </c>
      <c r="H61" s="10" t="s">
        <v>41</v>
      </c>
      <c r="I61" s="11">
        <v>1</v>
      </c>
      <c r="J61" s="10"/>
      <c r="K61" s="10"/>
      <c r="L61" s="8"/>
      <c r="M61" s="12">
        <v>4.45</v>
      </c>
      <c r="N61" s="12">
        <f t="shared" si="0"/>
        <v>4.45</v>
      </c>
      <c r="O61" s="11">
        <v>1</v>
      </c>
      <c r="P61" s="11">
        <v>1</v>
      </c>
      <c r="Q61" s="11">
        <v>1</v>
      </c>
      <c r="R61" s="11">
        <v>1</v>
      </c>
      <c r="S61" s="11">
        <v>1</v>
      </c>
      <c r="T61" s="11">
        <v>1</v>
      </c>
      <c r="U61" s="11">
        <v>1</v>
      </c>
      <c r="V61" s="11">
        <v>1</v>
      </c>
      <c r="W61" s="11">
        <v>1</v>
      </c>
      <c r="X61" s="11">
        <v>1</v>
      </c>
      <c r="Y61" s="11">
        <v>1</v>
      </c>
      <c r="Z61" s="11">
        <v>1</v>
      </c>
      <c r="AA61" s="11">
        <v>1</v>
      </c>
      <c r="AB61" s="11">
        <v>1</v>
      </c>
      <c r="AC61" s="11">
        <v>1</v>
      </c>
      <c r="AD61" s="11">
        <v>1</v>
      </c>
      <c r="AE61" s="11">
        <v>1</v>
      </c>
      <c r="AF61" s="11">
        <v>1</v>
      </c>
      <c r="AG61" s="11">
        <v>1</v>
      </c>
      <c r="AH61" s="11">
        <v>1</v>
      </c>
      <c r="AI61" s="11">
        <v>1</v>
      </c>
      <c r="AJ61" s="11">
        <v>1</v>
      </c>
      <c r="AK61" s="11">
        <v>1</v>
      </c>
      <c r="AL61" s="11">
        <v>1</v>
      </c>
      <c r="AM61" s="11">
        <v>1</v>
      </c>
      <c r="AN61" s="72">
        <v>1</v>
      </c>
      <c r="AO61" s="72">
        <v>1</v>
      </c>
      <c r="AP61" s="72">
        <v>1</v>
      </c>
      <c r="AQ61" s="72">
        <v>1</v>
      </c>
      <c r="AR61" s="72">
        <v>1</v>
      </c>
      <c r="AS61" s="72">
        <v>1</v>
      </c>
      <c r="AT61" s="72">
        <v>1</v>
      </c>
      <c r="AU61" s="72">
        <v>1</v>
      </c>
      <c r="AV61" s="72">
        <v>1</v>
      </c>
      <c r="AW61" s="72">
        <v>1</v>
      </c>
      <c r="AX61" s="72">
        <v>1</v>
      </c>
      <c r="AY61" s="72">
        <v>1</v>
      </c>
      <c r="AZ61" s="72">
        <v>1</v>
      </c>
      <c r="BA61" s="72">
        <v>1</v>
      </c>
      <c r="BB61" s="72">
        <v>1</v>
      </c>
      <c r="BC61" s="72">
        <v>1</v>
      </c>
      <c r="BD61" s="72">
        <v>1</v>
      </c>
      <c r="BE61" s="72">
        <v>1</v>
      </c>
      <c r="BF61" s="72">
        <v>1</v>
      </c>
      <c r="BG61" s="72">
        <v>1</v>
      </c>
      <c r="BH61" s="72">
        <v>1</v>
      </c>
      <c r="BI61" s="72">
        <v>1</v>
      </c>
      <c r="BJ61" s="72">
        <v>1</v>
      </c>
      <c r="BK61" s="72">
        <v>1</v>
      </c>
      <c r="BL61" s="72">
        <v>1</v>
      </c>
      <c r="BM61" s="72">
        <v>1</v>
      </c>
      <c r="BN61" s="72">
        <v>1</v>
      </c>
      <c r="BO61" s="72">
        <v>1</v>
      </c>
      <c r="BP61" s="72">
        <v>1</v>
      </c>
      <c r="BQ61" s="72">
        <v>1</v>
      </c>
      <c r="BR61" s="72">
        <v>1</v>
      </c>
      <c r="BS61" s="72">
        <v>1</v>
      </c>
      <c r="BT61" s="72">
        <v>1</v>
      </c>
      <c r="BU61" s="72">
        <v>1</v>
      </c>
      <c r="BV61" s="72">
        <v>1</v>
      </c>
      <c r="BW61" s="72">
        <v>1</v>
      </c>
      <c r="BX61" s="72">
        <v>1</v>
      </c>
      <c r="BY61" s="72">
        <v>1</v>
      </c>
      <c r="BZ61" s="72">
        <v>1</v>
      </c>
      <c r="CA61" s="72">
        <v>1</v>
      </c>
      <c r="CB61" s="72">
        <v>1</v>
      </c>
      <c r="CC61" s="72">
        <v>1</v>
      </c>
      <c r="CD61" s="72">
        <v>1</v>
      </c>
      <c r="CE61" s="72">
        <v>1</v>
      </c>
      <c r="CF61" s="72">
        <v>1</v>
      </c>
      <c r="CG61" s="72">
        <v>1</v>
      </c>
      <c r="CH61" s="72">
        <v>1</v>
      </c>
      <c r="CI61" s="72">
        <v>1</v>
      </c>
      <c r="CJ61" s="72">
        <v>1</v>
      </c>
      <c r="CK61" s="72">
        <v>1</v>
      </c>
      <c r="CL61" s="72">
        <v>1</v>
      </c>
      <c r="CM61" s="72">
        <v>1</v>
      </c>
      <c r="CN61" s="72">
        <v>1</v>
      </c>
      <c r="CO61" s="72">
        <v>1</v>
      </c>
      <c r="CP61" s="72">
        <v>1</v>
      </c>
      <c r="CQ61" s="72">
        <v>1</v>
      </c>
      <c r="CR61" s="72">
        <v>1</v>
      </c>
      <c r="CS61" s="72">
        <v>1</v>
      </c>
      <c r="CT61" s="72">
        <v>1</v>
      </c>
      <c r="CU61" s="72">
        <v>1</v>
      </c>
      <c r="CV61" s="72">
        <v>1</v>
      </c>
      <c r="CW61" s="72">
        <v>1</v>
      </c>
      <c r="CX61" s="72">
        <v>1</v>
      </c>
      <c r="CY61" s="72">
        <v>1</v>
      </c>
      <c r="CZ61" s="72">
        <v>1</v>
      </c>
      <c r="DA61" s="72">
        <v>1</v>
      </c>
      <c r="DB61" s="72">
        <v>1</v>
      </c>
      <c r="DC61" s="72">
        <v>1</v>
      </c>
      <c r="DD61" s="72">
        <v>1</v>
      </c>
      <c r="DE61" s="72">
        <v>1</v>
      </c>
      <c r="DF61" s="72">
        <v>1</v>
      </c>
      <c r="DG61" s="72">
        <v>1</v>
      </c>
      <c r="DH61" s="72">
        <v>1</v>
      </c>
      <c r="DI61" s="72">
        <v>1</v>
      </c>
      <c r="DJ61" s="72">
        <v>1</v>
      </c>
      <c r="DK61" s="72">
        <v>1</v>
      </c>
      <c r="DL61" s="72">
        <v>1</v>
      </c>
      <c r="DM61" s="72">
        <v>1</v>
      </c>
    </row>
    <row r="62" spans="1:117" x14ac:dyDescent="0.35">
      <c r="A62" s="7"/>
      <c r="B62" s="8" t="s">
        <v>144</v>
      </c>
      <c r="C62" s="9" t="s">
        <v>145</v>
      </c>
      <c r="D62" s="10" t="s">
        <v>123</v>
      </c>
      <c r="E62" s="8" t="s">
        <v>1209</v>
      </c>
      <c r="F62" s="10">
        <v>1101</v>
      </c>
      <c r="G62" s="10" t="s">
        <v>40</v>
      </c>
      <c r="H62" s="10" t="s">
        <v>41</v>
      </c>
      <c r="I62" s="11">
        <v>181</v>
      </c>
      <c r="J62" s="10"/>
      <c r="K62" s="10" t="s">
        <v>42</v>
      </c>
      <c r="L62" s="8"/>
      <c r="M62" s="12">
        <v>2.9</v>
      </c>
      <c r="N62" s="12">
        <f t="shared" si="0"/>
        <v>408.9</v>
      </c>
      <c r="O62" s="11">
        <v>181</v>
      </c>
      <c r="P62" s="11">
        <v>181</v>
      </c>
      <c r="Q62" s="11">
        <v>181</v>
      </c>
      <c r="R62" s="11">
        <v>181</v>
      </c>
      <c r="S62" s="11">
        <v>181</v>
      </c>
      <c r="T62" s="11">
        <v>181</v>
      </c>
      <c r="U62" s="11">
        <v>181</v>
      </c>
      <c r="V62" s="11">
        <v>181</v>
      </c>
      <c r="W62" s="11">
        <v>181</v>
      </c>
      <c r="X62" s="11">
        <v>181</v>
      </c>
      <c r="Y62" s="11">
        <v>181</v>
      </c>
      <c r="Z62" s="11">
        <v>181</v>
      </c>
      <c r="AA62" s="11">
        <v>181</v>
      </c>
      <c r="AB62" s="11">
        <v>181</v>
      </c>
      <c r="AC62" s="11">
        <v>181</v>
      </c>
      <c r="AD62" s="11">
        <v>181</v>
      </c>
      <c r="AE62" s="11">
        <v>181</v>
      </c>
      <c r="AF62" s="11">
        <v>181</v>
      </c>
      <c r="AG62" s="11">
        <v>181</v>
      </c>
      <c r="AH62" s="11">
        <v>181</v>
      </c>
      <c r="AI62" s="11">
        <v>181</v>
      </c>
      <c r="AJ62" s="11">
        <v>181</v>
      </c>
      <c r="AK62" s="11">
        <v>181</v>
      </c>
      <c r="AL62" s="11">
        <v>181</v>
      </c>
      <c r="AM62" s="11">
        <v>181</v>
      </c>
      <c r="AN62" s="72">
        <v>181</v>
      </c>
      <c r="AO62" s="72">
        <v>181</v>
      </c>
      <c r="AP62" s="72">
        <v>181</v>
      </c>
      <c r="AQ62" s="72">
        <v>181</v>
      </c>
      <c r="AR62" s="72">
        <v>181</v>
      </c>
      <c r="AS62" s="72">
        <v>181</v>
      </c>
      <c r="AT62" s="72">
        <v>181</v>
      </c>
      <c r="AU62" s="72">
        <v>181</v>
      </c>
      <c r="AV62" s="72">
        <v>181</v>
      </c>
      <c r="AW62" s="72">
        <v>181</v>
      </c>
      <c r="AX62" s="72">
        <v>181</v>
      </c>
      <c r="AY62" s="72">
        <v>181</v>
      </c>
      <c r="AZ62" s="72">
        <v>181</v>
      </c>
      <c r="BA62" s="72">
        <v>181</v>
      </c>
      <c r="BB62" s="72">
        <v>181</v>
      </c>
      <c r="BC62" s="72">
        <v>181</v>
      </c>
      <c r="BD62" s="72">
        <v>181</v>
      </c>
      <c r="BE62" s="72">
        <v>181</v>
      </c>
      <c r="BF62" s="72">
        <v>181</v>
      </c>
      <c r="BG62" s="72">
        <v>181</v>
      </c>
      <c r="BH62" s="72">
        <v>181</v>
      </c>
      <c r="BI62" s="72">
        <v>181</v>
      </c>
      <c r="BJ62" s="72">
        <v>181</v>
      </c>
      <c r="BK62" s="72">
        <v>181</v>
      </c>
      <c r="BL62" s="72">
        <v>181</v>
      </c>
      <c r="BM62" s="72">
        <v>181</v>
      </c>
      <c r="BN62" s="72">
        <v>181</v>
      </c>
      <c r="BO62" s="72">
        <v>181</v>
      </c>
      <c r="BP62" s="72">
        <v>181</v>
      </c>
      <c r="BQ62" s="72">
        <v>181</v>
      </c>
      <c r="BR62" s="72">
        <v>181</v>
      </c>
      <c r="BS62" s="72">
        <v>181</v>
      </c>
      <c r="BT62" s="72">
        <v>181</v>
      </c>
      <c r="BU62" s="72">
        <v>181</v>
      </c>
      <c r="BV62" s="72">
        <v>181</v>
      </c>
      <c r="BW62" s="72">
        <v>181</v>
      </c>
      <c r="BX62" s="72">
        <v>181</v>
      </c>
      <c r="BY62" s="72">
        <v>181</v>
      </c>
      <c r="BZ62" s="72">
        <v>181</v>
      </c>
      <c r="CA62" s="72">
        <v>181</v>
      </c>
      <c r="CB62" s="72">
        <v>181</v>
      </c>
      <c r="CC62" s="72">
        <v>181</v>
      </c>
      <c r="CD62" s="72">
        <v>181</v>
      </c>
      <c r="CE62" s="72">
        <v>181</v>
      </c>
      <c r="CF62" s="72">
        <v>181</v>
      </c>
      <c r="CG62" s="72">
        <v>141</v>
      </c>
      <c r="CH62" s="72">
        <v>141</v>
      </c>
      <c r="CI62" s="72">
        <v>141</v>
      </c>
      <c r="CJ62" s="72">
        <v>141</v>
      </c>
      <c r="CK62" s="72">
        <v>141</v>
      </c>
      <c r="CL62" s="72">
        <v>141</v>
      </c>
      <c r="CM62" s="72">
        <v>141</v>
      </c>
      <c r="CN62" s="72">
        <v>141</v>
      </c>
      <c r="CO62" s="72">
        <v>141</v>
      </c>
      <c r="CP62" s="72">
        <v>141</v>
      </c>
      <c r="CQ62" s="72">
        <v>141</v>
      </c>
      <c r="CR62" s="72">
        <v>141</v>
      </c>
      <c r="CS62" s="72">
        <v>141</v>
      </c>
      <c r="CT62" s="72">
        <v>141</v>
      </c>
      <c r="CU62" s="72">
        <v>141</v>
      </c>
      <c r="CV62" s="72">
        <v>141</v>
      </c>
      <c r="CW62" s="72">
        <v>141</v>
      </c>
      <c r="CX62" s="72">
        <v>141</v>
      </c>
      <c r="CY62" s="72">
        <v>141</v>
      </c>
      <c r="CZ62" s="72">
        <v>141</v>
      </c>
      <c r="DA62" s="72">
        <v>141</v>
      </c>
      <c r="DB62" s="72">
        <v>141</v>
      </c>
      <c r="DC62" s="72">
        <v>141</v>
      </c>
      <c r="DD62" s="72">
        <v>141</v>
      </c>
      <c r="DE62" s="72">
        <v>141</v>
      </c>
      <c r="DF62" s="72">
        <v>141</v>
      </c>
      <c r="DG62" s="72">
        <v>141</v>
      </c>
      <c r="DH62" s="72">
        <v>141</v>
      </c>
      <c r="DI62" s="72">
        <v>141</v>
      </c>
      <c r="DJ62" s="72">
        <v>141</v>
      </c>
      <c r="DK62" s="72">
        <v>141</v>
      </c>
      <c r="DL62" s="72">
        <v>141</v>
      </c>
      <c r="DM62" s="72">
        <v>141</v>
      </c>
    </row>
    <row r="63" spans="1:117" x14ac:dyDescent="0.35">
      <c r="A63" s="7"/>
      <c r="B63" s="8" t="s">
        <v>146</v>
      </c>
      <c r="C63" s="9" t="s">
        <v>147</v>
      </c>
      <c r="D63" s="10" t="s">
        <v>123</v>
      </c>
      <c r="E63" s="8" t="s">
        <v>1209</v>
      </c>
      <c r="F63" s="10">
        <v>1101</v>
      </c>
      <c r="G63" s="10" t="s">
        <v>40</v>
      </c>
      <c r="H63" s="10" t="s">
        <v>41</v>
      </c>
      <c r="I63" s="11">
        <v>29</v>
      </c>
      <c r="J63" s="10"/>
      <c r="K63" s="10" t="s">
        <v>42</v>
      </c>
      <c r="L63" s="8"/>
      <c r="M63" s="12">
        <v>3.9</v>
      </c>
      <c r="N63" s="12">
        <f t="shared" si="0"/>
        <v>113.1</v>
      </c>
      <c r="O63" s="11">
        <v>29</v>
      </c>
      <c r="P63" s="11">
        <v>29</v>
      </c>
      <c r="Q63" s="11">
        <v>29</v>
      </c>
      <c r="R63" s="11">
        <v>29</v>
      </c>
      <c r="S63" s="11">
        <v>29</v>
      </c>
      <c r="T63" s="11">
        <v>29</v>
      </c>
      <c r="U63" s="11">
        <v>29</v>
      </c>
      <c r="V63" s="11">
        <v>29</v>
      </c>
      <c r="W63" s="11">
        <v>29</v>
      </c>
      <c r="X63" s="11">
        <v>29</v>
      </c>
      <c r="Y63" s="11">
        <v>29</v>
      </c>
      <c r="Z63" s="11">
        <v>29</v>
      </c>
      <c r="AA63" s="11">
        <v>29</v>
      </c>
      <c r="AB63" s="11">
        <v>29</v>
      </c>
      <c r="AC63" s="11">
        <v>29</v>
      </c>
      <c r="AD63" s="11">
        <v>29</v>
      </c>
      <c r="AE63" s="11">
        <v>29</v>
      </c>
      <c r="AF63" s="11">
        <v>29</v>
      </c>
      <c r="AG63" s="11">
        <v>29</v>
      </c>
      <c r="AH63" s="11">
        <v>29</v>
      </c>
      <c r="AI63" s="11">
        <v>29</v>
      </c>
      <c r="AJ63" s="11">
        <v>29</v>
      </c>
      <c r="AK63" s="11">
        <v>29</v>
      </c>
      <c r="AL63" s="11">
        <v>29</v>
      </c>
      <c r="AM63" s="11">
        <v>29</v>
      </c>
      <c r="AN63" s="72">
        <v>29</v>
      </c>
      <c r="AO63" s="72">
        <v>29</v>
      </c>
      <c r="AP63" s="72">
        <v>29</v>
      </c>
      <c r="AQ63" s="72">
        <v>29</v>
      </c>
      <c r="AR63" s="72">
        <v>29</v>
      </c>
      <c r="AS63" s="72">
        <v>29</v>
      </c>
      <c r="AT63" s="72">
        <v>29</v>
      </c>
      <c r="AU63" s="72">
        <v>29</v>
      </c>
      <c r="AV63" s="72">
        <v>29</v>
      </c>
      <c r="AW63" s="72">
        <v>29</v>
      </c>
      <c r="AX63" s="72">
        <v>29</v>
      </c>
      <c r="AY63" s="72">
        <v>29</v>
      </c>
      <c r="AZ63" s="72">
        <v>29</v>
      </c>
      <c r="BA63" s="72">
        <v>29</v>
      </c>
      <c r="BB63" s="72">
        <v>29</v>
      </c>
      <c r="BC63" s="72">
        <v>29</v>
      </c>
      <c r="BD63" s="72">
        <v>29</v>
      </c>
      <c r="BE63" s="72">
        <v>29</v>
      </c>
      <c r="BF63" s="72">
        <v>29</v>
      </c>
      <c r="BG63" s="72">
        <v>29</v>
      </c>
      <c r="BH63" s="72">
        <v>29</v>
      </c>
      <c r="BI63" s="72">
        <v>29</v>
      </c>
      <c r="BJ63" s="72">
        <v>29</v>
      </c>
      <c r="BK63" s="72">
        <v>29</v>
      </c>
      <c r="BL63" s="72">
        <v>29</v>
      </c>
      <c r="BM63" s="72">
        <v>29</v>
      </c>
      <c r="BN63" s="72">
        <v>29</v>
      </c>
      <c r="BO63" s="72">
        <v>29</v>
      </c>
      <c r="BP63" s="72">
        <v>29</v>
      </c>
      <c r="BQ63" s="72">
        <v>29</v>
      </c>
      <c r="BR63" s="72">
        <v>29</v>
      </c>
      <c r="BS63" s="72">
        <v>29</v>
      </c>
      <c r="BT63" s="72">
        <v>29</v>
      </c>
      <c r="BU63" s="72">
        <v>29</v>
      </c>
      <c r="BV63" s="72">
        <v>29</v>
      </c>
      <c r="BW63" s="72">
        <v>29</v>
      </c>
      <c r="BX63" s="72">
        <v>29</v>
      </c>
      <c r="BY63" s="72">
        <v>29</v>
      </c>
      <c r="BZ63" s="72">
        <v>29</v>
      </c>
      <c r="CA63" s="72">
        <v>29</v>
      </c>
      <c r="CB63" s="72">
        <v>29</v>
      </c>
      <c r="CC63" s="72">
        <v>29</v>
      </c>
      <c r="CD63" s="72">
        <v>29</v>
      </c>
      <c r="CE63" s="72">
        <v>29</v>
      </c>
      <c r="CF63" s="72">
        <v>29</v>
      </c>
      <c r="CG63" s="72">
        <v>29</v>
      </c>
      <c r="CH63" s="72">
        <v>29</v>
      </c>
      <c r="CI63" s="72">
        <v>29</v>
      </c>
      <c r="CJ63" s="72">
        <v>29</v>
      </c>
      <c r="CK63" s="72">
        <v>29</v>
      </c>
      <c r="CL63" s="72">
        <v>29</v>
      </c>
      <c r="CM63" s="72">
        <v>29</v>
      </c>
      <c r="CN63" s="72">
        <v>29</v>
      </c>
      <c r="CO63" s="72">
        <v>29</v>
      </c>
      <c r="CP63" s="72">
        <v>29</v>
      </c>
      <c r="CQ63" s="72">
        <v>29</v>
      </c>
      <c r="CR63" s="72">
        <v>29</v>
      </c>
      <c r="CS63" s="72">
        <v>29</v>
      </c>
      <c r="CT63" s="72">
        <v>29</v>
      </c>
      <c r="CU63" s="72">
        <v>29</v>
      </c>
      <c r="CV63" s="72">
        <v>29</v>
      </c>
      <c r="CW63" s="72">
        <v>29</v>
      </c>
      <c r="CX63" s="72">
        <v>29</v>
      </c>
      <c r="CY63" s="72">
        <v>29</v>
      </c>
      <c r="CZ63" s="72">
        <v>29</v>
      </c>
      <c r="DA63" s="72">
        <v>29</v>
      </c>
      <c r="DB63" s="72">
        <v>29</v>
      </c>
      <c r="DC63" s="72">
        <v>29</v>
      </c>
      <c r="DD63" s="72">
        <v>29</v>
      </c>
      <c r="DE63" s="72">
        <v>29</v>
      </c>
      <c r="DF63" s="72">
        <v>29</v>
      </c>
      <c r="DG63" s="72">
        <v>29</v>
      </c>
      <c r="DH63" s="72">
        <v>29</v>
      </c>
      <c r="DI63" s="72">
        <v>29</v>
      </c>
      <c r="DJ63" s="72">
        <v>29</v>
      </c>
      <c r="DK63" s="72">
        <v>29</v>
      </c>
      <c r="DL63" s="72">
        <v>29</v>
      </c>
      <c r="DM63" s="72">
        <v>29</v>
      </c>
    </row>
    <row r="64" spans="1:117" x14ac:dyDescent="0.35">
      <c r="A64" s="7"/>
      <c r="B64" s="77" t="s">
        <v>1475</v>
      </c>
      <c r="C64" s="9" t="s">
        <v>1480</v>
      </c>
      <c r="D64" s="10" t="s">
        <v>123</v>
      </c>
      <c r="E64" s="8" t="s">
        <v>1209</v>
      </c>
      <c r="F64" s="10">
        <v>1101</v>
      </c>
      <c r="G64" s="10" t="s">
        <v>40</v>
      </c>
      <c r="H64" s="10" t="s">
        <v>41</v>
      </c>
      <c r="I64" s="11"/>
      <c r="J64" s="10"/>
      <c r="K64" s="10"/>
      <c r="L64" s="8"/>
      <c r="M64" s="12">
        <v>6</v>
      </c>
      <c r="N64" s="12">
        <f t="shared" si="0"/>
        <v>0</v>
      </c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72"/>
      <c r="AO64" s="72"/>
      <c r="AP64" s="72"/>
      <c r="AQ64" s="72"/>
      <c r="AR64" s="72"/>
      <c r="AS64" s="72"/>
      <c r="AT64" s="72"/>
      <c r="AU64" s="72"/>
      <c r="AV64" s="72"/>
      <c r="AW64" s="72"/>
      <c r="AX64" s="72"/>
      <c r="AY64" s="72"/>
      <c r="AZ64" s="72"/>
      <c r="BA64" s="72"/>
      <c r="BB64" s="72"/>
      <c r="BC64" s="72"/>
      <c r="BD64" s="72"/>
      <c r="BE64" s="72"/>
      <c r="BF64" s="72"/>
      <c r="BG64" s="72"/>
      <c r="BH64" s="72"/>
      <c r="BI64" s="72"/>
      <c r="BJ64" s="72"/>
      <c r="BK64" s="72"/>
      <c r="BL64" s="72"/>
      <c r="BM64" s="72"/>
      <c r="BN64" s="72"/>
      <c r="BO64" s="72"/>
      <c r="BP64" s="72"/>
      <c r="BQ64" s="72"/>
      <c r="BR64" s="72"/>
      <c r="BS64" s="72"/>
      <c r="BT64" s="72"/>
      <c r="BU64" s="72"/>
      <c r="BV64" s="72"/>
      <c r="BW64" s="72"/>
      <c r="BX64" s="72"/>
      <c r="BY64" s="72"/>
      <c r="BZ64" s="72"/>
      <c r="CA64" s="72"/>
      <c r="CB64" s="72"/>
      <c r="CC64" s="72"/>
      <c r="CD64" s="72"/>
      <c r="CE64" s="72"/>
      <c r="CF64" s="72"/>
      <c r="CG64" s="72"/>
      <c r="CH64" s="72">
        <v>20</v>
      </c>
      <c r="CI64" s="72">
        <v>20</v>
      </c>
      <c r="CJ64" s="72">
        <v>0</v>
      </c>
      <c r="CK64" s="72">
        <v>0</v>
      </c>
      <c r="CL64" s="72">
        <v>0</v>
      </c>
      <c r="CM64" s="72">
        <v>0</v>
      </c>
      <c r="CN64" s="72">
        <v>0</v>
      </c>
      <c r="CO64" s="72">
        <v>0</v>
      </c>
      <c r="CP64" s="72">
        <v>0</v>
      </c>
      <c r="CQ64" s="72">
        <v>0</v>
      </c>
      <c r="CR64" s="72">
        <v>0</v>
      </c>
      <c r="CS64" s="72">
        <v>0</v>
      </c>
      <c r="CT64" s="72">
        <v>0</v>
      </c>
      <c r="CU64" s="72">
        <v>0</v>
      </c>
      <c r="CV64" s="72">
        <v>0</v>
      </c>
      <c r="CW64" s="72">
        <v>0</v>
      </c>
      <c r="CX64" s="72">
        <v>0</v>
      </c>
      <c r="CY64" s="72">
        <v>0</v>
      </c>
      <c r="CZ64" s="72">
        <v>0</v>
      </c>
      <c r="DA64" s="72">
        <v>0</v>
      </c>
      <c r="DB64" s="72">
        <v>0</v>
      </c>
      <c r="DC64" s="72">
        <v>0</v>
      </c>
      <c r="DD64" s="72">
        <v>0</v>
      </c>
      <c r="DE64" s="72">
        <v>0</v>
      </c>
      <c r="DF64" s="72">
        <v>0</v>
      </c>
      <c r="DG64" s="72">
        <v>0</v>
      </c>
      <c r="DH64" s="72">
        <v>0</v>
      </c>
      <c r="DI64" s="72">
        <v>0</v>
      </c>
      <c r="DJ64" s="72">
        <v>0</v>
      </c>
      <c r="DK64" s="72">
        <v>0</v>
      </c>
      <c r="DL64" s="72">
        <v>0</v>
      </c>
      <c r="DM64" s="72">
        <v>0</v>
      </c>
    </row>
    <row r="65" spans="1:117" x14ac:dyDescent="0.35">
      <c r="A65" s="7"/>
      <c r="B65" s="77" t="s">
        <v>1476</v>
      </c>
      <c r="C65" s="9" t="s">
        <v>1481</v>
      </c>
      <c r="D65" s="10" t="s">
        <v>123</v>
      </c>
      <c r="E65" s="8" t="s">
        <v>1209</v>
      </c>
      <c r="F65" s="10">
        <v>1101</v>
      </c>
      <c r="G65" s="10" t="s">
        <v>40</v>
      </c>
      <c r="H65" s="10" t="s">
        <v>41</v>
      </c>
      <c r="I65" s="11"/>
      <c r="J65" s="10"/>
      <c r="K65" s="10"/>
      <c r="L65" s="8"/>
      <c r="M65" s="12">
        <v>6.15</v>
      </c>
      <c r="N65" s="12">
        <f t="shared" si="0"/>
        <v>0</v>
      </c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72"/>
      <c r="AO65" s="72"/>
      <c r="AP65" s="72"/>
      <c r="AQ65" s="72"/>
      <c r="AR65" s="72"/>
      <c r="AS65" s="72"/>
      <c r="AT65" s="72"/>
      <c r="AU65" s="72"/>
      <c r="AV65" s="72"/>
      <c r="AW65" s="72"/>
      <c r="AX65" s="72"/>
      <c r="AY65" s="72"/>
      <c r="AZ65" s="72"/>
      <c r="BA65" s="72"/>
      <c r="BB65" s="72"/>
      <c r="BC65" s="72"/>
      <c r="BD65" s="72"/>
      <c r="BE65" s="72"/>
      <c r="BF65" s="72"/>
      <c r="BG65" s="72"/>
      <c r="BH65" s="72"/>
      <c r="BI65" s="72"/>
      <c r="BJ65" s="72"/>
      <c r="BK65" s="72"/>
      <c r="BL65" s="72"/>
      <c r="BM65" s="72"/>
      <c r="BN65" s="72"/>
      <c r="BO65" s="72"/>
      <c r="BP65" s="72"/>
      <c r="BQ65" s="72"/>
      <c r="BR65" s="72"/>
      <c r="BS65" s="72"/>
      <c r="BT65" s="72"/>
      <c r="BU65" s="72"/>
      <c r="BV65" s="72"/>
      <c r="BW65" s="72"/>
      <c r="BX65" s="72"/>
      <c r="BY65" s="72"/>
      <c r="BZ65" s="72"/>
      <c r="CA65" s="72"/>
      <c r="CB65" s="72"/>
      <c r="CC65" s="72"/>
      <c r="CD65" s="72"/>
      <c r="CE65" s="72"/>
      <c r="CF65" s="72"/>
      <c r="CG65" s="72"/>
      <c r="CH65" s="72">
        <v>10</v>
      </c>
      <c r="CI65" s="72">
        <v>10</v>
      </c>
      <c r="CJ65" s="72">
        <v>0</v>
      </c>
      <c r="CK65" s="72">
        <v>0</v>
      </c>
      <c r="CL65" s="72">
        <v>0</v>
      </c>
      <c r="CM65" s="72">
        <v>0</v>
      </c>
      <c r="CN65" s="72">
        <v>0</v>
      </c>
      <c r="CO65" s="72">
        <v>0</v>
      </c>
      <c r="CP65" s="72">
        <v>0</v>
      </c>
      <c r="CQ65" s="72">
        <v>0</v>
      </c>
      <c r="CR65" s="72">
        <v>0</v>
      </c>
      <c r="CS65" s="72">
        <v>0</v>
      </c>
      <c r="CT65" s="72">
        <v>0</v>
      </c>
      <c r="CU65" s="72">
        <v>0</v>
      </c>
      <c r="CV65" s="72">
        <v>0</v>
      </c>
      <c r="CW65" s="72">
        <v>0</v>
      </c>
      <c r="CX65" s="72">
        <v>0</v>
      </c>
      <c r="CY65" s="72">
        <v>0</v>
      </c>
      <c r="CZ65" s="72">
        <v>0</v>
      </c>
      <c r="DA65" s="72">
        <v>0</v>
      </c>
      <c r="DB65" s="72">
        <v>0</v>
      </c>
      <c r="DC65" s="72">
        <v>0</v>
      </c>
      <c r="DD65" s="72">
        <v>0</v>
      </c>
      <c r="DE65" s="72">
        <v>0</v>
      </c>
      <c r="DF65" s="72">
        <v>0</v>
      </c>
      <c r="DG65" s="72">
        <v>0</v>
      </c>
      <c r="DH65" s="72">
        <v>0</v>
      </c>
      <c r="DI65" s="72">
        <v>0</v>
      </c>
      <c r="DJ65" s="72">
        <v>0</v>
      </c>
      <c r="DK65" s="72">
        <v>0</v>
      </c>
      <c r="DL65" s="72">
        <v>0</v>
      </c>
      <c r="DM65" s="72">
        <v>0</v>
      </c>
    </row>
    <row r="66" spans="1:117" x14ac:dyDescent="0.35">
      <c r="A66" s="7"/>
      <c r="B66" s="77" t="s">
        <v>1477</v>
      </c>
      <c r="C66" s="9" t="s">
        <v>1482</v>
      </c>
      <c r="D66" s="10" t="s">
        <v>123</v>
      </c>
      <c r="E66" s="8" t="s">
        <v>1209</v>
      </c>
      <c r="F66" s="10">
        <v>1101</v>
      </c>
      <c r="G66" s="10" t="s">
        <v>40</v>
      </c>
      <c r="H66" s="10" t="s">
        <v>41</v>
      </c>
      <c r="I66" s="11"/>
      <c r="J66" s="10"/>
      <c r="K66" s="10"/>
      <c r="L66" s="8"/>
      <c r="M66" s="12">
        <v>7.5</v>
      </c>
      <c r="N66" s="12">
        <f t="shared" si="0"/>
        <v>0</v>
      </c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72"/>
      <c r="AO66" s="72"/>
      <c r="AP66" s="72"/>
      <c r="AQ66" s="72"/>
      <c r="AR66" s="72"/>
      <c r="AS66" s="72"/>
      <c r="AT66" s="72"/>
      <c r="AU66" s="72"/>
      <c r="AV66" s="72"/>
      <c r="AW66" s="72"/>
      <c r="AX66" s="72"/>
      <c r="AY66" s="72"/>
      <c r="AZ66" s="72"/>
      <c r="BA66" s="72"/>
      <c r="BB66" s="72"/>
      <c r="BC66" s="72"/>
      <c r="BD66" s="72"/>
      <c r="BE66" s="72"/>
      <c r="BF66" s="72"/>
      <c r="BG66" s="72"/>
      <c r="BH66" s="72"/>
      <c r="BI66" s="72"/>
      <c r="BJ66" s="72"/>
      <c r="BK66" s="72"/>
      <c r="BL66" s="72"/>
      <c r="BM66" s="72"/>
      <c r="BN66" s="72"/>
      <c r="BO66" s="72"/>
      <c r="BP66" s="72"/>
      <c r="BQ66" s="72"/>
      <c r="BR66" s="72"/>
      <c r="BS66" s="72"/>
      <c r="BT66" s="72"/>
      <c r="BU66" s="72"/>
      <c r="BV66" s="72"/>
      <c r="BW66" s="72"/>
      <c r="BX66" s="72"/>
      <c r="BY66" s="72"/>
      <c r="BZ66" s="72"/>
      <c r="CA66" s="72"/>
      <c r="CB66" s="72"/>
      <c r="CC66" s="72"/>
      <c r="CD66" s="72"/>
      <c r="CE66" s="72"/>
      <c r="CF66" s="72"/>
      <c r="CG66" s="72"/>
      <c r="CH66" s="72">
        <v>10</v>
      </c>
      <c r="CI66" s="72">
        <v>10</v>
      </c>
      <c r="CJ66" s="72">
        <v>0</v>
      </c>
      <c r="CK66" s="72">
        <v>0</v>
      </c>
      <c r="CL66" s="72">
        <v>0</v>
      </c>
      <c r="CM66" s="72">
        <v>0</v>
      </c>
      <c r="CN66" s="72">
        <v>0</v>
      </c>
      <c r="CO66" s="72">
        <v>0</v>
      </c>
      <c r="CP66" s="72">
        <v>0</v>
      </c>
      <c r="CQ66" s="72">
        <v>0</v>
      </c>
      <c r="CR66" s="72">
        <v>0</v>
      </c>
      <c r="CS66" s="72">
        <v>0</v>
      </c>
      <c r="CT66" s="72">
        <v>0</v>
      </c>
      <c r="CU66" s="72">
        <v>0</v>
      </c>
      <c r="CV66" s="72">
        <v>0</v>
      </c>
      <c r="CW66" s="72">
        <v>0</v>
      </c>
      <c r="CX66" s="72">
        <v>0</v>
      </c>
      <c r="CY66" s="72">
        <v>0</v>
      </c>
      <c r="CZ66" s="72">
        <v>0</v>
      </c>
      <c r="DA66" s="72">
        <v>0</v>
      </c>
      <c r="DB66" s="72">
        <v>0</v>
      </c>
      <c r="DC66" s="72">
        <v>0</v>
      </c>
      <c r="DD66" s="72">
        <v>0</v>
      </c>
      <c r="DE66" s="72">
        <v>0</v>
      </c>
      <c r="DF66" s="72">
        <v>0</v>
      </c>
      <c r="DG66" s="72">
        <v>0</v>
      </c>
      <c r="DH66" s="72">
        <v>0</v>
      </c>
      <c r="DI66" s="72">
        <v>0</v>
      </c>
      <c r="DJ66" s="72">
        <v>0</v>
      </c>
      <c r="DK66" s="72">
        <v>0</v>
      </c>
      <c r="DL66" s="72">
        <v>0</v>
      </c>
      <c r="DM66" s="72">
        <v>0</v>
      </c>
    </row>
    <row r="67" spans="1:117" x14ac:dyDescent="0.35">
      <c r="A67" s="7"/>
      <c r="B67" s="77" t="s">
        <v>1478</v>
      </c>
      <c r="C67" s="9" t="s">
        <v>1483</v>
      </c>
      <c r="D67" s="10" t="s">
        <v>123</v>
      </c>
      <c r="E67" s="8" t="s">
        <v>1209</v>
      </c>
      <c r="F67" s="10">
        <v>1101</v>
      </c>
      <c r="G67" s="10" t="s">
        <v>40</v>
      </c>
      <c r="H67" s="10" t="s">
        <v>41</v>
      </c>
      <c r="I67" s="11"/>
      <c r="J67" s="10"/>
      <c r="K67" s="10"/>
      <c r="L67" s="8"/>
      <c r="M67" s="12">
        <v>11.5</v>
      </c>
      <c r="N67" s="12">
        <f t="shared" ref="N67:N130" si="1">M67*DM67</f>
        <v>0</v>
      </c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72"/>
      <c r="AO67" s="72"/>
      <c r="AP67" s="72"/>
      <c r="AQ67" s="72"/>
      <c r="AR67" s="72"/>
      <c r="AS67" s="72"/>
      <c r="AT67" s="72"/>
      <c r="AU67" s="72"/>
      <c r="AV67" s="72"/>
      <c r="AW67" s="72"/>
      <c r="AX67" s="72"/>
      <c r="AY67" s="72"/>
      <c r="AZ67" s="72"/>
      <c r="BA67" s="72"/>
      <c r="BB67" s="72"/>
      <c r="BC67" s="72"/>
      <c r="BD67" s="72"/>
      <c r="BE67" s="72"/>
      <c r="BF67" s="72"/>
      <c r="BG67" s="72"/>
      <c r="BH67" s="72"/>
      <c r="BI67" s="72"/>
      <c r="BJ67" s="72"/>
      <c r="BK67" s="72"/>
      <c r="BL67" s="72"/>
      <c r="BM67" s="72"/>
      <c r="BN67" s="72"/>
      <c r="BO67" s="72"/>
      <c r="BP67" s="72"/>
      <c r="BQ67" s="72"/>
      <c r="BR67" s="72"/>
      <c r="BS67" s="72"/>
      <c r="BT67" s="72"/>
      <c r="BU67" s="72"/>
      <c r="BV67" s="72"/>
      <c r="BW67" s="72"/>
      <c r="BX67" s="72"/>
      <c r="BY67" s="72"/>
      <c r="BZ67" s="72"/>
      <c r="CA67" s="72"/>
      <c r="CB67" s="72"/>
      <c r="CC67" s="72"/>
      <c r="CD67" s="72"/>
      <c r="CE67" s="72"/>
      <c r="CF67" s="72"/>
      <c r="CG67" s="72"/>
      <c r="CH67" s="72">
        <v>10</v>
      </c>
      <c r="CI67" s="72">
        <v>10</v>
      </c>
      <c r="CJ67" s="72">
        <v>0</v>
      </c>
      <c r="CK67" s="72">
        <v>0</v>
      </c>
      <c r="CL67" s="72">
        <v>0</v>
      </c>
      <c r="CM67" s="72">
        <v>0</v>
      </c>
      <c r="CN67" s="72">
        <v>0</v>
      </c>
      <c r="CO67" s="72">
        <v>0</v>
      </c>
      <c r="CP67" s="72">
        <v>0</v>
      </c>
      <c r="CQ67" s="72">
        <v>0</v>
      </c>
      <c r="CR67" s="72">
        <v>0</v>
      </c>
      <c r="CS67" s="72">
        <v>0</v>
      </c>
      <c r="CT67" s="72">
        <v>0</v>
      </c>
      <c r="CU67" s="72">
        <v>0</v>
      </c>
      <c r="CV67" s="72">
        <v>0</v>
      </c>
      <c r="CW67" s="72">
        <v>0</v>
      </c>
      <c r="CX67" s="72">
        <v>0</v>
      </c>
      <c r="CY67" s="72">
        <v>0</v>
      </c>
      <c r="CZ67" s="72">
        <v>0</v>
      </c>
      <c r="DA67" s="72">
        <v>0</v>
      </c>
      <c r="DB67" s="72">
        <v>0</v>
      </c>
      <c r="DC67" s="72">
        <v>0</v>
      </c>
      <c r="DD67" s="72">
        <v>0</v>
      </c>
      <c r="DE67" s="72">
        <v>0</v>
      </c>
      <c r="DF67" s="72">
        <v>0</v>
      </c>
      <c r="DG67" s="72">
        <v>0</v>
      </c>
      <c r="DH67" s="72">
        <v>0</v>
      </c>
      <c r="DI67" s="72">
        <v>0</v>
      </c>
      <c r="DJ67" s="72">
        <v>0</v>
      </c>
      <c r="DK67" s="72">
        <v>0</v>
      </c>
      <c r="DL67" s="72">
        <v>0</v>
      </c>
      <c r="DM67" s="72">
        <v>0</v>
      </c>
    </row>
    <row r="68" spans="1:117" x14ac:dyDescent="0.35">
      <c r="A68" s="7"/>
      <c r="B68" s="77" t="s">
        <v>1479</v>
      </c>
      <c r="C68" s="9" t="s">
        <v>1484</v>
      </c>
      <c r="D68" s="10" t="s">
        <v>123</v>
      </c>
      <c r="E68" s="8" t="s">
        <v>1209</v>
      </c>
      <c r="F68" s="10">
        <v>1101</v>
      </c>
      <c r="G68" s="10" t="s">
        <v>40</v>
      </c>
      <c r="H68" s="10" t="s">
        <v>41</v>
      </c>
      <c r="I68" s="11"/>
      <c r="J68" s="10"/>
      <c r="K68" s="10"/>
      <c r="L68" s="8"/>
      <c r="M68" s="12">
        <v>15.2</v>
      </c>
      <c r="N68" s="12">
        <f t="shared" si="1"/>
        <v>0</v>
      </c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  <c r="AL68" s="11"/>
      <c r="AM68" s="11"/>
      <c r="AN68" s="72"/>
      <c r="AO68" s="72"/>
      <c r="AP68" s="72"/>
      <c r="AQ68" s="72"/>
      <c r="AR68" s="72"/>
      <c r="AS68" s="72"/>
      <c r="AT68" s="72"/>
      <c r="AU68" s="72"/>
      <c r="AV68" s="72"/>
      <c r="AW68" s="72"/>
      <c r="AX68" s="72"/>
      <c r="AY68" s="72"/>
      <c r="AZ68" s="72"/>
      <c r="BA68" s="72"/>
      <c r="BB68" s="72"/>
      <c r="BC68" s="72"/>
      <c r="BD68" s="72"/>
      <c r="BE68" s="72"/>
      <c r="BF68" s="72"/>
      <c r="BG68" s="72"/>
      <c r="BH68" s="72"/>
      <c r="BI68" s="72"/>
      <c r="BJ68" s="72"/>
      <c r="BK68" s="72"/>
      <c r="BL68" s="72"/>
      <c r="BM68" s="72"/>
      <c r="BN68" s="72"/>
      <c r="BO68" s="72"/>
      <c r="BP68" s="72"/>
      <c r="BQ68" s="72"/>
      <c r="BR68" s="72"/>
      <c r="BS68" s="72"/>
      <c r="BT68" s="72"/>
      <c r="BU68" s="72"/>
      <c r="BV68" s="72"/>
      <c r="BW68" s="72"/>
      <c r="BX68" s="72"/>
      <c r="BY68" s="72"/>
      <c r="BZ68" s="72"/>
      <c r="CA68" s="72"/>
      <c r="CB68" s="72"/>
      <c r="CC68" s="72"/>
      <c r="CD68" s="72"/>
      <c r="CE68" s="72"/>
      <c r="CF68" s="72"/>
      <c r="CG68" s="72"/>
      <c r="CH68" s="72">
        <v>5</v>
      </c>
      <c r="CI68" s="72">
        <v>5</v>
      </c>
      <c r="CJ68" s="72">
        <v>0</v>
      </c>
      <c r="CK68" s="72">
        <v>0</v>
      </c>
      <c r="CL68" s="72">
        <v>0</v>
      </c>
      <c r="CM68" s="72">
        <v>0</v>
      </c>
      <c r="CN68" s="72">
        <v>0</v>
      </c>
      <c r="CO68" s="72">
        <v>0</v>
      </c>
      <c r="CP68" s="72">
        <v>0</v>
      </c>
      <c r="CQ68" s="72">
        <v>0</v>
      </c>
      <c r="CR68" s="72">
        <v>0</v>
      </c>
      <c r="CS68" s="72">
        <v>0</v>
      </c>
      <c r="CT68" s="72">
        <v>0</v>
      </c>
      <c r="CU68" s="72">
        <v>0</v>
      </c>
      <c r="CV68" s="72">
        <v>0</v>
      </c>
      <c r="CW68" s="72">
        <v>0</v>
      </c>
      <c r="CX68" s="72">
        <v>0</v>
      </c>
      <c r="CY68" s="72">
        <v>0</v>
      </c>
      <c r="CZ68" s="72">
        <v>0</v>
      </c>
      <c r="DA68" s="72">
        <v>0</v>
      </c>
      <c r="DB68" s="72">
        <v>0</v>
      </c>
      <c r="DC68" s="72">
        <v>0</v>
      </c>
      <c r="DD68" s="72">
        <v>0</v>
      </c>
      <c r="DE68" s="72">
        <v>0</v>
      </c>
      <c r="DF68" s="72">
        <v>0</v>
      </c>
      <c r="DG68" s="72">
        <v>0</v>
      </c>
      <c r="DH68" s="72">
        <v>0</v>
      </c>
      <c r="DI68" s="72">
        <v>0</v>
      </c>
      <c r="DJ68" s="72">
        <v>0</v>
      </c>
      <c r="DK68" s="72">
        <v>0</v>
      </c>
      <c r="DL68" s="72">
        <v>0</v>
      </c>
      <c r="DM68" s="72">
        <v>0</v>
      </c>
    </row>
    <row r="69" spans="1:117" x14ac:dyDescent="0.35">
      <c r="A69" s="7"/>
      <c r="B69" s="8" t="s">
        <v>148</v>
      </c>
      <c r="C69" s="9" t="s">
        <v>149</v>
      </c>
      <c r="D69" s="10" t="s">
        <v>123</v>
      </c>
      <c r="E69" s="8" t="s">
        <v>1205</v>
      </c>
      <c r="F69" s="10">
        <v>1101</v>
      </c>
      <c r="G69" s="10" t="s">
        <v>40</v>
      </c>
      <c r="H69" s="10" t="s">
        <v>41</v>
      </c>
      <c r="I69" s="11">
        <v>37</v>
      </c>
      <c r="J69" s="10"/>
      <c r="K69" s="10" t="s">
        <v>42</v>
      </c>
      <c r="L69" s="8"/>
      <c r="M69" s="12">
        <v>1.5</v>
      </c>
      <c r="N69" s="12">
        <f t="shared" si="1"/>
        <v>57</v>
      </c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>
        <v>37</v>
      </c>
      <c r="AG69" s="11">
        <v>37</v>
      </c>
      <c r="AH69" s="11">
        <v>37</v>
      </c>
      <c r="AI69" s="11">
        <v>37</v>
      </c>
      <c r="AJ69" s="11">
        <v>37</v>
      </c>
      <c r="AK69" s="11">
        <v>37</v>
      </c>
      <c r="AL69" s="11">
        <v>37</v>
      </c>
      <c r="AM69" s="11">
        <v>37</v>
      </c>
      <c r="AN69" s="72">
        <v>37</v>
      </c>
      <c r="AO69" s="72">
        <v>37</v>
      </c>
      <c r="AP69" s="72">
        <v>37</v>
      </c>
      <c r="AQ69" s="72">
        <v>37</v>
      </c>
      <c r="AR69" s="72">
        <v>37</v>
      </c>
      <c r="AS69" s="72">
        <v>37</v>
      </c>
      <c r="AT69" s="72">
        <v>37</v>
      </c>
      <c r="AU69" s="72">
        <v>37</v>
      </c>
      <c r="AV69" s="72">
        <v>37</v>
      </c>
      <c r="AW69" s="72">
        <v>37</v>
      </c>
      <c r="AX69" s="72">
        <v>37</v>
      </c>
      <c r="AY69" s="72">
        <v>37</v>
      </c>
      <c r="AZ69" s="72">
        <v>37</v>
      </c>
      <c r="BA69" s="72">
        <v>37</v>
      </c>
      <c r="BB69" s="72">
        <v>37</v>
      </c>
      <c r="BC69" s="72">
        <v>37</v>
      </c>
      <c r="BD69" s="72">
        <v>37</v>
      </c>
      <c r="BE69" s="72">
        <v>37</v>
      </c>
      <c r="BF69" s="72">
        <v>37</v>
      </c>
      <c r="BG69" s="72">
        <v>37</v>
      </c>
      <c r="BH69" s="72">
        <v>0</v>
      </c>
      <c r="BI69" s="72">
        <v>0</v>
      </c>
      <c r="BJ69" s="72">
        <v>0</v>
      </c>
      <c r="BK69" s="72">
        <v>0</v>
      </c>
      <c r="BL69" s="72">
        <v>0</v>
      </c>
      <c r="BM69" s="72">
        <v>0</v>
      </c>
      <c r="BN69" s="72">
        <v>0</v>
      </c>
      <c r="BO69" s="72">
        <v>0</v>
      </c>
      <c r="BP69" s="72">
        <v>0</v>
      </c>
      <c r="BQ69" s="72">
        <v>38</v>
      </c>
      <c r="BR69" s="72">
        <v>38</v>
      </c>
      <c r="BS69" s="72">
        <v>38</v>
      </c>
      <c r="BT69" s="72">
        <v>38</v>
      </c>
      <c r="BU69" s="72">
        <v>38</v>
      </c>
      <c r="BV69" s="72">
        <v>38</v>
      </c>
      <c r="BW69" s="72">
        <v>38</v>
      </c>
      <c r="BX69" s="72">
        <v>38</v>
      </c>
      <c r="BY69" s="72">
        <v>38</v>
      </c>
      <c r="BZ69" s="72">
        <v>38</v>
      </c>
      <c r="CA69" s="72">
        <v>38</v>
      </c>
      <c r="CB69" s="72">
        <v>38</v>
      </c>
      <c r="CC69" s="72">
        <v>38</v>
      </c>
      <c r="CD69" s="72">
        <v>38</v>
      </c>
      <c r="CE69" s="72">
        <v>38</v>
      </c>
      <c r="CF69" s="72">
        <v>38</v>
      </c>
      <c r="CG69" s="72">
        <v>38</v>
      </c>
      <c r="CH69" s="72">
        <v>38</v>
      </c>
      <c r="CI69" s="72">
        <v>38</v>
      </c>
      <c r="CJ69" s="72">
        <v>38</v>
      </c>
      <c r="CK69" s="72">
        <v>38</v>
      </c>
      <c r="CL69" s="72">
        <v>38</v>
      </c>
      <c r="CM69" s="72">
        <v>38</v>
      </c>
      <c r="CN69" s="72">
        <v>38</v>
      </c>
      <c r="CO69" s="72">
        <v>38</v>
      </c>
      <c r="CP69" s="72">
        <v>38</v>
      </c>
      <c r="CQ69" s="72">
        <v>38</v>
      </c>
      <c r="CR69" s="72">
        <v>38</v>
      </c>
      <c r="CS69" s="72">
        <v>38</v>
      </c>
      <c r="CT69" s="72">
        <v>38</v>
      </c>
      <c r="CU69" s="72">
        <v>38</v>
      </c>
      <c r="CV69" s="72">
        <v>38</v>
      </c>
      <c r="CW69" s="72">
        <v>38</v>
      </c>
      <c r="CX69" s="72">
        <v>38</v>
      </c>
      <c r="CY69" s="72">
        <v>38</v>
      </c>
      <c r="CZ69" s="72">
        <v>38</v>
      </c>
      <c r="DA69" s="72">
        <v>38</v>
      </c>
      <c r="DB69" s="72">
        <v>38</v>
      </c>
      <c r="DC69" s="72">
        <v>38</v>
      </c>
      <c r="DD69" s="72">
        <v>38</v>
      </c>
      <c r="DE69" s="72">
        <v>38</v>
      </c>
      <c r="DF69" s="72">
        <v>38</v>
      </c>
      <c r="DG69" s="72">
        <v>38</v>
      </c>
      <c r="DH69" s="72">
        <v>38</v>
      </c>
      <c r="DI69" s="72">
        <v>38</v>
      </c>
      <c r="DJ69" s="72">
        <v>38</v>
      </c>
      <c r="DK69" s="72">
        <v>38</v>
      </c>
      <c r="DL69" s="72">
        <v>38</v>
      </c>
      <c r="DM69" s="72">
        <v>38</v>
      </c>
    </row>
    <row r="70" spans="1:117" x14ac:dyDescent="0.35">
      <c r="A70" s="7"/>
      <c r="B70" s="77" t="s">
        <v>1194</v>
      </c>
      <c r="C70" s="78" t="s">
        <v>1200</v>
      </c>
      <c r="D70" s="10" t="s">
        <v>123</v>
      </c>
      <c r="E70" s="8" t="s">
        <v>1205</v>
      </c>
      <c r="F70" s="10">
        <v>1101</v>
      </c>
      <c r="G70" s="10" t="s">
        <v>40</v>
      </c>
      <c r="H70" s="10" t="s">
        <v>41</v>
      </c>
      <c r="I70" s="11"/>
      <c r="J70" s="10"/>
      <c r="K70" s="10"/>
      <c r="L70" s="8"/>
      <c r="M70" s="12"/>
      <c r="N70" s="12">
        <f t="shared" si="1"/>
        <v>0</v>
      </c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  <c r="AL70" s="11"/>
      <c r="AM70" s="11"/>
      <c r="AN70" s="72"/>
      <c r="AO70" s="72"/>
      <c r="AP70" s="72">
        <v>2</v>
      </c>
      <c r="AQ70" s="72">
        <v>2</v>
      </c>
      <c r="AR70" s="72">
        <v>2</v>
      </c>
      <c r="AS70" s="72">
        <v>2</v>
      </c>
      <c r="AT70" s="72">
        <v>2</v>
      </c>
      <c r="AU70" s="72">
        <v>2</v>
      </c>
      <c r="AV70" s="72">
        <v>2</v>
      </c>
      <c r="AW70" s="72">
        <v>0</v>
      </c>
      <c r="AX70" s="72">
        <v>0</v>
      </c>
      <c r="AY70" s="72">
        <v>0</v>
      </c>
      <c r="AZ70" s="72">
        <v>0</v>
      </c>
      <c r="BA70" s="72">
        <v>0</v>
      </c>
      <c r="BB70" s="72">
        <v>0</v>
      </c>
      <c r="BC70" s="72">
        <v>0</v>
      </c>
      <c r="BD70" s="72">
        <v>0</v>
      </c>
      <c r="BE70" s="72">
        <v>0</v>
      </c>
      <c r="BF70" s="72">
        <v>0</v>
      </c>
      <c r="BG70" s="72">
        <v>0</v>
      </c>
      <c r="BH70" s="72">
        <v>0</v>
      </c>
      <c r="BI70" s="72">
        <v>0</v>
      </c>
      <c r="BJ70" s="72">
        <v>0</v>
      </c>
      <c r="BK70" s="72">
        <v>0</v>
      </c>
      <c r="BL70" s="72">
        <v>0</v>
      </c>
      <c r="BM70" s="72">
        <v>0</v>
      </c>
      <c r="BN70" s="72">
        <v>0</v>
      </c>
      <c r="BO70" s="72">
        <v>0</v>
      </c>
      <c r="BP70" s="72">
        <v>0</v>
      </c>
      <c r="BQ70" s="72">
        <v>0</v>
      </c>
      <c r="BR70" s="72">
        <v>0</v>
      </c>
      <c r="BS70" s="72">
        <v>0</v>
      </c>
      <c r="BT70" s="72">
        <v>0</v>
      </c>
      <c r="BU70" s="72">
        <v>0</v>
      </c>
      <c r="BV70" s="72">
        <v>0</v>
      </c>
      <c r="BW70" s="72">
        <v>0</v>
      </c>
      <c r="BX70" s="72">
        <v>0</v>
      </c>
      <c r="BY70" s="72">
        <v>0</v>
      </c>
      <c r="BZ70" s="72">
        <v>0</v>
      </c>
      <c r="CA70" s="72">
        <v>0</v>
      </c>
      <c r="CB70" s="72">
        <v>0</v>
      </c>
      <c r="CC70" s="72">
        <v>0</v>
      </c>
      <c r="CD70" s="72">
        <v>0</v>
      </c>
      <c r="CE70" s="72">
        <v>0</v>
      </c>
      <c r="CF70" s="72">
        <v>0</v>
      </c>
      <c r="CG70" s="72">
        <v>0</v>
      </c>
      <c r="CH70" s="72">
        <v>0</v>
      </c>
      <c r="CI70" s="72">
        <v>0</v>
      </c>
      <c r="CJ70" s="72">
        <v>0</v>
      </c>
      <c r="CK70" s="72">
        <v>0</v>
      </c>
      <c r="CL70" s="72">
        <v>0</v>
      </c>
      <c r="CM70" s="72">
        <v>0</v>
      </c>
      <c r="CN70" s="72">
        <v>0</v>
      </c>
      <c r="CO70" s="72">
        <v>0</v>
      </c>
      <c r="CP70" s="72">
        <v>0</v>
      </c>
      <c r="CQ70" s="72">
        <v>0</v>
      </c>
      <c r="CR70" s="72">
        <v>0</v>
      </c>
      <c r="CS70" s="72">
        <v>0</v>
      </c>
      <c r="CT70" s="72">
        <v>0</v>
      </c>
      <c r="CU70" s="72">
        <v>0</v>
      </c>
      <c r="CV70" s="72">
        <v>0</v>
      </c>
      <c r="CW70" s="72">
        <v>0</v>
      </c>
      <c r="CX70" s="72">
        <v>0</v>
      </c>
      <c r="CY70" s="72">
        <v>0</v>
      </c>
      <c r="CZ70" s="72">
        <v>0</v>
      </c>
      <c r="DA70" s="72">
        <v>0</v>
      </c>
      <c r="DB70" s="72">
        <v>0</v>
      </c>
      <c r="DC70" s="72">
        <v>0</v>
      </c>
      <c r="DD70" s="72">
        <v>0</v>
      </c>
      <c r="DE70" s="72">
        <v>0</v>
      </c>
      <c r="DF70" s="72">
        <v>0</v>
      </c>
      <c r="DG70" s="72">
        <v>0</v>
      </c>
      <c r="DH70" s="72">
        <v>0</v>
      </c>
      <c r="DI70" s="72">
        <v>0</v>
      </c>
      <c r="DJ70" s="72">
        <v>0</v>
      </c>
      <c r="DK70" s="72">
        <v>0</v>
      </c>
      <c r="DL70" s="72">
        <v>0</v>
      </c>
      <c r="DM70" s="72">
        <v>0</v>
      </c>
    </row>
    <row r="71" spans="1:117" x14ac:dyDescent="0.35">
      <c r="A71" s="7"/>
      <c r="B71" s="77" t="s">
        <v>1313</v>
      </c>
      <c r="C71" s="78" t="s">
        <v>1315</v>
      </c>
      <c r="D71" s="10" t="s">
        <v>123</v>
      </c>
      <c r="E71" s="8" t="s">
        <v>1212</v>
      </c>
      <c r="F71" s="10"/>
      <c r="G71" s="10"/>
      <c r="H71" s="10" t="s">
        <v>95</v>
      </c>
      <c r="I71" s="11"/>
      <c r="J71" s="10"/>
      <c r="K71" s="10"/>
      <c r="L71" s="8"/>
      <c r="M71" s="12">
        <v>2.75</v>
      </c>
      <c r="N71" s="12">
        <f t="shared" si="1"/>
        <v>352</v>
      </c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  <c r="AL71" s="11"/>
      <c r="AM71" s="11"/>
      <c r="AN71" s="72"/>
      <c r="AO71" s="72"/>
      <c r="AP71" s="72"/>
      <c r="AQ71" s="72"/>
      <c r="AR71" s="72"/>
      <c r="AS71" s="72"/>
      <c r="AT71" s="72"/>
      <c r="AU71" s="72"/>
      <c r="AV71" s="72"/>
      <c r="AW71" s="72"/>
      <c r="AX71" s="72"/>
      <c r="AY71" s="72"/>
      <c r="AZ71" s="72"/>
      <c r="BA71" s="72"/>
      <c r="BB71" s="72"/>
      <c r="BC71" s="72"/>
      <c r="BD71" s="72"/>
      <c r="BE71" s="72"/>
      <c r="BF71" s="72"/>
      <c r="BG71" s="72">
        <v>128</v>
      </c>
      <c r="BH71" s="72">
        <v>128</v>
      </c>
      <c r="BI71" s="72">
        <v>128</v>
      </c>
      <c r="BJ71" s="72">
        <v>128</v>
      </c>
      <c r="BK71" s="72">
        <v>128</v>
      </c>
      <c r="BL71" s="72">
        <v>128</v>
      </c>
      <c r="BM71" s="72">
        <v>128</v>
      </c>
      <c r="BN71" s="72">
        <v>128</v>
      </c>
      <c r="BO71" s="72">
        <v>128</v>
      </c>
      <c r="BP71" s="72">
        <v>128</v>
      </c>
      <c r="BQ71" s="72">
        <v>128</v>
      </c>
      <c r="BR71" s="72">
        <v>128</v>
      </c>
      <c r="BS71" s="72">
        <v>128</v>
      </c>
      <c r="BT71" s="72">
        <v>128</v>
      </c>
      <c r="BU71" s="72">
        <v>128</v>
      </c>
      <c r="BV71" s="72">
        <v>128</v>
      </c>
      <c r="BW71" s="72">
        <v>128</v>
      </c>
      <c r="BX71" s="72">
        <v>128</v>
      </c>
      <c r="BY71" s="72">
        <v>128</v>
      </c>
      <c r="BZ71" s="72">
        <v>128</v>
      </c>
      <c r="CA71" s="72">
        <v>128</v>
      </c>
      <c r="CB71" s="72">
        <v>128</v>
      </c>
      <c r="CC71" s="72">
        <v>128</v>
      </c>
      <c r="CD71" s="72">
        <v>128</v>
      </c>
      <c r="CE71" s="72">
        <v>128</v>
      </c>
      <c r="CF71" s="72">
        <v>128</v>
      </c>
      <c r="CG71" s="72">
        <v>128</v>
      </c>
      <c r="CH71" s="72">
        <v>128</v>
      </c>
      <c r="CI71" s="72">
        <v>128</v>
      </c>
      <c r="CJ71" s="72">
        <v>128</v>
      </c>
      <c r="CK71" s="72">
        <v>128</v>
      </c>
      <c r="CL71" s="72">
        <v>128</v>
      </c>
      <c r="CM71" s="72">
        <v>128</v>
      </c>
      <c r="CN71" s="72">
        <v>128</v>
      </c>
      <c r="CO71" s="72">
        <v>128</v>
      </c>
      <c r="CP71" s="72">
        <v>128</v>
      </c>
      <c r="CQ71" s="72">
        <v>128</v>
      </c>
      <c r="CR71" s="72">
        <v>128</v>
      </c>
      <c r="CS71" s="72">
        <v>128</v>
      </c>
      <c r="CT71" s="72">
        <v>128</v>
      </c>
      <c r="CU71" s="72">
        <v>128</v>
      </c>
      <c r="CV71" s="72">
        <v>128</v>
      </c>
      <c r="CW71" s="72">
        <v>128</v>
      </c>
      <c r="CX71" s="72">
        <v>128</v>
      </c>
      <c r="CY71" s="72">
        <v>128</v>
      </c>
      <c r="CZ71" s="72">
        <v>128</v>
      </c>
      <c r="DA71" s="72">
        <v>128</v>
      </c>
      <c r="DB71" s="72">
        <v>128</v>
      </c>
      <c r="DC71" s="72">
        <v>128</v>
      </c>
      <c r="DD71" s="72">
        <v>128</v>
      </c>
      <c r="DE71" s="72">
        <v>128</v>
      </c>
      <c r="DF71" s="72">
        <v>128</v>
      </c>
      <c r="DG71" s="72">
        <v>128</v>
      </c>
      <c r="DH71" s="72">
        <v>128</v>
      </c>
      <c r="DI71" s="72">
        <v>128</v>
      </c>
      <c r="DJ71" s="72">
        <v>128</v>
      </c>
      <c r="DK71" s="72">
        <v>128</v>
      </c>
      <c r="DL71" s="72">
        <v>128</v>
      </c>
      <c r="DM71" s="72">
        <v>128</v>
      </c>
    </row>
    <row r="72" spans="1:117" x14ac:dyDescent="0.35">
      <c r="A72" s="7"/>
      <c r="B72" s="77" t="s">
        <v>1391</v>
      </c>
      <c r="C72" s="78" t="s">
        <v>1394</v>
      </c>
      <c r="D72" s="10" t="s">
        <v>123</v>
      </c>
      <c r="E72" s="8" t="s">
        <v>183</v>
      </c>
      <c r="F72" s="10"/>
      <c r="G72" s="10"/>
      <c r="H72" s="10" t="s">
        <v>41</v>
      </c>
      <c r="I72" s="11">
        <v>0</v>
      </c>
      <c r="J72" s="10"/>
      <c r="K72" s="10"/>
      <c r="L72" s="8"/>
      <c r="M72" s="12">
        <v>5.36</v>
      </c>
      <c r="N72" s="12">
        <f t="shared" si="1"/>
        <v>0</v>
      </c>
      <c r="O72" s="11">
        <v>0</v>
      </c>
      <c r="P72" s="11">
        <v>0</v>
      </c>
      <c r="Q72" s="11">
        <v>0</v>
      </c>
      <c r="R72" s="11">
        <v>0</v>
      </c>
      <c r="S72" s="11">
        <v>0</v>
      </c>
      <c r="T72" s="11">
        <v>0</v>
      </c>
      <c r="U72" s="11">
        <v>0</v>
      </c>
      <c r="V72" s="11">
        <v>0</v>
      </c>
      <c r="W72" s="11">
        <v>0</v>
      </c>
      <c r="X72" s="11">
        <v>0</v>
      </c>
      <c r="Y72" s="11">
        <v>0</v>
      </c>
      <c r="Z72" s="11">
        <v>0</v>
      </c>
      <c r="AA72" s="11">
        <v>0</v>
      </c>
      <c r="AB72" s="11">
        <v>0</v>
      </c>
      <c r="AC72" s="11">
        <v>0</v>
      </c>
      <c r="AD72" s="11">
        <v>0</v>
      </c>
      <c r="AE72" s="11">
        <v>0</v>
      </c>
      <c r="AF72" s="11">
        <v>0</v>
      </c>
      <c r="AG72" s="11">
        <v>0</v>
      </c>
      <c r="AH72" s="11">
        <v>0</v>
      </c>
      <c r="AI72" s="11">
        <v>0</v>
      </c>
      <c r="AJ72" s="11">
        <v>0</v>
      </c>
      <c r="AK72" s="11">
        <v>0</v>
      </c>
      <c r="AL72" s="11">
        <v>0</v>
      </c>
      <c r="AM72" s="11">
        <v>0</v>
      </c>
      <c r="AN72" s="72">
        <v>0</v>
      </c>
      <c r="AO72" s="72">
        <v>0</v>
      </c>
      <c r="AP72" s="72">
        <v>0</v>
      </c>
      <c r="AQ72" s="72">
        <v>0</v>
      </c>
      <c r="AR72" s="72">
        <v>0</v>
      </c>
      <c r="AS72" s="72">
        <v>0</v>
      </c>
      <c r="AT72" s="72">
        <v>0</v>
      </c>
      <c r="AU72" s="72">
        <v>0</v>
      </c>
      <c r="AV72" s="72">
        <v>0</v>
      </c>
      <c r="AW72" s="72">
        <v>0</v>
      </c>
      <c r="AX72" s="72">
        <v>0</v>
      </c>
      <c r="AY72" s="72">
        <v>0</v>
      </c>
      <c r="AZ72" s="72">
        <v>0</v>
      </c>
      <c r="BA72" s="72">
        <v>0</v>
      </c>
      <c r="BB72" s="72">
        <v>0</v>
      </c>
      <c r="BC72" s="72">
        <v>0</v>
      </c>
      <c r="BD72" s="72">
        <v>0</v>
      </c>
      <c r="BE72" s="72">
        <v>0</v>
      </c>
      <c r="BF72" s="72">
        <v>0</v>
      </c>
      <c r="BG72" s="72">
        <v>0</v>
      </c>
      <c r="BH72" s="72">
        <v>0</v>
      </c>
      <c r="BI72" s="72">
        <v>0</v>
      </c>
      <c r="BJ72" s="72">
        <v>0</v>
      </c>
      <c r="BK72" s="72">
        <v>0</v>
      </c>
      <c r="BL72" s="72">
        <v>0</v>
      </c>
      <c r="BM72" s="72">
        <v>0</v>
      </c>
      <c r="BN72" s="72">
        <v>0</v>
      </c>
      <c r="BO72" s="72">
        <v>0</v>
      </c>
      <c r="BP72" s="72">
        <v>0</v>
      </c>
      <c r="BQ72" s="72">
        <v>0</v>
      </c>
      <c r="BR72" s="72">
        <v>0</v>
      </c>
      <c r="BS72" s="72">
        <v>0</v>
      </c>
      <c r="BT72" s="72">
        <v>0</v>
      </c>
      <c r="BU72" s="72">
        <v>0</v>
      </c>
      <c r="BV72" s="72">
        <v>0</v>
      </c>
      <c r="BW72" s="72">
        <v>240</v>
      </c>
      <c r="BX72" s="72">
        <v>240</v>
      </c>
      <c r="BY72" s="72">
        <v>240</v>
      </c>
      <c r="BZ72" s="72">
        <v>240</v>
      </c>
      <c r="CA72" s="72">
        <v>240</v>
      </c>
      <c r="CB72" s="72">
        <v>240</v>
      </c>
      <c r="CC72" s="72">
        <v>264</v>
      </c>
      <c r="CD72" s="72">
        <v>264</v>
      </c>
      <c r="CE72" s="72">
        <v>264</v>
      </c>
      <c r="CF72" s="72">
        <v>264</v>
      </c>
      <c r="CG72" s="72">
        <v>264</v>
      </c>
      <c r="CH72" s="72">
        <v>264</v>
      </c>
      <c r="CI72" s="72">
        <v>264</v>
      </c>
      <c r="CJ72" s="72">
        <v>264</v>
      </c>
      <c r="CK72" s="72">
        <v>0</v>
      </c>
      <c r="CL72" s="72">
        <v>0</v>
      </c>
      <c r="CM72" s="72">
        <v>0</v>
      </c>
      <c r="CN72" s="72">
        <v>144</v>
      </c>
      <c r="CO72" s="72">
        <v>144</v>
      </c>
      <c r="CP72" s="72">
        <v>144</v>
      </c>
      <c r="CQ72" s="72">
        <v>144</v>
      </c>
      <c r="CR72" s="72">
        <v>144</v>
      </c>
      <c r="CS72" s="72">
        <v>144</v>
      </c>
      <c r="CT72" s="72">
        <v>144</v>
      </c>
      <c r="CU72" s="72">
        <v>144</v>
      </c>
      <c r="CV72" s="72">
        <v>144</v>
      </c>
      <c r="CW72" s="72">
        <v>144</v>
      </c>
      <c r="CX72" s="72">
        <v>144</v>
      </c>
      <c r="CY72" s="72">
        <v>144</v>
      </c>
      <c r="CZ72" s="72">
        <v>144</v>
      </c>
      <c r="DA72" s="72">
        <v>144</v>
      </c>
      <c r="DB72" s="72">
        <v>144</v>
      </c>
      <c r="DC72" s="72">
        <v>144</v>
      </c>
      <c r="DD72" s="72">
        <v>144</v>
      </c>
      <c r="DE72" s="72">
        <v>144</v>
      </c>
      <c r="DF72" s="72">
        <v>0</v>
      </c>
      <c r="DG72" s="72">
        <v>0</v>
      </c>
      <c r="DH72" s="72">
        <v>0</v>
      </c>
      <c r="DI72" s="72">
        <v>0</v>
      </c>
      <c r="DJ72" s="72">
        <v>0</v>
      </c>
      <c r="DK72" s="72">
        <v>0</v>
      </c>
      <c r="DL72" s="72">
        <v>0</v>
      </c>
      <c r="DM72" s="72">
        <v>0</v>
      </c>
    </row>
    <row r="73" spans="1:117" x14ac:dyDescent="0.35">
      <c r="A73" s="7"/>
      <c r="B73" s="77" t="s">
        <v>1392</v>
      </c>
      <c r="C73" s="78" t="s">
        <v>1395</v>
      </c>
      <c r="D73" s="10" t="s">
        <v>123</v>
      </c>
      <c r="E73" s="8" t="s">
        <v>183</v>
      </c>
      <c r="F73" s="10"/>
      <c r="G73" s="10"/>
      <c r="H73" s="10" t="s">
        <v>41</v>
      </c>
      <c r="I73" s="11">
        <v>0</v>
      </c>
      <c r="J73" s="10"/>
      <c r="K73" s="10"/>
      <c r="L73" s="8"/>
      <c r="M73" s="12">
        <v>5.36</v>
      </c>
      <c r="N73" s="12">
        <f t="shared" si="1"/>
        <v>0</v>
      </c>
      <c r="O73" s="11">
        <v>0</v>
      </c>
      <c r="P73" s="11">
        <v>0</v>
      </c>
      <c r="Q73" s="11">
        <v>0</v>
      </c>
      <c r="R73" s="11">
        <v>0</v>
      </c>
      <c r="S73" s="11">
        <v>0</v>
      </c>
      <c r="T73" s="11">
        <v>0</v>
      </c>
      <c r="U73" s="11">
        <v>0</v>
      </c>
      <c r="V73" s="11">
        <v>0</v>
      </c>
      <c r="W73" s="11">
        <v>0</v>
      </c>
      <c r="X73" s="11">
        <v>0</v>
      </c>
      <c r="Y73" s="11">
        <v>0</v>
      </c>
      <c r="Z73" s="11">
        <v>0</v>
      </c>
      <c r="AA73" s="11">
        <v>0</v>
      </c>
      <c r="AB73" s="11">
        <v>0</v>
      </c>
      <c r="AC73" s="11">
        <v>0</v>
      </c>
      <c r="AD73" s="11">
        <v>0</v>
      </c>
      <c r="AE73" s="11">
        <v>0</v>
      </c>
      <c r="AF73" s="11">
        <v>0</v>
      </c>
      <c r="AG73" s="11">
        <v>0</v>
      </c>
      <c r="AH73" s="11">
        <v>0</v>
      </c>
      <c r="AI73" s="11">
        <v>0</v>
      </c>
      <c r="AJ73" s="11">
        <v>0</v>
      </c>
      <c r="AK73" s="11">
        <v>0</v>
      </c>
      <c r="AL73" s="11">
        <v>0</v>
      </c>
      <c r="AM73" s="11">
        <v>0</v>
      </c>
      <c r="AN73" s="72">
        <v>0</v>
      </c>
      <c r="AO73" s="72">
        <v>0</v>
      </c>
      <c r="AP73" s="72">
        <v>0</v>
      </c>
      <c r="AQ73" s="72">
        <v>0</v>
      </c>
      <c r="AR73" s="72">
        <v>0</v>
      </c>
      <c r="AS73" s="72">
        <v>0</v>
      </c>
      <c r="AT73" s="72">
        <v>0</v>
      </c>
      <c r="AU73" s="72">
        <v>0</v>
      </c>
      <c r="AV73" s="72">
        <v>0</v>
      </c>
      <c r="AW73" s="72">
        <v>0</v>
      </c>
      <c r="AX73" s="72">
        <v>0</v>
      </c>
      <c r="AY73" s="72">
        <v>0</v>
      </c>
      <c r="AZ73" s="72">
        <v>0</v>
      </c>
      <c r="BA73" s="72">
        <v>0</v>
      </c>
      <c r="BB73" s="72">
        <v>0</v>
      </c>
      <c r="BC73" s="72">
        <v>0</v>
      </c>
      <c r="BD73" s="72">
        <v>0</v>
      </c>
      <c r="BE73" s="72">
        <v>0</v>
      </c>
      <c r="BF73" s="72">
        <v>0</v>
      </c>
      <c r="BG73" s="72">
        <v>0</v>
      </c>
      <c r="BH73" s="72">
        <v>0</v>
      </c>
      <c r="BI73" s="72">
        <v>0</v>
      </c>
      <c r="BJ73" s="72">
        <v>0</v>
      </c>
      <c r="BK73" s="72">
        <v>0</v>
      </c>
      <c r="BL73" s="72">
        <v>0</v>
      </c>
      <c r="BM73" s="72">
        <v>0</v>
      </c>
      <c r="BN73" s="72">
        <v>0</v>
      </c>
      <c r="BO73" s="72">
        <v>0</v>
      </c>
      <c r="BP73" s="72">
        <v>0</v>
      </c>
      <c r="BQ73" s="72">
        <v>0</v>
      </c>
      <c r="BR73" s="72">
        <v>0</v>
      </c>
      <c r="BS73" s="72">
        <v>0</v>
      </c>
      <c r="BT73" s="72">
        <v>0</v>
      </c>
      <c r="BU73" s="72">
        <v>0</v>
      </c>
      <c r="BV73" s="72">
        <v>0</v>
      </c>
      <c r="BW73" s="72">
        <v>862</v>
      </c>
      <c r="BX73" s="72">
        <v>862</v>
      </c>
      <c r="BY73" s="72">
        <v>857</v>
      </c>
      <c r="BZ73" s="72">
        <v>857</v>
      </c>
      <c r="CA73" s="72">
        <v>857</v>
      </c>
      <c r="CB73" s="72">
        <v>857</v>
      </c>
      <c r="CC73" s="72">
        <v>857</v>
      </c>
      <c r="CD73" s="72">
        <v>857</v>
      </c>
      <c r="CE73" s="72">
        <v>569</v>
      </c>
      <c r="CF73" s="72">
        <v>569</v>
      </c>
      <c r="CG73" s="72">
        <v>569</v>
      </c>
      <c r="CH73" s="72">
        <v>569</v>
      </c>
      <c r="CI73" s="72">
        <v>569</v>
      </c>
      <c r="CJ73" s="72">
        <v>569</v>
      </c>
      <c r="CK73" s="72">
        <v>0</v>
      </c>
      <c r="CL73" s="72">
        <v>0</v>
      </c>
      <c r="CM73" s="72">
        <v>0</v>
      </c>
      <c r="CN73" s="72">
        <v>0</v>
      </c>
      <c r="CO73" s="72">
        <v>0</v>
      </c>
      <c r="CP73" s="72">
        <v>0</v>
      </c>
      <c r="CQ73" s="72">
        <v>0</v>
      </c>
      <c r="CR73" s="72">
        <v>0</v>
      </c>
      <c r="CS73" s="72">
        <v>0</v>
      </c>
      <c r="CT73" s="72">
        <v>0</v>
      </c>
      <c r="CU73" s="72">
        <v>0</v>
      </c>
      <c r="CV73" s="72">
        <v>0</v>
      </c>
      <c r="CW73" s="72">
        <v>0</v>
      </c>
      <c r="CX73" s="72">
        <v>0</v>
      </c>
      <c r="CY73" s="72">
        <v>0</v>
      </c>
      <c r="CZ73" s="72">
        <v>0</v>
      </c>
      <c r="DA73" s="72">
        <v>0</v>
      </c>
      <c r="DB73" s="72">
        <v>0</v>
      </c>
      <c r="DC73" s="72">
        <v>0</v>
      </c>
      <c r="DD73" s="72">
        <v>0</v>
      </c>
      <c r="DE73" s="72">
        <v>0</v>
      </c>
      <c r="DF73" s="72">
        <v>504</v>
      </c>
      <c r="DG73" s="72">
        <v>504</v>
      </c>
      <c r="DH73" s="72">
        <v>504</v>
      </c>
      <c r="DI73" s="72">
        <v>504</v>
      </c>
      <c r="DJ73" s="72">
        <v>0</v>
      </c>
      <c r="DK73" s="72">
        <v>0</v>
      </c>
      <c r="DL73" s="72">
        <v>0</v>
      </c>
      <c r="DM73" s="72">
        <v>0</v>
      </c>
    </row>
    <row r="74" spans="1:117" x14ac:dyDescent="0.35">
      <c r="A74" s="7"/>
      <c r="B74" s="77" t="s">
        <v>1396</v>
      </c>
      <c r="C74" s="78" t="s">
        <v>1402</v>
      </c>
      <c r="D74" s="97" t="s">
        <v>123</v>
      </c>
      <c r="E74" s="92" t="s">
        <v>1213</v>
      </c>
      <c r="F74" s="10"/>
      <c r="G74" s="10"/>
      <c r="H74" s="10" t="s">
        <v>41</v>
      </c>
      <c r="I74" s="72">
        <v>0</v>
      </c>
      <c r="J74" s="10"/>
      <c r="K74" s="10"/>
      <c r="L74" s="8"/>
      <c r="M74" s="12">
        <v>24</v>
      </c>
      <c r="N74" s="12">
        <f t="shared" si="1"/>
        <v>0</v>
      </c>
      <c r="O74" s="72">
        <v>0</v>
      </c>
      <c r="P74" s="72">
        <v>0</v>
      </c>
      <c r="Q74" s="72">
        <v>0</v>
      </c>
      <c r="R74" s="72">
        <v>0</v>
      </c>
      <c r="S74" s="72">
        <v>0</v>
      </c>
      <c r="T74" s="72">
        <v>0</v>
      </c>
      <c r="U74" s="72">
        <v>0</v>
      </c>
      <c r="V74" s="72">
        <v>0</v>
      </c>
      <c r="W74" s="72">
        <v>0</v>
      </c>
      <c r="X74" s="72">
        <v>0</v>
      </c>
      <c r="Y74" s="72">
        <v>0</v>
      </c>
      <c r="Z74" s="72">
        <v>0</v>
      </c>
      <c r="AA74" s="72">
        <v>0</v>
      </c>
      <c r="AB74" s="72">
        <v>0</v>
      </c>
      <c r="AC74" s="72">
        <v>0</v>
      </c>
      <c r="AD74" s="72">
        <v>0</v>
      </c>
      <c r="AE74" s="72">
        <v>0</v>
      </c>
      <c r="AF74" s="72">
        <v>0</v>
      </c>
      <c r="AG74" s="72">
        <v>0</v>
      </c>
      <c r="AH74" s="72">
        <v>0</v>
      </c>
      <c r="AI74" s="72">
        <v>0</v>
      </c>
      <c r="AJ74" s="72">
        <v>0</v>
      </c>
      <c r="AK74" s="72">
        <v>0</v>
      </c>
      <c r="AL74" s="72">
        <v>0</v>
      </c>
      <c r="AM74" s="72">
        <v>0</v>
      </c>
      <c r="AN74" s="72">
        <v>0</v>
      </c>
      <c r="AO74" s="72">
        <v>0</v>
      </c>
      <c r="AP74" s="72">
        <v>0</v>
      </c>
      <c r="AQ74" s="72">
        <v>0</v>
      </c>
      <c r="AR74" s="72">
        <v>0</v>
      </c>
      <c r="AS74" s="72">
        <v>0</v>
      </c>
      <c r="AT74" s="72">
        <v>0</v>
      </c>
      <c r="AU74" s="72">
        <v>0</v>
      </c>
      <c r="AV74" s="72">
        <v>0</v>
      </c>
      <c r="AW74" s="72">
        <v>0</v>
      </c>
      <c r="AX74" s="72">
        <v>0</v>
      </c>
      <c r="AY74" s="72">
        <v>0</v>
      </c>
      <c r="AZ74" s="72">
        <v>0</v>
      </c>
      <c r="BA74" s="72">
        <v>0</v>
      </c>
      <c r="BB74" s="72">
        <v>0</v>
      </c>
      <c r="BC74" s="72">
        <v>0</v>
      </c>
      <c r="BD74" s="72">
        <v>0</v>
      </c>
      <c r="BE74" s="72">
        <v>0</v>
      </c>
      <c r="BF74" s="72">
        <v>0</v>
      </c>
      <c r="BG74" s="72">
        <v>0</v>
      </c>
      <c r="BH74" s="72">
        <v>0</v>
      </c>
      <c r="BI74" s="72">
        <v>0</v>
      </c>
      <c r="BJ74" s="72">
        <v>0</v>
      </c>
      <c r="BK74" s="72">
        <v>0</v>
      </c>
      <c r="BL74" s="72">
        <v>0</v>
      </c>
      <c r="BM74" s="72">
        <v>0</v>
      </c>
      <c r="BN74" s="72">
        <v>0</v>
      </c>
      <c r="BO74" s="72">
        <v>0</v>
      </c>
      <c r="BP74" s="72">
        <v>0</v>
      </c>
      <c r="BQ74" s="72">
        <v>0</v>
      </c>
      <c r="BR74" s="72">
        <v>0</v>
      </c>
      <c r="BS74" s="72">
        <v>0</v>
      </c>
      <c r="BT74" s="72">
        <v>0</v>
      </c>
      <c r="BU74" s="72">
        <v>0</v>
      </c>
      <c r="BV74" s="72">
        <v>0</v>
      </c>
      <c r="BW74" s="72">
        <v>0</v>
      </c>
      <c r="BX74" s="72">
        <v>5</v>
      </c>
      <c r="BY74" s="72">
        <v>5</v>
      </c>
      <c r="BZ74" s="72">
        <v>5</v>
      </c>
      <c r="CA74" s="72">
        <v>5</v>
      </c>
      <c r="CB74" s="72">
        <v>5</v>
      </c>
      <c r="CC74" s="72">
        <v>5</v>
      </c>
      <c r="CD74" s="72">
        <v>5</v>
      </c>
      <c r="CE74" s="72">
        <v>0</v>
      </c>
      <c r="CF74" s="72">
        <v>0</v>
      </c>
      <c r="CG74" s="72">
        <v>0</v>
      </c>
      <c r="CH74" s="72">
        <v>0</v>
      </c>
      <c r="CI74" s="72">
        <v>0</v>
      </c>
      <c r="CJ74" s="72">
        <v>0</v>
      </c>
      <c r="CK74" s="72">
        <v>0</v>
      </c>
      <c r="CL74" s="72">
        <v>0</v>
      </c>
      <c r="CM74" s="72">
        <v>0</v>
      </c>
      <c r="CN74" s="72">
        <v>0</v>
      </c>
      <c r="CO74" s="72">
        <v>0</v>
      </c>
      <c r="CP74" s="72">
        <v>0</v>
      </c>
      <c r="CQ74" s="72">
        <v>0</v>
      </c>
      <c r="CR74" s="72">
        <v>0</v>
      </c>
      <c r="CS74" s="72">
        <v>0</v>
      </c>
      <c r="CT74" s="72">
        <v>0</v>
      </c>
      <c r="CU74" s="72">
        <v>0</v>
      </c>
      <c r="CV74" s="72">
        <v>0</v>
      </c>
      <c r="CW74" s="72">
        <v>0</v>
      </c>
      <c r="CX74" s="72">
        <v>0</v>
      </c>
      <c r="CY74" s="72">
        <v>0</v>
      </c>
      <c r="CZ74" s="72">
        <v>0</v>
      </c>
      <c r="DA74" s="72">
        <v>0</v>
      </c>
      <c r="DB74" s="72">
        <v>0</v>
      </c>
      <c r="DC74" s="72">
        <v>0</v>
      </c>
      <c r="DD74" s="72">
        <v>0</v>
      </c>
      <c r="DE74" s="72">
        <v>0</v>
      </c>
      <c r="DF74" s="72">
        <v>0</v>
      </c>
      <c r="DG74" s="72">
        <v>0</v>
      </c>
      <c r="DH74" s="72">
        <v>0</v>
      </c>
      <c r="DI74" s="72">
        <v>0</v>
      </c>
      <c r="DJ74" s="72">
        <v>0</v>
      </c>
      <c r="DK74" s="72">
        <v>0</v>
      </c>
      <c r="DL74" s="72">
        <v>0</v>
      </c>
      <c r="DM74" s="72">
        <v>0</v>
      </c>
    </row>
    <row r="75" spans="1:117" x14ac:dyDescent="0.35">
      <c r="A75" s="7"/>
      <c r="B75" s="77">
        <v>760253419</v>
      </c>
      <c r="C75" s="78" t="s">
        <v>1403</v>
      </c>
      <c r="D75" s="97" t="s">
        <v>123</v>
      </c>
      <c r="E75" s="92" t="s">
        <v>183</v>
      </c>
      <c r="F75" s="10"/>
      <c r="G75" s="10"/>
      <c r="H75" s="10" t="s">
        <v>41</v>
      </c>
      <c r="I75" s="72">
        <v>0</v>
      </c>
      <c r="J75" s="10"/>
      <c r="K75" s="10"/>
      <c r="L75" s="8"/>
      <c r="M75" s="12">
        <v>5.55</v>
      </c>
      <c r="N75" s="12">
        <f t="shared" si="1"/>
        <v>405.15</v>
      </c>
      <c r="O75" s="72">
        <v>0</v>
      </c>
      <c r="P75" s="72">
        <v>0</v>
      </c>
      <c r="Q75" s="72">
        <v>0</v>
      </c>
      <c r="R75" s="72">
        <v>0</v>
      </c>
      <c r="S75" s="72">
        <v>0</v>
      </c>
      <c r="T75" s="72">
        <v>0</v>
      </c>
      <c r="U75" s="72">
        <v>0</v>
      </c>
      <c r="V75" s="72">
        <v>0</v>
      </c>
      <c r="W75" s="72">
        <v>0</v>
      </c>
      <c r="X75" s="72">
        <v>0</v>
      </c>
      <c r="Y75" s="72">
        <v>0</v>
      </c>
      <c r="Z75" s="72">
        <v>0</v>
      </c>
      <c r="AA75" s="72">
        <v>0</v>
      </c>
      <c r="AB75" s="72">
        <v>0</v>
      </c>
      <c r="AC75" s="72">
        <v>0</v>
      </c>
      <c r="AD75" s="72">
        <v>0</v>
      </c>
      <c r="AE75" s="72">
        <v>0</v>
      </c>
      <c r="AF75" s="72">
        <v>0</v>
      </c>
      <c r="AG75" s="72">
        <v>0</v>
      </c>
      <c r="AH75" s="72">
        <v>0</v>
      </c>
      <c r="AI75" s="72">
        <v>0</v>
      </c>
      <c r="AJ75" s="72">
        <v>0</v>
      </c>
      <c r="AK75" s="72">
        <v>0</v>
      </c>
      <c r="AL75" s="72">
        <v>0</v>
      </c>
      <c r="AM75" s="72">
        <v>0</v>
      </c>
      <c r="AN75" s="72">
        <v>0</v>
      </c>
      <c r="AO75" s="72">
        <v>0</v>
      </c>
      <c r="AP75" s="72">
        <v>0</v>
      </c>
      <c r="AQ75" s="72">
        <v>0</v>
      </c>
      <c r="AR75" s="72">
        <v>0</v>
      </c>
      <c r="AS75" s="72">
        <v>0</v>
      </c>
      <c r="AT75" s="72">
        <v>0</v>
      </c>
      <c r="AU75" s="72">
        <v>0</v>
      </c>
      <c r="AV75" s="72">
        <v>0</v>
      </c>
      <c r="AW75" s="72">
        <v>0</v>
      </c>
      <c r="AX75" s="72">
        <v>0</v>
      </c>
      <c r="AY75" s="72">
        <v>0</v>
      </c>
      <c r="AZ75" s="72">
        <v>0</v>
      </c>
      <c r="BA75" s="72">
        <v>0</v>
      </c>
      <c r="BB75" s="72">
        <v>0</v>
      </c>
      <c r="BC75" s="72">
        <v>0</v>
      </c>
      <c r="BD75" s="72">
        <v>0</v>
      </c>
      <c r="BE75" s="72">
        <v>0</v>
      </c>
      <c r="BF75" s="72">
        <v>0</v>
      </c>
      <c r="BG75" s="72">
        <v>0</v>
      </c>
      <c r="BH75" s="72">
        <v>0</v>
      </c>
      <c r="BI75" s="72">
        <v>0</v>
      </c>
      <c r="BJ75" s="72">
        <v>0</v>
      </c>
      <c r="BK75" s="72">
        <v>0</v>
      </c>
      <c r="BL75" s="72">
        <v>0</v>
      </c>
      <c r="BM75" s="72">
        <v>0</v>
      </c>
      <c r="BN75" s="72">
        <v>0</v>
      </c>
      <c r="BO75" s="72">
        <v>0</v>
      </c>
      <c r="BP75" s="72">
        <v>0</v>
      </c>
      <c r="BQ75" s="72">
        <v>0</v>
      </c>
      <c r="BR75" s="72">
        <v>0</v>
      </c>
      <c r="BS75" s="72">
        <v>0</v>
      </c>
      <c r="BT75" s="72">
        <v>0</v>
      </c>
      <c r="BU75" s="72">
        <v>0</v>
      </c>
      <c r="BV75" s="72">
        <v>0</v>
      </c>
      <c r="BW75" s="72">
        <v>0</v>
      </c>
      <c r="BX75" s="72">
        <v>156</v>
      </c>
      <c r="BY75" s="72">
        <v>156</v>
      </c>
      <c r="BZ75" s="72">
        <v>156</v>
      </c>
      <c r="CA75" s="72">
        <v>156</v>
      </c>
      <c r="CB75" s="72">
        <v>156</v>
      </c>
      <c r="CC75" s="72">
        <v>156</v>
      </c>
      <c r="CD75" s="72">
        <v>156</v>
      </c>
      <c r="CE75" s="72">
        <v>72</v>
      </c>
      <c r="CF75" s="72">
        <v>72</v>
      </c>
      <c r="CG75" s="72">
        <v>72</v>
      </c>
      <c r="CH75" s="72">
        <v>83</v>
      </c>
      <c r="CI75" s="72">
        <v>83</v>
      </c>
      <c r="CJ75" s="72">
        <v>83</v>
      </c>
      <c r="CK75" s="72">
        <v>83</v>
      </c>
      <c r="CL75" s="72">
        <v>83</v>
      </c>
      <c r="CM75" s="72">
        <v>83</v>
      </c>
      <c r="CN75" s="72">
        <v>83</v>
      </c>
      <c r="CO75" s="72">
        <v>83</v>
      </c>
      <c r="CP75" s="72">
        <v>83</v>
      </c>
      <c r="CQ75" s="72">
        <v>83</v>
      </c>
      <c r="CR75" s="72">
        <v>83</v>
      </c>
      <c r="CS75" s="72">
        <v>83</v>
      </c>
      <c r="CT75" s="72">
        <v>83</v>
      </c>
      <c r="CU75" s="72">
        <v>83</v>
      </c>
      <c r="CV75" s="72">
        <v>83</v>
      </c>
      <c r="CW75" s="72">
        <v>83</v>
      </c>
      <c r="CX75" s="72">
        <v>83</v>
      </c>
      <c r="CY75" s="72">
        <v>83</v>
      </c>
      <c r="CZ75" s="72">
        <v>83</v>
      </c>
      <c r="DA75" s="72">
        <v>83</v>
      </c>
      <c r="DB75" s="72">
        <v>83</v>
      </c>
      <c r="DC75" s="72">
        <v>83</v>
      </c>
      <c r="DD75" s="72">
        <v>83</v>
      </c>
      <c r="DE75" s="72">
        <v>83</v>
      </c>
      <c r="DF75" s="72">
        <v>83</v>
      </c>
      <c r="DG75" s="72">
        <v>83</v>
      </c>
      <c r="DH75" s="72">
        <v>73</v>
      </c>
      <c r="DI75" s="72">
        <v>73</v>
      </c>
      <c r="DJ75" s="72">
        <v>73</v>
      </c>
      <c r="DK75" s="72">
        <v>73</v>
      </c>
      <c r="DL75" s="72">
        <v>73</v>
      </c>
      <c r="DM75" s="72">
        <v>73</v>
      </c>
    </row>
    <row r="76" spans="1:117" x14ac:dyDescent="0.35">
      <c r="A76" s="7"/>
      <c r="B76" s="77">
        <v>760248523</v>
      </c>
      <c r="C76" s="78" t="s">
        <v>1404</v>
      </c>
      <c r="D76" s="97" t="s">
        <v>123</v>
      </c>
      <c r="E76" s="92" t="s">
        <v>1205</v>
      </c>
      <c r="F76" s="10"/>
      <c r="G76" s="10"/>
      <c r="H76" s="10" t="s">
        <v>41</v>
      </c>
      <c r="I76" s="72">
        <v>0</v>
      </c>
      <c r="J76" s="10"/>
      <c r="K76" s="10"/>
      <c r="L76" s="8"/>
      <c r="M76" s="12">
        <v>1.7</v>
      </c>
      <c r="N76" s="12">
        <f t="shared" si="1"/>
        <v>13.6</v>
      </c>
      <c r="O76" s="72">
        <v>0</v>
      </c>
      <c r="P76" s="72">
        <v>0</v>
      </c>
      <c r="Q76" s="72">
        <v>0</v>
      </c>
      <c r="R76" s="72">
        <v>0</v>
      </c>
      <c r="S76" s="72">
        <v>0</v>
      </c>
      <c r="T76" s="72">
        <v>0</v>
      </c>
      <c r="U76" s="72">
        <v>0</v>
      </c>
      <c r="V76" s="72">
        <v>0</v>
      </c>
      <c r="W76" s="72">
        <v>0</v>
      </c>
      <c r="X76" s="72">
        <v>0</v>
      </c>
      <c r="Y76" s="72">
        <v>0</v>
      </c>
      <c r="Z76" s="72">
        <v>0</v>
      </c>
      <c r="AA76" s="72">
        <v>0</v>
      </c>
      <c r="AB76" s="72">
        <v>0</v>
      </c>
      <c r="AC76" s="72">
        <v>0</v>
      </c>
      <c r="AD76" s="72">
        <v>0</v>
      </c>
      <c r="AE76" s="72">
        <v>0</v>
      </c>
      <c r="AF76" s="72">
        <v>0</v>
      </c>
      <c r="AG76" s="72">
        <v>0</v>
      </c>
      <c r="AH76" s="72">
        <v>0</v>
      </c>
      <c r="AI76" s="72">
        <v>0</v>
      </c>
      <c r="AJ76" s="72">
        <v>0</v>
      </c>
      <c r="AK76" s="72">
        <v>0</v>
      </c>
      <c r="AL76" s="72">
        <v>0</v>
      </c>
      <c r="AM76" s="72">
        <v>0</v>
      </c>
      <c r="AN76" s="72">
        <v>0</v>
      </c>
      <c r="AO76" s="72">
        <v>0</v>
      </c>
      <c r="AP76" s="72">
        <v>0</v>
      </c>
      <c r="AQ76" s="72">
        <v>0</v>
      </c>
      <c r="AR76" s="72">
        <v>0</v>
      </c>
      <c r="AS76" s="72">
        <v>0</v>
      </c>
      <c r="AT76" s="72">
        <v>0</v>
      </c>
      <c r="AU76" s="72">
        <v>0</v>
      </c>
      <c r="AV76" s="72">
        <v>0</v>
      </c>
      <c r="AW76" s="72">
        <v>0</v>
      </c>
      <c r="AX76" s="72">
        <v>0</v>
      </c>
      <c r="AY76" s="72">
        <v>0</v>
      </c>
      <c r="AZ76" s="72">
        <v>0</v>
      </c>
      <c r="BA76" s="72">
        <v>0</v>
      </c>
      <c r="BB76" s="72">
        <v>0</v>
      </c>
      <c r="BC76" s="72">
        <v>0</v>
      </c>
      <c r="BD76" s="72">
        <v>0</v>
      </c>
      <c r="BE76" s="72">
        <v>0</v>
      </c>
      <c r="BF76" s="72">
        <v>0</v>
      </c>
      <c r="BG76" s="72">
        <v>0</v>
      </c>
      <c r="BH76" s="72">
        <v>0</v>
      </c>
      <c r="BI76" s="72">
        <v>0</v>
      </c>
      <c r="BJ76" s="72">
        <v>0</v>
      </c>
      <c r="BK76" s="72">
        <v>0</v>
      </c>
      <c r="BL76" s="72">
        <v>0</v>
      </c>
      <c r="BM76" s="72">
        <v>0</v>
      </c>
      <c r="BN76" s="72">
        <v>0</v>
      </c>
      <c r="BO76" s="72">
        <v>0</v>
      </c>
      <c r="BP76" s="72">
        <v>0</v>
      </c>
      <c r="BQ76" s="72">
        <v>0</v>
      </c>
      <c r="BR76" s="72">
        <v>0</v>
      </c>
      <c r="BS76" s="72">
        <v>0</v>
      </c>
      <c r="BT76" s="72">
        <v>0</v>
      </c>
      <c r="BU76" s="72">
        <v>0</v>
      </c>
      <c r="BV76" s="72">
        <v>0</v>
      </c>
      <c r="BW76" s="72">
        <v>0</v>
      </c>
      <c r="BX76" s="72">
        <v>50</v>
      </c>
      <c r="BY76" s="72">
        <v>50</v>
      </c>
      <c r="BZ76" s="72">
        <v>50</v>
      </c>
      <c r="CA76" s="72">
        <v>50</v>
      </c>
      <c r="CB76" s="72">
        <v>50</v>
      </c>
      <c r="CC76" s="72">
        <v>50</v>
      </c>
      <c r="CD76" s="72">
        <v>50</v>
      </c>
      <c r="CE76" s="72">
        <v>0</v>
      </c>
      <c r="CF76" s="72">
        <v>0</v>
      </c>
      <c r="CG76" s="72">
        <v>0</v>
      </c>
      <c r="CH76" s="72">
        <v>18</v>
      </c>
      <c r="CI76" s="72">
        <v>18</v>
      </c>
      <c r="CJ76" s="72">
        <v>18</v>
      </c>
      <c r="CK76" s="72">
        <v>18</v>
      </c>
      <c r="CL76" s="72">
        <v>18</v>
      </c>
      <c r="CM76" s="72">
        <v>18</v>
      </c>
      <c r="CN76" s="72">
        <v>18</v>
      </c>
      <c r="CO76" s="72">
        <v>18</v>
      </c>
      <c r="CP76" s="72">
        <v>18</v>
      </c>
      <c r="CQ76" s="72">
        <v>18</v>
      </c>
      <c r="CR76" s="72">
        <v>18</v>
      </c>
      <c r="CS76" s="72">
        <v>18</v>
      </c>
      <c r="CT76" s="72">
        <v>18</v>
      </c>
      <c r="CU76" s="72">
        <v>18</v>
      </c>
      <c r="CV76" s="72">
        <v>18</v>
      </c>
      <c r="CW76" s="72">
        <v>18</v>
      </c>
      <c r="CX76" s="72">
        <v>18</v>
      </c>
      <c r="CY76" s="72">
        <v>18</v>
      </c>
      <c r="CZ76" s="72">
        <v>18</v>
      </c>
      <c r="DA76" s="72">
        <v>18</v>
      </c>
      <c r="DB76" s="72">
        <v>18</v>
      </c>
      <c r="DC76" s="72">
        <v>18</v>
      </c>
      <c r="DD76" s="72">
        <v>18</v>
      </c>
      <c r="DE76" s="72">
        <v>18</v>
      </c>
      <c r="DF76" s="72">
        <v>18</v>
      </c>
      <c r="DG76" s="72">
        <v>18</v>
      </c>
      <c r="DH76" s="72">
        <v>8</v>
      </c>
      <c r="DI76" s="72">
        <v>8</v>
      </c>
      <c r="DJ76" s="72">
        <v>8</v>
      </c>
      <c r="DK76" s="72">
        <v>8</v>
      </c>
      <c r="DL76" s="72">
        <v>8</v>
      </c>
      <c r="DM76" s="72">
        <v>8</v>
      </c>
    </row>
    <row r="77" spans="1:117" x14ac:dyDescent="0.35">
      <c r="A77" s="7"/>
      <c r="B77" s="77" t="s">
        <v>1405</v>
      </c>
      <c r="C77" s="78" t="s">
        <v>1413</v>
      </c>
      <c r="D77" s="97" t="s">
        <v>123</v>
      </c>
      <c r="E77" s="92" t="s">
        <v>1218</v>
      </c>
      <c r="F77" s="10"/>
      <c r="G77" s="10"/>
      <c r="H77" s="10" t="s">
        <v>41</v>
      </c>
      <c r="I77" s="72"/>
      <c r="J77" s="10"/>
      <c r="K77" s="10"/>
      <c r="L77" s="8"/>
      <c r="M77" s="12">
        <v>52</v>
      </c>
      <c r="N77" s="12">
        <f t="shared" si="1"/>
        <v>0</v>
      </c>
      <c r="O77" s="72"/>
      <c r="P77" s="72"/>
      <c r="Q77" s="72"/>
      <c r="R77" s="72"/>
      <c r="S77" s="72"/>
      <c r="T77" s="72"/>
      <c r="U77" s="72"/>
      <c r="V77" s="72"/>
      <c r="W77" s="72"/>
      <c r="X77" s="72"/>
      <c r="Y77" s="72"/>
      <c r="Z77" s="72"/>
      <c r="AA77" s="72"/>
      <c r="AB77" s="72"/>
      <c r="AC77" s="72"/>
      <c r="AD77" s="72"/>
      <c r="AE77" s="72"/>
      <c r="AF77" s="72"/>
      <c r="AG77" s="72"/>
      <c r="AH77" s="72"/>
      <c r="AI77" s="72"/>
      <c r="AJ77" s="72"/>
      <c r="AK77" s="72"/>
      <c r="AL77" s="72"/>
      <c r="AM77" s="72"/>
      <c r="AN77" s="72"/>
      <c r="AO77" s="72"/>
      <c r="AP77" s="72"/>
      <c r="AQ77" s="72"/>
      <c r="AR77" s="72"/>
      <c r="AS77" s="72"/>
      <c r="AT77" s="72"/>
      <c r="AU77" s="72"/>
      <c r="AV77" s="72"/>
      <c r="AW77" s="72"/>
      <c r="AX77" s="72"/>
      <c r="AY77" s="72"/>
      <c r="AZ77" s="72"/>
      <c r="BA77" s="72"/>
      <c r="BB77" s="72"/>
      <c r="BC77" s="72"/>
      <c r="BD77" s="72"/>
      <c r="BE77" s="72"/>
      <c r="BF77" s="72"/>
      <c r="BG77" s="72"/>
      <c r="BH77" s="72"/>
      <c r="BI77" s="72"/>
      <c r="BJ77" s="72"/>
      <c r="BK77" s="72"/>
      <c r="BL77" s="72"/>
      <c r="BM77" s="72"/>
      <c r="BN77" s="72"/>
      <c r="BO77" s="72"/>
      <c r="BP77" s="72"/>
      <c r="BQ77" s="72"/>
      <c r="BR77" s="72"/>
      <c r="BS77" s="72"/>
      <c r="BT77" s="72"/>
      <c r="BU77" s="72"/>
      <c r="BV77" s="72"/>
      <c r="BW77" s="72"/>
      <c r="BX77" s="72"/>
      <c r="BY77" s="72">
        <v>4</v>
      </c>
      <c r="BZ77" s="72">
        <v>4</v>
      </c>
      <c r="CA77" s="72">
        <v>2</v>
      </c>
      <c r="CB77" s="72">
        <v>2</v>
      </c>
      <c r="CC77" s="72">
        <v>2</v>
      </c>
      <c r="CD77" s="72">
        <v>2</v>
      </c>
      <c r="CE77" s="72">
        <v>0</v>
      </c>
      <c r="CF77" s="72">
        <v>0</v>
      </c>
      <c r="CG77" s="72">
        <v>0</v>
      </c>
      <c r="CH77" s="72">
        <v>0</v>
      </c>
      <c r="CI77" s="72">
        <v>0</v>
      </c>
      <c r="CJ77" s="72">
        <v>0</v>
      </c>
      <c r="CK77" s="72">
        <v>0</v>
      </c>
      <c r="CL77" s="72">
        <v>0</v>
      </c>
      <c r="CM77" s="72">
        <v>0</v>
      </c>
      <c r="CN77" s="72">
        <v>0</v>
      </c>
      <c r="CO77" s="72">
        <v>0</v>
      </c>
      <c r="CP77" s="72">
        <v>0</v>
      </c>
      <c r="CQ77" s="72">
        <v>0</v>
      </c>
      <c r="CR77" s="72">
        <v>0</v>
      </c>
      <c r="CS77" s="72">
        <v>0</v>
      </c>
      <c r="CT77" s="72">
        <v>0</v>
      </c>
      <c r="CU77" s="72">
        <v>0</v>
      </c>
      <c r="CV77" s="72">
        <v>0</v>
      </c>
      <c r="CW77" s="72">
        <v>0</v>
      </c>
      <c r="CX77" s="72">
        <v>0</v>
      </c>
      <c r="CY77" s="72">
        <v>0</v>
      </c>
      <c r="CZ77" s="72">
        <v>0</v>
      </c>
      <c r="DA77" s="72">
        <v>0</v>
      </c>
      <c r="DB77" s="72">
        <v>0</v>
      </c>
      <c r="DC77" s="72">
        <v>0</v>
      </c>
      <c r="DD77" s="72">
        <v>0</v>
      </c>
      <c r="DE77" s="72">
        <v>0</v>
      </c>
      <c r="DF77" s="72">
        <v>0</v>
      </c>
      <c r="DG77" s="72">
        <v>0</v>
      </c>
      <c r="DH77" s="72">
        <v>0</v>
      </c>
      <c r="DI77" s="72">
        <v>0</v>
      </c>
      <c r="DJ77" s="72">
        <v>0</v>
      </c>
      <c r="DK77" s="72">
        <v>0</v>
      </c>
      <c r="DL77" s="72">
        <v>0</v>
      </c>
      <c r="DM77" s="72">
        <v>0</v>
      </c>
    </row>
    <row r="78" spans="1:117" x14ac:dyDescent="0.35">
      <c r="A78" s="7"/>
      <c r="B78" s="77" t="s">
        <v>1406</v>
      </c>
      <c r="C78" s="78" t="s">
        <v>1414</v>
      </c>
      <c r="D78" s="97" t="s">
        <v>123</v>
      </c>
      <c r="E78" s="92" t="s">
        <v>1205</v>
      </c>
      <c r="F78" s="10"/>
      <c r="G78" s="10"/>
      <c r="H78" s="10" t="s">
        <v>41</v>
      </c>
      <c r="I78" s="72"/>
      <c r="J78" s="10"/>
      <c r="K78" s="10"/>
      <c r="L78" s="8"/>
      <c r="M78" s="12">
        <v>17</v>
      </c>
      <c r="N78" s="12">
        <f t="shared" si="1"/>
        <v>0</v>
      </c>
      <c r="O78" s="72"/>
      <c r="P78" s="72"/>
      <c r="Q78" s="72"/>
      <c r="R78" s="72"/>
      <c r="S78" s="72"/>
      <c r="T78" s="72"/>
      <c r="U78" s="72"/>
      <c r="V78" s="72"/>
      <c r="W78" s="72"/>
      <c r="X78" s="72"/>
      <c r="Y78" s="72"/>
      <c r="Z78" s="72"/>
      <c r="AA78" s="72"/>
      <c r="AB78" s="72"/>
      <c r="AC78" s="72"/>
      <c r="AD78" s="72"/>
      <c r="AE78" s="72"/>
      <c r="AF78" s="72"/>
      <c r="AG78" s="72"/>
      <c r="AH78" s="72"/>
      <c r="AI78" s="72"/>
      <c r="AJ78" s="72"/>
      <c r="AK78" s="72"/>
      <c r="AL78" s="72"/>
      <c r="AM78" s="72"/>
      <c r="AN78" s="72"/>
      <c r="AO78" s="72"/>
      <c r="AP78" s="72"/>
      <c r="AQ78" s="72"/>
      <c r="AR78" s="72"/>
      <c r="AS78" s="72"/>
      <c r="AT78" s="72"/>
      <c r="AU78" s="72"/>
      <c r="AV78" s="72"/>
      <c r="AW78" s="72"/>
      <c r="AX78" s="72"/>
      <c r="AY78" s="72"/>
      <c r="AZ78" s="72"/>
      <c r="BA78" s="72"/>
      <c r="BB78" s="72"/>
      <c r="BC78" s="72"/>
      <c r="BD78" s="72"/>
      <c r="BE78" s="72"/>
      <c r="BF78" s="72"/>
      <c r="BG78" s="72"/>
      <c r="BH78" s="72"/>
      <c r="BI78" s="72"/>
      <c r="BJ78" s="72"/>
      <c r="BK78" s="72"/>
      <c r="BL78" s="72"/>
      <c r="BM78" s="72"/>
      <c r="BN78" s="72"/>
      <c r="BO78" s="72"/>
      <c r="BP78" s="72"/>
      <c r="BQ78" s="72"/>
      <c r="BR78" s="72"/>
      <c r="BS78" s="72"/>
      <c r="BT78" s="72"/>
      <c r="BU78" s="72"/>
      <c r="BV78" s="72"/>
      <c r="BW78" s="72"/>
      <c r="BX78" s="72"/>
      <c r="BY78" s="72">
        <v>4</v>
      </c>
      <c r="BZ78" s="72">
        <v>4</v>
      </c>
      <c r="CA78" s="72">
        <v>4</v>
      </c>
      <c r="CB78" s="72">
        <v>4</v>
      </c>
      <c r="CC78" s="72">
        <v>4</v>
      </c>
      <c r="CD78" s="72">
        <v>4</v>
      </c>
      <c r="CE78" s="72">
        <v>0</v>
      </c>
      <c r="CF78" s="72">
        <v>0</v>
      </c>
      <c r="CG78" s="72">
        <v>0</v>
      </c>
      <c r="CH78" s="72">
        <v>0</v>
      </c>
      <c r="CI78" s="72">
        <v>0</v>
      </c>
      <c r="CJ78" s="72">
        <v>0</v>
      </c>
      <c r="CK78" s="72">
        <v>0</v>
      </c>
      <c r="CL78" s="72">
        <v>0</v>
      </c>
      <c r="CM78" s="72">
        <v>0</v>
      </c>
      <c r="CN78" s="72">
        <v>0</v>
      </c>
      <c r="CO78" s="72">
        <v>0</v>
      </c>
      <c r="CP78" s="72">
        <v>0</v>
      </c>
      <c r="CQ78" s="72">
        <v>0</v>
      </c>
      <c r="CR78" s="72">
        <v>0</v>
      </c>
      <c r="CS78" s="72">
        <v>0</v>
      </c>
      <c r="CT78" s="72">
        <v>0</v>
      </c>
      <c r="CU78" s="72">
        <v>0</v>
      </c>
      <c r="CV78" s="72">
        <v>0</v>
      </c>
      <c r="CW78" s="72">
        <v>0</v>
      </c>
      <c r="CX78" s="72">
        <v>0</v>
      </c>
      <c r="CY78" s="72">
        <v>0</v>
      </c>
      <c r="CZ78" s="72">
        <v>0</v>
      </c>
      <c r="DA78" s="72">
        <v>0</v>
      </c>
      <c r="DB78" s="72">
        <v>0</v>
      </c>
      <c r="DC78" s="72">
        <v>0</v>
      </c>
      <c r="DD78" s="72">
        <v>0</v>
      </c>
      <c r="DE78" s="72">
        <v>0</v>
      </c>
      <c r="DF78" s="72">
        <v>0</v>
      </c>
      <c r="DG78" s="72">
        <v>0</v>
      </c>
      <c r="DH78" s="72">
        <v>0</v>
      </c>
      <c r="DI78" s="72">
        <v>0</v>
      </c>
      <c r="DJ78" s="72">
        <v>0</v>
      </c>
      <c r="DK78" s="72">
        <v>0</v>
      </c>
      <c r="DL78" s="72">
        <v>0</v>
      </c>
      <c r="DM78" s="72">
        <v>0</v>
      </c>
    </row>
    <row r="79" spans="1:117" x14ac:dyDescent="0.35">
      <c r="A79" s="7"/>
      <c r="B79" s="77" t="s">
        <v>1407</v>
      </c>
      <c r="C79" s="78" t="s">
        <v>1415</v>
      </c>
      <c r="D79" s="97" t="s">
        <v>123</v>
      </c>
      <c r="E79" s="92" t="s">
        <v>1205</v>
      </c>
      <c r="F79" s="10"/>
      <c r="G79" s="10"/>
      <c r="H79" s="10" t="s">
        <v>41</v>
      </c>
      <c r="I79" s="72"/>
      <c r="J79" s="10"/>
      <c r="K79" s="10"/>
      <c r="L79" s="8"/>
      <c r="M79" s="12">
        <v>15.35</v>
      </c>
      <c r="N79" s="12">
        <f t="shared" si="1"/>
        <v>0</v>
      </c>
      <c r="O79" s="72"/>
      <c r="P79" s="72"/>
      <c r="Q79" s="72"/>
      <c r="R79" s="72"/>
      <c r="S79" s="72"/>
      <c r="T79" s="72"/>
      <c r="U79" s="72"/>
      <c r="V79" s="72"/>
      <c r="W79" s="72"/>
      <c r="X79" s="72"/>
      <c r="Y79" s="72"/>
      <c r="Z79" s="72"/>
      <c r="AA79" s="72"/>
      <c r="AB79" s="72"/>
      <c r="AC79" s="72"/>
      <c r="AD79" s="72"/>
      <c r="AE79" s="72"/>
      <c r="AF79" s="72"/>
      <c r="AG79" s="72"/>
      <c r="AH79" s="72"/>
      <c r="AI79" s="72"/>
      <c r="AJ79" s="72"/>
      <c r="AK79" s="72"/>
      <c r="AL79" s="72"/>
      <c r="AM79" s="72"/>
      <c r="AN79" s="72"/>
      <c r="AO79" s="72"/>
      <c r="AP79" s="72"/>
      <c r="AQ79" s="72"/>
      <c r="AR79" s="72"/>
      <c r="AS79" s="72"/>
      <c r="AT79" s="72"/>
      <c r="AU79" s="72"/>
      <c r="AV79" s="72"/>
      <c r="AW79" s="72"/>
      <c r="AX79" s="72"/>
      <c r="AY79" s="72"/>
      <c r="AZ79" s="72"/>
      <c r="BA79" s="72"/>
      <c r="BB79" s="72"/>
      <c r="BC79" s="72"/>
      <c r="BD79" s="72"/>
      <c r="BE79" s="72"/>
      <c r="BF79" s="72"/>
      <c r="BG79" s="72"/>
      <c r="BH79" s="72"/>
      <c r="BI79" s="72"/>
      <c r="BJ79" s="72"/>
      <c r="BK79" s="72"/>
      <c r="BL79" s="72"/>
      <c r="BM79" s="72"/>
      <c r="BN79" s="72"/>
      <c r="BO79" s="72"/>
      <c r="BP79" s="72"/>
      <c r="BQ79" s="72"/>
      <c r="BR79" s="72"/>
      <c r="BS79" s="72"/>
      <c r="BT79" s="72"/>
      <c r="BU79" s="72"/>
      <c r="BV79" s="72"/>
      <c r="BW79" s="72"/>
      <c r="BX79" s="72"/>
      <c r="BY79" s="72">
        <v>1</v>
      </c>
      <c r="BZ79" s="72">
        <v>1</v>
      </c>
      <c r="CA79" s="72">
        <v>1</v>
      </c>
      <c r="CB79" s="72">
        <v>1</v>
      </c>
      <c r="CC79" s="72">
        <v>1</v>
      </c>
      <c r="CD79" s="72">
        <v>1</v>
      </c>
      <c r="CE79" s="72">
        <v>0</v>
      </c>
      <c r="CF79" s="72">
        <v>0</v>
      </c>
      <c r="CG79" s="72">
        <v>0</v>
      </c>
      <c r="CH79" s="72">
        <v>0</v>
      </c>
      <c r="CI79" s="72">
        <v>0</v>
      </c>
      <c r="CJ79" s="72">
        <v>0</v>
      </c>
      <c r="CK79" s="72">
        <v>0</v>
      </c>
      <c r="CL79" s="72">
        <v>0</v>
      </c>
      <c r="CM79" s="72">
        <v>0</v>
      </c>
      <c r="CN79" s="72">
        <v>0</v>
      </c>
      <c r="CO79" s="72">
        <v>0</v>
      </c>
      <c r="CP79" s="72">
        <v>0</v>
      </c>
      <c r="CQ79" s="72">
        <v>0</v>
      </c>
      <c r="CR79" s="72">
        <v>0</v>
      </c>
      <c r="CS79" s="72">
        <v>0</v>
      </c>
      <c r="CT79" s="72">
        <v>0</v>
      </c>
      <c r="CU79" s="72">
        <v>0</v>
      </c>
      <c r="CV79" s="72">
        <v>0</v>
      </c>
      <c r="CW79" s="72">
        <v>0</v>
      </c>
      <c r="CX79" s="72">
        <v>0</v>
      </c>
      <c r="CY79" s="72">
        <v>0</v>
      </c>
      <c r="CZ79" s="72">
        <v>0</v>
      </c>
      <c r="DA79" s="72">
        <v>0</v>
      </c>
      <c r="DB79" s="72">
        <v>0</v>
      </c>
      <c r="DC79" s="72">
        <v>0</v>
      </c>
      <c r="DD79" s="72">
        <v>0</v>
      </c>
      <c r="DE79" s="72">
        <v>0</v>
      </c>
      <c r="DF79" s="72">
        <v>0</v>
      </c>
      <c r="DG79" s="72">
        <v>0</v>
      </c>
      <c r="DH79" s="72">
        <v>0</v>
      </c>
      <c r="DI79" s="72">
        <v>0</v>
      </c>
      <c r="DJ79" s="72">
        <v>0</v>
      </c>
      <c r="DK79" s="72">
        <v>0</v>
      </c>
      <c r="DL79" s="72">
        <v>0</v>
      </c>
      <c r="DM79" s="72">
        <v>0</v>
      </c>
    </row>
    <row r="80" spans="1:117" x14ac:dyDescent="0.35">
      <c r="A80" s="7"/>
      <c r="B80" s="77" t="s">
        <v>1408</v>
      </c>
      <c r="C80" s="78" t="s">
        <v>1416</v>
      </c>
      <c r="D80" s="97" t="s">
        <v>123</v>
      </c>
      <c r="E80" s="92" t="s">
        <v>1220</v>
      </c>
      <c r="F80" s="10"/>
      <c r="G80" s="10"/>
      <c r="H80" s="10" t="s">
        <v>41</v>
      </c>
      <c r="I80" s="72"/>
      <c r="J80" s="10"/>
      <c r="K80" s="10"/>
      <c r="L80" s="8"/>
      <c r="M80" s="12">
        <v>3.9</v>
      </c>
      <c r="N80" s="12">
        <f t="shared" si="1"/>
        <v>0</v>
      </c>
      <c r="O80" s="72"/>
      <c r="P80" s="72"/>
      <c r="Q80" s="72"/>
      <c r="R80" s="72"/>
      <c r="S80" s="72"/>
      <c r="T80" s="72"/>
      <c r="U80" s="72"/>
      <c r="V80" s="72"/>
      <c r="W80" s="72"/>
      <c r="X80" s="72"/>
      <c r="Y80" s="72"/>
      <c r="Z80" s="72"/>
      <c r="AA80" s="72"/>
      <c r="AB80" s="72"/>
      <c r="AC80" s="72"/>
      <c r="AD80" s="72"/>
      <c r="AE80" s="72"/>
      <c r="AF80" s="72"/>
      <c r="AG80" s="72"/>
      <c r="AH80" s="72"/>
      <c r="AI80" s="72"/>
      <c r="AJ80" s="72"/>
      <c r="AK80" s="72"/>
      <c r="AL80" s="72"/>
      <c r="AM80" s="72"/>
      <c r="AN80" s="72"/>
      <c r="AO80" s="72"/>
      <c r="AP80" s="72"/>
      <c r="AQ80" s="72"/>
      <c r="AR80" s="72"/>
      <c r="AS80" s="72"/>
      <c r="AT80" s="72"/>
      <c r="AU80" s="72"/>
      <c r="AV80" s="72"/>
      <c r="AW80" s="72"/>
      <c r="AX80" s="72"/>
      <c r="AY80" s="72"/>
      <c r="AZ80" s="72"/>
      <c r="BA80" s="72"/>
      <c r="BB80" s="72"/>
      <c r="BC80" s="72"/>
      <c r="BD80" s="72"/>
      <c r="BE80" s="72"/>
      <c r="BF80" s="72"/>
      <c r="BG80" s="72"/>
      <c r="BH80" s="72"/>
      <c r="BI80" s="72"/>
      <c r="BJ80" s="72"/>
      <c r="BK80" s="72"/>
      <c r="BL80" s="72"/>
      <c r="BM80" s="72"/>
      <c r="BN80" s="72"/>
      <c r="BO80" s="72"/>
      <c r="BP80" s="72"/>
      <c r="BQ80" s="72"/>
      <c r="BR80" s="72"/>
      <c r="BS80" s="72"/>
      <c r="BT80" s="72"/>
      <c r="BU80" s="72"/>
      <c r="BV80" s="72"/>
      <c r="BW80" s="72"/>
      <c r="BX80" s="72"/>
      <c r="BY80" s="72">
        <v>24</v>
      </c>
      <c r="BZ80" s="72">
        <v>24</v>
      </c>
      <c r="CA80" s="72">
        <v>24</v>
      </c>
      <c r="CB80" s="72">
        <v>24</v>
      </c>
      <c r="CC80" s="72">
        <v>24</v>
      </c>
      <c r="CD80" s="72">
        <v>24</v>
      </c>
      <c r="CE80" s="72">
        <v>0</v>
      </c>
      <c r="CF80" s="72">
        <v>0</v>
      </c>
      <c r="CG80" s="72">
        <v>0</v>
      </c>
      <c r="CH80" s="72">
        <v>0</v>
      </c>
      <c r="CI80" s="72">
        <v>0</v>
      </c>
      <c r="CJ80" s="72">
        <v>0</v>
      </c>
      <c r="CK80" s="72">
        <v>0</v>
      </c>
      <c r="CL80" s="72">
        <v>0</v>
      </c>
      <c r="CM80" s="72">
        <v>0</v>
      </c>
      <c r="CN80" s="72">
        <v>0</v>
      </c>
      <c r="CO80" s="72">
        <v>0</v>
      </c>
      <c r="CP80" s="72">
        <v>0</v>
      </c>
      <c r="CQ80" s="72">
        <v>0</v>
      </c>
      <c r="CR80" s="72">
        <v>0</v>
      </c>
      <c r="CS80" s="72">
        <v>0</v>
      </c>
      <c r="CT80" s="72">
        <v>0</v>
      </c>
      <c r="CU80" s="72">
        <v>0</v>
      </c>
      <c r="CV80" s="72">
        <v>0</v>
      </c>
      <c r="CW80" s="72">
        <v>0</v>
      </c>
      <c r="CX80" s="72">
        <v>0</v>
      </c>
      <c r="CY80" s="72">
        <v>0</v>
      </c>
      <c r="CZ80" s="72">
        <v>0</v>
      </c>
      <c r="DA80" s="72">
        <v>0</v>
      </c>
      <c r="DB80" s="72">
        <v>0</v>
      </c>
      <c r="DC80" s="72">
        <v>0</v>
      </c>
      <c r="DD80" s="72">
        <v>0</v>
      </c>
      <c r="DE80" s="72">
        <v>0</v>
      </c>
      <c r="DF80" s="72">
        <v>0</v>
      </c>
      <c r="DG80" s="72">
        <v>0</v>
      </c>
      <c r="DH80" s="72">
        <v>0</v>
      </c>
      <c r="DI80" s="72">
        <v>0</v>
      </c>
      <c r="DJ80" s="72">
        <v>0</v>
      </c>
      <c r="DK80" s="72">
        <v>0</v>
      </c>
      <c r="DL80" s="72">
        <v>0</v>
      </c>
      <c r="DM80" s="72">
        <v>0</v>
      </c>
    </row>
    <row r="81" spans="1:117" x14ac:dyDescent="0.35">
      <c r="A81" s="7"/>
      <c r="B81" s="77" t="s">
        <v>1409</v>
      </c>
      <c r="C81" s="78" t="s">
        <v>1417</v>
      </c>
      <c r="D81" s="97" t="s">
        <v>123</v>
      </c>
      <c r="E81" s="92" t="s">
        <v>1219</v>
      </c>
      <c r="F81" s="10"/>
      <c r="G81" s="10"/>
      <c r="H81" s="10" t="s">
        <v>41</v>
      </c>
      <c r="I81" s="72"/>
      <c r="J81" s="10"/>
      <c r="K81" s="10"/>
      <c r="L81" s="8"/>
      <c r="M81" s="12">
        <v>3.9</v>
      </c>
      <c r="N81" s="12">
        <f t="shared" si="1"/>
        <v>0</v>
      </c>
      <c r="O81" s="72"/>
      <c r="P81" s="72"/>
      <c r="Q81" s="72"/>
      <c r="R81" s="72"/>
      <c r="S81" s="72"/>
      <c r="T81" s="72"/>
      <c r="U81" s="72"/>
      <c r="V81" s="72"/>
      <c r="W81" s="72"/>
      <c r="X81" s="72"/>
      <c r="Y81" s="72"/>
      <c r="Z81" s="72"/>
      <c r="AA81" s="72"/>
      <c r="AB81" s="72"/>
      <c r="AC81" s="72"/>
      <c r="AD81" s="72"/>
      <c r="AE81" s="72"/>
      <c r="AF81" s="72"/>
      <c r="AG81" s="72"/>
      <c r="AH81" s="72"/>
      <c r="AI81" s="72"/>
      <c r="AJ81" s="72"/>
      <c r="AK81" s="72"/>
      <c r="AL81" s="72"/>
      <c r="AM81" s="72"/>
      <c r="AN81" s="72"/>
      <c r="AO81" s="72"/>
      <c r="AP81" s="72"/>
      <c r="AQ81" s="72"/>
      <c r="AR81" s="72"/>
      <c r="AS81" s="72"/>
      <c r="AT81" s="72"/>
      <c r="AU81" s="72"/>
      <c r="AV81" s="72"/>
      <c r="AW81" s="72"/>
      <c r="AX81" s="72"/>
      <c r="AY81" s="72"/>
      <c r="AZ81" s="72"/>
      <c r="BA81" s="72"/>
      <c r="BB81" s="72"/>
      <c r="BC81" s="72"/>
      <c r="BD81" s="72"/>
      <c r="BE81" s="72"/>
      <c r="BF81" s="72"/>
      <c r="BG81" s="72"/>
      <c r="BH81" s="72"/>
      <c r="BI81" s="72"/>
      <c r="BJ81" s="72"/>
      <c r="BK81" s="72"/>
      <c r="BL81" s="72"/>
      <c r="BM81" s="72"/>
      <c r="BN81" s="72"/>
      <c r="BO81" s="72"/>
      <c r="BP81" s="72"/>
      <c r="BQ81" s="72"/>
      <c r="BR81" s="72"/>
      <c r="BS81" s="72"/>
      <c r="BT81" s="72"/>
      <c r="BU81" s="72"/>
      <c r="BV81" s="72"/>
      <c r="BW81" s="72"/>
      <c r="BX81" s="72"/>
      <c r="BY81" s="72">
        <v>48</v>
      </c>
      <c r="BZ81" s="72">
        <v>48</v>
      </c>
      <c r="CA81" s="72">
        <v>48</v>
      </c>
      <c r="CB81" s="72">
        <v>48</v>
      </c>
      <c r="CC81" s="72">
        <v>48</v>
      </c>
      <c r="CD81" s="72">
        <v>48</v>
      </c>
      <c r="CE81" s="72">
        <v>0</v>
      </c>
      <c r="CF81" s="72">
        <v>0</v>
      </c>
      <c r="CG81" s="72">
        <v>0</v>
      </c>
      <c r="CH81" s="72">
        <v>0</v>
      </c>
      <c r="CI81" s="72">
        <v>0</v>
      </c>
      <c r="CJ81" s="72">
        <v>0</v>
      </c>
      <c r="CK81" s="72">
        <v>0</v>
      </c>
      <c r="CL81" s="72">
        <v>0</v>
      </c>
      <c r="CM81" s="72">
        <v>0</v>
      </c>
      <c r="CN81" s="72">
        <v>0</v>
      </c>
      <c r="CO81" s="72">
        <v>0</v>
      </c>
      <c r="CP81" s="72">
        <v>0</v>
      </c>
      <c r="CQ81" s="72">
        <v>0</v>
      </c>
      <c r="CR81" s="72">
        <v>0</v>
      </c>
      <c r="CS81" s="72">
        <v>0</v>
      </c>
      <c r="CT81" s="72">
        <v>0</v>
      </c>
      <c r="CU81" s="72">
        <v>0</v>
      </c>
      <c r="CV81" s="72">
        <v>0</v>
      </c>
      <c r="CW81" s="72">
        <v>0</v>
      </c>
      <c r="CX81" s="72">
        <v>0</v>
      </c>
      <c r="CY81" s="72">
        <v>0</v>
      </c>
      <c r="CZ81" s="72">
        <v>0</v>
      </c>
      <c r="DA81" s="72">
        <v>0</v>
      </c>
      <c r="DB81" s="72">
        <v>0</v>
      </c>
      <c r="DC81" s="72">
        <v>0</v>
      </c>
      <c r="DD81" s="72">
        <v>0</v>
      </c>
      <c r="DE81" s="72">
        <v>0</v>
      </c>
      <c r="DF81" s="72">
        <v>0</v>
      </c>
      <c r="DG81" s="72">
        <v>0</v>
      </c>
      <c r="DH81" s="72">
        <v>0</v>
      </c>
      <c r="DI81" s="72">
        <v>0</v>
      </c>
      <c r="DJ81" s="72">
        <v>0</v>
      </c>
      <c r="DK81" s="72">
        <v>0</v>
      </c>
      <c r="DL81" s="72">
        <v>0</v>
      </c>
      <c r="DM81" s="72">
        <v>0</v>
      </c>
    </row>
    <row r="82" spans="1:117" x14ac:dyDescent="0.35">
      <c r="A82" s="7"/>
      <c r="B82" s="77" t="s">
        <v>1410</v>
      </c>
      <c r="C82" s="78" t="s">
        <v>1418</v>
      </c>
      <c r="D82" s="97" t="s">
        <v>123</v>
      </c>
      <c r="E82" s="92" t="s">
        <v>1208</v>
      </c>
      <c r="F82" s="10"/>
      <c r="G82" s="10"/>
      <c r="H82" s="10" t="s">
        <v>41</v>
      </c>
      <c r="I82" s="72"/>
      <c r="J82" s="10"/>
      <c r="K82" s="10"/>
      <c r="L82" s="8"/>
      <c r="M82" s="12">
        <v>22</v>
      </c>
      <c r="N82" s="12">
        <f t="shared" si="1"/>
        <v>0</v>
      </c>
      <c r="O82" s="72"/>
      <c r="P82" s="72"/>
      <c r="Q82" s="72"/>
      <c r="R82" s="72"/>
      <c r="S82" s="72"/>
      <c r="T82" s="72"/>
      <c r="U82" s="72"/>
      <c r="V82" s="72"/>
      <c r="W82" s="72"/>
      <c r="X82" s="72"/>
      <c r="Y82" s="72"/>
      <c r="Z82" s="72"/>
      <c r="AA82" s="72"/>
      <c r="AB82" s="72"/>
      <c r="AC82" s="72"/>
      <c r="AD82" s="72"/>
      <c r="AE82" s="72"/>
      <c r="AF82" s="72"/>
      <c r="AG82" s="72"/>
      <c r="AH82" s="72"/>
      <c r="AI82" s="72"/>
      <c r="AJ82" s="72"/>
      <c r="AK82" s="72"/>
      <c r="AL82" s="72"/>
      <c r="AM82" s="72"/>
      <c r="AN82" s="72"/>
      <c r="AO82" s="72"/>
      <c r="AP82" s="72"/>
      <c r="AQ82" s="72"/>
      <c r="AR82" s="72"/>
      <c r="AS82" s="72"/>
      <c r="AT82" s="72"/>
      <c r="AU82" s="72"/>
      <c r="AV82" s="72"/>
      <c r="AW82" s="72"/>
      <c r="AX82" s="72"/>
      <c r="AY82" s="72"/>
      <c r="AZ82" s="72"/>
      <c r="BA82" s="72"/>
      <c r="BB82" s="72"/>
      <c r="BC82" s="72"/>
      <c r="BD82" s="72"/>
      <c r="BE82" s="72"/>
      <c r="BF82" s="72"/>
      <c r="BG82" s="72"/>
      <c r="BH82" s="72"/>
      <c r="BI82" s="72"/>
      <c r="BJ82" s="72"/>
      <c r="BK82" s="72"/>
      <c r="BL82" s="72"/>
      <c r="BM82" s="72"/>
      <c r="BN82" s="72"/>
      <c r="BO82" s="72"/>
      <c r="BP82" s="72"/>
      <c r="BQ82" s="72"/>
      <c r="BR82" s="72"/>
      <c r="BS82" s="72"/>
      <c r="BT82" s="72"/>
      <c r="BU82" s="72"/>
      <c r="BV82" s="72"/>
      <c r="BW82" s="72"/>
      <c r="BX82" s="72"/>
      <c r="BY82" s="72">
        <v>56</v>
      </c>
      <c r="BZ82" s="72">
        <v>56</v>
      </c>
      <c r="CA82" s="72">
        <v>56</v>
      </c>
      <c r="CB82" s="72">
        <v>56</v>
      </c>
      <c r="CC82" s="72">
        <v>56</v>
      </c>
      <c r="CD82" s="72">
        <v>56</v>
      </c>
      <c r="CE82" s="72">
        <v>0</v>
      </c>
      <c r="CF82" s="72">
        <v>0</v>
      </c>
      <c r="CG82" s="72">
        <v>0</v>
      </c>
      <c r="CH82" s="72">
        <v>0</v>
      </c>
      <c r="CI82" s="72">
        <v>0</v>
      </c>
      <c r="CJ82" s="72">
        <v>0</v>
      </c>
      <c r="CK82" s="72">
        <v>0</v>
      </c>
      <c r="CL82" s="72">
        <v>0</v>
      </c>
      <c r="CM82" s="72">
        <v>0</v>
      </c>
      <c r="CN82" s="72">
        <v>0</v>
      </c>
      <c r="CO82" s="72">
        <v>0</v>
      </c>
      <c r="CP82" s="72">
        <v>0</v>
      </c>
      <c r="CQ82" s="72">
        <v>0</v>
      </c>
      <c r="CR82" s="72">
        <v>0</v>
      </c>
      <c r="CS82" s="72">
        <v>0</v>
      </c>
      <c r="CT82" s="72">
        <v>0</v>
      </c>
      <c r="CU82" s="72">
        <v>0</v>
      </c>
      <c r="CV82" s="72">
        <v>0</v>
      </c>
      <c r="CW82" s="72">
        <v>0</v>
      </c>
      <c r="CX82" s="72">
        <v>0</v>
      </c>
      <c r="CY82" s="72">
        <v>0</v>
      </c>
      <c r="CZ82" s="72">
        <v>0</v>
      </c>
      <c r="DA82" s="72">
        <v>0</v>
      </c>
      <c r="DB82" s="72">
        <v>0</v>
      </c>
      <c r="DC82" s="72">
        <v>0</v>
      </c>
      <c r="DD82" s="72">
        <v>0</v>
      </c>
      <c r="DE82" s="72">
        <v>0</v>
      </c>
      <c r="DF82" s="72">
        <v>0</v>
      </c>
      <c r="DG82" s="72">
        <v>0</v>
      </c>
      <c r="DH82" s="72">
        <v>0</v>
      </c>
      <c r="DI82" s="72">
        <v>0</v>
      </c>
      <c r="DJ82" s="72">
        <v>0</v>
      </c>
      <c r="DK82" s="72">
        <v>0</v>
      </c>
      <c r="DL82" s="72">
        <v>0</v>
      </c>
      <c r="DM82" s="72">
        <v>0</v>
      </c>
    </row>
    <row r="83" spans="1:117" x14ac:dyDescent="0.35">
      <c r="A83" s="7"/>
      <c r="B83" s="77">
        <v>760253420</v>
      </c>
      <c r="C83" s="78" t="s">
        <v>1419</v>
      </c>
      <c r="D83" s="97" t="s">
        <v>123</v>
      </c>
      <c r="E83" s="92" t="s">
        <v>1213</v>
      </c>
      <c r="F83" s="10"/>
      <c r="G83" s="10"/>
      <c r="H83" s="10" t="s">
        <v>41</v>
      </c>
      <c r="I83" s="72"/>
      <c r="J83" s="10"/>
      <c r="K83" s="10"/>
      <c r="L83" s="8"/>
      <c r="M83" s="12">
        <v>20</v>
      </c>
      <c r="N83" s="12">
        <f t="shared" si="1"/>
        <v>0</v>
      </c>
      <c r="O83" s="72"/>
      <c r="P83" s="72"/>
      <c r="Q83" s="72"/>
      <c r="R83" s="72"/>
      <c r="S83" s="72"/>
      <c r="T83" s="72"/>
      <c r="U83" s="72"/>
      <c r="V83" s="72"/>
      <c r="W83" s="72"/>
      <c r="X83" s="72"/>
      <c r="Y83" s="72"/>
      <c r="Z83" s="72"/>
      <c r="AA83" s="72"/>
      <c r="AB83" s="72"/>
      <c r="AC83" s="72"/>
      <c r="AD83" s="72"/>
      <c r="AE83" s="72"/>
      <c r="AF83" s="72"/>
      <c r="AG83" s="72"/>
      <c r="AH83" s="72"/>
      <c r="AI83" s="72"/>
      <c r="AJ83" s="72"/>
      <c r="AK83" s="72"/>
      <c r="AL83" s="72"/>
      <c r="AM83" s="72"/>
      <c r="AN83" s="72"/>
      <c r="AO83" s="72"/>
      <c r="AP83" s="72"/>
      <c r="AQ83" s="72"/>
      <c r="AR83" s="72"/>
      <c r="AS83" s="72"/>
      <c r="AT83" s="72"/>
      <c r="AU83" s="72"/>
      <c r="AV83" s="72"/>
      <c r="AW83" s="72"/>
      <c r="AX83" s="72"/>
      <c r="AY83" s="72"/>
      <c r="AZ83" s="72"/>
      <c r="BA83" s="72"/>
      <c r="BB83" s="72"/>
      <c r="BC83" s="72"/>
      <c r="BD83" s="72"/>
      <c r="BE83" s="72"/>
      <c r="BF83" s="72"/>
      <c r="BG83" s="72"/>
      <c r="BH83" s="72"/>
      <c r="BI83" s="72"/>
      <c r="BJ83" s="72"/>
      <c r="BK83" s="72"/>
      <c r="BL83" s="72"/>
      <c r="BM83" s="72"/>
      <c r="BN83" s="72"/>
      <c r="BO83" s="72"/>
      <c r="BP83" s="72"/>
      <c r="BQ83" s="72"/>
      <c r="BR83" s="72"/>
      <c r="BS83" s="72"/>
      <c r="BT83" s="72"/>
      <c r="BU83" s="72"/>
      <c r="BV83" s="72"/>
      <c r="BW83" s="72"/>
      <c r="BX83" s="72"/>
      <c r="BY83" s="72">
        <v>1</v>
      </c>
      <c r="BZ83" s="72">
        <v>1</v>
      </c>
      <c r="CA83" s="72">
        <v>1</v>
      </c>
      <c r="CB83" s="72">
        <v>1</v>
      </c>
      <c r="CC83" s="72">
        <v>1</v>
      </c>
      <c r="CD83" s="72">
        <v>1</v>
      </c>
      <c r="CE83" s="72">
        <v>0</v>
      </c>
      <c r="CF83" s="72">
        <v>0</v>
      </c>
      <c r="CG83" s="72">
        <v>0</v>
      </c>
      <c r="CH83" s="72">
        <v>0</v>
      </c>
      <c r="CI83" s="72">
        <v>0</v>
      </c>
      <c r="CJ83" s="72">
        <v>0</v>
      </c>
      <c r="CK83" s="72">
        <v>0</v>
      </c>
      <c r="CL83" s="72">
        <v>0</v>
      </c>
      <c r="CM83" s="72">
        <v>0</v>
      </c>
      <c r="CN83" s="72">
        <v>0</v>
      </c>
      <c r="CO83" s="72">
        <v>0</v>
      </c>
      <c r="CP83" s="72">
        <v>0</v>
      </c>
      <c r="CQ83" s="72">
        <v>0</v>
      </c>
      <c r="CR83" s="72">
        <v>0</v>
      </c>
      <c r="CS83" s="72">
        <v>0</v>
      </c>
      <c r="CT83" s="72">
        <v>0</v>
      </c>
      <c r="CU83" s="72">
        <v>0</v>
      </c>
      <c r="CV83" s="72">
        <v>0</v>
      </c>
      <c r="CW83" s="72">
        <v>0</v>
      </c>
      <c r="CX83" s="72">
        <v>0</v>
      </c>
      <c r="CY83" s="72">
        <v>0</v>
      </c>
      <c r="CZ83" s="72">
        <v>0</v>
      </c>
      <c r="DA83" s="72">
        <v>0</v>
      </c>
      <c r="DB83" s="72">
        <v>0</v>
      </c>
      <c r="DC83" s="72">
        <v>0</v>
      </c>
      <c r="DD83" s="72">
        <v>0</v>
      </c>
      <c r="DE83" s="72">
        <v>0</v>
      </c>
      <c r="DF83" s="72">
        <v>0</v>
      </c>
      <c r="DG83" s="72">
        <v>0</v>
      </c>
      <c r="DH83" s="72">
        <v>0</v>
      </c>
      <c r="DI83" s="72">
        <v>0</v>
      </c>
      <c r="DJ83" s="72">
        <v>0</v>
      </c>
      <c r="DK83" s="72">
        <v>0</v>
      </c>
      <c r="DL83" s="72">
        <v>0</v>
      </c>
      <c r="DM83" s="72">
        <v>0</v>
      </c>
    </row>
    <row r="84" spans="1:117" x14ac:dyDescent="0.35">
      <c r="A84" s="7"/>
      <c r="B84" s="77" t="s">
        <v>1411</v>
      </c>
      <c r="C84" s="78" t="s">
        <v>1420</v>
      </c>
      <c r="D84" s="97" t="s">
        <v>123</v>
      </c>
      <c r="E84" s="92" t="s">
        <v>1205</v>
      </c>
      <c r="F84" s="10"/>
      <c r="G84" s="10"/>
      <c r="H84" s="10" t="s">
        <v>41</v>
      </c>
      <c r="I84" s="72"/>
      <c r="J84" s="10"/>
      <c r="K84" s="10"/>
      <c r="L84" s="8"/>
      <c r="M84" s="12">
        <v>55.15</v>
      </c>
      <c r="N84" s="12">
        <f t="shared" si="1"/>
        <v>0</v>
      </c>
      <c r="O84" s="72"/>
      <c r="P84" s="72"/>
      <c r="Q84" s="72"/>
      <c r="R84" s="72"/>
      <c r="S84" s="72"/>
      <c r="T84" s="72"/>
      <c r="U84" s="72"/>
      <c r="V84" s="72"/>
      <c r="W84" s="72"/>
      <c r="X84" s="72"/>
      <c r="Y84" s="72"/>
      <c r="Z84" s="72"/>
      <c r="AA84" s="72"/>
      <c r="AB84" s="72"/>
      <c r="AC84" s="72"/>
      <c r="AD84" s="72"/>
      <c r="AE84" s="72"/>
      <c r="AF84" s="72"/>
      <c r="AG84" s="72"/>
      <c r="AH84" s="72"/>
      <c r="AI84" s="72"/>
      <c r="AJ84" s="72"/>
      <c r="AK84" s="72"/>
      <c r="AL84" s="72"/>
      <c r="AM84" s="72"/>
      <c r="AN84" s="72"/>
      <c r="AO84" s="72"/>
      <c r="AP84" s="72"/>
      <c r="AQ84" s="72"/>
      <c r="AR84" s="72"/>
      <c r="AS84" s="72"/>
      <c r="AT84" s="72"/>
      <c r="AU84" s="72"/>
      <c r="AV84" s="72"/>
      <c r="AW84" s="72"/>
      <c r="AX84" s="72"/>
      <c r="AY84" s="72"/>
      <c r="AZ84" s="72"/>
      <c r="BA84" s="72"/>
      <c r="BB84" s="72"/>
      <c r="BC84" s="72"/>
      <c r="BD84" s="72"/>
      <c r="BE84" s="72"/>
      <c r="BF84" s="72"/>
      <c r="BG84" s="72"/>
      <c r="BH84" s="72"/>
      <c r="BI84" s="72"/>
      <c r="BJ84" s="72"/>
      <c r="BK84" s="72"/>
      <c r="BL84" s="72"/>
      <c r="BM84" s="72"/>
      <c r="BN84" s="72"/>
      <c r="BO84" s="72"/>
      <c r="BP84" s="72"/>
      <c r="BQ84" s="72"/>
      <c r="BR84" s="72"/>
      <c r="BS84" s="72"/>
      <c r="BT84" s="72"/>
      <c r="BU84" s="72"/>
      <c r="BV84" s="72"/>
      <c r="BW84" s="72"/>
      <c r="BX84" s="72"/>
      <c r="BY84" s="72">
        <v>2</v>
      </c>
      <c r="BZ84" s="72">
        <v>2</v>
      </c>
      <c r="CA84" s="72">
        <v>2</v>
      </c>
      <c r="CB84" s="72">
        <v>2</v>
      </c>
      <c r="CC84" s="72">
        <v>4</v>
      </c>
      <c r="CD84" s="72">
        <v>4</v>
      </c>
      <c r="CE84" s="72">
        <v>2</v>
      </c>
      <c r="CF84" s="72">
        <v>0</v>
      </c>
      <c r="CG84" s="72">
        <v>0</v>
      </c>
      <c r="CH84" s="72">
        <v>0</v>
      </c>
      <c r="CI84" s="72">
        <v>0</v>
      </c>
      <c r="CJ84" s="72">
        <v>0</v>
      </c>
      <c r="CK84" s="72">
        <v>0</v>
      </c>
      <c r="CL84" s="72">
        <v>0</v>
      </c>
      <c r="CM84" s="72">
        <v>0</v>
      </c>
      <c r="CN84" s="72">
        <v>0</v>
      </c>
      <c r="CO84" s="72">
        <v>0</v>
      </c>
      <c r="CP84" s="72">
        <v>0</v>
      </c>
      <c r="CQ84" s="72">
        <v>0</v>
      </c>
      <c r="CR84" s="72">
        <v>0</v>
      </c>
      <c r="CS84" s="72">
        <v>0</v>
      </c>
      <c r="CT84" s="72">
        <v>0</v>
      </c>
      <c r="CU84" s="72">
        <v>0</v>
      </c>
      <c r="CV84" s="72">
        <v>0</v>
      </c>
      <c r="CW84" s="72">
        <v>0</v>
      </c>
      <c r="CX84" s="72">
        <v>0</v>
      </c>
      <c r="CY84" s="72">
        <v>0</v>
      </c>
      <c r="CZ84" s="72">
        <v>0</v>
      </c>
      <c r="DA84" s="72">
        <v>0</v>
      </c>
      <c r="DB84" s="72">
        <v>0</v>
      </c>
      <c r="DC84" s="72">
        <v>0</v>
      </c>
      <c r="DD84" s="72">
        <v>0</v>
      </c>
      <c r="DE84" s="72">
        <v>0</v>
      </c>
      <c r="DF84" s="72">
        <v>0</v>
      </c>
      <c r="DG84" s="72">
        <v>0</v>
      </c>
      <c r="DH84" s="72">
        <v>0</v>
      </c>
      <c r="DI84" s="72">
        <v>0</v>
      </c>
      <c r="DJ84" s="72">
        <v>0</v>
      </c>
      <c r="DK84" s="72">
        <v>0</v>
      </c>
      <c r="DL84" s="72">
        <v>0</v>
      </c>
      <c r="DM84" s="72">
        <v>0</v>
      </c>
    </row>
    <row r="85" spans="1:117" x14ac:dyDescent="0.35">
      <c r="A85" s="7"/>
      <c r="B85" s="77" t="s">
        <v>959</v>
      </c>
      <c r="C85" s="78" t="s">
        <v>1421</v>
      </c>
      <c r="D85" s="97" t="s">
        <v>123</v>
      </c>
      <c r="E85" s="92" t="s">
        <v>1205</v>
      </c>
      <c r="F85" s="10"/>
      <c r="G85" s="10"/>
      <c r="H85" s="10" t="s">
        <v>41</v>
      </c>
      <c r="I85" s="72"/>
      <c r="J85" s="10"/>
      <c r="K85" s="10"/>
      <c r="L85" s="8"/>
      <c r="M85" s="12">
        <v>0</v>
      </c>
      <c r="N85" s="12">
        <f t="shared" si="1"/>
        <v>0</v>
      </c>
      <c r="O85" s="72"/>
      <c r="P85" s="72"/>
      <c r="Q85" s="72"/>
      <c r="R85" s="72"/>
      <c r="S85" s="72"/>
      <c r="T85" s="72"/>
      <c r="U85" s="72"/>
      <c r="V85" s="72"/>
      <c r="W85" s="72"/>
      <c r="X85" s="72"/>
      <c r="Y85" s="72"/>
      <c r="Z85" s="72"/>
      <c r="AA85" s="72"/>
      <c r="AB85" s="72"/>
      <c r="AC85" s="72"/>
      <c r="AD85" s="72"/>
      <c r="AE85" s="72"/>
      <c r="AF85" s="72"/>
      <c r="AG85" s="72"/>
      <c r="AH85" s="72"/>
      <c r="AI85" s="72"/>
      <c r="AJ85" s="72"/>
      <c r="AK85" s="72"/>
      <c r="AL85" s="72"/>
      <c r="AM85" s="72"/>
      <c r="AN85" s="72"/>
      <c r="AO85" s="72"/>
      <c r="AP85" s="72"/>
      <c r="AQ85" s="72"/>
      <c r="AR85" s="72"/>
      <c r="AS85" s="72"/>
      <c r="AT85" s="72"/>
      <c r="AU85" s="72"/>
      <c r="AV85" s="72"/>
      <c r="AW85" s="72"/>
      <c r="AX85" s="72"/>
      <c r="AY85" s="72"/>
      <c r="AZ85" s="72"/>
      <c r="BA85" s="72"/>
      <c r="BB85" s="72"/>
      <c r="BC85" s="72"/>
      <c r="BD85" s="72"/>
      <c r="BE85" s="72"/>
      <c r="BF85" s="72"/>
      <c r="BG85" s="72"/>
      <c r="BH85" s="72"/>
      <c r="BI85" s="72"/>
      <c r="BJ85" s="72"/>
      <c r="BK85" s="72"/>
      <c r="BL85" s="72"/>
      <c r="BM85" s="72"/>
      <c r="BN85" s="72"/>
      <c r="BO85" s="72"/>
      <c r="BP85" s="72"/>
      <c r="BQ85" s="72"/>
      <c r="BR85" s="72"/>
      <c r="BS85" s="72"/>
      <c r="BT85" s="72"/>
      <c r="BU85" s="72"/>
      <c r="BV85" s="72"/>
      <c r="BW85" s="72"/>
      <c r="BX85" s="72"/>
      <c r="BY85" s="72">
        <v>2</v>
      </c>
      <c r="BZ85" s="72">
        <v>2</v>
      </c>
      <c r="CA85" s="72">
        <v>2</v>
      </c>
      <c r="CB85" s="72">
        <v>2</v>
      </c>
      <c r="CC85" s="72">
        <v>2</v>
      </c>
      <c r="CD85" s="72">
        <v>2</v>
      </c>
      <c r="CE85" s="72">
        <v>0</v>
      </c>
      <c r="CF85" s="72">
        <v>0</v>
      </c>
      <c r="CG85" s="72">
        <v>0</v>
      </c>
      <c r="CH85" s="72">
        <v>2</v>
      </c>
      <c r="CI85" s="72">
        <v>1</v>
      </c>
      <c r="CJ85" s="72">
        <v>1</v>
      </c>
      <c r="CK85" s="72">
        <v>1</v>
      </c>
      <c r="CL85" s="72">
        <v>1</v>
      </c>
      <c r="CM85" s="72">
        <v>1</v>
      </c>
      <c r="CN85" s="72">
        <v>1</v>
      </c>
      <c r="CO85" s="72">
        <v>1</v>
      </c>
      <c r="CP85" s="72">
        <v>1</v>
      </c>
      <c r="CQ85" s="72">
        <v>1</v>
      </c>
      <c r="CR85" s="72">
        <v>1</v>
      </c>
      <c r="CS85" s="72">
        <v>0</v>
      </c>
      <c r="CT85" s="72">
        <v>0</v>
      </c>
      <c r="CU85" s="72">
        <v>0</v>
      </c>
      <c r="CV85" s="72">
        <v>0</v>
      </c>
      <c r="CW85" s="72">
        <v>0</v>
      </c>
      <c r="CX85" s="72">
        <v>0</v>
      </c>
      <c r="CY85" s="72">
        <v>0</v>
      </c>
      <c r="CZ85" s="72">
        <v>0</v>
      </c>
      <c r="DA85" s="72">
        <v>0</v>
      </c>
      <c r="DB85" s="72">
        <v>0</v>
      </c>
      <c r="DC85" s="72">
        <v>0</v>
      </c>
      <c r="DD85" s="72">
        <v>0</v>
      </c>
      <c r="DE85" s="72">
        <v>0</v>
      </c>
      <c r="DF85" s="72">
        <v>0</v>
      </c>
      <c r="DG85" s="72">
        <v>0</v>
      </c>
      <c r="DH85" s="72">
        <v>0</v>
      </c>
      <c r="DI85" s="72">
        <v>0</v>
      </c>
      <c r="DJ85" s="72">
        <v>0</v>
      </c>
      <c r="DK85" s="72">
        <v>0</v>
      </c>
      <c r="DL85" s="72">
        <v>0</v>
      </c>
      <c r="DM85" s="72">
        <v>0</v>
      </c>
    </row>
    <row r="86" spans="1:117" x14ac:dyDescent="0.35">
      <c r="A86" s="7"/>
      <c r="B86" s="77">
        <v>760254741</v>
      </c>
      <c r="C86" s="78" t="s">
        <v>1423</v>
      </c>
      <c r="D86" s="97" t="s">
        <v>123</v>
      </c>
      <c r="E86" s="92" t="s">
        <v>1212</v>
      </c>
      <c r="F86" s="10"/>
      <c r="G86" s="10"/>
      <c r="H86" s="10" t="s">
        <v>95</v>
      </c>
      <c r="I86" s="72"/>
      <c r="J86" s="10"/>
      <c r="K86" s="10"/>
      <c r="L86" s="8"/>
      <c r="M86" s="12">
        <v>1.45</v>
      </c>
      <c r="N86" s="12">
        <f t="shared" si="1"/>
        <v>0</v>
      </c>
      <c r="O86" s="72"/>
      <c r="P86" s="72"/>
      <c r="Q86" s="72"/>
      <c r="R86" s="72"/>
      <c r="S86" s="72"/>
      <c r="T86" s="72"/>
      <c r="U86" s="72"/>
      <c r="V86" s="72"/>
      <c r="W86" s="72"/>
      <c r="X86" s="72"/>
      <c r="Y86" s="72"/>
      <c r="Z86" s="72"/>
      <c r="AA86" s="72"/>
      <c r="AB86" s="72"/>
      <c r="AC86" s="72"/>
      <c r="AD86" s="72"/>
      <c r="AE86" s="72"/>
      <c r="AF86" s="72"/>
      <c r="AG86" s="72"/>
      <c r="AH86" s="72"/>
      <c r="AI86" s="72"/>
      <c r="AJ86" s="72"/>
      <c r="AK86" s="72"/>
      <c r="AL86" s="72"/>
      <c r="AM86" s="72"/>
      <c r="AN86" s="72"/>
      <c r="AO86" s="72"/>
      <c r="AP86" s="72"/>
      <c r="AQ86" s="72"/>
      <c r="AR86" s="72"/>
      <c r="AS86" s="72"/>
      <c r="AT86" s="72"/>
      <c r="AU86" s="72"/>
      <c r="AV86" s="72"/>
      <c r="AW86" s="72"/>
      <c r="AX86" s="72"/>
      <c r="AY86" s="72"/>
      <c r="AZ86" s="72"/>
      <c r="BA86" s="72"/>
      <c r="BB86" s="72"/>
      <c r="BC86" s="72"/>
      <c r="BD86" s="72"/>
      <c r="BE86" s="72"/>
      <c r="BF86" s="72"/>
      <c r="BG86" s="72"/>
      <c r="BH86" s="72"/>
      <c r="BI86" s="72"/>
      <c r="BJ86" s="72"/>
      <c r="BK86" s="72"/>
      <c r="BL86" s="72"/>
      <c r="BM86" s="72"/>
      <c r="BN86" s="72"/>
      <c r="BO86" s="72"/>
      <c r="BP86" s="72"/>
      <c r="BQ86" s="72"/>
      <c r="BR86" s="72"/>
      <c r="BS86" s="72"/>
      <c r="BT86" s="72"/>
      <c r="BU86" s="72"/>
      <c r="BV86" s="72"/>
      <c r="BW86" s="72"/>
      <c r="BX86" s="72"/>
      <c r="BY86" s="72"/>
      <c r="BZ86" s="72">
        <v>1000</v>
      </c>
      <c r="CA86" s="72">
        <v>650</v>
      </c>
      <c r="CB86" s="72">
        <v>650</v>
      </c>
      <c r="CC86" s="72">
        <v>650</v>
      </c>
      <c r="CD86" s="72">
        <v>650</v>
      </c>
      <c r="CE86" s="72">
        <v>0</v>
      </c>
      <c r="CF86" s="72">
        <v>0</v>
      </c>
      <c r="CG86" s="72">
        <v>0</v>
      </c>
      <c r="CH86" s="72">
        <v>0</v>
      </c>
      <c r="CI86" s="72">
        <v>0</v>
      </c>
      <c r="CJ86" s="72">
        <v>0</v>
      </c>
      <c r="CK86" s="72">
        <v>0</v>
      </c>
      <c r="CL86" s="72">
        <v>0</v>
      </c>
      <c r="CM86" s="72">
        <v>0</v>
      </c>
      <c r="CN86" s="72">
        <v>0</v>
      </c>
      <c r="CO86" s="72">
        <v>0</v>
      </c>
      <c r="CP86" s="72">
        <v>0</v>
      </c>
      <c r="CQ86" s="72">
        <v>0</v>
      </c>
      <c r="CR86" s="72">
        <v>0</v>
      </c>
      <c r="CS86" s="72">
        <v>0</v>
      </c>
      <c r="CT86" s="72">
        <v>0</v>
      </c>
      <c r="CU86" s="72">
        <v>0</v>
      </c>
      <c r="CV86" s="72">
        <v>0</v>
      </c>
      <c r="CW86" s="72">
        <v>0</v>
      </c>
      <c r="CX86" s="72">
        <v>0</v>
      </c>
      <c r="CY86" s="72">
        <v>0</v>
      </c>
      <c r="CZ86" s="72">
        <v>0</v>
      </c>
      <c r="DA86" s="72">
        <v>0</v>
      </c>
      <c r="DB86" s="72">
        <v>0</v>
      </c>
      <c r="DC86" s="72">
        <v>0</v>
      </c>
      <c r="DD86" s="72">
        <v>0</v>
      </c>
      <c r="DE86" s="72">
        <v>0</v>
      </c>
      <c r="DF86" s="72">
        <v>0</v>
      </c>
      <c r="DG86" s="72">
        <v>0</v>
      </c>
      <c r="DH86" s="72">
        <v>0</v>
      </c>
      <c r="DI86" s="72">
        <v>0</v>
      </c>
      <c r="DJ86" s="72">
        <v>0</v>
      </c>
      <c r="DK86" s="72">
        <v>0</v>
      </c>
      <c r="DL86" s="72">
        <v>0</v>
      </c>
      <c r="DM86" s="72">
        <v>0</v>
      </c>
    </row>
    <row r="87" spans="1:117" x14ac:dyDescent="0.35">
      <c r="A87" s="7"/>
      <c r="B87" s="77">
        <v>760248525</v>
      </c>
      <c r="C87" s="78" t="s">
        <v>1467</v>
      </c>
      <c r="D87" s="97" t="s">
        <v>123</v>
      </c>
      <c r="E87" s="92" t="s">
        <v>1205</v>
      </c>
      <c r="F87" s="10"/>
      <c r="G87" s="10"/>
      <c r="H87" s="10"/>
      <c r="I87" s="72"/>
      <c r="J87" s="10"/>
      <c r="K87" s="10"/>
      <c r="L87" s="8"/>
      <c r="M87" s="12">
        <v>2.7</v>
      </c>
      <c r="N87" s="12">
        <f t="shared" si="1"/>
        <v>0</v>
      </c>
      <c r="O87" s="72"/>
      <c r="P87" s="72"/>
      <c r="Q87" s="72"/>
      <c r="R87" s="72"/>
      <c r="S87" s="72"/>
      <c r="T87" s="72"/>
      <c r="U87" s="72"/>
      <c r="V87" s="72"/>
      <c r="W87" s="72"/>
      <c r="X87" s="72"/>
      <c r="Y87" s="72"/>
      <c r="Z87" s="72"/>
      <c r="AA87" s="72"/>
      <c r="AB87" s="72"/>
      <c r="AC87" s="72"/>
      <c r="AD87" s="72"/>
      <c r="AE87" s="72"/>
      <c r="AF87" s="72"/>
      <c r="AG87" s="72"/>
      <c r="AH87" s="72"/>
      <c r="AI87" s="72"/>
      <c r="AJ87" s="72"/>
      <c r="AK87" s="72"/>
      <c r="AL87" s="72"/>
      <c r="AM87" s="72"/>
      <c r="AN87" s="72"/>
      <c r="AO87" s="72"/>
      <c r="AP87" s="72"/>
      <c r="AQ87" s="72"/>
      <c r="AR87" s="72"/>
      <c r="AS87" s="72"/>
      <c r="AT87" s="72"/>
      <c r="AU87" s="72"/>
      <c r="AV87" s="72"/>
      <c r="AW87" s="72"/>
      <c r="AX87" s="72"/>
      <c r="AY87" s="72"/>
      <c r="AZ87" s="72"/>
      <c r="BA87" s="72"/>
      <c r="BB87" s="72"/>
      <c r="BC87" s="72"/>
      <c r="BD87" s="72"/>
      <c r="BE87" s="72"/>
      <c r="BF87" s="72"/>
      <c r="BG87" s="72"/>
      <c r="BH87" s="72"/>
      <c r="BI87" s="72"/>
      <c r="BJ87" s="72"/>
      <c r="BK87" s="72"/>
      <c r="BL87" s="72"/>
      <c r="BM87" s="72"/>
      <c r="BN87" s="72"/>
      <c r="BO87" s="72"/>
      <c r="BP87" s="72"/>
      <c r="BQ87" s="72"/>
      <c r="BR87" s="72"/>
      <c r="BS87" s="72"/>
      <c r="BT87" s="72"/>
      <c r="BU87" s="72"/>
      <c r="BV87" s="72"/>
      <c r="BW87" s="72"/>
      <c r="BX87" s="72"/>
      <c r="BY87" s="72"/>
      <c r="BZ87" s="72"/>
      <c r="CA87" s="72"/>
      <c r="CB87" s="72"/>
      <c r="CC87" s="72">
        <v>526</v>
      </c>
      <c r="CD87" s="72">
        <v>526</v>
      </c>
      <c r="CE87" s="72">
        <v>376</v>
      </c>
      <c r="CF87" s="72">
        <v>376</v>
      </c>
      <c r="CG87" s="72">
        <v>376</v>
      </c>
      <c r="CH87" s="72">
        <v>376</v>
      </c>
      <c r="CI87" s="72">
        <v>376</v>
      </c>
      <c r="CJ87" s="72">
        <v>376</v>
      </c>
      <c r="CK87" s="72">
        <v>376</v>
      </c>
      <c r="CL87" s="72">
        <v>376</v>
      </c>
      <c r="CM87" s="72">
        <v>371</v>
      </c>
      <c r="CN87" s="72">
        <v>371</v>
      </c>
      <c r="CO87" s="72">
        <v>371</v>
      </c>
      <c r="CP87" s="72">
        <v>371</v>
      </c>
      <c r="CQ87" s="72">
        <v>371</v>
      </c>
      <c r="CR87" s="72">
        <v>371</v>
      </c>
      <c r="CS87" s="72">
        <v>371</v>
      </c>
      <c r="CT87" s="72">
        <v>371</v>
      </c>
      <c r="CU87" s="72">
        <v>371</v>
      </c>
      <c r="CV87" s="72">
        <v>371</v>
      </c>
      <c r="CW87" s="72">
        <v>371</v>
      </c>
      <c r="CX87" s="72">
        <v>371</v>
      </c>
      <c r="CY87" s="72">
        <v>0</v>
      </c>
      <c r="CZ87" s="72">
        <v>0</v>
      </c>
      <c r="DA87" s="72">
        <v>0</v>
      </c>
      <c r="DB87" s="72">
        <v>0</v>
      </c>
      <c r="DC87" s="72">
        <v>0</v>
      </c>
      <c r="DD87" s="72">
        <v>0</v>
      </c>
      <c r="DE87" s="72">
        <v>0</v>
      </c>
      <c r="DF87" s="72">
        <v>0</v>
      </c>
      <c r="DG87" s="72">
        <v>0</v>
      </c>
      <c r="DH87" s="72">
        <v>0</v>
      </c>
      <c r="DI87" s="72">
        <v>0</v>
      </c>
      <c r="DJ87" s="72">
        <v>0</v>
      </c>
      <c r="DK87" s="72">
        <v>0</v>
      </c>
      <c r="DL87" s="72">
        <v>0</v>
      </c>
      <c r="DM87" s="72">
        <v>0</v>
      </c>
    </row>
    <row r="88" spans="1:117" x14ac:dyDescent="0.35">
      <c r="A88" s="7"/>
      <c r="B88" s="77">
        <v>760248968</v>
      </c>
      <c r="C88" s="78" t="s">
        <v>1554</v>
      </c>
      <c r="D88" s="97" t="s">
        <v>123</v>
      </c>
      <c r="E88" s="92" t="s">
        <v>1205</v>
      </c>
      <c r="F88" s="10"/>
      <c r="G88" s="10"/>
      <c r="H88" s="10"/>
      <c r="I88" s="72"/>
      <c r="J88" s="10"/>
      <c r="K88" s="10"/>
      <c r="L88" s="8"/>
      <c r="M88" s="12">
        <v>390</v>
      </c>
      <c r="N88" s="12">
        <f t="shared" si="1"/>
        <v>3900</v>
      </c>
      <c r="O88" s="72"/>
      <c r="P88" s="72"/>
      <c r="Q88" s="72"/>
      <c r="R88" s="72"/>
      <c r="S88" s="72"/>
      <c r="T88" s="72"/>
      <c r="U88" s="72"/>
      <c r="V88" s="72"/>
      <c r="W88" s="72"/>
      <c r="X88" s="72"/>
      <c r="Y88" s="72"/>
      <c r="Z88" s="72"/>
      <c r="AA88" s="72"/>
      <c r="AB88" s="72"/>
      <c r="AC88" s="72"/>
      <c r="AD88" s="72"/>
      <c r="AE88" s="72"/>
      <c r="AF88" s="72"/>
      <c r="AG88" s="72"/>
      <c r="AH88" s="72"/>
      <c r="AI88" s="72"/>
      <c r="AJ88" s="72"/>
      <c r="AK88" s="72"/>
      <c r="AL88" s="72"/>
      <c r="AM88" s="72"/>
      <c r="AN88" s="72"/>
      <c r="AO88" s="72"/>
      <c r="AP88" s="72"/>
      <c r="AQ88" s="72"/>
      <c r="AR88" s="72"/>
      <c r="AS88" s="72"/>
      <c r="AT88" s="72"/>
      <c r="AU88" s="72"/>
      <c r="AV88" s="72"/>
      <c r="AW88" s="72"/>
      <c r="AX88" s="72"/>
      <c r="AY88" s="72"/>
      <c r="AZ88" s="72"/>
      <c r="BA88" s="72"/>
      <c r="BB88" s="72"/>
      <c r="BC88" s="72"/>
      <c r="BD88" s="72"/>
      <c r="BE88" s="72"/>
      <c r="BF88" s="72"/>
      <c r="BG88" s="72"/>
      <c r="BH88" s="72"/>
      <c r="BI88" s="72"/>
      <c r="BJ88" s="72"/>
      <c r="BK88" s="72"/>
      <c r="BL88" s="72"/>
      <c r="BM88" s="72"/>
      <c r="BN88" s="72"/>
      <c r="BO88" s="72"/>
      <c r="BP88" s="72"/>
      <c r="BQ88" s="72"/>
      <c r="BR88" s="72"/>
      <c r="BS88" s="72"/>
      <c r="BT88" s="72"/>
      <c r="BU88" s="72"/>
      <c r="BV88" s="72"/>
      <c r="BW88" s="72"/>
      <c r="BX88" s="72"/>
      <c r="BY88" s="72"/>
      <c r="BZ88" s="72"/>
      <c r="CA88" s="72"/>
      <c r="CB88" s="72"/>
      <c r="CC88" s="72"/>
      <c r="CD88" s="72"/>
      <c r="CE88" s="72"/>
      <c r="CF88" s="72"/>
      <c r="CG88" s="72"/>
      <c r="CH88" s="72"/>
      <c r="CI88" s="72"/>
      <c r="CJ88" s="72"/>
      <c r="CK88" s="72"/>
      <c r="CL88" s="72"/>
      <c r="CM88" s="72"/>
      <c r="CN88" s="72"/>
      <c r="CO88" s="72"/>
      <c r="CP88" s="72"/>
      <c r="CQ88" s="72"/>
      <c r="CR88" s="72"/>
      <c r="CS88" s="72"/>
      <c r="CT88" s="72"/>
      <c r="CU88" s="72"/>
      <c r="CV88" s="72"/>
      <c r="CW88" s="72"/>
      <c r="CX88" s="72"/>
      <c r="CY88" s="72"/>
      <c r="CZ88" s="72"/>
      <c r="DA88" s="72"/>
      <c r="DB88" s="72"/>
      <c r="DC88" s="72"/>
      <c r="DD88" s="72"/>
      <c r="DE88" s="72"/>
      <c r="DF88" s="72"/>
      <c r="DG88" s="72"/>
      <c r="DH88" s="72"/>
      <c r="DI88" s="72"/>
      <c r="DJ88" s="72">
        <v>10</v>
      </c>
      <c r="DK88" s="72">
        <v>10</v>
      </c>
      <c r="DL88" s="72">
        <v>10</v>
      </c>
      <c r="DM88" s="72">
        <v>10</v>
      </c>
    </row>
    <row r="89" spans="1:117" x14ac:dyDescent="0.35">
      <c r="A89" s="7"/>
      <c r="B89" s="77" t="s">
        <v>1230</v>
      </c>
      <c r="C89" s="78" t="s">
        <v>1239</v>
      </c>
      <c r="D89" s="10" t="s">
        <v>152</v>
      </c>
      <c r="E89" s="8" t="s">
        <v>1214</v>
      </c>
      <c r="F89" s="10">
        <v>1003</v>
      </c>
      <c r="G89" s="10" t="s">
        <v>40</v>
      </c>
      <c r="H89" s="10" t="s">
        <v>41</v>
      </c>
      <c r="I89" s="11"/>
      <c r="J89" s="10"/>
      <c r="K89" s="10"/>
      <c r="L89" s="8"/>
      <c r="M89" s="12"/>
      <c r="N89" s="12">
        <f t="shared" si="1"/>
        <v>0</v>
      </c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  <c r="AL89" s="11"/>
      <c r="AM89" s="11"/>
      <c r="AN89" s="72"/>
      <c r="AO89" s="72"/>
      <c r="AP89" s="72"/>
      <c r="AQ89" s="72"/>
      <c r="AR89" s="72">
        <v>2</v>
      </c>
      <c r="AS89" s="72">
        <v>2</v>
      </c>
      <c r="AT89" s="72">
        <v>2</v>
      </c>
      <c r="AU89" s="72">
        <v>2</v>
      </c>
      <c r="AV89" s="72">
        <v>2</v>
      </c>
      <c r="AW89" s="72">
        <v>2</v>
      </c>
      <c r="AX89" s="72">
        <v>2</v>
      </c>
      <c r="AY89" s="72">
        <v>2</v>
      </c>
      <c r="AZ89" s="72">
        <v>2</v>
      </c>
      <c r="BA89" s="72">
        <v>2</v>
      </c>
      <c r="BB89" s="72">
        <v>2</v>
      </c>
      <c r="BC89" s="72">
        <v>2</v>
      </c>
      <c r="BD89" s="72">
        <v>2</v>
      </c>
      <c r="BE89" s="72">
        <v>2</v>
      </c>
      <c r="BF89" s="72">
        <v>2</v>
      </c>
      <c r="BG89" s="72">
        <v>2</v>
      </c>
      <c r="BH89" s="72">
        <v>2</v>
      </c>
      <c r="BI89" s="72">
        <v>2</v>
      </c>
      <c r="BJ89" s="72">
        <v>2</v>
      </c>
      <c r="BK89" s="72">
        <v>2</v>
      </c>
      <c r="BL89" s="72">
        <v>2</v>
      </c>
      <c r="BM89" s="72">
        <v>2</v>
      </c>
      <c r="BN89" s="72">
        <v>2</v>
      </c>
      <c r="BO89" s="72">
        <v>2</v>
      </c>
      <c r="BP89" s="72">
        <v>2</v>
      </c>
      <c r="BQ89" s="72">
        <v>2</v>
      </c>
      <c r="BR89" s="72">
        <v>2</v>
      </c>
      <c r="BS89" s="72">
        <v>2</v>
      </c>
      <c r="BT89" s="72">
        <v>2</v>
      </c>
      <c r="BU89" s="72">
        <v>2</v>
      </c>
      <c r="BV89" s="72">
        <v>2</v>
      </c>
      <c r="BW89" s="72">
        <v>2</v>
      </c>
      <c r="BX89" s="72">
        <v>2</v>
      </c>
      <c r="BY89" s="72">
        <v>2</v>
      </c>
      <c r="BZ89" s="72">
        <v>2</v>
      </c>
      <c r="CA89" s="72">
        <v>2</v>
      </c>
      <c r="CB89" s="72">
        <v>2</v>
      </c>
      <c r="CC89" s="72">
        <v>2</v>
      </c>
      <c r="CD89" s="72">
        <v>2</v>
      </c>
      <c r="CE89" s="72">
        <v>2</v>
      </c>
      <c r="CF89" s="72">
        <v>2</v>
      </c>
      <c r="CG89" s="72">
        <v>2</v>
      </c>
      <c r="CH89" s="72">
        <v>2</v>
      </c>
      <c r="CI89" s="72">
        <v>2</v>
      </c>
      <c r="CJ89" s="72">
        <v>2</v>
      </c>
      <c r="CK89" s="72">
        <v>2</v>
      </c>
      <c r="CL89" s="72">
        <v>2</v>
      </c>
      <c r="CM89" s="72">
        <v>2</v>
      </c>
      <c r="CN89" s="72">
        <v>2</v>
      </c>
      <c r="CO89" s="72">
        <v>2</v>
      </c>
      <c r="CP89" s="72">
        <v>2</v>
      </c>
      <c r="CQ89" s="72">
        <v>2</v>
      </c>
      <c r="CR89" s="72">
        <v>2</v>
      </c>
      <c r="CS89" s="72">
        <v>2</v>
      </c>
      <c r="CT89" s="72">
        <v>2</v>
      </c>
      <c r="CU89" s="72">
        <v>2</v>
      </c>
      <c r="CV89" s="72">
        <v>2</v>
      </c>
      <c r="CW89" s="72">
        <v>2</v>
      </c>
      <c r="CX89" s="72">
        <v>2</v>
      </c>
      <c r="CY89" s="72">
        <v>2</v>
      </c>
      <c r="CZ89" s="72">
        <v>2</v>
      </c>
      <c r="DA89" s="72">
        <v>2</v>
      </c>
      <c r="DB89" s="72">
        <v>2</v>
      </c>
      <c r="DC89" s="72">
        <v>2</v>
      </c>
      <c r="DD89" s="72">
        <v>2</v>
      </c>
      <c r="DE89" s="72">
        <v>2</v>
      </c>
      <c r="DF89" s="72">
        <v>2</v>
      </c>
      <c r="DG89" s="72">
        <v>2</v>
      </c>
      <c r="DH89" s="72">
        <v>2</v>
      </c>
      <c r="DI89" s="72">
        <v>2</v>
      </c>
      <c r="DJ89" s="72">
        <v>2</v>
      </c>
      <c r="DK89" s="72">
        <v>2</v>
      </c>
      <c r="DL89" s="72">
        <v>2</v>
      </c>
      <c r="DM89" s="72">
        <v>2</v>
      </c>
    </row>
    <row r="90" spans="1:117" x14ac:dyDescent="0.35">
      <c r="A90" s="7"/>
      <c r="B90" s="8" t="s">
        <v>150</v>
      </c>
      <c r="C90" s="9" t="s">
        <v>151</v>
      </c>
      <c r="D90" s="10" t="s">
        <v>152</v>
      </c>
      <c r="E90" s="8" t="s">
        <v>1214</v>
      </c>
      <c r="F90" s="10">
        <v>1003</v>
      </c>
      <c r="G90" s="10" t="s">
        <v>40</v>
      </c>
      <c r="H90" s="10" t="s">
        <v>41</v>
      </c>
      <c r="I90" s="11">
        <v>1</v>
      </c>
      <c r="J90" s="10"/>
      <c r="K90" s="10" t="s">
        <v>153</v>
      </c>
      <c r="L90" s="8" t="s">
        <v>154</v>
      </c>
      <c r="M90" s="12"/>
      <c r="N90" s="12">
        <f t="shared" si="1"/>
        <v>0</v>
      </c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>
        <v>1</v>
      </c>
      <c r="AF90" s="11">
        <v>1</v>
      </c>
      <c r="AG90" s="11">
        <v>1</v>
      </c>
      <c r="AH90" s="11">
        <v>1</v>
      </c>
      <c r="AI90" s="11">
        <v>1</v>
      </c>
      <c r="AJ90" s="11">
        <v>1</v>
      </c>
      <c r="AK90" s="11">
        <v>1</v>
      </c>
      <c r="AL90" s="11">
        <v>1</v>
      </c>
      <c r="AM90" s="11">
        <v>0</v>
      </c>
      <c r="AN90" s="72">
        <v>0</v>
      </c>
      <c r="AO90" s="72">
        <v>0</v>
      </c>
      <c r="AP90" s="72">
        <v>0</v>
      </c>
      <c r="AQ90" s="72">
        <v>0</v>
      </c>
      <c r="AR90" s="72">
        <v>0</v>
      </c>
      <c r="AS90" s="72">
        <v>0</v>
      </c>
      <c r="AT90" s="72">
        <v>0</v>
      </c>
      <c r="AU90" s="72">
        <v>0</v>
      </c>
      <c r="AV90" s="72">
        <v>0</v>
      </c>
      <c r="AW90" s="72">
        <v>0</v>
      </c>
      <c r="AX90" s="72">
        <v>0</v>
      </c>
      <c r="AY90" s="72">
        <v>0</v>
      </c>
      <c r="AZ90" s="72">
        <v>0</v>
      </c>
      <c r="BA90" s="72">
        <v>0</v>
      </c>
      <c r="BB90" s="72">
        <v>0</v>
      </c>
      <c r="BC90" s="72">
        <v>0</v>
      </c>
      <c r="BD90" s="72">
        <v>0</v>
      </c>
      <c r="BE90" s="72">
        <v>0</v>
      </c>
      <c r="BF90" s="72">
        <v>0</v>
      </c>
      <c r="BG90" s="72">
        <v>0</v>
      </c>
      <c r="BH90" s="72">
        <v>0</v>
      </c>
      <c r="BI90" s="72">
        <v>0</v>
      </c>
      <c r="BJ90" s="72">
        <v>0</v>
      </c>
      <c r="BK90" s="72">
        <v>0</v>
      </c>
      <c r="BL90" s="72">
        <v>0</v>
      </c>
      <c r="BM90" s="72">
        <v>0</v>
      </c>
      <c r="BN90" s="72">
        <v>0</v>
      </c>
      <c r="BO90" s="72">
        <v>0</v>
      </c>
      <c r="BP90" s="72">
        <v>0</v>
      </c>
      <c r="BQ90" s="72">
        <v>0</v>
      </c>
      <c r="BR90" s="72">
        <v>0</v>
      </c>
      <c r="BS90" s="72">
        <v>0</v>
      </c>
      <c r="BT90" s="72">
        <v>0</v>
      </c>
      <c r="BU90" s="72">
        <v>0</v>
      </c>
      <c r="BV90" s="72">
        <v>0</v>
      </c>
      <c r="BW90" s="72">
        <v>0</v>
      </c>
      <c r="BX90" s="72">
        <v>0</v>
      </c>
      <c r="BY90" s="72">
        <v>0</v>
      </c>
      <c r="BZ90" s="72">
        <v>0</v>
      </c>
      <c r="CA90" s="72">
        <v>0</v>
      </c>
      <c r="CB90" s="72">
        <v>0</v>
      </c>
      <c r="CC90" s="72">
        <v>0</v>
      </c>
      <c r="CD90" s="72">
        <v>0</v>
      </c>
      <c r="CE90" s="72">
        <v>0</v>
      </c>
      <c r="CF90" s="72">
        <v>0</v>
      </c>
      <c r="CG90" s="72">
        <v>0</v>
      </c>
      <c r="CH90" s="72">
        <v>0</v>
      </c>
      <c r="CI90" s="72">
        <v>0</v>
      </c>
      <c r="CJ90" s="72">
        <v>0</v>
      </c>
      <c r="CK90" s="72">
        <v>0</v>
      </c>
      <c r="CL90" s="72">
        <v>0</v>
      </c>
      <c r="CM90" s="72">
        <v>0</v>
      </c>
      <c r="CN90" s="72">
        <v>0</v>
      </c>
      <c r="CO90" s="72">
        <v>0</v>
      </c>
      <c r="CP90" s="72">
        <v>0</v>
      </c>
      <c r="CQ90" s="72">
        <v>0</v>
      </c>
      <c r="CR90" s="72">
        <v>0</v>
      </c>
      <c r="CS90" s="72">
        <v>0</v>
      </c>
      <c r="CT90" s="72">
        <v>0</v>
      </c>
      <c r="CU90" s="72">
        <v>0</v>
      </c>
      <c r="CV90" s="72">
        <v>0</v>
      </c>
      <c r="CW90" s="72">
        <v>0</v>
      </c>
      <c r="CX90" s="72">
        <v>0</v>
      </c>
      <c r="CY90" s="72">
        <v>0</v>
      </c>
      <c r="CZ90" s="72">
        <v>0</v>
      </c>
      <c r="DA90" s="72">
        <v>0</v>
      </c>
      <c r="DB90" s="72">
        <v>0</v>
      </c>
      <c r="DC90" s="72">
        <v>0</v>
      </c>
      <c r="DD90" s="72">
        <v>0</v>
      </c>
      <c r="DE90" s="72">
        <v>0</v>
      </c>
      <c r="DF90" s="72">
        <v>0</v>
      </c>
      <c r="DG90" s="72">
        <v>0</v>
      </c>
      <c r="DH90" s="72">
        <v>0</v>
      </c>
      <c r="DI90" s="72">
        <v>0</v>
      </c>
      <c r="DJ90" s="72">
        <v>0</v>
      </c>
      <c r="DK90" s="72">
        <v>0</v>
      </c>
      <c r="DL90" s="72">
        <v>0</v>
      </c>
      <c r="DM90" s="72">
        <v>0</v>
      </c>
    </row>
    <row r="91" spans="1:117" x14ac:dyDescent="0.35">
      <c r="A91" s="7"/>
      <c r="B91" s="8" t="s">
        <v>155</v>
      </c>
      <c r="C91" s="9" t="s">
        <v>156</v>
      </c>
      <c r="D91" s="10" t="s">
        <v>152</v>
      </c>
      <c r="E91" s="8" t="s">
        <v>1214</v>
      </c>
      <c r="F91" s="10">
        <v>1003</v>
      </c>
      <c r="G91" s="10" t="s">
        <v>40</v>
      </c>
      <c r="H91" s="10" t="s">
        <v>41</v>
      </c>
      <c r="I91" s="11">
        <v>7</v>
      </c>
      <c r="J91" s="10"/>
      <c r="K91" s="10" t="s">
        <v>153</v>
      </c>
      <c r="L91" s="8" t="s">
        <v>154</v>
      </c>
      <c r="M91" s="12"/>
      <c r="N91" s="12">
        <f t="shared" si="1"/>
        <v>0</v>
      </c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>
        <v>7</v>
      </c>
      <c r="AF91" s="11">
        <v>7</v>
      </c>
      <c r="AG91" s="11">
        <v>7</v>
      </c>
      <c r="AH91" s="11">
        <v>7</v>
      </c>
      <c r="AI91" s="11">
        <v>7</v>
      </c>
      <c r="AJ91" s="11">
        <v>7</v>
      </c>
      <c r="AK91" s="11">
        <v>7</v>
      </c>
      <c r="AL91" s="11">
        <v>7</v>
      </c>
      <c r="AM91" s="11">
        <v>5</v>
      </c>
      <c r="AN91" s="72">
        <v>5</v>
      </c>
      <c r="AO91" s="72">
        <v>0</v>
      </c>
      <c r="AP91" s="72">
        <v>0</v>
      </c>
      <c r="AQ91" s="72">
        <v>0</v>
      </c>
      <c r="AR91" s="72">
        <v>0</v>
      </c>
      <c r="AS91" s="72">
        <v>0</v>
      </c>
      <c r="AT91" s="72">
        <v>0</v>
      </c>
      <c r="AU91" s="72">
        <v>0</v>
      </c>
      <c r="AV91" s="72">
        <v>0</v>
      </c>
      <c r="AW91" s="72">
        <v>0</v>
      </c>
      <c r="AX91" s="72">
        <v>0</v>
      </c>
      <c r="AY91" s="72">
        <v>0</v>
      </c>
      <c r="AZ91" s="72">
        <v>0</v>
      </c>
      <c r="BA91" s="72">
        <v>0</v>
      </c>
      <c r="BB91" s="72">
        <v>0</v>
      </c>
      <c r="BC91" s="72">
        <v>0</v>
      </c>
      <c r="BD91" s="72">
        <v>0</v>
      </c>
      <c r="BE91" s="72">
        <v>0</v>
      </c>
      <c r="BF91" s="72">
        <v>0</v>
      </c>
      <c r="BG91" s="72">
        <v>0</v>
      </c>
      <c r="BH91" s="72">
        <v>0</v>
      </c>
      <c r="BI91" s="72">
        <v>0</v>
      </c>
      <c r="BJ91" s="72">
        <v>0</v>
      </c>
      <c r="BK91" s="72">
        <v>0</v>
      </c>
      <c r="BL91" s="72">
        <v>0</v>
      </c>
      <c r="BM91" s="72">
        <v>0</v>
      </c>
      <c r="BN91" s="72">
        <v>0</v>
      </c>
      <c r="BO91" s="72">
        <v>0</v>
      </c>
      <c r="BP91" s="72">
        <v>0</v>
      </c>
      <c r="BQ91" s="72">
        <v>0</v>
      </c>
      <c r="BR91" s="72">
        <v>0</v>
      </c>
      <c r="BS91" s="72">
        <v>0</v>
      </c>
      <c r="BT91" s="72">
        <v>0</v>
      </c>
      <c r="BU91" s="72">
        <v>0</v>
      </c>
      <c r="BV91" s="72">
        <v>0</v>
      </c>
      <c r="BW91" s="72">
        <v>0</v>
      </c>
      <c r="BX91" s="72">
        <v>0</v>
      </c>
      <c r="BY91" s="72">
        <v>0</v>
      </c>
      <c r="BZ91" s="72">
        <v>0</v>
      </c>
      <c r="CA91" s="72">
        <v>0</v>
      </c>
      <c r="CB91" s="72">
        <v>0</v>
      </c>
      <c r="CC91" s="72">
        <v>0</v>
      </c>
      <c r="CD91" s="72">
        <v>0</v>
      </c>
      <c r="CE91" s="72">
        <v>0</v>
      </c>
      <c r="CF91" s="72">
        <v>0</v>
      </c>
      <c r="CG91" s="72">
        <v>0</v>
      </c>
      <c r="CH91" s="72">
        <v>0</v>
      </c>
      <c r="CI91" s="72">
        <v>0</v>
      </c>
      <c r="CJ91" s="72">
        <v>0</v>
      </c>
      <c r="CK91" s="72">
        <v>0</v>
      </c>
      <c r="CL91" s="72">
        <v>0</v>
      </c>
      <c r="CM91" s="72">
        <v>0</v>
      </c>
      <c r="CN91" s="72">
        <v>0</v>
      </c>
      <c r="CO91" s="72">
        <v>0</v>
      </c>
      <c r="CP91" s="72">
        <v>0</v>
      </c>
      <c r="CQ91" s="72">
        <v>0</v>
      </c>
      <c r="CR91" s="72">
        <v>0</v>
      </c>
      <c r="CS91" s="72">
        <v>0</v>
      </c>
      <c r="CT91" s="72">
        <v>0</v>
      </c>
      <c r="CU91" s="72">
        <v>0</v>
      </c>
      <c r="CV91" s="72">
        <v>0</v>
      </c>
      <c r="CW91" s="72">
        <v>0</v>
      </c>
      <c r="CX91" s="72">
        <v>0</v>
      </c>
      <c r="CY91" s="72">
        <v>0</v>
      </c>
      <c r="CZ91" s="72">
        <v>0</v>
      </c>
      <c r="DA91" s="72">
        <v>0</v>
      </c>
      <c r="DB91" s="72">
        <v>0</v>
      </c>
      <c r="DC91" s="72">
        <v>0</v>
      </c>
      <c r="DD91" s="72">
        <v>0</v>
      </c>
      <c r="DE91" s="72">
        <v>0</v>
      </c>
      <c r="DF91" s="72">
        <v>0</v>
      </c>
      <c r="DG91" s="72">
        <v>0</v>
      </c>
      <c r="DH91" s="72">
        <v>0</v>
      </c>
      <c r="DI91" s="72">
        <v>0</v>
      </c>
      <c r="DJ91" s="72">
        <v>0</v>
      </c>
      <c r="DK91" s="72">
        <v>0</v>
      </c>
      <c r="DL91" s="72">
        <v>0</v>
      </c>
      <c r="DM91" s="72">
        <v>0</v>
      </c>
    </row>
    <row r="92" spans="1:117" x14ac:dyDescent="0.35">
      <c r="A92" s="7"/>
      <c r="B92" s="77" t="s">
        <v>1263</v>
      </c>
      <c r="C92" s="9" t="s">
        <v>1273</v>
      </c>
      <c r="D92" s="10" t="s">
        <v>152</v>
      </c>
      <c r="E92" s="8" t="s">
        <v>1214</v>
      </c>
      <c r="F92" s="10"/>
      <c r="G92" s="10"/>
      <c r="H92" s="10" t="s">
        <v>41</v>
      </c>
      <c r="I92" s="11"/>
      <c r="J92" s="10"/>
      <c r="K92" s="10" t="s">
        <v>153</v>
      </c>
      <c r="L92" s="8"/>
      <c r="M92" s="12"/>
      <c r="N92" s="12">
        <f t="shared" si="1"/>
        <v>0</v>
      </c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  <c r="AL92" s="11"/>
      <c r="AM92" s="11"/>
      <c r="AN92" s="72"/>
      <c r="AO92" s="72"/>
      <c r="AP92" s="72"/>
      <c r="AQ92" s="72"/>
      <c r="AR92" s="72"/>
      <c r="AS92" s="72"/>
      <c r="AT92" s="72"/>
      <c r="AU92" s="72"/>
      <c r="AV92" s="72"/>
      <c r="AW92" s="72">
        <v>3</v>
      </c>
      <c r="AX92" s="72">
        <v>3</v>
      </c>
      <c r="AY92" s="72">
        <v>0</v>
      </c>
      <c r="AZ92" s="72">
        <v>0</v>
      </c>
      <c r="BA92" s="72">
        <v>0</v>
      </c>
      <c r="BB92" s="72">
        <v>0</v>
      </c>
      <c r="BC92" s="72">
        <v>0</v>
      </c>
      <c r="BD92" s="72">
        <v>0</v>
      </c>
      <c r="BE92" s="72">
        <v>0</v>
      </c>
      <c r="BF92" s="72">
        <v>0</v>
      </c>
      <c r="BG92" s="72">
        <v>0</v>
      </c>
      <c r="BH92" s="72">
        <v>0</v>
      </c>
      <c r="BI92" s="72">
        <v>0</v>
      </c>
      <c r="BJ92" s="72">
        <v>0</v>
      </c>
      <c r="BK92" s="72">
        <v>0</v>
      </c>
      <c r="BL92" s="72">
        <v>0</v>
      </c>
      <c r="BM92" s="72">
        <v>0</v>
      </c>
      <c r="BN92" s="72">
        <v>0</v>
      </c>
      <c r="BO92" s="72">
        <v>0</v>
      </c>
      <c r="BP92" s="72">
        <v>0</v>
      </c>
      <c r="BQ92" s="72">
        <v>0</v>
      </c>
      <c r="BR92" s="72">
        <v>0</v>
      </c>
      <c r="BS92" s="72">
        <v>0</v>
      </c>
      <c r="BT92" s="72">
        <v>0</v>
      </c>
      <c r="BU92" s="72">
        <v>0</v>
      </c>
      <c r="BV92" s="72">
        <v>0</v>
      </c>
      <c r="BW92" s="72">
        <v>0</v>
      </c>
      <c r="BX92" s="72">
        <v>0</v>
      </c>
      <c r="BY92" s="72">
        <v>0</v>
      </c>
      <c r="BZ92" s="72">
        <v>0</v>
      </c>
      <c r="CA92" s="72">
        <v>0</v>
      </c>
      <c r="CB92" s="72">
        <v>0</v>
      </c>
      <c r="CC92" s="72">
        <v>0</v>
      </c>
      <c r="CD92" s="72">
        <v>0</v>
      </c>
      <c r="CE92" s="72">
        <v>0</v>
      </c>
      <c r="CF92" s="72">
        <v>0</v>
      </c>
      <c r="CG92" s="72">
        <v>0</v>
      </c>
      <c r="CH92" s="72">
        <v>0</v>
      </c>
      <c r="CI92" s="72">
        <v>0</v>
      </c>
      <c r="CJ92" s="72">
        <v>0</v>
      </c>
      <c r="CK92" s="72">
        <v>0</v>
      </c>
      <c r="CL92" s="72">
        <v>0</v>
      </c>
      <c r="CM92" s="72">
        <v>0</v>
      </c>
      <c r="CN92" s="72">
        <v>0</v>
      </c>
      <c r="CO92" s="72">
        <v>0</v>
      </c>
      <c r="CP92" s="72">
        <v>0</v>
      </c>
      <c r="CQ92" s="72">
        <v>0</v>
      </c>
      <c r="CR92" s="72">
        <v>0</v>
      </c>
      <c r="CS92" s="72">
        <v>0</v>
      </c>
      <c r="CT92" s="72">
        <v>0</v>
      </c>
      <c r="CU92" s="72">
        <v>0</v>
      </c>
      <c r="CV92" s="72">
        <v>0</v>
      </c>
      <c r="CW92" s="72">
        <v>0</v>
      </c>
      <c r="CX92" s="72">
        <v>0</v>
      </c>
      <c r="CY92" s="72">
        <v>0</v>
      </c>
      <c r="CZ92" s="72">
        <v>0</v>
      </c>
      <c r="DA92" s="72">
        <v>0</v>
      </c>
      <c r="DB92" s="72">
        <v>0</v>
      </c>
      <c r="DC92" s="72">
        <v>0</v>
      </c>
      <c r="DD92" s="72">
        <v>0</v>
      </c>
      <c r="DE92" s="72">
        <v>0</v>
      </c>
      <c r="DF92" s="72">
        <v>0</v>
      </c>
      <c r="DG92" s="72">
        <v>0</v>
      </c>
      <c r="DH92" s="72">
        <v>0</v>
      </c>
      <c r="DI92" s="72">
        <v>0</v>
      </c>
      <c r="DJ92" s="72">
        <v>0</v>
      </c>
      <c r="DK92" s="72">
        <v>0</v>
      </c>
      <c r="DL92" s="72">
        <v>0</v>
      </c>
      <c r="DM92" s="72">
        <v>0</v>
      </c>
    </row>
    <row r="93" spans="1:117" x14ac:dyDescent="0.35">
      <c r="A93" s="7"/>
      <c r="B93" s="8" t="s">
        <v>157</v>
      </c>
      <c r="C93" s="9" t="s">
        <v>158</v>
      </c>
      <c r="D93" s="10" t="s">
        <v>152</v>
      </c>
      <c r="E93" s="8" t="s">
        <v>1207</v>
      </c>
      <c r="F93" s="10">
        <v>1006</v>
      </c>
      <c r="G93" s="10" t="s">
        <v>40</v>
      </c>
      <c r="H93" s="10" t="s">
        <v>41</v>
      </c>
      <c r="I93" s="11">
        <v>32</v>
      </c>
      <c r="J93" s="10"/>
      <c r="K93" s="10" t="s">
        <v>153</v>
      </c>
      <c r="L93" s="8" t="s">
        <v>154</v>
      </c>
      <c r="M93" s="12"/>
      <c r="N93" s="12">
        <f t="shared" si="1"/>
        <v>0</v>
      </c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>
        <v>32</v>
      </c>
      <c r="AF93" s="11">
        <v>32</v>
      </c>
      <c r="AG93" s="11">
        <v>32</v>
      </c>
      <c r="AH93" s="11">
        <v>32</v>
      </c>
      <c r="AI93" s="11">
        <v>32</v>
      </c>
      <c r="AJ93" s="11">
        <v>32</v>
      </c>
      <c r="AK93" s="11">
        <v>32</v>
      </c>
      <c r="AL93" s="11">
        <v>32</v>
      </c>
      <c r="AM93" s="11">
        <v>26</v>
      </c>
      <c r="AN93" s="72">
        <v>26</v>
      </c>
      <c r="AO93" s="72">
        <v>6</v>
      </c>
      <c r="AP93" s="72">
        <v>6</v>
      </c>
      <c r="AQ93" s="72">
        <v>6</v>
      </c>
      <c r="AR93" s="72">
        <v>6</v>
      </c>
      <c r="AS93" s="72">
        <v>6</v>
      </c>
      <c r="AT93" s="72">
        <v>6</v>
      </c>
      <c r="AU93" s="72">
        <v>6</v>
      </c>
      <c r="AV93" s="72">
        <v>6</v>
      </c>
      <c r="AW93" s="72">
        <v>6</v>
      </c>
      <c r="AX93" s="72">
        <v>6</v>
      </c>
      <c r="AY93" s="72">
        <v>6</v>
      </c>
      <c r="AZ93" s="72">
        <v>6</v>
      </c>
      <c r="BA93" s="72">
        <v>6</v>
      </c>
      <c r="BB93" s="72">
        <v>6</v>
      </c>
      <c r="BC93" s="72">
        <v>6</v>
      </c>
      <c r="BD93" s="72">
        <v>6</v>
      </c>
      <c r="BE93" s="72">
        <v>6</v>
      </c>
      <c r="BF93" s="72">
        <v>6</v>
      </c>
      <c r="BG93" s="72">
        <v>6</v>
      </c>
      <c r="BH93" s="72">
        <v>6</v>
      </c>
      <c r="BI93" s="72">
        <v>6</v>
      </c>
      <c r="BJ93" s="72">
        <v>6</v>
      </c>
      <c r="BK93" s="72">
        <v>6</v>
      </c>
      <c r="BL93" s="72">
        <v>6</v>
      </c>
      <c r="BM93" s="72">
        <v>6</v>
      </c>
      <c r="BN93" s="72">
        <v>6</v>
      </c>
      <c r="BO93" s="72">
        <v>6</v>
      </c>
      <c r="BP93" s="72">
        <v>6</v>
      </c>
      <c r="BQ93" s="72">
        <v>6</v>
      </c>
      <c r="BR93" s="72">
        <v>6</v>
      </c>
      <c r="BS93" s="72">
        <v>6</v>
      </c>
      <c r="BT93" s="72">
        <v>6</v>
      </c>
      <c r="BU93" s="72">
        <v>6</v>
      </c>
      <c r="BV93" s="72">
        <v>6</v>
      </c>
      <c r="BW93" s="72">
        <v>6</v>
      </c>
      <c r="BX93" s="72">
        <v>6</v>
      </c>
      <c r="BY93" s="72">
        <v>6</v>
      </c>
      <c r="BZ93" s="72">
        <v>6</v>
      </c>
      <c r="CA93" s="72">
        <v>6</v>
      </c>
      <c r="CB93" s="72">
        <v>6</v>
      </c>
      <c r="CC93" s="72">
        <v>6</v>
      </c>
      <c r="CD93" s="72">
        <v>6</v>
      </c>
      <c r="CE93" s="72">
        <v>6</v>
      </c>
      <c r="CF93" s="72">
        <v>6</v>
      </c>
      <c r="CG93" s="72">
        <v>6</v>
      </c>
      <c r="CH93" s="72">
        <v>6</v>
      </c>
      <c r="CI93" s="72">
        <v>6</v>
      </c>
      <c r="CJ93" s="72">
        <v>6</v>
      </c>
      <c r="CK93" s="72">
        <v>6</v>
      </c>
      <c r="CL93" s="72">
        <v>6</v>
      </c>
      <c r="CM93" s="72">
        <v>6</v>
      </c>
      <c r="CN93" s="72">
        <v>6</v>
      </c>
      <c r="CO93" s="72">
        <v>6</v>
      </c>
      <c r="CP93" s="72">
        <v>6</v>
      </c>
      <c r="CQ93" s="72">
        <v>6</v>
      </c>
      <c r="CR93" s="72">
        <v>6</v>
      </c>
      <c r="CS93" s="72">
        <v>6</v>
      </c>
      <c r="CT93" s="72">
        <v>6</v>
      </c>
      <c r="CU93" s="72">
        <v>6</v>
      </c>
      <c r="CV93" s="72">
        <v>6</v>
      </c>
      <c r="CW93" s="72">
        <v>6</v>
      </c>
      <c r="CX93" s="72">
        <v>6</v>
      </c>
      <c r="CY93" s="72">
        <v>6</v>
      </c>
      <c r="CZ93" s="72">
        <v>6</v>
      </c>
      <c r="DA93" s="72">
        <v>6</v>
      </c>
      <c r="DB93" s="72">
        <v>6</v>
      </c>
      <c r="DC93" s="72">
        <v>6</v>
      </c>
      <c r="DD93" s="72">
        <v>6</v>
      </c>
      <c r="DE93" s="72">
        <v>6</v>
      </c>
      <c r="DF93" s="72">
        <v>6</v>
      </c>
      <c r="DG93" s="72">
        <v>6</v>
      </c>
      <c r="DH93" s="72">
        <v>6</v>
      </c>
      <c r="DI93" s="72">
        <v>6</v>
      </c>
      <c r="DJ93" s="72">
        <v>6</v>
      </c>
      <c r="DK93" s="72">
        <v>6</v>
      </c>
      <c r="DL93" s="72">
        <v>6</v>
      </c>
      <c r="DM93" s="72">
        <v>6</v>
      </c>
    </row>
    <row r="94" spans="1:117" x14ac:dyDescent="0.35">
      <c r="A94" s="7"/>
      <c r="B94" s="77">
        <v>6327900</v>
      </c>
      <c r="C94" s="93" t="s">
        <v>1341</v>
      </c>
      <c r="D94" s="10" t="s">
        <v>152</v>
      </c>
      <c r="E94" s="8" t="s">
        <v>1301</v>
      </c>
      <c r="F94" s="10"/>
      <c r="G94" s="10"/>
      <c r="H94" s="10" t="s">
        <v>41</v>
      </c>
      <c r="I94" s="11"/>
      <c r="J94" s="10"/>
      <c r="K94" s="10"/>
      <c r="L94" s="8"/>
      <c r="M94" s="12">
        <v>319</v>
      </c>
      <c r="N94" s="12">
        <f t="shared" si="1"/>
        <v>0</v>
      </c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  <c r="AL94" s="11"/>
      <c r="AM94" s="11"/>
      <c r="AN94" s="72"/>
      <c r="AO94" s="72"/>
      <c r="AP94" s="72"/>
      <c r="AQ94" s="72"/>
      <c r="AR94" s="72"/>
      <c r="AS94" s="72"/>
      <c r="AT94" s="72"/>
      <c r="AU94" s="72"/>
      <c r="AV94" s="72"/>
      <c r="AW94" s="72"/>
      <c r="AX94" s="72"/>
      <c r="AY94" s="72"/>
      <c r="AZ94" s="72">
        <v>3</v>
      </c>
      <c r="BA94" s="72">
        <v>3</v>
      </c>
      <c r="BB94" s="72">
        <v>3</v>
      </c>
      <c r="BC94" s="72">
        <v>1</v>
      </c>
      <c r="BD94" s="72">
        <v>1</v>
      </c>
      <c r="BE94" s="72">
        <v>1</v>
      </c>
      <c r="BF94" s="72">
        <v>1</v>
      </c>
      <c r="BG94" s="72">
        <v>1</v>
      </c>
      <c r="BH94" s="72">
        <v>1</v>
      </c>
      <c r="BI94" s="72">
        <v>1</v>
      </c>
      <c r="BJ94" s="72">
        <v>1</v>
      </c>
      <c r="BK94" s="72">
        <v>1</v>
      </c>
      <c r="BL94" s="72">
        <v>1</v>
      </c>
      <c r="BM94" s="72">
        <v>1</v>
      </c>
      <c r="BN94" s="72">
        <v>1</v>
      </c>
      <c r="BO94" s="72">
        <v>1</v>
      </c>
      <c r="BP94" s="72">
        <v>1</v>
      </c>
      <c r="BQ94" s="72">
        <v>1</v>
      </c>
      <c r="BR94" s="72">
        <v>1</v>
      </c>
      <c r="BS94" s="72">
        <v>1</v>
      </c>
      <c r="BT94" s="72">
        <v>1</v>
      </c>
      <c r="BU94" s="72">
        <v>1</v>
      </c>
      <c r="BV94" s="72">
        <v>1</v>
      </c>
      <c r="BW94" s="72">
        <v>1</v>
      </c>
      <c r="BX94" s="72">
        <v>1</v>
      </c>
      <c r="BY94" s="72">
        <v>1</v>
      </c>
      <c r="BZ94" s="72">
        <v>0</v>
      </c>
      <c r="CA94" s="72">
        <v>0</v>
      </c>
      <c r="CB94" s="72">
        <v>0</v>
      </c>
      <c r="CC94" s="72">
        <v>0</v>
      </c>
      <c r="CD94" s="72">
        <v>0</v>
      </c>
      <c r="CE94" s="72">
        <v>0</v>
      </c>
      <c r="CF94" s="72">
        <v>0</v>
      </c>
      <c r="CG94" s="72">
        <v>0</v>
      </c>
      <c r="CH94" s="72">
        <v>0</v>
      </c>
      <c r="CI94" s="72">
        <v>0</v>
      </c>
      <c r="CJ94" s="72">
        <v>0</v>
      </c>
      <c r="CK94" s="72">
        <v>0</v>
      </c>
      <c r="CL94" s="72">
        <v>0</v>
      </c>
      <c r="CM94" s="72">
        <v>0</v>
      </c>
      <c r="CN94" s="72">
        <v>0</v>
      </c>
      <c r="CO94" s="72">
        <v>0</v>
      </c>
      <c r="CP94" s="72">
        <v>0</v>
      </c>
      <c r="CQ94" s="72">
        <v>0</v>
      </c>
      <c r="CR94" s="72">
        <v>0</v>
      </c>
      <c r="CS94" s="72">
        <v>0</v>
      </c>
      <c r="CT94" s="72">
        <v>0</v>
      </c>
      <c r="CU94" s="72">
        <v>0</v>
      </c>
      <c r="CV94" s="72">
        <v>0</v>
      </c>
      <c r="CW94" s="72">
        <v>0</v>
      </c>
      <c r="CX94" s="72">
        <v>0</v>
      </c>
      <c r="CY94" s="72">
        <v>0</v>
      </c>
      <c r="CZ94" s="72">
        <v>0</v>
      </c>
      <c r="DA94" s="72">
        <v>0</v>
      </c>
      <c r="DB94" s="72">
        <v>0</v>
      </c>
      <c r="DC94" s="72">
        <v>0</v>
      </c>
      <c r="DD94" s="72">
        <v>0</v>
      </c>
      <c r="DE94" s="72">
        <v>0</v>
      </c>
      <c r="DF94" s="72">
        <v>0</v>
      </c>
      <c r="DG94" s="72">
        <v>0</v>
      </c>
      <c r="DH94" s="72">
        <v>0</v>
      </c>
      <c r="DI94" s="72">
        <v>0</v>
      </c>
      <c r="DJ94" s="72">
        <v>0</v>
      </c>
      <c r="DK94" s="72">
        <v>0</v>
      </c>
      <c r="DL94" s="72">
        <v>0</v>
      </c>
      <c r="DM94" s="72">
        <v>0</v>
      </c>
    </row>
    <row r="95" spans="1:117" x14ac:dyDescent="0.35">
      <c r="A95" s="7"/>
      <c r="B95" s="42" t="s">
        <v>159</v>
      </c>
      <c r="C95" s="9" t="s">
        <v>160</v>
      </c>
      <c r="D95" s="10" t="s">
        <v>161</v>
      </c>
      <c r="E95" s="8" t="s">
        <v>1215</v>
      </c>
      <c r="F95" s="10"/>
      <c r="G95" s="10" t="s">
        <v>92</v>
      </c>
      <c r="H95" s="10" t="s">
        <v>41</v>
      </c>
      <c r="I95" s="11"/>
      <c r="J95" s="10">
        <v>37</v>
      </c>
      <c r="K95" s="10" t="s">
        <v>42</v>
      </c>
      <c r="L95" s="8" t="s">
        <v>162</v>
      </c>
      <c r="M95" s="12">
        <v>2.73</v>
      </c>
      <c r="N95" s="12">
        <f t="shared" si="1"/>
        <v>0</v>
      </c>
      <c r="O95" s="11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1"/>
      <c r="AL95" s="11"/>
      <c r="AM95" s="11"/>
      <c r="AN95" s="72"/>
      <c r="AO95" s="72"/>
      <c r="AP95" s="72"/>
      <c r="AQ95" s="72"/>
      <c r="AR95" s="72"/>
      <c r="AS95" s="72"/>
      <c r="AT95" s="72"/>
      <c r="AU95" s="72"/>
      <c r="AV95" s="72"/>
      <c r="AW95" s="72"/>
      <c r="AX95" s="72"/>
      <c r="AY95" s="72"/>
      <c r="AZ95" s="72"/>
      <c r="BA95" s="72"/>
      <c r="BB95" s="72"/>
      <c r="BC95" s="72"/>
      <c r="BD95" s="72"/>
      <c r="BE95" s="72"/>
      <c r="BF95" s="72"/>
      <c r="BG95" s="72"/>
      <c r="BH95" s="72">
        <v>0</v>
      </c>
      <c r="BI95" s="72">
        <v>0</v>
      </c>
      <c r="BJ95" s="72">
        <v>0</v>
      </c>
      <c r="BK95" s="72">
        <v>0</v>
      </c>
      <c r="BL95" s="72">
        <v>0</v>
      </c>
      <c r="BM95" s="72">
        <v>0</v>
      </c>
      <c r="BN95" s="72">
        <v>0</v>
      </c>
      <c r="BO95" s="72">
        <v>0</v>
      </c>
      <c r="BP95" s="72">
        <v>0</v>
      </c>
      <c r="BQ95" s="72">
        <v>0</v>
      </c>
      <c r="BR95" s="72">
        <v>0</v>
      </c>
      <c r="BS95" s="72">
        <v>0</v>
      </c>
      <c r="BT95" s="72">
        <v>0</v>
      </c>
      <c r="BU95" s="72">
        <v>0</v>
      </c>
      <c r="BV95" s="72">
        <v>0</v>
      </c>
      <c r="BW95" s="72">
        <v>0</v>
      </c>
      <c r="BX95" s="72">
        <v>0</v>
      </c>
      <c r="BY95" s="72">
        <v>0</v>
      </c>
      <c r="BZ95" s="72">
        <v>0</v>
      </c>
      <c r="CA95" s="72">
        <v>0</v>
      </c>
      <c r="CB95" s="72">
        <v>0</v>
      </c>
      <c r="CC95" s="72">
        <v>0</v>
      </c>
      <c r="CD95" s="72">
        <v>0</v>
      </c>
      <c r="CE95" s="72">
        <v>0</v>
      </c>
      <c r="CF95" s="72">
        <v>0</v>
      </c>
      <c r="CG95" s="72">
        <v>0</v>
      </c>
      <c r="CH95" s="72">
        <v>0</v>
      </c>
      <c r="CI95" s="72">
        <v>0</v>
      </c>
      <c r="CJ95" s="72">
        <v>0</v>
      </c>
      <c r="CK95" s="72">
        <v>0</v>
      </c>
      <c r="CL95" s="72">
        <v>0</v>
      </c>
      <c r="CM95" s="72">
        <v>0</v>
      </c>
      <c r="CN95" s="72">
        <v>0</v>
      </c>
      <c r="CO95" s="72">
        <v>0</v>
      </c>
      <c r="CP95" s="72">
        <v>0</v>
      </c>
      <c r="CQ95" s="72">
        <v>0</v>
      </c>
      <c r="CR95" s="72">
        <v>0</v>
      </c>
      <c r="CS95" s="72">
        <v>0</v>
      </c>
      <c r="CT95" s="72">
        <v>0</v>
      </c>
      <c r="CU95" s="72">
        <v>0</v>
      </c>
      <c r="CV95" s="72">
        <v>0</v>
      </c>
      <c r="CW95" s="72">
        <v>0</v>
      </c>
      <c r="CX95" s="72">
        <v>0</v>
      </c>
      <c r="CY95" s="72">
        <v>0</v>
      </c>
      <c r="CZ95" s="72">
        <v>0</v>
      </c>
      <c r="DA95" s="72">
        <v>0</v>
      </c>
      <c r="DB95" s="72">
        <v>0</v>
      </c>
      <c r="DC95" s="72">
        <v>0</v>
      </c>
      <c r="DD95" s="72">
        <v>0</v>
      </c>
      <c r="DE95" s="72">
        <v>0</v>
      </c>
      <c r="DF95" s="72">
        <v>0</v>
      </c>
      <c r="DG95" s="72">
        <v>0</v>
      </c>
      <c r="DH95" s="72">
        <v>0</v>
      </c>
      <c r="DI95" s="72">
        <v>0</v>
      </c>
      <c r="DJ95" s="72">
        <v>0</v>
      </c>
      <c r="DK95" s="72">
        <v>0</v>
      </c>
      <c r="DL95" s="72">
        <v>0</v>
      </c>
      <c r="DM95" s="72">
        <v>0</v>
      </c>
    </row>
    <row r="96" spans="1:117" x14ac:dyDescent="0.35">
      <c r="A96" s="7"/>
      <c r="B96" s="42" t="s">
        <v>163</v>
      </c>
      <c r="C96" s="9" t="s">
        <v>164</v>
      </c>
      <c r="D96" s="10" t="s">
        <v>161</v>
      </c>
      <c r="E96" s="8" t="s">
        <v>1210</v>
      </c>
      <c r="F96" s="10">
        <v>1005</v>
      </c>
      <c r="G96" s="10" t="s">
        <v>40</v>
      </c>
      <c r="H96" s="10" t="s">
        <v>41</v>
      </c>
      <c r="I96" s="11">
        <v>0</v>
      </c>
      <c r="J96" s="10"/>
      <c r="K96" s="10" t="s">
        <v>42</v>
      </c>
      <c r="L96" s="8"/>
      <c r="M96" s="12">
        <v>2.4700000000000002</v>
      </c>
      <c r="N96" s="12">
        <f t="shared" si="1"/>
        <v>0</v>
      </c>
      <c r="O96" s="11">
        <v>0</v>
      </c>
      <c r="P96" s="11">
        <v>0</v>
      </c>
      <c r="Q96" s="11">
        <v>0</v>
      </c>
      <c r="R96" s="11">
        <v>0</v>
      </c>
      <c r="S96" s="11">
        <v>0</v>
      </c>
      <c r="T96" s="11">
        <v>0</v>
      </c>
      <c r="U96" s="11">
        <v>0</v>
      </c>
      <c r="V96" s="11">
        <v>0</v>
      </c>
      <c r="W96" s="11">
        <v>0</v>
      </c>
      <c r="X96" s="11">
        <v>5</v>
      </c>
      <c r="Y96" s="11">
        <v>5</v>
      </c>
      <c r="Z96" s="11">
        <v>2</v>
      </c>
      <c r="AA96" s="11">
        <v>2</v>
      </c>
      <c r="AB96" s="11">
        <v>2</v>
      </c>
      <c r="AC96" s="11">
        <v>2</v>
      </c>
      <c r="AD96" s="11">
        <v>2</v>
      </c>
      <c r="AE96" s="11">
        <v>2</v>
      </c>
      <c r="AF96" s="11">
        <v>2</v>
      </c>
      <c r="AG96" s="11">
        <v>2</v>
      </c>
      <c r="AH96" s="11">
        <v>2</v>
      </c>
      <c r="AI96" s="11">
        <v>2</v>
      </c>
      <c r="AJ96" s="11">
        <v>2</v>
      </c>
      <c r="AK96" s="11">
        <v>2</v>
      </c>
      <c r="AL96" s="11">
        <v>2</v>
      </c>
      <c r="AM96" s="11">
        <v>2</v>
      </c>
      <c r="AN96" s="72">
        <v>2</v>
      </c>
      <c r="AO96" s="72">
        <v>2</v>
      </c>
      <c r="AP96" s="72">
        <v>2</v>
      </c>
      <c r="AQ96" s="72">
        <v>2</v>
      </c>
      <c r="AR96" s="72">
        <v>2</v>
      </c>
      <c r="AS96" s="72">
        <v>2</v>
      </c>
      <c r="AT96" s="72">
        <v>2</v>
      </c>
      <c r="AU96" s="72">
        <v>2</v>
      </c>
      <c r="AV96" s="72">
        <v>2</v>
      </c>
      <c r="AW96" s="72">
        <v>2</v>
      </c>
      <c r="AX96" s="72">
        <v>2</v>
      </c>
      <c r="AY96" s="72">
        <v>2</v>
      </c>
      <c r="AZ96" s="72">
        <v>2</v>
      </c>
      <c r="BA96" s="72">
        <v>2</v>
      </c>
      <c r="BB96" s="72">
        <v>2</v>
      </c>
      <c r="BC96" s="72">
        <v>2</v>
      </c>
      <c r="BD96" s="72">
        <v>2</v>
      </c>
      <c r="BE96" s="72">
        <v>2</v>
      </c>
      <c r="BF96" s="72">
        <v>2</v>
      </c>
      <c r="BG96" s="72">
        <v>2</v>
      </c>
      <c r="BH96" s="72">
        <v>2</v>
      </c>
      <c r="BI96" s="72">
        <v>2</v>
      </c>
      <c r="BJ96" s="72">
        <v>2</v>
      </c>
      <c r="BK96" s="72">
        <v>2</v>
      </c>
      <c r="BL96" s="72">
        <v>2</v>
      </c>
      <c r="BM96" s="72">
        <v>2</v>
      </c>
      <c r="BN96" s="72">
        <v>2</v>
      </c>
      <c r="BO96" s="72">
        <v>2</v>
      </c>
      <c r="BP96" s="72">
        <v>2</v>
      </c>
      <c r="BQ96" s="72">
        <v>2</v>
      </c>
      <c r="BR96" s="72">
        <v>2</v>
      </c>
      <c r="BS96" s="72">
        <v>2</v>
      </c>
      <c r="BT96" s="72">
        <v>2</v>
      </c>
      <c r="BU96" s="72">
        <v>2</v>
      </c>
      <c r="BV96" s="72">
        <v>2</v>
      </c>
      <c r="BW96" s="72">
        <v>2</v>
      </c>
      <c r="BX96" s="72">
        <v>2</v>
      </c>
      <c r="BY96" s="72">
        <v>0</v>
      </c>
      <c r="BZ96" s="72">
        <v>0</v>
      </c>
      <c r="CA96" s="72">
        <v>0</v>
      </c>
      <c r="CB96" s="72">
        <v>0</v>
      </c>
      <c r="CC96" s="72">
        <v>0</v>
      </c>
      <c r="CD96" s="72">
        <v>0</v>
      </c>
      <c r="CE96" s="72">
        <v>0</v>
      </c>
      <c r="CF96" s="72">
        <v>0</v>
      </c>
      <c r="CG96" s="72">
        <v>0</v>
      </c>
      <c r="CH96" s="72">
        <v>0</v>
      </c>
      <c r="CI96" s="72">
        <v>0</v>
      </c>
      <c r="CJ96" s="72">
        <v>0</v>
      </c>
      <c r="CK96" s="72">
        <v>0</v>
      </c>
      <c r="CL96" s="72">
        <v>0</v>
      </c>
      <c r="CM96" s="72">
        <v>0</v>
      </c>
      <c r="CN96" s="72">
        <v>0</v>
      </c>
      <c r="CO96" s="72">
        <v>0</v>
      </c>
      <c r="CP96" s="72">
        <v>0</v>
      </c>
      <c r="CQ96" s="72">
        <v>0</v>
      </c>
      <c r="CR96" s="72">
        <v>0</v>
      </c>
      <c r="CS96" s="72">
        <v>0</v>
      </c>
      <c r="CT96" s="72">
        <v>0</v>
      </c>
      <c r="CU96" s="72">
        <v>0</v>
      </c>
      <c r="CV96" s="72">
        <v>0</v>
      </c>
      <c r="CW96" s="72">
        <v>0</v>
      </c>
      <c r="CX96" s="72">
        <v>0</v>
      </c>
      <c r="CY96" s="72">
        <v>0</v>
      </c>
      <c r="CZ96" s="72">
        <v>0</v>
      </c>
      <c r="DA96" s="72">
        <v>0</v>
      </c>
      <c r="DB96" s="72">
        <v>0</v>
      </c>
      <c r="DC96" s="72">
        <v>0</v>
      </c>
      <c r="DD96" s="72">
        <v>0</v>
      </c>
      <c r="DE96" s="72">
        <v>0</v>
      </c>
      <c r="DF96" s="72">
        <v>0</v>
      </c>
      <c r="DG96" s="72">
        <v>0</v>
      </c>
      <c r="DH96" s="72">
        <v>0</v>
      </c>
      <c r="DI96" s="72">
        <v>0</v>
      </c>
      <c r="DJ96" s="72">
        <v>0</v>
      </c>
      <c r="DK96" s="72">
        <v>0</v>
      </c>
      <c r="DL96" s="72">
        <v>0</v>
      </c>
      <c r="DM96" s="72">
        <v>0</v>
      </c>
    </row>
    <row r="97" spans="1:117" x14ac:dyDescent="0.35">
      <c r="A97" s="7"/>
      <c r="B97" s="98" t="s">
        <v>1365</v>
      </c>
      <c r="C97" s="9" t="s">
        <v>1368</v>
      </c>
      <c r="D97" s="10" t="s">
        <v>161</v>
      </c>
      <c r="E97" s="8" t="s">
        <v>1210</v>
      </c>
      <c r="F97" s="10"/>
      <c r="G97" s="10"/>
      <c r="H97" s="10" t="s">
        <v>41</v>
      </c>
      <c r="I97" s="11">
        <v>0</v>
      </c>
      <c r="J97" s="10"/>
      <c r="K97" s="10"/>
      <c r="L97" s="8"/>
      <c r="M97" s="12">
        <v>3.3</v>
      </c>
      <c r="N97" s="12">
        <f t="shared" si="1"/>
        <v>0</v>
      </c>
      <c r="O97" s="11">
        <v>0</v>
      </c>
      <c r="P97" s="11">
        <v>0</v>
      </c>
      <c r="Q97" s="11">
        <v>0</v>
      </c>
      <c r="R97" s="11">
        <v>0</v>
      </c>
      <c r="S97" s="11">
        <v>0</v>
      </c>
      <c r="T97" s="11">
        <v>0</v>
      </c>
      <c r="U97" s="11">
        <v>0</v>
      </c>
      <c r="V97" s="11">
        <v>0</v>
      </c>
      <c r="W97" s="11">
        <v>0</v>
      </c>
      <c r="X97" s="11">
        <v>0</v>
      </c>
      <c r="Y97" s="11">
        <v>0</v>
      </c>
      <c r="Z97" s="11">
        <v>0</v>
      </c>
      <c r="AA97" s="11">
        <v>0</v>
      </c>
      <c r="AB97" s="11">
        <v>0</v>
      </c>
      <c r="AC97" s="11">
        <v>0</v>
      </c>
      <c r="AD97" s="11">
        <v>0</v>
      </c>
      <c r="AE97" s="11">
        <v>0</v>
      </c>
      <c r="AF97" s="11">
        <v>0</v>
      </c>
      <c r="AG97" s="11">
        <v>0</v>
      </c>
      <c r="AH97" s="11">
        <v>0</v>
      </c>
      <c r="AI97" s="11">
        <v>0</v>
      </c>
      <c r="AJ97" s="11">
        <v>0</v>
      </c>
      <c r="AK97" s="11">
        <v>0</v>
      </c>
      <c r="AL97" s="11">
        <v>0</v>
      </c>
      <c r="AM97" s="11">
        <v>0</v>
      </c>
      <c r="AN97" s="72">
        <v>0</v>
      </c>
      <c r="AO97" s="72">
        <v>0</v>
      </c>
      <c r="AP97" s="72">
        <v>0</v>
      </c>
      <c r="AQ97" s="72">
        <v>0</v>
      </c>
      <c r="AR97" s="72">
        <v>0</v>
      </c>
      <c r="AS97" s="72">
        <v>0</v>
      </c>
      <c r="AT97" s="72">
        <v>0</v>
      </c>
      <c r="AU97" s="72">
        <v>0</v>
      </c>
      <c r="AV97" s="72">
        <v>0</v>
      </c>
      <c r="AW97" s="72">
        <v>0</v>
      </c>
      <c r="AX97" s="72">
        <v>0</v>
      </c>
      <c r="AY97" s="72">
        <v>0</v>
      </c>
      <c r="AZ97" s="72">
        <v>0</v>
      </c>
      <c r="BA97" s="72">
        <v>0</v>
      </c>
      <c r="BB97" s="72">
        <v>0</v>
      </c>
      <c r="BC97" s="72">
        <v>0</v>
      </c>
      <c r="BD97" s="72">
        <v>0</v>
      </c>
      <c r="BE97" s="72">
        <v>0</v>
      </c>
      <c r="BF97" s="72">
        <v>0</v>
      </c>
      <c r="BG97" s="72">
        <v>0</v>
      </c>
      <c r="BH97" s="72">
        <v>0</v>
      </c>
      <c r="BI97" s="72">
        <v>0</v>
      </c>
      <c r="BJ97" s="72">
        <v>0</v>
      </c>
      <c r="BK97" s="72">
        <v>0</v>
      </c>
      <c r="BL97" s="72">
        <v>85</v>
      </c>
      <c r="BM97" s="72">
        <v>0</v>
      </c>
      <c r="BN97" s="72">
        <v>0</v>
      </c>
      <c r="BO97" s="72">
        <v>0</v>
      </c>
      <c r="BP97" s="72">
        <v>0</v>
      </c>
      <c r="BQ97" s="72">
        <v>0</v>
      </c>
      <c r="BR97" s="72">
        <v>0</v>
      </c>
      <c r="BS97" s="72">
        <v>0</v>
      </c>
      <c r="BT97" s="72">
        <v>0</v>
      </c>
      <c r="BU97" s="72">
        <v>0</v>
      </c>
      <c r="BV97" s="72">
        <v>0</v>
      </c>
      <c r="BW97" s="72">
        <v>0</v>
      </c>
      <c r="BX97" s="72">
        <v>0</v>
      </c>
      <c r="BY97" s="72">
        <v>0</v>
      </c>
      <c r="BZ97" s="72">
        <v>0</v>
      </c>
      <c r="CA97" s="72">
        <v>0</v>
      </c>
      <c r="CB97" s="72">
        <v>0</v>
      </c>
      <c r="CC97" s="72">
        <v>0</v>
      </c>
      <c r="CD97" s="72">
        <v>0</v>
      </c>
      <c r="CE97" s="72">
        <v>0</v>
      </c>
      <c r="CF97" s="72">
        <v>0</v>
      </c>
      <c r="CG97" s="72">
        <v>0</v>
      </c>
      <c r="CH97" s="72">
        <v>0</v>
      </c>
      <c r="CI97" s="72">
        <v>0</v>
      </c>
      <c r="CJ97" s="72">
        <v>0</v>
      </c>
      <c r="CK97" s="72">
        <v>0</v>
      </c>
      <c r="CL97" s="72">
        <v>0</v>
      </c>
      <c r="CM97" s="72">
        <v>0</v>
      </c>
      <c r="CN97" s="72">
        <v>0</v>
      </c>
      <c r="CO97" s="72">
        <v>0</v>
      </c>
      <c r="CP97" s="72">
        <v>0</v>
      </c>
      <c r="CQ97" s="72">
        <v>0</v>
      </c>
      <c r="CR97" s="72">
        <v>0</v>
      </c>
      <c r="CS97" s="72">
        <v>0</v>
      </c>
      <c r="CT97" s="72">
        <v>0</v>
      </c>
      <c r="CU97" s="72">
        <v>0</v>
      </c>
      <c r="CV97" s="72">
        <v>0</v>
      </c>
      <c r="CW97" s="72">
        <v>0</v>
      </c>
      <c r="CX97" s="72">
        <v>0</v>
      </c>
      <c r="CY97" s="72">
        <v>0</v>
      </c>
      <c r="CZ97" s="72">
        <v>0</v>
      </c>
      <c r="DA97" s="72">
        <v>0</v>
      </c>
      <c r="DB97" s="72">
        <v>0</v>
      </c>
      <c r="DC97" s="72">
        <v>0</v>
      </c>
      <c r="DD97" s="72">
        <v>0</v>
      </c>
      <c r="DE97" s="72">
        <v>0</v>
      </c>
      <c r="DF97" s="72">
        <v>0</v>
      </c>
      <c r="DG97" s="72">
        <v>0</v>
      </c>
      <c r="DH97" s="72">
        <v>0</v>
      </c>
      <c r="DI97" s="72">
        <v>0</v>
      </c>
      <c r="DJ97" s="72">
        <v>0</v>
      </c>
      <c r="DK97" s="72">
        <v>0</v>
      </c>
      <c r="DL97" s="72">
        <v>0</v>
      </c>
      <c r="DM97" s="72">
        <v>0</v>
      </c>
    </row>
    <row r="98" spans="1:117" x14ac:dyDescent="0.35">
      <c r="A98" s="7"/>
      <c r="B98" s="42" t="s">
        <v>165</v>
      </c>
      <c r="C98" s="9" t="s">
        <v>166</v>
      </c>
      <c r="D98" s="10" t="s">
        <v>161</v>
      </c>
      <c r="E98" s="8" t="s">
        <v>1210</v>
      </c>
      <c r="F98" s="10">
        <v>1005</v>
      </c>
      <c r="G98" s="10" t="s">
        <v>40</v>
      </c>
      <c r="H98" s="10" t="s">
        <v>41</v>
      </c>
      <c r="I98" s="11">
        <v>5</v>
      </c>
      <c r="J98" s="10"/>
      <c r="K98" s="10" t="s">
        <v>42</v>
      </c>
      <c r="L98" s="8"/>
      <c r="M98" s="12">
        <v>4.38</v>
      </c>
      <c r="N98" s="12">
        <f t="shared" si="1"/>
        <v>0</v>
      </c>
      <c r="O98" s="11"/>
      <c r="P98" s="11"/>
      <c r="Q98" s="11"/>
      <c r="R98" s="11"/>
      <c r="S98" s="11"/>
      <c r="T98" s="11"/>
      <c r="U98" s="11"/>
      <c r="V98" s="11"/>
      <c r="W98" s="11"/>
      <c r="X98" s="11">
        <v>5</v>
      </c>
      <c r="Y98" s="11">
        <v>5</v>
      </c>
      <c r="Z98" s="11">
        <v>5</v>
      </c>
      <c r="AA98" s="11">
        <v>5</v>
      </c>
      <c r="AB98" s="11">
        <v>5</v>
      </c>
      <c r="AC98" s="11">
        <v>5</v>
      </c>
      <c r="AD98" s="11">
        <v>5</v>
      </c>
      <c r="AE98" s="11">
        <v>5</v>
      </c>
      <c r="AF98" s="11">
        <v>5</v>
      </c>
      <c r="AG98" s="11">
        <v>5</v>
      </c>
      <c r="AH98" s="11">
        <v>5</v>
      </c>
      <c r="AI98" s="11">
        <v>5</v>
      </c>
      <c r="AJ98" s="11">
        <v>5</v>
      </c>
      <c r="AK98" s="11">
        <v>5</v>
      </c>
      <c r="AL98" s="11">
        <v>5</v>
      </c>
      <c r="AM98" s="11">
        <v>5</v>
      </c>
      <c r="AN98" s="72">
        <v>5</v>
      </c>
      <c r="AO98" s="72">
        <v>5</v>
      </c>
      <c r="AP98" s="72">
        <v>5</v>
      </c>
      <c r="AQ98" s="72">
        <v>5</v>
      </c>
      <c r="AR98" s="72">
        <v>5</v>
      </c>
      <c r="AS98" s="72">
        <v>5</v>
      </c>
      <c r="AT98" s="72">
        <v>5</v>
      </c>
      <c r="AU98" s="72">
        <v>5</v>
      </c>
      <c r="AV98" s="72">
        <v>5</v>
      </c>
      <c r="AW98" s="72">
        <v>5</v>
      </c>
      <c r="AX98" s="72">
        <v>5</v>
      </c>
      <c r="AY98" s="72">
        <v>5</v>
      </c>
      <c r="AZ98" s="72">
        <v>5</v>
      </c>
      <c r="BA98" s="72">
        <v>5</v>
      </c>
      <c r="BB98" s="72">
        <v>5</v>
      </c>
      <c r="BC98" s="72">
        <v>5</v>
      </c>
      <c r="BD98" s="72">
        <v>5</v>
      </c>
      <c r="BE98" s="72">
        <v>5</v>
      </c>
      <c r="BF98" s="72">
        <v>5</v>
      </c>
      <c r="BG98" s="72">
        <v>5</v>
      </c>
      <c r="BH98" s="72">
        <v>5</v>
      </c>
      <c r="BI98" s="72">
        <v>5</v>
      </c>
      <c r="BJ98" s="72">
        <v>5</v>
      </c>
      <c r="BK98" s="72">
        <v>5</v>
      </c>
      <c r="BL98" s="72">
        <v>148</v>
      </c>
      <c r="BM98" s="72">
        <v>0</v>
      </c>
      <c r="BN98" s="72">
        <v>0</v>
      </c>
      <c r="BO98" s="72">
        <v>0</v>
      </c>
      <c r="BP98" s="72">
        <v>0</v>
      </c>
      <c r="BQ98" s="72">
        <v>0</v>
      </c>
      <c r="BR98" s="72">
        <v>0</v>
      </c>
      <c r="BS98" s="72">
        <v>0</v>
      </c>
      <c r="BT98" s="72">
        <v>0</v>
      </c>
      <c r="BU98" s="72">
        <v>0</v>
      </c>
      <c r="BV98" s="72">
        <v>0</v>
      </c>
      <c r="BW98" s="72">
        <v>0</v>
      </c>
      <c r="BX98" s="72">
        <v>0</v>
      </c>
      <c r="BY98" s="72">
        <v>0</v>
      </c>
      <c r="BZ98" s="72">
        <v>0</v>
      </c>
      <c r="CA98" s="72">
        <v>0</v>
      </c>
      <c r="CB98" s="72">
        <v>0</v>
      </c>
      <c r="CC98" s="72">
        <v>0</v>
      </c>
      <c r="CD98" s="72">
        <v>0</v>
      </c>
      <c r="CE98" s="72">
        <v>0</v>
      </c>
      <c r="CF98" s="72">
        <v>0</v>
      </c>
      <c r="CG98" s="72">
        <v>0</v>
      </c>
      <c r="CH98" s="72">
        <v>0</v>
      </c>
      <c r="CI98" s="72">
        <v>0</v>
      </c>
      <c r="CJ98" s="72">
        <v>0</v>
      </c>
      <c r="CK98" s="72">
        <v>0</v>
      </c>
      <c r="CL98" s="72">
        <v>0</v>
      </c>
      <c r="CM98" s="72">
        <v>0</v>
      </c>
      <c r="CN98" s="72">
        <v>0</v>
      </c>
      <c r="CO98" s="72">
        <v>0</v>
      </c>
      <c r="CP98" s="72">
        <v>0</v>
      </c>
      <c r="CQ98" s="72">
        <v>0</v>
      </c>
      <c r="CR98" s="72">
        <v>0</v>
      </c>
      <c r="CS98" s="72">
        <v>0</v>
      </c>
      <c r="CT98" s="72">
        <v>0</v>
      </c>
      <c r="CU98" s="72">
        <v>0</v>
      </c>
      <c r="CV98" s="72">
        <v>0</v>
      </c>
      <c r="CW98" s="72">
        <v>0</v>
      </c>
      <c r="CX98" s="72">
        <v>0</v>
      </c>
      <c r="CY98" s="72">
        <v>0</v>
      </c>
      <c r="CZ98" s="72">
        <v>0</v>
      </c>
      <c r="DA98" s="72">
        <v>0</v>
      </c>
      <c r="DB98" s="72">
        <v>0</v>
      </c>
      <c r="DC98" s="72">
        <v>0</v>
      </c>
      <c r="DD98" s="72">
        <v>0</v>
      </c>
      <c r="DE98" s="72">
        <v>0</v>
      </c>
      <c r="DF98" s="72">
        <v>0</v>
      </c>
      <c r="DG98" s="72">
        <v>0</v>
      </c>
      <c r="DH98" s="72">
        <v>0</v>
      </c>
      <c r="DI98" s="72">
        <v>0</v>
      </c>
      <c r="DJ98" s="72">
        <v>0</v>
      </c>
      <c r="DK98" s="72">
        <v>0</v>
      </c>
      <c r="DL98" s="72">
        <v>0</v>
      </c>
      <c r="DM98" s="72">
        <v>0</v>
      </c>
    </row>
    <row r="99" spans="1:117" x14ac:dyDescent="0.35">
      <c r="A99" s="7"/>
      <c r="B99" s="42" t="s">
        <v>1366</v>
      </c>
      <c r="C99" s="9" t="s">
        <v>1369</v>
      </c>
      <c r="D99" s="10" t="s">
        <v>161</v>
      </c>
      <c r="E99" s="8" t="s">
        <v>1210</v>
      </c>
      <c r="F99" s="10"/>
      <c r="G99" s="10"/>
      <c r="H99" s="10" t="s">
        <v>41</v>
      </c>
      <c r="I99" s="11">
        <v>0</v>
      </c>
      <c r="J99" s="10"/>
      <c r="K99" s="10"/>
      <c r="L99" s="8"/>
      <c r="M99" s="12">
        <v>9.8800000000000008</v>
      </c>
      <c r="N99" s="12">
        <f t="shared" si="1"/>
        <v>0</v>
      </c>
      <c r="O99" s="11">
        <v>0</v>
      </c>
      <c r="P99" s="11">
        <v>0</v>
      </c>
      <c r="Q99" s="11">
        <v>0</v>
      </c>
      <c r="R99" s="11">
        <v>0</v>
      </c>
      <c r="S99" s="11">
        <v>0</v>
      </c>
      <c r="T99" s="11">
        <v>0</v>
      </c>
      <c r="U99" s="11">
        <v>0</v>
      </c>
      <c r="V99" s="11">
        <v>0</v>
      </c>
      <c r="W99" s="11">
        <v>0</v>
      </c>
      <c r="X99" s="11">
        <v>0</v>
      </c>
      <c r="Y99" s="11">
        <v>0</v>
      </c>
      <c r="Z99" s="11">
        <v>0</v>
      </c>
      <c r="AA99" s="11">
        <v>0</v>
      </c>
      <c r="AB99" s="11">
        <v>0</v>
      </c>
      <c r="AC99" s="11">
        <v>0</v>
      </c>
      <c r="AD99" s="11">
        <v>0</v>
      </c>
      <c r="AE99" s="11">
        <v>0</v>
      </c>
      <c r="AF99" s="11">
        <v>0</v>
      </c>
      <c r="AG99" s="11">
        <v>0</v>
      </c>
      <c r="AH99" s="11">
        <v>0</v>
      </c>
      <c r="AI99" s="11">
        <v>0</v>
      </c>
      <c r="AJ99" s="11">
        <v>0</v>
      </c>
      <c r="AK99" s="11">
        <v>0</v>
      </c>
      <c r="AL99" s="11">
        <v>0</v>
      </c>
      <c r="AM99" s="11">
        <v>0</v>
      </c>
      <c r="AN99" s="72">
        <v>0</v>
      </c>
      <c r="AO99" s="72">
        <v>0</v>
      </c>
      <c r="AP99" s="72">
        <v>0</v>
      </c>
      <c r="AQ99" s="72">
        <v>0</v>
      </c>
      <c r="AR99" s="72">
        <v>0</v>
      </c>
      <c r="AS99" s="72">
        <v>0</v>
      </c>
      <c r="AT99" s="72">
        <v>0</v>
      </c>
      <c r="AU99" s="72">
        <v>0</v>
      </c>
      <c r="AV99" s="72">
        <v>0</v>
      </c>
      <c r="AW99" s="72">
        <v>0</v>
      </c>
      <c r="AX99" s="72">
        <v>0</v>
      </c>
      <c r="AY99" s="72">
        <v>0</v>
      </c>
      <c r="AZ99" s="72">
        <v>0</v>
      </c>
      <c r="BA99" s="72">
        <v>0</v>
      </c>
      <c r="BB99" s="72">
        <v>0</v>
      </c>
      <c r="BC99" s="72">
        <v>0</v>
      </c>
      <c r="BD99" s="72">
        <v>0</v>
      </c>
      <c r="BE99" s="72">
        <v>0</v>
      </c>
      <c r="BF99" s="72">
        <v>0</v>
      </c>
      <c r="BG99" s="72">
        <v>0</v>
      </c>
      <c r="BH99" s="72">
        <v>0</v>
      </c>
      <c r="BI99" s="72">
        <v>0</v>
      </c>
      <c r="BJ99" s="72">
        <v>0</v>
      </c>
      <c r="BK99" s="72">
        <v>0</v>
      </c>
      <c r="BL99" s="72">
        <v>21</v>
      </c>
      <c r="BM99" s="72">
        <v>0</v>
      </c>
      <c r="BN99" s="72">
        <v>0</v>
      </c>
      <c r="BO99" s="72">
        <v>0</v>
      </c>
      <c r="BP99" s="72">
        <v>0</v>
      </c>
      <c r="BQ99" s="72">
        <v>0</v>
      </c>
      <c r="BR99" s="72">
        <v>0</v>
      </c>
      <c r="BS99" s="72">
        <v>0</v>
      </c>
      <c r="BT99" s="72">
        <v>0</v>
      </c>
      <c r="BU99" s="72">
        <v>0</v>
      </c>
      <c r="BV99" s="72">
        <v>0</v>
      </c>
      <c r="BW99" s="72">
        <v>0</v>
      </c>
      <c r="BX99" s="72">
        <v>0</v>
      </c>
      <c r="BY99" s="72">
        <v>0</v>
      </c>
      <c r="BZ99" s="72">
        <v>0</v>
      </c>
      <c r="CA99" s="72">
        <v>0</v>
      </c>
      <c r="CB99" s="72">
        <v>0</v>
      </c>
      <c r="CC99" s="72">
        <v>0</v>
      </c>
      <c r="CD99" s="72">
        <v>0</v>
      </c>
      <c r="CE99" s="72">
        <v>0</v>
      </c>
      <c r="CF99" s="72">
        <v>0</v>
      </c>
      <c r="CG99" s="72">
        <v>0</v>
      </c>
      <c r="CH99" s="72">
        <v>0</v>
      </c>
      <c r="CI99" s="72">
        <v>0</v>
      </c>
      <c r="CJ99" s="72">
        <v>0</v>
      </c>
      <c r="CK99" s="72">
        <v>0</v>
      </c>
      <c r="CL99" s="72">
        <v>0</v>
      </c>
      <c r="CM99" s="72">
        <v>0</v>
      </c>
      <c r="CN99" s="72">
        <v>0</v>
      </c>
      <c r="CO99" s="72">
        <v>0</v>
      </c>
      <c r="CP99" s="72">
        <v>0</v>
      </c>
      <c r="CQ99" s="72">
        <v>0</v>
      </c>
      <c r="CR99" s="72">
        <v>0</v>
      </c>
      <c r="CS99" s="72">
        <v>0</v>
      </c>
      <c r="CT99" s="72">
        <v>0</v>
      </c>
      <c r="CU99" s="72">
        <v>0</v>
      </c>
      <c r="CV99" s="72">
        <v>0</v>
      </c>
      <c r="CW99" s="72">
        <v>0</v>
      </c>
      <c r="CX99" s="72">
        <v>0</v>
      </c>
      <c r="CY99" s="72">
        <v>0</v>
      </c>
      <c r="CZ99" s="72">
        <v>0</v>
      </c>
      <c r="DA99" s="72">
        <v>0</v>
      </c>
      <c r="DB99" s="72">
        <v>0</v>
      </c>
      <c r="DC99" s="72">
        <v>0</v>
      </c>
      <c r="DD99" s="72">
        <v>0</v>
      </c>
      <c r="DE99" s="72">
        <v>0</v>
      </c>
      <c r="DF99" s="72">
        <v>0</v>
      </c>
      <c r="DG99" s="72">
        <v>0</v>
      </c>
      <c r="DH99" s="72">
        <v>0</v>
      </c>
      <c r="DI99" s="72">
        <v>0</v>
      </c>
      <c r="DJ99" s="72">
        <v>0</v>
      </c>
      <c r="DK99" s="72">
        <v>0</v>
      </c>
      <c r="DL99" s="72">
        <v>0</v>
      </c>
      <c r="DM99" s="72">
        <v>0</v>
      </c>
    </row>
    <row r="100" spans="1:117" x14ac:dyDescent="0.35">
      <c r="A100" s="7"/>
      <c r="B100" s="42" t="s">
        <v>167</v>
      </c>
      <c r="C100" s="9" t="s">
        <v>168</v>
      </c>
      <c r="D100" s="10" t="s">
        <v>161</v>
      </c>
      <c r="E100" s="8" t="s">
        <v>1210</v>
      </c>
      <c r="F100" s="10">
        <v>1005</v>
      </c>
      <c r="G100" s="10" t="s">
        <v>40</v>
      </c>
      <c r="H100" s="10" t="s">
        <v>41</v>
      </c>
      <c r="I100" s="11">
        <v>2</v>
      </c>
      <c r="J100" s="10"/>
      <c r="K100" s="10" t="s">
        <v>42</v>
      </c>
      <c r="L100" s="8"/>
      <c r="M100" s="12">
        <v>45.18</v>
      </c>
      <c r="N100" s="12">
        <f t="shared" si="1"/>
        <v>0</v>
      </c>
      <c r="O100" s="11"/>
      <c r="P100" s="11"/>
      <c r="Q100" s="11"/>
      <c r="R100" s="11"/>
      <c r="S100" s="11"/>
      <c r="T100" s="11"/>
      <c r="U100" s="11"/>
      <c r="V100" s="11"/>
      <c r="W100" s="11"/>
      <c r="X100" s="11">
        <v>2</v>
      </c>
      <c r="Y100" s="11">
        <v>2</v>
      </c>
      <c r="Z100" s="11">
        <v>2</v>
      </c>
      <c r="AA100" s="11">
        <v>2</v>
      </c>
      <c r="AB100" s="11">
        <v>2</v>
      </c>
      <c r="AC100" s="11">
        <v>0</v>
      </c>
      <c r="AD100" s="11">
        <v>0</v>
      </c>
      <c r="AE100" s="11">
        <v>0</v>
      </c>
      <c r="AF100" s="11">
        <v>0</v>
      </c>
      <c r="AG100" s="11">
        <v>0</v>
      </c>
      <c r="AH100" s="11">
        <v>0</v>
      </c>
      <c r="AI100" s="11">
        <v>0</v>
      </c>
      <c r="AJ100" s="11">
        <v>0</v>
      </c>
      <c r="AK100" s="11">
        <v>0</v>
      </c>
      <c r="AL100" s="11">
        <v>0</v>
      </c>
      <c r="AM100" s="11">
        <v>0</v>
      </c>
      <c r="AN100" s="72">
        <v>0</v>
      </c>
      <c r="AO100" s="72">
        <v>0</v>
      </c>
      <c r="AP100" s="72">
        <v>0</v>
      </c>
      <c r="AQ100" s="72">
        <v>0</v>
      </c>
      <c r="AR100" s="72">
        <v>0</v>
      </c>
      <c r="AS100" s="72">
        <v>0</v>
      </c>
      <c r="AT100" s="72">
        <v>0</v>
      </c>
      <c r="AU100" s="72">
        <v>0</v>
      </c>
      <c r="AV100" s="72">
        <v>0</v>
      </c>
      <c r="AW100" s="72">
        <v>0</v>
      </c>
      <c r="AX100" s="72">
        <v>0</v>
      </c>
      <c r="AY100" s="72">
        <v>0</v>
      </c>
      <c r="AZ100" s="72">
        <v>0</v>
      </c>
      <c r="BA100" s="72">
        <v>0</v>
      </c>
      <c r="BB100" s="72">
        <v>0</v>
      </c>
      <c r="BC100" s="72">
        <v>0</v>
      </c>
      <c r="BD100" s="72">
        <v>0</v>
      </c>
      <c r="BE100" s="72">
        <v>0</v>
      </c>
      <c r="BF100" s="72">
        <v>0</v>
      </c>
      <c r="BG100" s="72">
        <v>0</v>
      </c>
      <c r="BH100" s="72">
        <v>0</v>
      </c>
      <c r="BI100" s="72">
        <v>0</v>
      </c>
      <c r="BJ100" s="72">
        <v>0</v>
      </c>
      <c r="BK100" s="72">
        <v>0</v>
      </c>
      <c r="BL100" s="72">
        <v>0</v>
      </c>
      <c r="BM100" s="72">
        <v>0</v>
      </c>
      <c r="BN100" s="72">
        <v>0</v>
      </c>
      <c r="BO100" s="72">
        <v>0</v>
      </c>
      <c r="BP100" s="72">
        <v>0</v>
      </c>
      <c r="BQ100" s="72">
        <v>0</v>
      </c>
      <c r="BR100" s="72">
        <v>0</v>
      </c>
      <c r="BS100" s="72">
        <v>0</v>
      </c>
      <c r="BT100" s="72">
        <v>0</v>
      </c>
      <c r="BU100" s="72">
        <v>0</v>
      </c>
      <c r="BV100" s="72">
        <v>0</v>
      </c>
      <c r="BW100" s="72">
        <v>0</v>
      </c>
      <c r="BX100" s="72">
        <v>0</v>
      </c>
      <c r="BY100" s="72">
        <v>0</v>
      </c>
      <c r="BZ100" s="72">
        <v>0</v>
      </c>
      <c r="CA100" s="72">
        <v>0</v>
      </c>
      <c r="CB100" s="72">
        <v>0</v>
      </c>
      <c r="CC100" s="72">
        <v>0</v>
      </c>
      <c r="CD100" s="72">
        <v>0</v>
      </c>
      <c r="CE100" s="72">
        <v>0</v>
      </c>
      <c r="CF100" s="72">
        <v>0</v>
      </c>
      <c r="CG100" s="72">
        <v>0</v>
      </c>
      <c r="CH100" s="72">
        <v>0</v>
      </c>
      <c r="CI100" s="72">
        <v>0</v>
      </c>
      <c r="CJ100" s="72">
        <v>0</v>
      </c>
      <c r="CK100" s="72">
        <v>0</v>
      </c>
      <c r="CL100" s="72">
        <v>0</v>
      </c>
      <c r="CM100" s="72">
        <v>0</v>
      </c>
      <c r="CN100" s="72">
        <v>0</v>
      </c>
      <c r="CO100" s="72">
        <v>0</v>
      </c>
      <c r="CP100" s="72">
        <v>0</v>
      </c>
      <c r="CQ100" s="72">
        <v>0</v>
      </c>
      <c r="CR100" s="72">
        <v>0</v>
      </c>
      <c r="CS100" s="72">
        <v>0</v>
      </c>
      <c r="CT100" s="72">
        <v>0</v>
      </c>
      <c r="CU100" s="72">
        <v>0</v>
      </c>
      <c r="CV100" s="72">
        <v>0</v>
      </c>
      <c r="CW100" s="72">
        <v>0</v>
      </c>
      <c r="CX100" s="72">
        <v>0</v>
      </c>
      <c r="CY100" s="72">
        <v>0</v>
      </c>
      <c r="CZ100" s="72">
        <v>0</v>
      </c>
      <c r="DA100" s="72">
        <v>0</v>
      </c>
      <c r="DB100" s="72">
        <v>0</v>
      </c>
      <c r="DC100" s="72">
        <v>0</v>
      </c>
      <c r="DD100" s="72">
        <v>0</v>
      </c>
      <c r="DE100" s="72">
        <v>0</v>
      </c>
      <c r="DF100" s="72">
        <v>0</v>
      </c>
      <c r="DG100" s="72">
        <v>0</v>
      </c>
      <c r="DH100" s="72">
        <v>0</v>
      </c>
      <c r="DI100" s="72">
        <v>0</v>
      </c>
      <c r="DJ100" s="72">
        <v>0</v>
      </c>
      <c r="DK100" s="72">
        <v>0</v>
      </c>
      <c r="DL100" s="72">
        <v>0</v>
      </c>
      <c r="DM100" s="72">
        <v>0</v>
      </c>
    </row>
    <row r="101" spans="1:117" x14ac:dyDescent="0.35">
      <c r="A101" s="7"/>
      <c r="B101" s="77" t="s">
        <v>1304</v>
      </c>
      <c r="C101" s="78" t="s">
        <v>1306</v>
      </c>
      <c r="D101" s="10" t="s">
        <v>161</v>
      </c>
      <c r="E101" s="8" t="s">
        <v>1307</v>
      </c>
      <c r="F101" s="10"/>
      <c r="G101" s="10"/>
      <c r="H101" s="10" t="s">
        <v>41</v>
      </c>
      <c r="I101" s="11"/>
      <c r="J101" s="10"/>
      <c r="K101" s="10"/>
      <c r="L101" s="8"/>
      <c r="M101" s="12">
        <v>2.93</v>
      </c>
      <c r="N101" s="12">
        <f t="shared" si="1"/>
        <v>76.180000000000007</v>
      </c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72"/>
      <c r="AO101" s="72"/>
      <c r="AP101" s="72"/>
      <c r="AQ101" s="72"/>
      <c r="AR101" s="72"/>
      <c r="AS101" s="72"/>
      <c r="AT101" s="72"/>
      <c r="AU101" s="72"/>
      <c r="AV101" s="72"/>
      <c r="AW101" s="72"/>
      <c r="AX101" s="72"/>
      <c r="AY101" s="72"/>
      <c r="AZ101" s="72"/>
      <c r="BA101" s="72"/>
      <c r="BB101" s="72"/>
      <c r="BC101" s="72"/>
      <c r="BD101" s="72">
        <v>26</v>
      </c>
      <c r="BE101" s="72">
        <v>26</v>
      </c>
      <c r="BF101" s="72">
        <v>26</v>
      </c>
      <c r="BG101" s="72">
        <v>26</v>
      </c>
      <c r="BH101" s="72">
        <v>26</v>
      </c>
      <c r="BI101" s="72">
        <v>26</v>
      </c>
      <c r="BJ101" s="72">
        <v>26</v>
      </c>
      <c r="BK101" s="72">
        <v>26</v>
      </c>
      <c r="BL101" s="72">
        <v>26</v>
      </c>
      <c r="BM101" s="72">
        <v>26</v>
      </c>
      <c r="BN101" s="72">
        <v>26</v>
      </c>
      <c r="BO101" s="72">
        <v>26</v>
      </c>
      <c r="BP101" s="72">
        <v>26</v>
      </c>
      <c r="BQ101" s="72">
        <v>26</v>
      </c>
      <c r="BR101" s="72">
        <v>26</v>
      </c>
      <c r="BS101" s="72">
        <v>26</v>
      </c>
      <c r="BT101" s="72">
        <v>26</v>
      </c>
      <c r="BU101" s="72">
        <v>26</v>
      </c>
      <c r="BV101" s="72">
        <v>26</v>
      </c>
      <c r="BW101" s="72">
        <v>26</v>
      </c>
      <c r="BX101" s="72">
        <v>26</v>
      </c>
      <c r="BY101" s="72">
        <v>26</v>
      </c>
      <c r="BZ101" s="72">
        <v>26</v>
      </c>
      <c r="CA101" s="72">
        <v>26</v>
      </c>
      <c r="CB101" s="72">
        <v>26</v>
      </c>
      <c r="CC101" s="72">
        <v>26</v>
      </c>
      <c r="CD101" s="72">
        <v>26</v>
      </c>
      <c r="CE101" s="72">
        <v>26</v>
      </c>
      <c r="CF101" s="72">
        <v>26</v>
      </c>
      <c r="CG101" s="72">
        <v>26</v>
      </c>
      <c r="CH101" s="72">
        <v>26</v>
      </c>
      <c r="CI101" s="72">
        <v>26</v>
      </c>
      <c r="CJ101" s="72">
        <v>26</v>
      </c>
      <c r="CK101" s="72">
        <v>26</v>
      </c>
      <c r="CL101" s="72">
        <v>26</v>
      </c>
      <c r="CM101" s="72">
        <v>26</v>
      </c>
      <c r="CN101" s="72">
        <v>26</v>
      </c>
      <c r="CO101" s="72">
        <v>26</v>
      </c>
      <c r="CP101" s="72">
        <v>26</v>
      </c>
      <c r="CQ101" s="72">
        <v>26</v>
      </c>
      <c r="CR101" s="72">
        <v>26</v>
      </c>
      <c r="CS101" s="72">
        <v>26</v>
      </c>
      <c r="CT101" s="72">
        <v>26</v>
      </c>
      <c r="CU101" s="72">
        <v>26</v>
      </c>
      <c r="CV101" s="72">
        <v>26</v>
      </c>
      <c r="CW101" s="72">
        <v>26</v>
      </c>
      <c r="CX101" s="72">
        <v>26</v>
      </c>
      <c r="CY101" s="72">
        <v>26</v>
      </c>
      <c r="CZ101" s="72">
        <v>26</v>
      </c>
      <c r="DA101" s="72">
        <v>26</v>
      </c>
      <c r="DB101" s="72">
        <v>26</v>
      </c>
      <c r="DC101" s="72">
        <v>26</v>
      </c>
      <c r="DD101" s="72">
        <v>26</v>
      </c>
      <c r="DE101" s="72">
        <v>26</v>
      </c>
      <c r="DF101" s="72">
        <v>26</v>
      </c>
      <c r="DG101" s="72">
        <v>26</v>
      </c>
      <c r="DH101" s="72">
        <v>26</v>
      </c>
      <c r="DI101" s="72">
        <v>26</v>
      </c>
      <c r="DJ101" s="72">
        <v>26</v>
      </c>
      <c r="DK101" s="72">
        <v>26</v>
      </c>
      <c r="DL101" s="72">
        <v>26</v>
      </c>
      <c r="DM101" s="72">
        <v>26</v>
      </c>
    </row>
    <row r="102" spans="1:117" x14ac:dyDescent="0.35">
      <c r="A102" s="7"/>
      <c r="B102" s="8" t="s">
        <v>169</v>
      </c>
      <c r="C102" s="9" t="s">
        <v>170</v>
      </c>
      <c r="D102" s="10" t="s">
        <v>161</v>
      </c>
      <c r="E102" s="8" t="s">
        <v>1209</v>
      </c>
      <c r="F102" s="10">
        <v>1101</v>
      </c>
      <c r="G102" s="10" t="s">
        <v>92</v>
      </c>
      <c r="H102" s="10" t="s">
        <v>41</v>
      </c>
      <c r="I102" s="11">
        <v>5</v>
      </c>
      <c r="J102" s="10"/>
      <c r="K102" s="10"/>
      <c r="L102" s="8"/>
      <c r="M102" s="12">
        <v>0.77</v>
      </c>
      <c r="N102" s="12">
        <f t="shared" si="1"/>
        <v>3.85</v>
      </c>
      <c r="O102" s="11">
        <v>5</v>
      </c>
      <c r="P102" s="11">
        <v>5</v>
      </c>
      <c r="Q102" s="11">
        <v>5</v>
      </c>
      <c r="R102" s="11">
        <v>5</v>
      </c>
      <c r="S102" s="11">
        <v>5</v>
      </c>
      <c r="T102" s="11">
        <v>5</v>
      </c>
      <c r="U102" s="11">
        <v>5</v>
      </c>
      <c r="V102" s="11">
        <v>5</v>
      </c>
      <c r="W102" s="11">
        <v>5</v>
      </c>
      <c r="X102" s="11">
        <v>5</v>
      </c>
      <c r="Y102" s="11">
        <v>5</v>
      </c>
      <c r="Z102" s="11">
        <v>5</v>
      </c>
      <c r="AA102" s="11">
        <v>5</v>
      </c>
      <c r="AB102" s="11">
        <v>5</v>
      </c>
      <c r="AC102" s="11">
        <v>5</v>
      </c>
      <c r="AD102" s="11">
        <v>5</v>
      </c>
      <c r="AE102" s="11">
        <v>5</v>
      </c>
      <c r="AF102" s="11">
        <v>5</v>
      </c>
      <c r="AG102" s="11">
        <v>5</v>
      </c>
      <c r="AH102" s="11">
        <v>5</v>
      </c>
      <c r="AI102" s="11">
        <v>5</v>
      </c>
      <c r="AJ102" s="11">
        <v>5</v>
      </c>
      <c r="AK102" s="11">
        <v>5</v>
      </c>
      <c r="AL102" s="11">
        <v>5</v>
      </c>
      <c r="AM102" s="11">
        <v>5</v>
      </c>
      <c r="AN102" s="72">
        <v>5</v>
      </c>
      <c r="AO102" s="72">
        <v>5</v>
      </c>
      <c r="AP102" s="72">
        <v>5</v>
      </c>
      <c r="AQ102" s="72">
        <v>5</v>
      </c>
      <c r="AR102" s="72">
        <v>5</v>
      </c>
      <c r="AS102" s="72">
        <v>5</v>
      </c>
      <c r="AT102" s="72">
        <v>5</v>
      </c>
      <c r="AU102" s="72">
        <v>5</v>
      </c>
      <c r="AV102" s="72">
        <v>5</v>
      </c>
      <c r="AW102" s="72">
        <v>5</v>
      </c>
      <c r="AX102" s="72">
        <v>5</v>
      </c>
      <c r="AY102" s="72">
        <v>5</v>
      </c>
      <c r="AZ102" s="72">
        <v>5</v>
      </c>
      <c r="BA102" s="72">
        <v>5</v>
      </c>
      <c r="BB102" s="72">
        <v>5</v>
      </c>
      <c r="BC102" s="72">
        <v>5</v>
      </c>
      <c r="BD102" s="72">
        <v>5</v>
      </c>
      <c r="BE102" s="72">
        <v>5</v>
      </c>
      <c r="BF102" s="72">
        <v>5</v>
      </c>
      <c r="BG102" s="72">
        <v>5</v>
      </c>
      <c r="BH102" s="72">
        <v>5</v>
      </c>
      <c r="BI102" s="72">
        <v>5</v>
      </c>
      <c r="BJ102" s="72">
        <v>5</v>
      </c>
      <c r="BK102" s="72">
        <v>5</v>
      </c>
      <c r="BL102" s="72">
        <v>5</v>
      </c>
      <c r="BM102" s="72">
        <v>5</v>
      </c>
      <c r="BN102" s="72">
        <v>5</v>
      </c>
      <c r="BO102" s="72">
        <v>5</v>
      </c>
      <c r="BP102" s="72">
        <v>5</v>
      </c>
      <c r="BQ102" s="72">
        <v>5</v>
      </c>
      <c r="BR102" s="72">
        <v>5</v>
      </c>
      <c r="BS102" s="72">
        <v>5</v>
      </c>
      <c r="BT102" s="72">
        <v>5</v>
      </c>
      <c r="BU102" s="72">
        <v>5</v>
      </c>
      <c r="BV102" s="72">
        <v>5</v>
      </c>
      <c r="BW102" s="72">
        <v>5</v>
      </c>
      <c r="BX102" s="72">
        <v>5</v>
      </c>
      <c r="BY102" s="72">
        <v>5</v>
      </c>
      <c r="BZ102" s="72">
        <v>5</v>
      </c>
      <c r="CA102" s="72">
        <v>5</v>
      </c>
      <c r="CB102" s="72">
        <v>5</v>
      </c>
      <c r="CC102" s="72">
        <v>5</v>
      </c>
      <c r="CD102" s="72">
        <v>5</v>
      </c>
      <c r="CE102" s="72">
        <v>5</v>
      </c>
      <c r="CF102" s="72">
        <v>5</v>
      </c>
      <c r="CG102" s="72">
        <v>5</v>
      </c>
      <c r="CH102" s="72">
        <v>5</v>
      </c>
      <c r="CI102" s="72">
        <v>5</v>
      </c>
      <c r="CJ102" s="72">
        <v>5</v>
      </c>
      <c r="CK102" s="72">
        <v>5</v>
      </c>
      <c r="CL102" s="72">
        <v>5</v>
      </c>
      <c r="CM102" s="72">
        <v>5</v>
      </c>
      <c r="CN102" s="72">
        <v>5</v>
      </c>
      <c r="CO102" s="72">
        <v>5</v>
      </c>
      <c r="CP102" s="72">
        <v>5</v>
      </c>
      <c r="CQ102" s="72">
        <v>5</v>
      </c>
      <c r="CR102" s="72">
        <v>5</v>
      </c>
      <c r="CS102" s="72">
        <v>5</v>
      </c>
      <c r="CT102" s="72">
        <v>5</v>
      </c>
      <c r="CU102" s="72">
        <v>5</v>
      </c>
      <c r="CV102" s="72">
        <v>5</v>
      </c>
      <c r="CW102" s="72">
        <v>5</v>
      </c>
      <c r="CX102" s="72">
        <v>5</v>
      </c>
      <c r="CY102" s="72">
        <v>5</v>
      </c>
      <c r="CZ102" s="72">
        <v>5</v>
      </c>
      <c r="DA102" s="72">
        <v>5</v>
      </c>
      <c r="DB102" s="72">
        <v>5</v>
      </c>
      <c r="DC102" s="72">
        <v>5</v>
      </c>
      <c r="DD102" s="72">
        <v>5</v>
      </c>
      <c r="DE102" s="72">
        <v>5</v>
      </c>
      <c r="DF102" s="72">
        <v>5</v>
      </c>
      <c r="DG102" s="72">
        <v>5</v>
      </c>
      <c r="DH102" s="72">
        <v>5</v>
      </c>
      <c r="DI102" s="72">
        <v>5</v>
      </c>
      <c r="DJ102" s="72">
        <v>5</v>
      </c>
      <c r="DK102" s="72">
        <v>5</v>
      </c>
      <c r="DL102" s="72">
        <v>5</v>
      </c>
      <c r="DM102" s="72">
        <v>5</v>
      </c>
    </row>
    <row r="103" spans="1:117" x14ac:dyDescent="0.35">
      <c r="A103" s="7"/>
      <c r="B103" s="8" t="s">
        <v>171</v>
      </c>
      <c r="C103" s="9" t="s">
        <v>172</v>
      </c>
      <c r="D103" s="10" t="s">
        <v>161</v>
      </c>
      <c r="E103" s="8" t="s">
        <v>1209</v>
      </c>
      <c r="F103" s="10">
        <v>1101</v>
      </c>
      <c r="G103" s="10" t="s">
        <v>92</v>
      </c>
      <c r="H103" s="10" t="s">
        <v>41</v>
      </c>
      <c r="I103" s="11">
        <v>18</v>
      </c>
      <c r="J103" s="10"/>
      <c r="K103" s="10"/>
      <c r="L103" s="8"/>
      <c r="M103" s="12">
        <v>4.03</v>
      </c>
      <c r="N103" s="12">
        <f t="shared" si="1"/>
        <v>72.540000000000006</v>
      </c>
      <c r="O103" s="11">
        <v>18</v>
      </c>
      <c r="P103" s="11">
        <v>18</v>
      </c>
      <c r="Q103" s="11">
        <v>18</v>
      </c>
      <c r="R103" s="11">
        <v>18</v>
      </c>
      <c r="S103" s="11">
        <v>18</v>
      </c>
      <c r="T103" s="11">
        <v>18</v>
      </c>
      <c r="U103" s="11">
        <v>18</v>
      </c>
      <c r="V103" s="11">
        <v>18</v>
      </c>
      <c r="W103" s="11">
        <v>18</v>
      </c>
      <c r="X103" s="11">
        <v>18</v>
      </c>
      <c r="Y103" s="11">
        <v>18</v>
      </c>
      <c r="Z103" s="11">
        <v>18</v>
      </c>
      <c r="AA103" s="11">
        <v>18</v>
      </c>
      <c r="AB103" s="11">
        <v>18</v>
      </c>
      <c r="AC103" s="11">
        <v>18</v>
      </c>
      <c r="AD103" s="11">
        <v>18</v>
      </c>
      <c r="AE103" s="11">
        <v>18</v>
      </c>
      <c r="AF103" s="11">
        <v>18</v>
      </c>
      <c r="AG103" s="11">
        <v>18</v>
      </c>
      <c r="AH103" s="11">
        <v>18</v>
      </c>
      <c r="AI103" s="11">
        <v>18</v>
      </c>
      <c r="AJ103" s="11">
        <v>18</v>
      </c>
      <c r="AK103" s="11">
        <v>18</v>
      </c>
      <c r="AL103" s="11">
        <v>18</v>
      </c>
      <c r="AM103" s="11">
        <v>18</v>
      </c>
      <c r="AN103" s="72">
        <v>18</v>
      </c>
      <c r="AO103" s="72">
        <v>18</v>
      </c>
      <c r="AP103" s="72">
        <v>18</v>
      </c>
      <c r="AQ103" s="72">
        <v>18</v>
      </c>
      <c r="AR103" s="72">
        <v>18</v>
      </c>
      <c r="AS103" s="72">
        <v>18</v>
      </c>
      <c r="AT103" s="72">
        <v>18</v>
      </c>
      <c r="AU103" s="72">
        <v>18</v>
      </c>
      <c r="AV103" s="72">
        <v>18</v>
      </c>
      <c r="AW103" s="72">
        <v>18</v>
      </c>
      <c r="AX103" s="72">
        <v>18</v>
      </c>
      <c r="AY103" s="72">
        <v>18</v>
      </c>
      <c r="AZ103" s="72">
        <v>18</v>
      </c>
      <c r="BA103" s="72">
        <v>18</v>
      </c>
      <c r="BB103" s="72">
        <v>18</v>
      </c>
      <c r="BC103" s="72">
        <v>18</v>
      </c>
      <c r="BD103" s="72">
        <v>18</v>
      </c>
      <c r="BE103" s="72">
        <v>18</v>
      </c>
      <c r="BF103" s="72">
        <v>18</v>
      </c>
      <c r="BG103" s="72">
        <v>18</v>
      </c>
      <c r="BH103" s="72">
        <v>18</v>
      </c>
      <c r="BI103" s="72">
        <v>18</v>
      </c>
      <c r="BJ103" s="72">
        <v>18</v>
      </c>
      <c r="BK103" s="72">
        <v>18</v>
      </c>
      <c r="BL103" s="72">
        <v>18</v>
      </c>
      <c r="BM103" s="72">
        <v>18</v>
      </c>
      <c r="BN103" s="72">
        <v>18</v>
      </c>
      <c r="BO103" s="72">
        <v>18</v>
      </c>
      <c r="BP103" s="72">
        <v>18</v>
      </c>
      <c r="BQ103" s="72">
        <v>18</v>
      </c>
      <c r="BR103" s="72">
        <v>18</v>
      </c>
      <c r="BS103" s="72">
        <v>18</v>
      </c>
      <c r="BT103" s="72">
        <v>18</v>
      </c>
      <c r="BU103" s="72">
        <v>18</v>
      </c>
      <c r="BV103" s="72">
        <v>18</v>
      </c>
      <c r="BW103" s="72">
        <v>18</v>
      </c>
      <c r="BX103" s="72">
        <v>18</v>
      </c>
      <c r="BY103" s="72">
        <v>18</v>
      </c>
      <c r="BZ103" s="72">
        <v>18</v>
      </c>
      <c r="CA103" s="72">
        <v>18</v>
      </c>
      <c r="CB103" s="72">
        <v>18</v>
      </c>
      <c r="CC103" s="72">
        <v>18</v>
      </c>
      <c r="CD103" s="72">
        <v>18</v>
      </c>
      <c r="CE103" s="72">
        <v>18</v>
      </c>
      <c r="CF103" s="72">
        <v>18</v>
      </c>
      <c r="CG103" s="72">
        <v>18</v>
      </c>
      <c r="CH103" s="72">
        <v>18</v>
      </c>
      <c r="CI103" s="72">
        <v>18</v>
      </c>
      <c r="CJ103" s="72">
        <v>18</v>
      </c>
      <c r="CK103" s="72">
        <v>18</v>
      </c>
      <c r="CL103" s="72">
        <v>18</v>
      </c>
      <c r="CM103" s="72">
        <v>18</v>
      </c>
      <c r="CN103" s="72">
        <v>18</v>
      </c>
      <c r="CO103" s="72">
        <v>18</v>
      </c>
      <c r="CP103" s="72">
        <v>18</v>
      </c>
      <c r="CQ103" s="72">
        <v>18</v>
      </c>
      <c r="CR103" s="72">
        <v>18</v>
      </c>
      <c r="CS103" s="72">
        <v>18</v>
      </c>
      <c r="CT103" s="72">
        <v>18</v>
      </c>
      <c r="CU103" s="72">
        <v>18</v>
      </c>
      <c r="CV103" s="72">
        <v>18</v>
      </c>
      <c r="CW103" s="72">
        <v>18</v>
      </c>
      <c r="CX103" s="72">
        <v>18</v>
      </c>
      <c r="CY103" s="72">
        <v>18</v>
      </c>
      <c r="CZ103" s="72">
        <v>18</v>
      </c>
      <c r="DA103" s="72">
        <v>18</v>
      </c>
      <c r="DB103" s="72">
        <v>18</v>
      </c>
      <c r="DC103" s="72">
        <v>18</v>
      </c>
      <c r="DD103" s="72">
        <v>18</v>
      </c>
      <c r="DE103" s="72">
        <v>18</v>
      </c>
      <c r="DF103" s="72">
        <v>18</v>
      </c>
      <c r="DG103" s="72">
        <v>18</v>
      </c>
      <c r="DH103" s="72">
        <v>18</v>
      </c>
      <c r="DI103" s="72">
        <v>18</v>
      </c>
      <c r="DJ103" s="72">
        <v>18</v>
      </c>
      <c r="DK103" s="72">
        <v>18</v>
      </c>
      <c r="DL103" s="72">
        <v>18</v>
      </c>
      <c r="DM103" s="72">
        <v>18</v>
      </c>
    </row>
    <row r="104" spans="1:117" x14ac:dyDescent="0.35">
      <c r="A104" s="7"/>
      <c r="B104" s="8" t="s">
        <v>173</v>
      </c>
      <c r="C104" s="9" t="s">
        <v>174</v>
      </c>
      <c r="D104" s="10" t="s">
        <v>161</v>
      </c>
      <c r="E104" s="8" t="s">
        <v>1211</v>
      </c>
      <c r="F104" s="10">
        <v>1101</v>
      </c>
      <c r="G104" s="10" t="s">
        <v>40</v>
      </c>
      <c r="H104" s="10" t="s">
        <v>95</v>
      </c>
      <c r="I104" s="11">
        <v>116</v>
      </c>
      <c r="J104" s="10"/>
      <c r="K104" s="10" t="s">
        <v>175</v>
      </c>
      <c r="L104" s="8" t="s">
        <v>176</v>
      </c>
      <c r="M104" s="12">
        <v>0.68</v>
      </c>
      <c r="N104" s="12">
        <f t="shared" si="1"/>
        <v>78.88000000000001</v>
      </c>
      <c r="O104" s="11">
        <v>64</v>
      </c>
      <c r="P104" s="11">
        <v>64</v>
      </c>
      <c r="Q104" s="11">
        <v>64</v>
      </c>
      <c r="R104" s="11">
        <v>64</v>
      </c>
      <c r="S104" s="11">
        <v>116</v>
      </c>
      <c r="T104" s="11">
        <v>116</v>
      </c>
      <c r="U104" s="11">
        <v>116</v>
      </c>
      <c r="V104" s="11">
        <v>116</v>
      </c>
      <c r="W104" s="11">
        <v>116</v>
      </c>
      <c r="X104" s="11">
        <v>116</v>
      </c>
      <c r="Y104" s="11">
        <v>116</v>
      </c>
      <c r="Z104" s="11">
        <v>116</v>
      </c>
      <c r="AA104" s="11">
        <v>116</v>
      </c>
      <c r="AB104" s="11">
        <v>116</v>
      </c>
      <c r="AC104" s="11">
        <v>116</v>
      </c>
      <c r="AD104" s="11">
        <v>116</v>
      </c>
      <c r="AE104" s="11">
        <v>116</v>
      </c>
      <c r="AF104" s="11">
        <v>116</v>
      </c>
      <c r="AG104" s="11">
        <v>116</v>
      </c>
      <c r="AH104" s="11">
        <v>116</v>
      </c>
      <c r="AI104" s="11">
        <v>116</v>
      </c>
      <c r="AJ104" s="11">
        <v>116</v>
      </c>
      <c r="AK104" s="11">
        <v>116</v>
      </c>
      <c r="AL104" s="11">
        <v>116</v>
      </c>
      <c r="AM104" s="11">
        <v>116</v>
      </c>
      <c r="AN104" s="72">
        <v>116</v>
      </c>
      <c r="AO104" s="72">
        <v>116</v>
      </c>
      <c r="AP104" s="72">
        <v>116</v>
      </c>
      <c r="AQ104" s="72">
        <v>116</v>
      </c>
      <c r="AR104" s="72">
        <v>116</v>
      </c>
      <c r="AS104" s="72">
        <v>116</v>
      </c>
      <c r="AT104" s="72">
        <v>116</v>
      </c>
      <c r="AU104" s="72">
        <v>116</v>
      </c>
      <c r="AV104" s="72">
        <v>116</v>
      </c>
      <c r="AW104" s="72">
        <v>116</v>
      </c>
      <c r="AX104" s="72">
        <v>116</v>
      </c>
      <c r="AY104" s="72">
        <v>116</v>
      </c>
      <c r="AZ104" s="72">
        <v>116</v>
      </c>
      <c r="BA104" s="72">
        <v>116</v>
      </c>
      <c r="BB104" s="72">
        <v>116</v>
      </c>
      <c r="BC104" s="72">
        <v>116</v>
      </c>
      <c r="BD104" s="72">
        <v>116</v>
      </c>
      <c r="BE104" s="72">
        <v>116</v>
      </c>
      <c r="BF104" s="72">
        <v>116</v>
      </c>
      <c r="BG104" s="72">
        <v>116</v>
      </c>
      <c r="BH104" s="72">
        <v>116</v>
      </c>
      <c r="BI104" s="72">
        <v>116</v>
      </c>
      <c r="BJ104" s="72">
        <v>116</v>
      </c>
      <c r="BK104" s="72">
        <v>116</v>
      </c>
      <c r="BL104" s="72">
        <v>116</v>
      </c>
      <c r="BM104" s="72">
        <v>116</v>
      </c>
      <c r="BN104" s="72">
        <v>116</v>
      </c>
      <c r="BO104" s="72">
        <v>116</v>
      </c>
      <c r="BP104" s="72">
        <v>116</v>
      </c>
      <c r="BQ104" s="72">
        <v>116</v>
      </c>
      <c r="BR104" s="72">
        <v>116</v>
      </c>
      <c r="BS104" s="72">
        <v>116</v>
      </c>
      <c r="BT104" s="72">
        <v>116</v>
      </c>
      <c r="BU104" s="72">
        <v>116</v>
      </c>
      <c r="BV104" s="72">
        <v>116</v>
      </c>
      <c r="BW104" s="72">
        <v>116</v>
      </c>
      <c r="BX104" s="72">
        <v>116</v>
      </c>
      <c r="BY104" s="72">
        <v>116</v>
      </c>
      <c r="BZ104" s="72">
        <v>116</v>
      </c>
      <c r="CA104" s="72">
        <v>116</v>
      </c>
      <c r="CB104" s="72">
        <v>116</v>
      </c>
      <c r="CC104" s="72">
        <v>116</v>
      </c>
      <c r="CD104" s="72">
        <v>116</v>
      </c>
      <c r="CE104" s="72">
        <v>116</v>
      </c>
      <c r="CF104" s="72">
        <v>116</v>
      </c>
      <c r="CG104" s="72">
        <v>116</v>
      </c>
      <c r="CH104" s="72">
        <v>116</v>
      </c>
      <c r="CI104" s="72">
        <v>116</v>
      </c>
      <c r="CJ104" s="72">
        <v>116</v>
      </c>
      <c r="CK104" s="72">
        <v>116</v>
      </c>
      <c r="CL104" s="72">
        <v>116</v>
      </c>
      <c r="CM104" s="72">
        <v>116</v>
      </c>
      <c r="CN104" s="72">
        <v>116</v>
      </c>
      <c r="CO104" s="72">
        <v>116</v>
      </c>
      <c r="CP104" s="72">
        <v>116</v>
      </c>
      <c r="CQ104" s="72">
        <v>116</v>
      </c>
      <c r="CR104" s="72">
        <v>116</v>
      </c>
      <c r="CS104" s="72">
        <v>116</v>
      </c>
      <c r="CT104" s="72">
        <v>116</v>
      </c>
      <c r="CU104" s="72">
        <v>116</v>
      </c>
      <c r="CV104" s="72">
        <v>116</v>
      </c>
      <c r="CW104" s="72">
        <v>116</v>
      </c>
      <c r="CX104" s="72">
        <v>116</v>
      </c>
      <c r="CY104" s="72">
        <v>116</v>
      </c>
      <c r="CZ104" s="72">
        <v>116</v>
      </c>
      <c r="DA104" s="72">
        <v>116</v>
      </c>
      <c r="DB104" s="72">
        <v>116</v>
      </c>
      <c r="DC104" s="72">
        <v>116</v>
      </c>
      <c r="DD104" s="72">
        <v>116</v>
      </c>
      <c r="DE104" s="72">
        <v>116</v>
      </c>
      <c r="DF104" s="72">
        <v>116</v>
      </c>
      <c r="DG104" s="72">
        <v>116</v>
      </c>
      <c r="DH104" s="72">
        <v>116</v>
      </c>
      <c r="DI104" s="72">
        <v>116</v>
      </c>
      <c r="DJ104" s="72">
        <v>116</v>
      </c>
      <c r="DK104" s="72">
        <v>116</v>
      </c>
      <c r="DL104" s="72">
        <v>116</v>
      </c>
      <c r="DM104" s="72">
        <v>116</v>
      </c>
    </row>
    <row r="105" spans="1:117" x14ac:dyDescent="0.35">
      <c r="A105" s="7"/>
      <c r="B105" s="8" t="s">
        <v>177</v>
      </c>
      <c r="C105" s="9" t="s">
        <v>178</v>
      </c>
      <c r="D105" s="10" t="s">
        <v>161</v>
      </c>
      <c r="E105" s="8" t="s">
        <v>1209</v>
      </c>
      <c r="F105" s="10">
        <v>1101</v>
      </c>
      <c r="G105" s="10" t="s">
        <v>40</v>
      </c>
      <c r="H105" s="10" t="s">
        <v>41</v>
      </c>
      <c r="I105" s="11">
        <v>28</v>
      </c>
      <c r="J105" s="10"/>
      <c r="K105" s="10" t="s">
        <v>42</v>
      </c>
      <c r="L105" s="8" t="s">
        <v>179</v>
      </c>
      <c r="M105" s="12">
        <v>1.0900000000000001</v>
      </c>
      <c r="N105" s="12">
        <f t="shared" si="1"/>
        <v>30.520000000000003</v>
      </c>
      <c r="O105" s="11">
        <v>97</v>
      </c>
      <c r="P105" s="11">
        <v>97</v>
      </c>
      <c r="Q105" s="11">
        <v>97</v>
      </c>
      <c r="R105" s="11">
        <v>97</v>
      </c>
      <c r="S105" s="11">
        <v>28</v>
      </c>
      <c r="T105" s="11">
        <v>28</v>
      </c>
      <c r="U105" s="11">
        <v>28</v>
      </c>
      <c r="V105" s="11">
        <v>28</v>
      </c>
      <c r="W105" s="11">
        <v>28</v>
      </c>
      <c r="X105" s="11">
        <v>28</v>
      </c>
      <c r="Y105" s="11">
        <v>28</v>
      </c>
      <c r="Z105" s="11">
        <v>28</v>
      </c>
      <c r="AA105" s="11">
        <v>28</v>
      </c>
      <c r="AB105" s="11">
        <v>28</v>
      </c>
      <c r="AC105" s="11">
        <v>28</v>
      </c>
      <c r="AD105" s="11">
        <v>28</v>
      </c>
      <c r="AE105" s="11">
        <v>28</v>
      </c>
      <c r="AF105" s="11">
        <v>28</v>
      </c>
      <c r="AG105" s="11">
        <v>28</v>
      </c>
      <c r="AH105" s="11">
        <v>28</v>
      </c>
      <c r="AI105" s="11">
        <v>28</v>
      </c>
      <c r="AJ105" s="11">
        <v>28</v>
      </c>
      <c r="AK105" s="11">
        <v>28</v>
      </c>
      <c r="AL105" s="11">
        <v>28</v>
      </c>
      <c r="AM105" s="11">
        <v>28</v>
      </c>
      <c r="AN105" s="72">
        <v>28</v>
      </c>
      <c r="AO105" s="72">
        <v>28</v>
      </c>
      <c r="AP105" s="72">
        <v>28</v>
      </c>
      <c r="AQ105" s="72">
        <v>28</v>
      </c>
      <c r="AR105" s="72">
        <v>28</v>
      </c>
      <c r="AS105" s="72">
        <v>28</v>
      </c>
      <c r="AT105" s="72">
        <v>28</v>
      </c>
      <c r="AU105" s="72">
        <v>28</v>
      </c>
      <c r="AV105" s="72">
        <v>28</v>
      </c>
      <c r="AW105" s="72">
        <v>28</v>
      </c>
      <c r="AX105" s="72">
        <v>28</v>
      </c>
      <c r="AY105" s="72">
        <v>28</v>
      </c>
      <c r="AZ105" s="72">
        <v>28</v>
      </c>
      <c r="BA105" s="72">
        <v>28</v>
      </c>
      <c r="BB105" s="72">
        <v>28</v>
      </c>
      <c r="BC105" s="72">
        <v>28</v>
      </c>
      <c r="BD105" s="72">
        <v>28</v>
      </c>
      <c r="BE105" s="72">
        <v>28</v>
      </c>
      <c r="BF105" s="72">
        <v>28</v>
      </c>
      <c r="BG105" s="72">
        <v>28</v>
      </c>
      <c r="BH105" s="72">
        <v>28</v>
      </c>
      <c r="BI105" s="72">
        <v>28</v>
      </c>
      <c r="BJ105" s="72">
        <v>28</v>
      </c>
      <c r="BK105" s="72">
        <v>28</v>
      </c>
      <c r="BL105" s="72">
        <v>28</v>
      </c>
      <c r="BM105" s="72">
        <v>28</v>
      </c>
      <c r="BN105" s="72">
        <v>28</v>
      </c>
      <c r="BO105" s="72">
        <v>28</v>
      </c>
      <c r="BP105" s="72">
        <v>28</v>
      </c>
      <c r="BQ105" s="72">
        <v>28</v>
      </c>
      <c r="BR105" s="72">
        <v>28</v>
      </c>
      <c r="BS105" s="72">
        <v>28</v>
      </c>
      <c r="BT105" s="72">
        <v>28</v>
      </c>
      <c r="BU105" s="72">
        <v>28</v>
      </c>
      <c r="BV105" s="72">
        <v>28</v>
      </c>
      <c r="BW105" s="72">
        <v>28</v>
      </c>
      <c r="BX105" s="72">
        <v>28</v>
      </c>
      <c r="BY105" s="72">
        <v>28</v>
      </c>
      <c r="BZ105" s="72">
        <v>28</v>
      </c>
      <c r="CA105" s="72">
        <v>28</v>
      </c>
      <c r="CB105" s="72">
        <v>28</v>
      </c>
      <c r="CC105" s="72">
        <v>28</v>
      </c>
      <c r="CD105" s="72">
        <v>28</v>
      </c>
      <c r="CE105" s="72">
        <v>28</v>
      </c>
      <c r="CF105" s="72">
        <v>28</v>
      </c>
      <c r="CG105" s="72">
        <v>28</v>
      </c>
      <c r="CH105" s="72">
        <v>28</v>
      </c>
      <c r="CI105" s="72">
        <v>28</v>
      </c>
      <c r="CJ105" s="72">
        <v>28</v>
      </c>
      <c r="CK105" s="72">
        <v>28</v>
      </c>
      <c r="CL105" s="72">
        <v>28</v>
      </c>
      <c r="CM105" s="72">
        <v>28</v>
      </c>
      <c r="CN105" s="72">
        <v>28</v>
      </c>
      <c r="CO105" s="72">
        <v>28</v>
      </c>
      <c r="CP105" s="72">
        <v>28</v>
      </c>
      <c r="CQ105" s="72">
        <v>28</v>
      </c>
      <c r="CR105" s="72">
        <v>28</v>
      </c>
      <c r="CS105" s="72">
        <v>28</v>
      </c>
      <c r="CT105" s="72">
        <v>28</v>
      </c>
      <c r="CU105" s="72">
        <v>28</v>
      </c>
      <c r="CV105" s="72">
        <v>28</v>
      </c>
      <c r="CW105" s="72">
        <v>28</v>
      </c>
      <c r="CX105" s="72">
        <v>28</v>
      </c>
      <c r="CY105" s="72">
        <v>28</v>
      </c>
      <c r="CZ105" s="72">
        <v>28</v>
      </c>
      <c r="DA105" s="72">
        <v>28</v>
      </c>
      <c r="DB105" s="72">
        <v>28</v>
      </c>
      <c r="DC105" s="72">
        <v>28</v>
      </c>
      <c r="DD105" s="72">
        <v>28</v>
      </c>
      <c r="DE105" s="72">
        <v>28</v>
      </c>
      <c r="DF105" s="72">
        <v>28</v>
      </c>
      <c r="DG105" s="72">
        <v>28</v>
      </c>
      <c r="DH105" s="72">
        <v>28</v>
      </c>
      <c r="DI105" s="72">
        <v>28</v>
      </c>
      <c r="DJ105" s="72">
        <v>28</v>
      </c>
      <c r="DK105" s="72">
        <v>28</v>
      </c>
      <c r="DL105" s="72">
        <v>28</v>
      </c>
      <c r="DM105" s="72">
        <v>28</v>
      </c>
    </row>
    <row r="106" spans="1:117" x14ac:dyDescent="0.35">
      <c r="A106" s="7"/>
      <c r="B106" s="8" t="s">
        <v>180</v>
      </c>
      <c r="C106" s="9" t="s">
        <v>181</v>
      </c>
      <c r="D106" s="10" t="s">
        <v>161</v>
      </c>
      <c r="E106" s="8" t="s">
        <v>1209</v>
      </c>
      <c r="F106" s="10">
        <v>1101</v>
      </c>
      <c r="G106" s="10" t="s">
        <v>40</v>
      </c>
      <c r="H106" s="10" t="s">
        <v>41</v>
      </c>
      <c r="I106" s="11">
        <v>16</v>
      </c>
      <c r="J106" s="10"/>
      <c r="K106" s="10" t="s">
        <v>42</v>
      </c>
      <c r="L106" s="8" t="s">
        <v>182</v>
      </c>
      <c r="M106" s="12">
        <v>1.91</v>
      </c>
      <c r="N106" s="12">
        <f t="shared" si="1"/>
        <v>30.56</v>
      </c>
      <c r="O106" s="11">
        <v>78</v>
      </c>
      <c r="P106" s="11">
        <v>78</v>
      </c>
      <c r="Q106" s="11">
        <v>78</v>
      </c>
      <c r="R106" s="11">
        <v>78</v>
      </c>
      <c r="S106" s="11">
        <v>16</v>
      </c>
      <c r="T106" s="11">
        <v>16</v>
      </c>
      <c r="U106" s="11">
        <v>16</v>
      </c>
      <c r="V106" s="11">
        <v>16</v>
      </c>
      <c r="W106" s="11">
        <v>16</v>
      </c>
      <c r="X106" s="11">
        <v>16</v>
      </c>
      <c r="Y106" s="11">
        <v>16</v>
      </c>
      <c r="Z106" s="11">
        <v>16</v>
      </c>
      <c r="AA106" s="11">
        <v>16</v>
      </c>
      <c r="AB106" s="11">
        <v>16</v>
      </c>
      <c r="AC106" s="11">
        <v>16</v>
      </c>
      <c r="AD106" s="11">
        <v>16</v>
      </c>
      <c r="AE106" s="11">
        <v>16</v>
      </c>
      <c r="AF106" s="11">
        <v>16</v>
      </c>
      <c r="AG106" s="11">
        <v>16</v>
      </c>
      <c r="AH106" s="11">
        <v>16</v>
      </c>
      <c r="AI106" s="11">
        <v>16</v>
      </c>
      <c r="AJ106" s="11">
        <v>16</v>
      </c>
      <c r="AK106" s="11">
        <v>16</v>
      </c>
      <c r="AL106" s="11">
        <v>16</v>
      </c>
      <c r="AM106" s="11">
        <v>16</v>
      </c>
      <c r="AN106" s="72">
        <v>16</v>
      </c>
      <c r="AO106" s="72">
        <v>16</v>
      </c>
      <c r="AP106" s="72">
        <v>16</v>
      </c>
      <c r="AQ106" s="72">
        <v>16</v>
      </c>
      <c r="AR106" s="72">
        <v>16</v>
      </c>
      <c r="AS106" s="72">
        <v>16</v>
      </c>
      <c r="AT106" s="72">
        <v>16</v>
      </c>
      <c r="AU106" s="72">
        <v>16</v>
      </c>
      <c r="AV106" s="72">
        <v>16</v>
      </c>
      <c r="AW106" s="72">
        <v>16</v>
      </c>
      <c r="AX106" s="72">
        <v>16</v>
      </c>
      <c r="AY106" s="72">
        <v>16</v>
      </c>
      <c r="AZ106" s="72">
        <v>16</v>
      </c>
      <c r="BA106" s="72">
        <v>16</v>
      </c>
      <c r="BB106" s="72">
        <v>16</v>
      </c>
      <c r="BC106" s="72">
        <v>16</v>
      </c>
      <c r="BD106" s="72">
        <v>16</v>
      </c>
      <c r="BE106" s="72">
        <v>16</v>
      </c>
      <c r="BF106" s="72">
        <v>16</v>
      </c>
      <c r="BG106" s="72">
        <v>16</v>
      </c>
      <c r="BH106" s="72">
        <v>16</v>
      </c>
      <c r="BI106" s="72">
        <v>16</v>
      </c>
      <c r="BJ106" s="72">
        <v>16</v>
      </c>
      <c r="BK106" s="72">
        <v>16</v>
      </c>
      <c r="BL106" s="72">
        <v>16</v>
      </c>
      <c r="BM106" s="72">
        <v>16</v>
      </c>
      <c r="BN106" s="72">
        <v>16</v>
      </c>
      <c r="BO106" s="72">
        <v>16</v>
      </c>
      <c r="BP106" s="72">
        <v>16</v>
      </c>
      <c r="BQ106" s="72">
        <v>16</v>
      </c>
      <c r="BR106" s="72">
        <v>16</v>
      </c>
      <c r="BS106" s="72">
        <v>16</v>
      </c>
      <c r="BT106" s="72">
        <v>16</v>
      </c>
      <c r="BU106" s="72">
        <v>16</v>
      </c>
      <c r="BV106" s="72">
        <v>16</v>
      </c>
      <c r="BW106" s="72">
        <v>16</v>
      </c>
      <c r="BX106" s="72">
        <v>16</v>
      </c>
      <c r="BY106" s="72">
        <v>16</v>
      </c>
      <c r="BZ106" s="72">
        <v>16</v>
      </c>
      <c r="CA106" s="72">
        <v>16</v>
      </c>
      <c r="CB106" s="72">
        <v>16</v>
      </c>
      <c r="CC106" s="72">
        <v>16</v>
      </c>
      <c r="CD106" s="72">
        <v>16</v>
      </c>
      <c r="CE106" s="72">
        <v>16</v>
      </c>
      <c r="CF106" s="72">
        <v>16</v>
      </c>
      <c r="CG106" s="72">
        <v>16</v>
      </c>
      <c r="CH106" s="72">
        <v>16</v>
      </c>
      <c r="CI106" s="72">
        <v>16</v>
      </c>
      <c r="CJ106" s="72">
        <v>16</v>
      </c>
      <c r="CK106" s="72">
        <v>16</v>
      </c>
      <c r="CL106" s="72">
        <v>16</v>
      </c>
      <c r="CM106" s="72">
        <v>16</v>
      </c>
      <c r="CN106" s="72">
        <v>16</v>
      </c>
      <c r="CO106" s="72">
        <v>16</v>
      </c>
      <c r="CP106" s="72">
        <v>16</v>
      </c>
      <c r="CQ106" s="72">
        <v>16</v>
      </c>
      <c r="CR106" s="72">
        <v>16</v>
      </c>
      <c r="CS106" s="72">
        <v>16</v>
      </c>
      <c r="CT106" s="72">
        <v>16</v>
      </c>
      <c r="CU106" s="72">
        <v>16</v>
      </c>
      <c r="CV106" s="72">
        <v>16</v>
      </c>
      <c r="CW106" s="72">
        <v>16</v>
      </c>
      <c r="CX106" s="72">
        <v>16</v>
      </c>
      <c r="CY106" s="72">
        <v>16</v>
      </c>
      <c r="CZ106" s="72">
        <v>16</v>
      </c>
      <c r="DA106" s="72">
        <v>16</v>
      </c>
      <c r="DB106" s="72">
        <v>16</v>
      </c>
      <c r="DC106" s="72">
        <v>16</v>
      </c>
      <c r="DD106" s="72">
        <v>16</v>
      </c>
      <c r="DE106" s="72">
        <v>16</v>
      </c>
      <c r="DF106" s="72">
        <v>16</v>
      </c>
      <c r="DG106" s="72">
        <v>16</v>
      </c>
      <c r="DH106" s="72">
        <v>16</v>
      </c>
      <c r="DI106" s="72">
        <v>16</v>
      </c>
      <c r="DJ106" s="72">
        <v>16</v>
      </c>
      <c r="DK106" s="72">
        <v>16</v>
      </c>
      <c r="DL106" s="72">
        <v>16</v>
      </c>
      <c r="DM106" s="72">
        <v>16</v>
      </c>
    </row>
    <row r="107" spans="1:117" x14ac:dyDescent="0.35">
      <c r="A107" s="7"/>
      <c r="B107" s="92" t="s">
        <v>1318</v>
      </c>
      <c r="C107" s="93" t="s">
        <v>1342</v>
      </c>
      <c r="D107" s="10" t="s">
        <v>184</v>
      </c>
      <c r="E107" s="8" t="s">
        <v>183</v>
      </c>
      <c r="F107" s="10">
        <v>1101</v>
      </c>
      <c r="G107" s="10" t="s">
        <v>92</v>
      </c>
      <c r="H107" s="10" t="s">
        <v>41</v>
      </c>
      <c r="I107" s="11">
        <v>64</v>
      </c>
      <c r="J107" s="10"/>
      <c r="K107" s="10"/>
      <c r="L107" s="8"/>
      <c r="M107" s="12"/>
      <c r="N107" s="12">
        <f t="shared" si="1"/>
        <v>0</v>
      </c>
      <c r="O107" s="11"/>
      <c r="P107" s="11"/>
      <c r="Q107" s="11"/>
      <c r="R107" s="11"/>
      <c r="S107" s="11">
        <v>64</v>
      </c>
      <c r="T107" s="11">
        <v>64</v>
      </c>
      <c r="U107" s="11">
        <v>64</v>
      </c>
      <c r="V107" s="11">
        <v>64</v>
      </c>
      <c r="W107" s="11">
        <v>64</v>
      </c>
      <c r="X107" s="11">
        <v>64</v>
      </c>
      <c r="Y107" s="11">
        <v>64</v>
      </c>
      <c r="Z107" s="11">
        <v>64</v>
      </c>
      <c r="AA107" s="11">
        <v>64</v>
      </c>
      <c r="AB107" s="11">
        <v>64</v>
      </c>
      <c r="AC107" s="11">
        <v>64</v>
      </c>
      <c r="AD107" s="11">
        <v>64</v>
      </c>
      <c r="AE107" s="11">
        <v>64</v>
      </c>
      <c r="AF107" s="11">
        <v>64</v>
      </c>
      <c r="AG107" s="11">
        <v>64</v>
      </c>
      <c r="AH107" s="11">
        <v>64</v>
      </c>
      <c r="AI107" s="11">
        <v>64</v>
      </c>
      <c r="AJ107" s="11">
        <v>64</v>
      </c>
      <c r="AK107" s="11">
        <v>64</v>
      </c>
      <c r="AL107" s="11">
        <v>64</v>
      </c>
      <c r="AM107" s="11">
        <v>64</v>
      </c>
      <c r="AN107" s="72">
        <v>64</v>
      </c>
      <c r="AO107" s="72">
        <v>64</v>
      </c>
      <c r="AP107" s="72">
        <v>64</v>
      </c>
      <c r="AQ107" s="72">
        <v>64</v>
      </c>
      <c r="AR107" s="72">
        <v>64</v>
      </c>
      <c r="AS107" s="72">
        <v>64</v>
      </c>
      <c r="AT107" s="72">
        <v>64</v>
      </c>
      <c r="AU107" s="72">
        <v>64</v>
      </c>
      <c r="AV107" s="72">
        <v>64</v>
      </c>
      <c r="AW107" s="72">
        <v>64</v>
      </c>
      <c r="AX107" s="72">
        <v>64</v>
      </c>
      <c r="AY107" s="72">
        <v>64</v>
      </c>
      <c r="AZ107" s="72">
        <v>64</v>
      </c>
      <c r="BA107" s="72">
        <v>64</v>
      </c>
      <c r="BB107" s="72">
        <v>64</v>
      </c>
      <c r="BC107" s="72">
        <v>64</v>
      </c>
      <c r="BD107" s="72">
        <v>64</v>
      </c>
      <c r="BE107" s="72">
        <v>64</v>
      </c>
      <c r="BF107" s="72">
        <v>64</v>
      </c>
      <c r="BG107" s="72">
        <v>64</v>
      </c>
      <c r="BH107" s="72">
        <v>64</v>
      </c>
      <c r="BI107" s="72">
        <v>64</v>
      </c>
      <c r="BJ107" s="72">
        <v>64</v>
      </c>
      <c r="BK107" s="72">
        <v>64</v>
      </c>
      <c r="BL107" s="72">
        <v>64</v>
      </c>
      <c r="BM107" s="72">
        <v>64</v>
      </c>
      <c r="BN107" s="72">
        <v>64</v>
      </c>
      <c r="BO107" s="72">
        <v>64</v>
      </c>
      <c r="BP107" s="72">
        <v>64</v>
      </c>
      <c r="BQ107" s="72">
        <v>64</v>
      </c>
      <c r="BR107" s="72">
        <v>64</v>
      </c>
      <c r="BS107" s="72">
        <v>64</v>
      </c>
      <c r="BT107" s="72">
        <v>64</v>
      </c>
      <c r="BU107" s="72">
        <v>64</v>
      </c>
      <c r="BV107" s="72">
        <v>64</v>
      </c>
      <c r="BW107" s="72">
        <v>64</v>
      </c>
      <c r="BX107" s="72">
        <v>64</v>
      </c>
      <c r="BY107" s="72">
        <v>64</v>
      </c>
      <c r="BZ107" s="72">
        <v>64</v>
      </c>
      <c r="CA107" s="72">
        <v>64</v>
      </c>
      <c r="CB107" s="72">
        <v>64</v>
      </c>
      <c r="CC107" s="72">
        <v>64</v>
      </c>
      <c r="CD107" s="72">
        <v>64</v>
      </c>
      <c r="CE107" s="72">
        <v>64</v>
      </c>
      <c r="CF107" s="72">
        <v>64</v>
      </c>
      <c r="CG107" s="72">
        <v>64</v>
      </c>
      <c r="CH107" s="72">
        <v>64</v>
      </c>
      <c r="CI107" s="72">
        <v>64</v>
      </c>
      <c r="CJ107" s="72">
        <v>64</v>
      </c>
      <c r="CK107" s="72">
        <v>64</v>
      </c>
      <c r="CL107" s="72">
        <v>64</v>
      </c>
      <c r="CM107" s="72">
        <v>64</v>
      </c>
      <c r="CN107" s="72">
        <v>64</v>
      </c>
      <c r="CO107" s="72">
        <v>64</v>
      </c>
      <c r="CP107" s="72">
        <v>64</v>
      </c>
      <c r="CQ107" s="72">
        <v>64</v>
      </c>
      <c r="CR107" s="72">
        <v>64</v>
      </c>
      <c r="CS107" s="72">
        <v>64</v>
      </c>
      <c r="CT107" s="72">
        <v>64</v>
      </c>
      <c r="CU107" s="72">
        <v>64</v>
      </c>
      <c r="CV107" s="72">
        <v>64</v>
      </c>
      <c r="CW107" s="72">
        <v>64</v>
      </c>
      <c r="CX107" s="72">
        <v>64</v>
      </c>
      <c r="CY107" s="72">
        <v>64</v>
      </c>
      <c r="CZ107" s="72">
        <v>64</v>
      </c>
      <c r="DA107" s="72">
        <v>64</v>
      </c>
      <c r="DB107" s="72">
        <v>64</v>
      </c>
      <c r="DC107" s="72">
        <v>64</v>
      </c>
      <c r="DD107" s="72">
        <v>64</v>
      </c>
      <c r="DE107" s="72">
        <v>64</v>
      </c>
      <c r="DF107" s="72">
        <v>64</v>
      </c>
      <c r="DG107" s="72">
        <v>64</v>
      </c>
      <c r="DH107" s="72">
        <v>64</v>
      </c>
      <c r="DI107" s="72">
        <v>64</v>
      </c>
      <c r="DJ107" s="72">
        <v>64</v>
      </c>
      <c r="DK107" s="72">
        <v>64</v>
      </c>
      <c r="DL107" s="72">
        <v>64</v>
      </c>
      <c r="DM107" s="72">
        <v>64</v>
      </c>
    </row>
    <row r="108" spans="1:117" x14ac:dyDescent="0.35">
      <c r="A108" s="7"/>
      <c r="B108" s="92" t="s">
        <v>1319</v>
      </c>
      <c r="C108" s="9" t="s">
        <v>185</v>
      </c>
      <c r="D108" s="10" t="s">
        <v>184</v>
      </c>
      <c r="E108" s="8" t="s">
        <v>1205</v>
      </c>
      <c r="F108" s="10">
        <v>1104</v>
      </c>
      <c r="G108" s="10" t="s">
        <v>40</v>
      </c>
      <c r="H108" s="10" t="s">
        <v>41</v>
      </c>
      <c r="I108" s="11">
        <v>97</v>
      </c>
      <c r="J108" s="10"/>
      <c r="K108" s="10" t="s">
        <v>42</v>
      </c>
      <c r="L108" s="8"/>
      <c r="M108" s="12"/>
      <c r="N108" s="12">
        <f t="shared" si="1"/>
        <v>0</v>
      </c>
      <c r="O108" s="11"/>
      <c r="P108" s="11"/>
      <c r="Q108" s="11"/>
      <c r="R108" s="11"/>
      <c r="S108" s="11">
        <v>97</v>
      </c>
      <c r="T108" s="11">
        <v>97</v>
      </c>
      <c r="U108" s="11">
        <v>97</v>
      </c>
      <c r="V108" s="11">
        <v>97</v>
      </c>
      <c r="W108" s="11">
        <v>97</v>
      </c>
      <c r="X108" s="11">
        <v>97</v>
      </c>
      <c r="Y108" s="11">
        <v>97</v>
      </c>
      <c r="Z108" s="11">
        <v>97</v>
      </c>
      <c r="AA108" s="11">
        <v>97</v>
      </c>
      <c r="AB108" s="11">
        <v>97</v>
      </c>
      <c r="AC108" s="11">
        <v>97</v>
      </c>
      <c r="AD108" s="11">
        <v>97</v>
      </c>
      <c r="AE108" s="11">
        <v>97</v>
      </c>
      <c r="AF108" s="11">
        <v>97</v>
      </c>
      <c r="AG108" s="11">
        <v>97</v>
      </c>
      <c r="AH108" s="11">
        <v>97</v>
      </c>
      <c r="AI108" s="11">
        <v>97</v>
      </c>
      <c r="AJ108" s="11">
        <v>97</v>
      </c>
      <c r="AK108" s="11">
        <v>97</v>
      </c>
      <c r="AL108" s="11">
        <v>97</v>
      </c>
      <c r="AM108" s="11">
        <v>97</v>
      </c>
      <c r="AN108" s="72">
        <v>97</v>
      </c>
      <c r="AO108" s="72">
        <v>97</v>
      </c>
      <c r="AP108" s="72">
        <v>97</v>
      </c>
      <c r="AQ108" s="72">
        <v>97</v>
      </c>
      <c r="AR108" s="72">
        <v>97</v>
      </c>
      <c r="AS108" s="72">
        <v>97</v>
      </c>
      <c r="AT108" s="72">
        <v>97</v>
      </c>
      <c r="AU108" s="72">
        <v>97</v>
      </c>
      <c r="AV108" s="72">
        <v>97</v>
      </c>
      <c r="AW108" s="72">
        <v>97</v>
      </c>
      <c r="AX108" s="72">
        <v>97</v>
      </c>
      <c r="AY108" s="72">
        <v>97</v>
      </c>
      <c r="AZ108" s="72">
        <v>97</v>
      </c>
      <c r="BA108" s="72">
        <v>97</v>
      </c>
      <c r="BB108" s="72">
        <v>97</v>
      </c>
      <c r="BC108" s="72">
        <v>97</v>
      </c>
      <c r="BD108" s="72">
        <v>97</v>
      </c>
      <c r="BE108" s="72">
        <v>97</v>
      </c>
      <c r="BF108" s="72">
        <v>97</v>
      </c>
      <c r="BG108" s="72">
        <v>97</v>
      </c>
      <c r="BH108" s="72">
        <v>97</v>
      </c>
      <c r="BI108" s="72">
        <v>97</v>
      </c>
      <c r="BJ108" s="72">
        <v>97</v>
      </c>
      <c r="BK108" s="72">
        <v>97</v>
      </c>
      <c r="BL108" s="72">
        <v>97</v>
      </c>
      <c r="BM108" s="72">
        <v>97</v>
      </c>
      <c r="BN108" s="72">
        <v>97</v>
      </c>
      <c r="BO108" s="72">
        <v>97</v>
      </c>
      <c r="BP108" s="72">
        <v>97</v>
      </c>
      <c r="BQ108" s="72">
        <v>97</v>
      </c>
      <c r="BR108" s="72">
        <v>97</v>
      </c>
      <c r="BS108" s="72">
        <v>97</v>
      </c>
      <c r="BT108" s="72">
        <v>97</v>
      </c>
      <c r="BU108" s="72">
        <v>97</v>
      </c>
      <c r="BV108" s="72">
        <v>97</v>
      </c>
      <c r="BW108" s="72">
        <v>97</v>
      </c>
      <c r="BX108" s="72">
        <v>97</v>
      </c>
      <c r="BY108" s="72">
        <v>97</v>
      </c>
      <c r="BZ108" s="72">
        <v>97</v>
      </c>
      <c r="CA108" s="72">
        <v>97</v>
      </c>
      <c r="CB108" s="72">
        <v>97</v>
      </c>
      <c r="CC108" s="72">
        <v>97</v>
      </c>
      <c r="CD108" s="72">
        <v>97</v>
      </c>
      <c r="CE108" s="72">
        <v>97</v>
      </c>
      <c r="CF108" s="72">
        <v>97</v>
      </c>
      <c r="CG108" s="72">
        <v>97</v>
      </c>
      <c r="CH108" s="72">
        <v>97</v>
      </c>
      <c r="CI108" s="72">
        <v>97</v>
      </c>
      <c r="CJ108" s="72">
        <v>97</v>
      </c>
      <c r="CK108" s="72">
        <v>97</v>
      </c>
      <c r="CL108" s="72">
        <v>97</v>
      </c>
      <c r="CM108" s="72">
        <v>97</v>
      </c>
      <c r="CN108" s="72">
        <v>97</v>
      </c>
      <c r="CO108" s="72">
        <v>97</v>
      </c>
      <c r="CP108" s="72">
        <v>97</v>
      </c>
      <c r="CQ108" s="72">
        <v>97</v>
      </c>
      <c r="CR108" s="72">
        <v>97</v>
      </c>
      <c r="CS108" s="72">
        <v>97</v>
      </c>
      <c r="CT108" s="72">
        <v>97</v>
      </c>
      <c r="CU108" s="72">
        <v>97</v>
      </c>
      <c r="CV108" s="72">
        <v>97</v>
      </c>
      <c r="CW108" s="72">
        <v>97</v>
      </c>
      <c r="CX108" s="72">
        <v>97</v>
      </c>
      <c r="CY108" s="72">
        <v>97</v>
      </c>
      <c r="CZ108" s="72">
        <v>97</v>
      </c>
      <c r="DA108" s="72">
        <v>97</v>
      </c>
      <c r="DB108" s="72">
        <v>97</v>
      </c>
      <c r="DC108" s="72">
        <v>97</v>
      </c>
      <c r="DD108" s="72">
        <v>97</v>
      </c>
      <c r="DE108" s="72">
        <v>97</v>
      </c>
      <c r="DF108" s="72">
        <v>97</v>
      </c>
      <c r="DG108" s="72">
        <v>97</v>
      </c>
      <c r="DH108" s="72">
        <v>97</v>
      </c>
      <c r="DI108" s="72">
        <v>97</v>
      </c>
      <c r="DJ108" s="72">
        <v>97</v>
      </c>
      <c r="DK108" s="72">
        <v>97</v>
      </c>
      <c r="DL108" s="72">
        <v>97</v>
      </c>
      <c r="DM108" s="72">
        <v>97</v>
      </c>
    </row>
    <row r="109" spans="1:117" x14ac:dyDescent="0.35">
      <c r="A109" s="7"/>
      <c r="B109" s="92" t="s">
        <v>1320</v>
      </c>
      <c r="C109" s="9" t="s">
        <v>185</v>
      </c>
      <c r="D109" s="10" t="s">
        <v>184</v>
      </c>
      <c r="E109" s="8" t="s">
        <v>1205</v>
      </c>
      <c r="F109" s="10">
        <v>1104</v>
      </c>
      <c r="G109" s="10" t="s">
        <v>40</v>
      </c>
      <c r="H109" s="10" t="s">
        <v>41</v>
      </c>
      <c r="I109" s="11">
        <v>78</v>
      </c>
      <c r="J109" s="10"/>
      <c r="K109" s="10" t="s">
        <v>135</v>
      </c>
      <c r="L109" s="8"/>
      <c r="M109" s="12"/>
      <c r="N109" s="12">
        <f t="shared" si="1"/>
        <v>0</v>
      </c>
      <c r="O109" s="11"/>
      <c r="P109" s="11"/>
      <c r="Q109" s="11"/>
      <c r="R109" s="11"/>
      <c r="S109" s="11">
        <v>78</v>
      </c>
      <c r="T109" s="11">
        <v>78</v>
      </c>
      <c r="U109" s="11">
        <v>78</v>
      </c>
      <c r="V109" s="11">
        <v>78</v>
      </c>
      <c r="W109" s="11">
        <v>78</v>
      </c>
      <c r="X109" s="11">
        <v>78</v>
      </c>
      <c r="Y109" s="11">
        <v>78</v>
      </c>
      <c r="Z109" s="11">
        <v>78</v>
      </c>
      <c r="AA109" s="11">
        <v>78</v>
      </c>
      <c r="AB109" s="11">
        <v>78</v>
      </c>
      <c r="AC109" s="11">
        <v>78</v>
      </c>
      <c r="AD109" s="11">
        <v>78</v>
      </c>
      <c r="AE109" s="11">
        <v>78</v>
      </c>
      <c r="AF109" s="11">
        <v>78</v>
      </c>
      <c r="AG109" s="11">
        <v>78</v>
      </c>
      <c r="AH109" s="11">
        <v>78</v>
      </c>
      <c r="AI109" s="11">
        <v>78</v>
      </c>
      <c r="AJ109" s="11">
        <v>78</v>
      </c>
      <c r="AK109" s="11">
        <v>78</v>
      </c>
      <c r="AL109" s="11">
        <v>78</v>
      </c>
      <c r="AM109" s="11">
        <v>78</v>
      </c>
      <c r="AN109" s="72">
        <v>78</v>
      </c>
      <c r="AO109" s="72">
        <v>78</v>
      </c>
      <c r="AP109" s="72">
        <v>78</v>
      </c>
      <c r="AQ109" s="72">
        <v>78</v>
      </c>
      <c r="AR109" s="72">
        <v>78</v>
      </c>
      <c r="AS109" s="72">
        <v>78</v>
      </c>
      <c r="AT109" s="72">
        <v>78</v>
      </c>
      <c r="AU109" s="72">
        <v>78</v>
      </c>
      <c r="AV109" s="72">
        <v>78</v>
      </c>
      <c r="AW109" s="72">
        <v>78</v>
      </c>
      <c r="AX109" s="72">
        <v>78</v>
      </c>
      <c r="AY109" s="72">
        <v>78</v>
      </c>
      <c r="AZ109" s="72">
        <v>78</v>
      </c>
      <c r="BA109" s="72">
        <v>78</v>
      </c>
      <c r="BB109" s="72">
        <v>78</v>
      </c>
      <c r="BC109" s="72">
        <v>78</v>
      </c>
      <c r="BD109" s="72">
        <v>78</v>
      </c>
      <c r="BE109" s="72">
        <v>78</v>
      </c>
      <c r="BF109" s="72">
        <v>78</v>
      </c>
      <c r="BG109" s="72">
        <v>78</v>
      </c>
      <c r="BH109" s="72">
        <v>78</v>
      </c>
      <c r="BI109" s="72">
        <v>78</v>
      </c>
      <c r="BJ109" s="72">
        <v>78</v>
      </c>
      <c r="BK109" s="72">
        <v>78</v>
      </c>
      <c r="BL109" s="72">
        <v>78</v>
      </c>
      <c r="BM109" s="72">
        <v>78</v>
      </c>
      <c r="BN109" s="72">
        <v>78</v>
      </c>
      <c r="BO109" s="72">
        <v>78</v>
      </c>
      <c r="BP109" s="72">
        <v>78</v>
      </c>
      <c r="BQ109" s="72">
        <v>78</v>
      </c>
      <c r="BR109" s="72">
        <v>78</v>
      </c>
      <c r="BS109" s="72">
        <v>78</v>
      </c>
      <c r="BT109" s="72">
        <v>78</v>
      </c>
      <c r="BU109" s="72">
        <v>78</v>
      </c>
      <c r="BV109" s="72">
        <v>78</v>
      </c>
      <c r="BW109" s="72">
        <v>78</v>
      </c>
      <c r="BX109" s="72">
        <v>78</v>
      </c>
      <c r="BY109" s="72">
        <v>78</v>
      </c>
      <c r="BZ109" s="72">
        <v>78</v>
      </c>
      <c r="CA109" s="72">
        <v>78</v>
      </c>
      <c r="CB109" s="72">
        <v>78</v>
      </c>
      <c r="CC109" s="72">
        <v>78</v>
      </c>
      <c r="CD109" s="72">
        <v>78</v>
      </c>
      <c r="CE109" s="72">
        <v>78</v>
      </c>
      <c r="CF109" s="72">
        <v>78</v>
      </c>
      <c r="CG109" s="72">
        <v>78</v>
      </c>
      <c r="CH109" s="72">
        <v>78</v>
      </c>
      <c r="CI109" s="72">
        <v>78</v>
      </c>
      <c r="CJ109" s="72">
        <v>78</v>
      </c>
      <c r="CK109" s="72">
        <v>78</v>
      </c>
      <c r="CL109" s="72">
        <v>78</v>
      </c>
      <c r="CM109" s="72">
        <v>78</v>
      </c>
      <c r="CN109" s="72">
        <v>78</v>
      </c>
      <c r="CO109" s="72">
        <v>78</v>
      </c>
      <c r="CP109" s="72">
        <v>78</v>
      </c>
      <c r="CQ109" s="72">
        <v>78</v>
      </c>
      <c r="CR109" s="72">
        <v>78</v>
      </c>
      <c r="CS109" s="72">
        <v>78</v>
      </c>
      <c r="CT109" s="72">
        <v>78</v>
      </c>
      <c r="CU109" s="72">
        <v>78</v>
      </c>
      <c r="CV109" s="72">
        <v>78</v>
      </c>
      <c r="CW109" s="72">
        <v>78</v>
      </c>
      <c r="CX109" s="72">
        <v>78</v>
      </c>
      <c r="CY109" s="72">
        <v>78</v>
      </c>
      <c r="CZ109" s="72">
        <v>78</v>
      </c>
      <c r="DA109" s="72">
        <v>78</v>
      </c>
      <c r="DB109" s="72">
        <v>78</v>
      </c>
      <c r="DC109" s="72">
        <v>78</v>
      </c>
      <c r="DD109" s="72">
        <v>78</v>
      </c>
      <c r="DE109" s="72">
        <v>78</v>
      </c>
      <c r="DF109" s="72">
        <v>78</v>
      </c>
      <c r="DG109" s="72">
        <v>78</v>
      </c>
      <c r="DH109" s="72">
        <v>78</v>
      </c>
      <c r="DI109" s="72">
        <v>78</v>
      </c>
      <c r="DJ109" s="72">
        <v>78</v>
      </c>
      <c r="DK109" s="72">
        <v>78</v>
      </c>
      <c r="DL109" s="72">
        <v>78</v>
      </c>
      <c r="DM109" s="72">
        <v>78</v>
      </c>
    </row>
    <row r="110" spans="1:117" x14ac:dyDescent="0.35">
      <c r="A110" s="7"/>
      <c r="B110" s="8" t="s">
        <v>186</v>
      </c>
      <c r="C110" s="9" t="s">
        <v>187</v>
      </c>
      <c r="D110" s="10" t="s">
        <v>188</v>
      </c>
      <c r="E110" s="8" t="s">
        <v>1216</v>
      </c>
      <c r="F110" s="10">
        <v>1105</v>
      </c>
      <c r="G110" s="10" t="s">
        <v>40</v>
      </c>
      <c r="H110" s="10" t="s">
        <v>95</v>
      </c>
      <c r="I110" s="11">
        <v>500</v>
      </c>
      <c r="J110" s="10"/>
      <c r="K110" s="10" t="s">
        <v>42</v>
      </c>
      <c r="L110" s="8" t="s">
        <v>189</v>
      </c>
      <c r="M110" s="12"/>
      <c r="N110" s="12">
        <f t="shared" si="1"/>
        <v>0</v>
      </c>
      <c r="O110" s="11">
        <v>500</v>
      </c>
      <c r="P110" s="11">
        <v>500</v>
      </c>
      <c r="Q110" s="11">
        <v>500</v>
      </c>
      <c r="R110" s="11">
        <v>500</v>
      </c>
      <c r="S110" s="11">
        <v>500</v>
      </c>
      <c r="T110" s="11">
        <v>500</v>
      </c>
      <c r="U110" s="11">
        <v>500</v>
      </c>
      <c r="V110" s="11">
        <v>500</v>
      </c>
      <c r="W110" s="11">
        <v>500</v>
      </c>
      <c r="X110" s="11">
        <v>500</v>
      </c>
      <c r="Y110" s="11">
        <v>500</v>
      </c>
      <c r="Z110" s="11">
        <v>500</v>
      </c>
      <c r="AA110" s="11">
        <v>500</v>
      </c>
      <c r="AB110" s="11">
        <v>500</v>
      </c>
      <c r="AC110" s="11">
        <v>500</v>
      </c>
      <c r="AD110" s="11">
        <v>500</v>
      </c>
      <c r="AE110" s="11">
        <v>500</v>
      </c>
      <c r="AF110" s="11">
        <v>500</v>
      </c>
      <c r="AG110" s="11">
        <v>500</v>
      </c>
      <c r="AH110" s="11">
        <v>500</v>
      </c>
      <c r="AI110" s="11">
        <v>500</v>
      </c>
      <c r="AJ110" s="11">
        <v>500</v>
      </c>
      <c r="AK110" s="11">
        <v>500</v>
      </c>
      <c r="AL110" s="11">
        <v>500</v>
      </c>
      <c r="AM110" s="11">
        <v>500</v>
      </c>
      <c r="AN110" s="72">
        <v>500</v>
      </c>
      <c r="AO110" s="72">
        <v>500</v>
      </c>
      <c r="AP110" s="72">
        <v>500</v>
      </c>
      <c r="AQ110" s="72">
        <v>500</v>
      </c>
      <c r="AR110" s="72">
        <v>500</v>
      </c>
      <c r="AS110" s="72">
        <v>500</v>
      </c>
      <c r="AT110" s="72">
        <v>500</v>
      </c>
      <c r="AU110" s="72">
        <v>500</v>
      </c>
      <c r="AV110" s="72">
        <v>500</v>
      </c>
      <c r="AW110" s="72">
        <v>500</v>
      </c>
      <c r="AX110" s="72">
        <v>500</v>
      </c>
      <c r="AY110" s="72">
        <v>500</v>
      </c>
      <c r="AZ110" s="72">
        <v>500</v>
      </c>
      <c r="BA110" s="72">
        <v>500</v>
      </c>
      <c r="BB110" s="72">
        <v>500</v>
      </c>
      <c r="BC110" s="72">
        <v>500</v>
      </c>
      <c r="BD110" s="72">
        <v>500</v>
      </c>
      <c r="BE110" s="72">
        <v>500</v>
      </c>
      <c r="BF110" s="72">
        <v>500</v>
      </c>
      <c r="BG110" s="72">
        <v>500</v>
      </c>
      <c r="BH110" s="72">
        <v>500</v>
      </c>
      <c r="BI110" s="72">
        <v>500</v>
      </c>
      <c r="BJ110" s="72">
        <v>500</v>
      </c>
      <c r="BK110" s="72">
        <v>500</v>
      </c>
      <c r="BL110" s="72">
        <v>500</v>
      </c>
      <c r="BM110" s="72">
        <v>500</v>
      </c>
      <c r="BN110" s="72">
        <v>500</v>
      </c>
      <c r="BO110" s="72">
        <v>500</v>
      </c>
      <c r="BP110" s="72">
        <v>500</v>
      </c>
      <c r="BQ110" s="72">
        <v>500</v>
      </c>
      <c r="BR110" s="72">
        <v>500</v>
      </c>
      <c r="BS110" s="72">
        <v>500</v>
      </c>
      <c r="BT110" s="72">
        <v>500</v>
      </c>
      <c r="BU110" s="72">
        <v>500</v>
      </c>
      <c r="BV110" s="72">
        <v>500</v>
      </c>
      <c r="BW110" s="72">
        <v>500</v>
      </c>
      <c r="BX110" s="72">
        <v>500</v>
      </c>
      <c r="BY110" s="72">
        <v>500</v>
      </c>
      <c r="BZ110" s="72">
        <v>500</v>
      </c>
      <c r="CA110" s="72">
        <v>500</v>
      </c>
      <c r="CB110" s="72">
        <v>500</v>
      </c>
      <c r="CC110" s="72">
        <v>500</v>
      </c>
      <c r="CD110" s="72">
        <v>500</v>
      </c>
      <c r="CE110" s="72">
        <v>500</v>
      </c>
      <c r="CF110" s="72">
        <v>500</v>
      </c>
      <c r="CG110" s="72">
        <v>500</v>
      </c>
      <c r="CH110" s="72">
        <v>500</v>
      </c>
      <c r="CI110" s="72">
        <v>500</v>
      </c>
      <c r="CJ110" s="72">
        <v>500</v>
      </c>
      <c r="CK110" s="72">
        <v>500</v>
      </c>
      <c r="CL110" s="72">
        <v>500</v>
      </c>
      <c r="CM110" s="72">
        <v>500</v>
      </c>
      <c r="CN110" s="72">
        <v>500</v>
      </c>
      <c r="CO110" s="72">
        <v>500</v>
      </c>
      <c r="CP110" s="72">
        <v>500</v>
      </c>
      <c r="CQ110" s="72">
        <v>500</v>
      </c>
      <c r="CR110" s="72">
        <v>500</v>
      </c>
      <c r="CS110" s="72">
        <v>500</v>
      </c>
      <c r="CT110" s="72">
        <v>500</v>
      </c>
      <c r="CU110" s="72">
        <v>500</v>
      </c>
      <c r="CV110" s="72">
        <v>500</v>
      </c>
      <c r="CW110" s="72">
        <v>500</v>
      </c>
      <c r="CX110" s="72">
        <v>500</v>
      </c>
      <c r="CY110" s="72">
        <v>500</v>
      </c>
      <c r="CZ110" s="72">
        <v>500</v>
      </c>
      <c r="DA110" s="72">
        <v>500</v>
      </c>
      <c r="DB110" s="72">
        <v>500</v>
      </c>
      <c r="DC110" s="72">
        <v>500</v>
      </c>
      <c r="DD110" s="72">
        <v>500</v>
      </c>
      <c r="DE110" s="72">
        <v>500</v>
      </c>
      <c r="DF110" s="72">
        <v>500</v>
      </c>
      <c r="DG110" s="72">
        <v>500</v>
      </c>
      <c r="DH110" s="72">
        <v>500</v>
      </c>
      <c r="DI110" s="72">
        <v>500</v>
      </c>
      <c r="DJ110" s="72">
        <v>500</v>
      </c>
      <c r="DK110" s="72">
        <v>500</v>
      </c>
      <c r="DL110" s="72">
        <v>500</v>
      </c>
      <c r="DM110" s="72">
        <v>500</v>
      </c>
    </row>
    <row r="111" spans="1:117" x14ac:dyDescent="0.35">
      <c r="A111" s="7"/>
      <c r="B111" s="8" t="s">
        <v>190</v>
      </c>
      <c r="C111" s="9" t="s">
        <v>191</v>
      </c>
      <c r="D111" s="10" t="s">
        <v>188</v>
      </c>
      <c r="E111" s="8" t="s">
        <v>1217</v>
      </c>
      <c r="F111" s="10"/>
      <c r="G111" s="10" t="s">
        <v>40</v>
      </c>
      <c r="H111" s="10" t="s">
        <v>95</v>
      </c>
      <c r="I111" s="11"/>
      <c r="J111" s="10"/>
      <c r="K111" s="10" t="s">
        <v>42</v>
      </c>
      <c r="L111" s="8"/>
      <c r="M111" s="12"/>
      <c r="N111" s="12">
        <f t="shared" si="1"/>
        <v>0</v>
      </c>
      <c r="O111" s="11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  <c r="AG111" s="11"/>
      <c r="AH111" s="11">
        <v>1200</v>
      </c>
      <c r="AI111" s="11">
        <v>400</v>
      </c>
      <c r="AJ111" s="11">
        <v>400</v>
      </c>
      <c r="AK111" s="11">
        <v>400</v>
      </c>
      <c r="AL111" s="11">
        <v>400</v>
      </c>
      <c r="AM111" s="11">
        <v>400</v>
      </c>
      <c r="AN111" s="11">
        <v>400</v>
      </c>
      <c r="AO111" s="11">
        <v>400</v>
      </c>
      <c r="AP111" s="11">
        <v>400</v>
      </c>
      <c r="AQ111" s="72">
        <v>400</v>
      </c>
      <c r="AR111" s="72">
        <v>400</v>
      </c>
      <c r="AS111" s="72">
        <v>400</v>
      </c>
      <c r="AT111" s="72">
        <v>400</v>
      </c>
      <c r="AU111" s="72">
        <v>400</v>
      </c>
      <c r="AV111" s="72">
        <v>400</v>
      </c>
      <c r="AW111" s="72">
        <v>400</v>
      </c>
      <c r="AX111" s="72">
        <v>400</v>
      </c>
      <c r="AY111" s="72">
        <v>400</v>
      </c>
      <c r="AZ111" s="72">
        <v>400</v>
      </c>
      <c r="BA111" s="72">
        <v>400</v>
      </c>
      <c r="BB111" s="72">
        <v>400</v>
      </c>
      <c r="BC111" s="72">
        <v>400</v>
      </c>
      <c r="BD111" s="72">
        <v>400</v>
      </c>
      <c r="BE111" s="72">
        <v>400</v>
      </c>
      <c r="BF111" s="72">
        <v>400</v>
      </c>
      <c r="BG111" s="72">
        <v>400</v>
      </c>
      <c r="BH111" s="72">
        <v>400</v>
      </c>
      <c r="BI111" s="72">
        <v>400</v>
      </c>
      <c r="BJ111" s="72">
        <v>400</v>
      </c>
      <c r="BK111" s="72">
        <v>400</v>
      </c>
      <c r="BL111" s="72">
        <v>400</v>
      </c>
      <c r="BM111" s="72">
        <v>400</v>
      </c>
      <c r="BN111" s="72">
        <v>400</v>
      </c>
      <c r="BO111" s="72">
        <v>400</v>
      </c>
      <c r="BP111" s="72">
        <v>400</v>
      </c>
      <c r="BQ111" s="72">
        <v>400</v>
      </c>
      <c r="BR111" s="72">
        <v>400</v>
      </c>
      <c r="BS111" s="72">
        <v>400</v>
      </c>
      <c r="BT111" s="72">
        <v>400</v>
      </c>
      <c r="BU111" s="72">
        <v>400</v>
      </c>
      <c r="BV111" s="72">
        <v>400</v>
      </c>
      <c r="BW111" s="72">
        <v>400</v>
      </c>
      <c r="BX111" s="72">
        <v>400</v>
      </c>
      <c r="BY111" s="72">
        <v>400</v>
      </c>
      <c r="BZ111" s="72">
        <v>400</v>
      </c>
      <c r="CA111" s="72">
        <v>400</v>
      </c>
      <c r="CB111" s="72">
        <v>400</v>
      </c>
      <c r="CC111" s="72">
        <v>400</v>
      </c>
      <c r="CD111" s="72">
        <v>400</v>
      </c>
      <c r="CE111" s="72">
        <v>400</v>
      </c>
      <c r="CF111" s="72">
        <v>400</v>
      </c>
      <c r="CG111" s="72">
        <v>400</v>
      </c>
      <c r="CH111" s="72">
        <v>400</v>
      </c>
      <c r="CI111" s="72">
        <v>400</v>
      </c>
      <c r="CJ111" s="72">
        <v>400</v>
      </c>
      <c r="CK111" s="72">
        <v>400</v>
      </c>
      <c r="CL111" s="72">
        <v>400</v>
      </c>
      <c r="CM111" s="72">
        <v>400</v>
      </c>
      <c r="CN111" s="72">
        <v>400</v>
      </c>
      <c r="CO111" s="72">
        <v>400</v>
      </c>
      <c r="CP111" s="72">
        <v>400</v>
      </c>
      <c r="CQ111" s="72">
        <v>400</v>
      </c>
      <c r="CR111" s="72">
        <v>400</v>
      </c>
      <c r="CS111" s="72">
        <v>400</v>
      </c>
      <c r="CT111" s="72">
        <v>400</v>
      </c>
      <c r="CU111" s="72">
        <v>400</v>
      </c>
      <c r="CV111" s="72">
        <v>400</v>
      </c>
      <c r="CW111" s="72">
        <v>400</v>
      </c>
      <c r="CX111" s="72">
        <v>400</v>
      </c>
      <c r="CY111" s="72">
        <v>400</v>
      </c>
      <c r="CZ111" s="72">
        <v>400</v>
      </c>
      <c r="DA111" s="72">
        <v>400</v>
      </c>
      <c r="DB111" s="72">
        <v>400</v>
      </c>
      <c r="DC111" s="72">
        <v>400</v>
      </c>
      <c r="DD111" s="72">
        <v>400</v>
      </c>
      <c r="DE111" s="72">
        <v>400</v>
      </c>
      <c r="DF111" s="72">
        <v>400</v>
      </c>
      <c r="DG111" s="72">
        <v>400</v>
      </c>
      <c r="DH111" s="72">
        <v>400</v>
      </c>
      <c r="DI111" s="72">
        <v>400</v>
      </c>
      <c r="DJ111" s="72">
        <v>400</v>
      </c>
      <c r="DK111" s="72">
        <v>400</v>
      </c>
      <c r="DL111" s="72">
        <v>400</v>
      </c>
      <c r="DM111" s="72">
        <v>400</v>
      </c>
    </row>
    <row r="112" spans="1:117" x14ac:dyDescent="0.35">
      <c r="A112" s="7"/>
      <c r="B112" s="26" t="s">
        <v>192</v>
      </c>
      <c r="C112" s="27" t="s">
        <v>193</v>
      </c>
      <c r="D112" s="28" t="s">
        <v>92</v>
      </c>
      <c r="E112" s="26" t="s">
        <v>1211</v>
      </c>
      <c r="F112" s="10">
        <v>1101</v>
      </c>
      <c r="G112" s="28" t="s">
        <v>92</v>
      </c>
      <c r="H112" s="28" t="s">
        <v>95</v>
      </c>
      <c r="I112" s="29">
        <v>0</v>
      </c>
      <c r="J112" s="28">
        <v>305</v>
      </c>
      <c r="K112" s="10" t="s">
        <v>42</v>
      </c>
      <c r="L112" s="14" t="s">
        <v>194</v>
      </c>
      <c r="M112" s="12">
        <v>0.31900000000000001</v>
      </c>
      <c r="N112" s="12">
        <f t="shared" si="1"/>
        <v>0</v>
      </c>
      <c r="O112" s="29">
        <v>30195</v>
      </c>
      <c r="P112" s="29">
        <v>30195</v>
      </c>
      <c r="Q112" s="29">
        <v>30195</v>
      </c>
      <c r="R112" s="29">
        <v>30195</v>
      </c>
      <c r="S112" s="29">
        <v>29890</v>
      </c>
      <c r="T112" s="29">
        <v>29585</v>
      </c>
      <c r="U112" s="29">
        <v>29585</v>
      </c>
      <c r="V112" s="29">
        <v>20435</v>
      </c>
      <c r="W112" s="29">
        <v>20435</v>
      </c>
      <c r="X112" s="29">
        <v>20435</v>
      </c>
      <c r="Y112" s="29">
        <v>20435</v>
      </c>
      <c r="Z112" s="29">
        <v>19215</v>
      </c>
      <c r="AA112" s="29">
        <v>19215</v>
      </c>
      <c r="AB112" s="29">
        <v>7015</v>
      </c>
      <c r="AC112" s="29">
        <v>6405</v>
      </c>
      <c r="AD112" s="29">
        <v>6405</v>
      </c>
      <c r="AE112" s="29">
        <v>0</v>
      </c>
      <c r="AF112" s="29">
        <v>0</v>
      </c>
      <c r="AG112" s="29">
        <v>0</v>
      </c>
      <c r="AH112" s="29">
        <v>0</v>
      </c>
      <c r="AI112" s="29">
        <v>0</v>
      </c>
      <c r="AJ112" s="29">
        <v>0</v>
      </c>
      <c r="AK112" s="29">
        <v>0</v>
      </c>
      <c r="AL112" s="29">
        <v>0</v>
      </c>
      <c r="AM112" s="29">
        <v>0</v>
      </c>
      <c r="AN112" s="75">
        <v>0</v>
      </c>
      <c r="AO112" s="75">
        <v>0</v>
      </c>
      <c r="AP112" s="75">
        <v>0</v>
      </c>
      <c r="AQ112" s="75">
        <v>0</v>
      </c>
      <c r="AR112" s="75">
        <v>0</v>
      </c>
      <c r="AS112" s="75">
        <v>0</v>
      </c>
      <c r="AT112" s="75">
        <v>0</v>
      </c>
      <c r="AU112" s="75">
        <v>0</v>
      </c>
      <c r="AV112" s="75">
        <v>0</v>
      </c>
      <c r="AW112" s="75">
        <v>0</v>
      </c>
      <c r="AX112" s="75">
        <v>0</v>
      </c>
      <c r="AY112" s="75">
        <v>0</v>
      </c>
      <c r="AZ112" s="75">
        <v>0</v>
      </c>
      <c r="BA112" s="75">
        <v>0</v>
      </c>
      <c r="BB112" s="75">
        <v>0</v>
      </c>
      <c r="BC112" s="75">
        <v>0</v>
      </c>
      <c r="BD112" s="75">
        <v>0</v>
      </c>
      <c r="BE112" s="75">
        <v>0</v>
      </c>
      <c r="BF112" s="75">
        <v>0</v>
      </c>
      <c r="BG112" s="75">
        <v>0</v>
      </c>
      <c r="BH112" s="75">
        <v>0</v>
      </c>
      <c r="BI112" s="75">
        <v>0</v>
      </c>
      <c r="BJ112" s="75">
        <v>0</v>
      </c>
      <c r="BK112" s="75">
        <v>0</v>
      </c>
      <c r="BL112" s="75">
        <v>0</v>
      </c>
      <c r="BM112" s="75">
        <v>0</v>
      </c>
      <c r="BN112" s="75">
        <v>0</v>
      </c>
      <c r="BO112" s="75">
        <v>0</v>
      </c>
      <c r="BP112" s="75">
        <v>0</v>
      </c>
      <c r="BQ112" s="75">
        <v>0</v>
      </c>
      <c r="BR112" s="75">
        <v>0</v>
      </c>
      <c r="BS112" s="75">
        <v>0</v>
      </c>
      <c r="BT112" s="75">
        <v>0</v>
      </c>
      <c r="BU112" s="75">
        <v>0</v>
      </c>
      <c r="BV112" s="75">
        <v>0</v>
      </c>
      <c r="BW112" s="75">
        <v>0</v>
      </c>
      <c r="BX112" s="75">
        <v>0</v>
      </c>
      <c r="BY112" s="75">
        <v>0</v>
      </c>
      <c r="BZ112" s="75">
        <v>0</v>
      </c>
      <c r="CA112" s="75">
        <v>0</v>
      </c>
      <c r="CB112" s="75">
        <v>0</v>
      </c>
      <c r="CC112" s="75">
        <v>0</v>
      </c>
      <c r="CD112" s="75">
        <v>0</v>
      </c>
      <c r="CE112" s="75">
        <v>0</v>
      </c>
      <c r="CF112" s="75">
        <v>0</v>
      </c>
      <c r="CG112" s="75">
        <v>0</v>
      </c>
      <c r="CH112" s="75">
        <v>0</v>
      </c>
      <c r="CI112" s="75">
        <v>0</v>
      </c>
      <c r="CJ112" s="75">
        <v>0</v>
      </c>
      <c r="CK112" s="75">
        <v>0</v>
      </c>
      <c r="CL112" s="75">
        <v>0</v>
      </c>
      <c r="CM112" s="75">
        <v>0</v>
      </c>
      <c r="CN112" s="75">
        <v>0</v>
      </c>
      <c r="CO112" s="75">
        <v>0</v>
      </c>
      <c r="CP112" s="75">
        <v>0</v>
      </c>
      <c r="CQ112" s="75">
        <v>0</v>
      </c>
      <c r="CR112" s="75">
        <v>0</v>
      </c>
      <c r="CS112" s="75">
        <v>0</v>
      </c>
      <c r="CT112" s="75">
        <v>0</v>
      </c>
      <c r="CU112" s="75">
        <v>0</v>
      </c>
      <c r="CV112" s="75">
        <v>0</v>
      </c>
      <c r="CW112" s="75">
        <v>0</v>
      </c>
      <c r="CX112" s="75">
        <v>0</v>
      </c>
      <c r="CY112" s="75">
        <v>0</v>
      </c>
      <c r="CZ112" s="75">
        <v>0</v>
      </c>
      <c r="DA112" s="75">
        <v>0</v>
      </c>
      <c r="DB112" s="75">
        <v>0</v>
      </c>
      <c r="DC112" s="75">
        <v>0</v>
      </c>
      <c r="DD112" s="75">
        <v>0</v>
      </c>
      <c r="DE112" s="75">
        <v>0</v>
      </c>
      <c r="DF112" s="75">
        <v>0</v>
      </c>
      <c r="DG112" s="75">
        <v>0</v>
      </c>
      <c r="DH112" s="75">
        <v>0</v>
      </c>
      <c r="DI112" s="75">
        <v>0</v>
      </c>
      <c r="DJ112" s="75">
        <v>0</v>
      </c>
      <c r="DK112" s="75">
        <v>0</v>
      </c>
      <c r="DL112" s="75">
        <v>0</v>
      </c>
      <c r="DM112" s="75">
        <v>0</v>
      </c>
    </row>
    <row r="113" spans="1:117" x14ac:dyDescent="0.35">
      <c r="A113" s="7"/>
      <c r="B113" s="92" t="s">
        <v>1321</v>
      </c>
      <c r="C113" s="9" t="s">
        <v>193</v>
      </c>
      <c r="D113" s="10" t="s">
        <v>92</v>
      </c>
      <c r="E113" s="8" t="s">
        <v>1211</v>
      </c>
      <c r="F113" s="10">
        <v>1101</v>
      </c>
      <c r="G113" s="10" t="s">
        <v>92</v>
      </c>
      <c r="H113" s="10" t="s">
        <v>95</v>
      </c>
      <c r="I113" s="11">
        <v>234</v>
      </c>
      <c r="J113" s="10">
        <v>150</v>
      </c>
      <c r="K113" s="10" t="s">
        <v>195</v>
      </c>
      <c r="L113" s="14" t="s">
        <v>196</v>
      </c>
      <c r="M113" s="12">
        <v>0.31900000000000001</v>
      </c>
      <c r="N113" s="12">
        <f t="shared" si="1"/>
        <v>0</v>
      </c>
      <c r="O113" s="11"/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  <c r="AA113" s="11"/>
      <c r="AB113" s="11">
        <v>1300</v>
      </c>
      <c r="AC113" s="11">
        <v>1300</v>
      </c>
      <c r="AD113" s="11">
        <v>1300</v>
      </c>
      <c r="AE113" s="11">
        <v>1300</v>
      </c>
      <c r="AF113" s="11">
        <v>234</v>
      </c>
      <c r="AG113" s="11">
        <v>234</v>
      </c>
      <c r="AH113" s="11">
        <v>234</v>
      </c>
      <c r="AI113" s="11">
        <v>234</v>
      </c>
      <c r="AJ113" s="11">
        <v>234</v>
      </c>
      <c r="AK113" s="11">
        <v>234</v>
      </c>
      <c r="AL113" s="11">
        <v>233</v>
      </c>
      <c r="AM113" s="11">
        <v>233</v>
      </c>
      <c r="AN113" s="72">
        <v>233</v>
      </c>
      <c r="AO113" s="72">
        <v>233</v>
      </c>
      <c r="AP113" s="72">
        <v>233</v>
      </c>
      <c r="AQ113" s="72">
        <v>233</v>
      </c>
      <c r="AR113" s="72">
        <v>233</v>
      </c>
      <c r="AS113" s="72">
        <v>233</v>
      </c>
      <c r="AT113" s="72">
        <v>233</v>
      </c>
      <c r="AU113" s="72">
        <v>233</v>
      </c>
      <c r="AV113" s="72">
        <v>233</v>
      </c>
      <c r="AW113" s="72">
        <v>233</v>
      </c>
      <c r="AX113" s="72">
        <v>233</v>
      </c>
      <c r="AY113" s="72">
        <v>233</v>
      </c>
      <c r="AZ113" s="72">
        <v>233</v>
      </c>
      <c r="BA113" s="72">
        <v>233</v>
      </c>
      <c r="BB113" s="72">
        <v>233</v>
      </c>
      <c r="BC113" s="72">
        <v>233</v>
      </c>
      <c r="BD113" s="72">
        <v>233</v>
      </c>
      <c r="BE113" s="72">
        <v>233</v>
      </c>
      <c r="BF113" s="72">
        <v>233</v>
      </c>
      <c r="BG113" s="72">
        <v>233</v>
      </c>
      <c r="BH113" s="72">
        <v>233</v>
      </c>
      <c r="BI113" s="72">
        <v>233</v>
      </c>
      <c r="BJ113" s="72">
        <v>233</v>
      </c>
      <c r="BK113" s="72">
        <v>233</v>
      </c>
      <c r="BL113" s="72">
        <v>233</v>
      </c>
      <c r="BM113" s="72">
        <v>233</v>
      </c>
      <c r="BN113" s="72">
        <v>233</v>
      </c>
      <c r="BO113" s="72">
        <v>233</v>
      </c>
      <c r="BP113" s="72">
        <v>233</v>
      </c>
      <c r="BQ113" s="72">
        <v>233</v>
      </c>
      <c r="BR113" s="72">
        <v>233</v>
      </c>
      <c r="BS113" s="72">
        <v>233</v>
      </c>
      <c r="BT113" s="72">
        <v>233</v>
      </c>
      <c r="BU113" s="72">
        <v>233</v>
      </c>
      <c r="BV113" s="72">
        <v>233</v>
      </c>
      <c r="BW113" s="72">
        <v>233</v>
      </c>
      <c r="BX113" s="72">
        <v>233</v>
      </c>
      <c r="BY113" s="72">
        <v>0</v>
      </c>
      <c r="BZ113" s="72">
        <v>0</v>
      </c>
      <c r="CA113" s="72">
        <v>0</v>
      </c>
      <c r="CB113" s="72">
        <v>0</v>
      </c>
      <c r="CC113" s="72">
        <v>0</v>
      </c>
      <c r="CD113" s="72">
        <v>0</v>
      </c>
      <c r="CE113" s="72">
        <v>0</v>
      </c>
      <c r="CF113" s="72">
        <v>0</v>
      </c>
      <c r="CG113" s="72">
        <v>0</v>
      </c>
      <c r="CH113" s="72">
        <v>0</v>
      </c>
      <c r="CI113" s="72">
        <v>0</v>
      </c>
      <c r="CJ113" s="72">
        <v>0</v>
      </c>
      <c r="CK113" s="72">
        <v>0</v>
      </c>
      <c r="CL113" s="72">
        <v>0</v>
      </c>
      <c r="CM113" s="72">
        <v>0</v>
      </c>
      <c r="CN113" s="72">
        <v>0</v>
      </c>
      <c r="CO113" s="72">
        <v>0</v>
      </c>
      <c r="CP113" s="72">
        <v>0</v>
      </c>
      <c r="CQ113" s="72">
        <v>0</v>
      </c>
      <c r="CR113" s="72">
        <v>0</v>
      </c>
      <c r="CS113" s="72">
        <v>0</v>
      </c>
      <c r="CT113" s="72">
        <v>0</v>
      </c>
      <c r="CU113" s="72">
        <v>0</v>
      </c>
      <c r="CV113" s="72">
        <v>0</v>
      </c>
      <c r="CW113" s="72">
        <v>0</v>
      </c>
      <c r="CX113" s="72">
        <v>0</v>
      </c>
      <c r="CY113" s="72">
        <v>0</v>
      </c>
      <c r="CZ113" s="72">
        <v>0</v>
      </c>
      <c r="DA113" s="72">
        <v>0</v>
      </c>
      <c r="DB113" s="72">
        <v>0</v>
      </c>
      <c r="DC113" s="72">
        <v>0</v>
      </c>
      <c r="DD113" s="72">
        <v>0</v>
      </c>
      <c r="DE113" s="72">
        <v>0</v>
      </c>
      <c r="DF113" s="72">
        <v>0</v>
      </c>
      <c r="DG113" s="72">
        <v>0</v>
      </c>
      <c r="DH113" s="72">
        <v>0</v>
      </c>
      <c r="DI113" s="72">
        <v>0</v>
      </c>
      <c r="DJ113" s="72">
        <v>0</v>
      </c>
      <c r="DK113" s="72">
        <v>0</v>
      </c>
      <c r="DL113" s="72">
        <v>0</v>
      </c>
      <c r="DM113" s="72">
        <v>0</v>
      </c>
    </row>
    <row r="114" spans="1:117" ht="26.55" x14ac:dyDescent="0.35">
      <c r="A114" s="7"/>
      <c r="B114" s="26" t="s">
        <v>197</v>
      </c>
      <c r="C114" s="27" t="s">
        <v>198</v>
      </c>
      <c r="D114" s="28" t="s">
        <v>92</v>
      </c>
      <c r="E114" s="26" t="s">
        <v>1213</v>
      </c>
      <c r="F114" s="10">
        <v>1101</v>
      </c>
      <c r="G114" s="28" t="s">
        <v>92</v>
      </c>
      <c r="H114" s="28" t="s">
        <v>41</v>
      </c>
      <c r="I114" s="29">
        <v>1</v>
      </c>
      <c r="J114" s="28">
        <v>3</v>
      </c>
      <c r="K114" s="10" t="s">
        <v>42</v>
      </c>
      <c r="L114" s="14" t="s">
        <v>199</v>
      </c>
      <c r="M114" s="12">
        <v>5.6280000000000001</v>
      </c>
      <c r="N114" s="12">
        <f t="shared" si="1"/>
        <v>0</v>
      </c>
      <c r="O114" s="29">
        <v>31</v>
      </c>
      <c r="P114" s="29">
        <v>31</v>
      </c>
      <c r="Q114" s="29">
        <v>31</v>
      </c>
      <c r="R114" s="29">
        <v>29</v>
      </c>
      <c r="S114" s="29">
        <v>29</v>
      </c>
      <c r="T114" s="29">
        <v>24</v>
      </c>
      <c r="U114" s="29">
        <v>16</v>
      </c>
      <c r="V114" s="29">
        <v>8</v>
      </c>
      <c r="W114" s="29">
        <v>8</v>
      </c>
      <c r="X114" s="29">
        <v>8</v>
      </c>
      <c r="Y114" s="29">
        <v>8</v>
      </c>
      <c r="Z114" s="29">
        <v>6</v>
      </c>
      <c r="AA114" s="29">
        <v>6</v>
      </c>
      <c r="AB114" s="29">
        <v>6</v>
      </c>
      <c r="AC114" s="29">
        <v>2</v>
      </c>
      <c r="AD114" s="29">
        <v>2</v>
      </c>
      <c r="AE114" s="29">
        <v>2</v>
      </c>
      <c r="AF114" s="29">
        <v>1</v>
      </c>
      <c r="AG114" s="29">
        <v>1</v>
      </c>
      <c r="AH114" s="29">
        <v>1</v>
      </c>
      <c r="AI114" s="29">
        <v>1</v>
      </c>
      <c r="AJ114" s="29">
        <v>1</v>
      </c>
      <c r="AK114" s="29">
        <v>1</v>
      </c>
      <c r="AL114" s="29">
        <v>0</v>
      </c>
      <c r="AM114" s="29">
        <v>0</v>
      </c>
      <c r="AN114" s="75">
        <v>0</v>
      </c>
      <c r="AO114" s="75">
        <v>1</v>
      </c>
      <c r="AP114" s="75">
        <v>1</v>
      </c>
      <c r="AQ114" s="75">
        <v>1</v>
      </c>
      <c r="AR114" s="75">
        <v>1</v>
      </c>
      <c r="AS114" s="75">
        <v>1</v>
      </c>
      <c r="AT114" s="75">
        <v>1</v>
      </c>
      <c r="AU114" s="75">
        <v>1</v>
      </c>
      <c r="AV114" s="75">
        <v>1</v>
      </c>
      <c r="AW114" s="75">
        <v>1</v>
      </c>
      <c r="AX114" s="75">
        <v>1</v>
      </c>
      <c r="AY114" s="75">
        <v>1</v>
      </c>
      <c r="AZ114" s="75">
        <v>1</v>
      </c>
      <c r="BA114" s="75">
        <v>1</v>
      </c>
      <c r="BB114" s="75">
        <v>1</v>
      </c>
      <c r="BC114" s="75">
        <v>1</v>
      </c>
      <c r="BD114" s="75">
        <v>1</v>
      </c>
      <c r="BE114" s="75">
        <v>1</v>
      </c>
      <c r="BF114" s="75">
        <v>1</v>
      </c>
      <c r="BG114" s="75">
        <v>1</v>
      </c>
      <c r="BH114" s="75">
        <v>1</v>
      </c>
      <c r="BI114" s="75">
        <v>1</v>
      </c>
      <c r="BJ114" s="75">
        <v>1</v>
      </c>
      <c r="BK114" s="75">
        <v>1</v>
      </c>
      <c r="BL114" s="75">
        <v>1</v>
      </c>
      <c r="BM114" s="75">
        <v>1</v>
      </c>
      <c r="BN114" s="75">
        <v>1</v>
      </c>
      <c r="BO114" s="75">
        <v>1</v>
      </c>
      <c r="BP114" s="75">
        <v>1</v>
      </c>
      <c r="BQ114" s="75">
        <v>1</v>
      </c>
      <c r="BR114" s="75">
        <v>1</v>
      </c>
      <c r="BS114" s="75">
        <v>1</v>
      </c>
      <c r="BT114" s="75">
        <v>1</v>
      </c>
      <c r="BU114" s="75">
        <v>1</v>
      </c>
      <c r="BV114" s="75">
        <v>0</v>
      </c>
      <c r="BW114" s="75">
        <v>0</v>
      </c>
      <c r="BX114" s="75">
        <v>0</v>
      </c>
      <c r="BY114" s="75">
        <v>0</v>
      </c>
      <c r="BZ114" s="75">
        <v>0</v>
      </c>
      <c r="CA114" s="75">
        <v>0</v>
      </c>
      <c r="CB114" s="75">
        <v>0</v>
      </c>
      <c r="CC114" s="75">
        <v>0</v>
      </c>
      <c r="CD114" s="75">
        <v>0</v>
      </c>
      <c r="CE114" s="75">
        <v>0</v>
      </c>
      <c r="CF114" s="75">
        <v>0</v>
      </c>
      <c r="CG114" s="75">
        <v>0</v>
      </c>
      <c r="CH114" s="75">
        <v>0</v>
      </c>
      <c r="CI114" s="75">
        <v>0</v>
      </c>
      <c r="CJ114" s="75">
        <v>0</v>
      </c>
      <c r="CK114" s="75">
        <v>0</v>
      </c>
      <c r="CL114" s="75">
        <v>0</v>
      </c>
      <c r="CM114" s="75">
        <v>0</v>
      </c>
      <c r="CN114" s="75">
        <v>0</v>
      </c>
      <c r="CO114" s="75">
        <v>0</v>
      </c>
      <c r="CP114" s="75">
        <v>0</v>
      </c>
      <c r="CQ114" s="75">
        <v>0</v>
      </c>
      <c r="CR114" s="75">
        <v>0</v>
      </c>
      <c r="CS114" s="75">
        <v>0</v>
      </c>
      <c r="CT114" s="75">
        <v>0</v>
      </c>
      <c r="CU114" s="75">
        <v>0</v>
      </c>
      <c r="CV114" s="75">
        <v>0</v>
      </c>
      <c r="CW114" s="75">
        <v>0</v>
      </c>
      <c r="CX114" s="75">
        <v>0</v>
      </c>
      <c r="CY114" s="75">
        <v>0</v>
      </c>
      <c r="CZ114" s="75">
        <v>0</v>
      </c>
      <c r="DA114" s="75">
        <v>0</v>
      </c>
      <c r="DB114" s="75">
        <v>0</v>
      </c>
      <c r="DC114" s="75">
        <v>0</v>
      </c>
      <c r="DD114" s="75">
        <v>0</v>
      </c>
      <c r="DE114" s="75">
        <v>0</v>
      </c>
      <c r="DF114" s="75">
        <v>0</v>
      </c>
      <c r="DG114" s="75">
        <v>0</v>
      </c>
      <c r="DH114" s="75">
        <v>0</v>
      </c>
      <c r="DI114" s="75">
        <v>0</v>
      </c>
      <c r="DJ114" s="75">
        <v>0</v>
      </c>
      <c r="DK114" s="75">
        <v>0</v>
      </c>
      <c r="DL114" s="75">
        <v>0</v>
      </c>
      <c r="DM114" s="75">
        <v>0</v>
      </c>
    </row>
    <row r="115" spans="1:117" x14ac:dyDescent="0.35">
      <c r="A115" s="7"/>
      <c r="B115" s="26" t="s">
        <v>1397</v>
      </c>
      <c r="C115" s="27" t="s">
        <v>198</v>
      </c>
      <c r="D115" s="28" t="s">
        <v>92</v>
      </c>
      <c r="E115" s="26" t="s">
        <v>1213</v>
      </c>
      <c r="F115" s="10"/>
      <c r="G115" s="28"/>
      <c r="H115" s="28" t="s">
        <v>41</v>
      </c>
      <c r="I115" s="29"/>
      <c r="J115" s="28"/>
      <c r="K115" s="10"/>
      <c r="L115" s="14"/>
      <c r="M115" s="12">
        <v>5.6280000000000001</v>
      </c>
      <c r="N115" s="12">
        <f t="shared" si="1"/>
        <v>11.256</v>
      </c>
      <c r="O115" s="29"/>
      <c r="P115" s="29"/>
      <c r="Q115" s="29"/>
      <c r="R115" s="29"/>
      <c r="S115" s="29"/>
      <c r="T115" s="29"/>
      <c r="U115" s="29"/>
      <c r="V115" s="29"/>
      <c r="W115" s="29"/>
      <c r="X115" s="29"/>
      <c r="Y115" s="29"/>
      <c r="Z115" s="29"/>
      <c r="AA115" s="29"/>
      <c r="AB115" s="29"/>
      <c r="AC115" s="29"/>
      <c r="AD115" s="29"/>
      <c r="AE115" s="29"/>
      <c r="AF115" s="29"/>
      <c r="AG115" s="29"/>
      <c r="AH115" s="29"/>
      <c r="AI115" s="29"/>
      <c r="AJ115" s="29"/>
      <c r="AK115" s="29"/>
      <c r="AL115" s="29"/>
      <c r="AM115" s="29"/>
      <c r="AN115" s="75"/>
      <c r="AO115" s="75"/>
      <c r="AP115" s="75"/>
      <c r="AQ115" s="75"/>
      <c r="AR115" s="75"/>
      <c r="AS115" s="75"/>
      <c r="AT115" s="75"/>
      <c r="AU115" s="75"/>
      <c r="AV115" s="75"/>
      <c r="AW115" s="75"/>
      <c r="AX115" s="75"/>
      <c r="AY115" s="75"/>
      <c r="AZ115" s="75"/>
      <c r="BA115" s="75"/>
      <c r="BB115" s="75"/>
      <c r="BC115" s="75"/>
      <c r="BD115" s="75"/>
      <c r="BE115" s="75"/>
      <c r="BF115" s="75"/>
      <c r="BG115" s="75"/>
      <c r="BH115" s="75"/>
      <c r="BI115" s="75"/>
      <c r="BJ115" s="75"/>
      <c r="BK115" s="75"/>
      <c r="BL115" s="75"/>
      <c r="BM115" s="75"/>
      <c r="BN115" s="75"/>
      <c r="BO115" s="75"/>
      <c r="BP115" s="75"/>
      <c r="BQ115" s="75"/>
      <c r="BR115" s="75"/>
      <c r="BS115" s="75"/>
      <c r="BT115" s="75"/>
      <c r="BU115" s="75"/>
      <c r="BV115" s="75"/>
      <c r="BW115" s="75"/>
      <c r="BX115" s="75">
        <v>2</v>
      </c>
      <c r="BY115" s="75">
        <v>0</v>
      </c>
      <c r="BZ115" s="75">
        <v>0</v>
      </c>
      <c r="CA115" s="75">
        <v>0</v>
      </c>
      <c r="CB115" s="75">
        <v>0</v>
      </c>
      <c r="CC115" s="75">
        <v>2</v>
      </c>
      <c r="CD115" s="75">
        <v>2</v>
      </c>
      <c r="CE115" s="75">
        <v>2</v>
      </c>
      <c r="CF115" s="75">
        <v>2</v>
      </c>
      <c r="CG115" s="75">
        <v>2</v>
      </c>
      <c r="CH115" s="75">
        <v>2</v>
      </c>
      <c r="CI115" s="75">
        <v>2</v>
      </c>
      <c r="CJ115" s="75">
        <v>2</v>
      </c>
      <c r="CK115" s="75">
        <v>2</v>
      </c>
      <c r="CL115" s="75">
        <v>2</v>
      </c>
      <c r="CM115" s="75">
        <v>2</v>
      </c>
      <c r="CN115" s="75">
        <v>2</v>
      </c>
      <c r="CO115" s="75">
        <v>2</v>
      </c>
      <c r="CP115" s="75">
        <v>2</v>
      </c>
      <c r="CQ115" s="75">
        <v>2</v>
      </c>
      <c r="CR115" s="75">
        <v>2</v>
      </c>
      <c r="CS115" s="75">
        <v>2</v>
      </c>
      <c r="CT115" s="75">
        <v>2</v>
      </c>
      <c r="CU115" s="75">
        <v>2</v>
      </c>
      <c r="CV115" s="75">
        <v>2</v>
      </c>
      <c r="CW115" s="75">
        <v>2</v>
      </c>
      <c r="CX115" s="75">
        <v>2</v>
      </c>
      <c r="CY115" s="75">
        <v>2</v>
      </c>
      <c r="CZ115" s="75">
        <v>2</v>
      </c>
      <c r="DA115" s="75">
        <v>2</v>
      </c>
      <c r="DB115" s="75">
        <v>2</v>
      </c>
      <c r="DC115" s="75">
        <v>2</v>
      </c>
      <c r="DD115" s="75">
        <v>2</v>
      </c>
      <c r="DE115" s="75">
        <v>2</v>
      </c>
      <c r="DF115" s="75">
        <v>2</v>
      </c>
      <c r="DG115" s="75">
        <v>2</v>
      </c>
      <c r="DH115" s="75">
        <v>2</v>
      </c>
      <c r="DI115" s="75">
        <v>2</v>
      </c>
      <c r="DJ115" s="75">
        <v>2</v>
      </c>
      <c r="DK115" s="75">
        <v>2</v>
      </c>
      <c r="DL115" s="75">
        <v>2</v>
      </c>
      <c r="DM115" s="75">
        <v>2</v>
      </c>
    </row>
    <row r="116" spans="1:117" x14ac:dyDescent="0.35">
      <c r="A116" s="7"/>
      <c r="B116" s="8" t="s">
        <v>200</v>
      </c>
      <c r="C116" s="9" t="s">
        <v>201</v>
      </c>
      <c r="D116" s="10" t="s">
        <v>92</v>
      </c>
      <c r="E116" s="8" t="s">
        <v>1213</v>
      </c>
      <c r="F116" s="10">
        <v>1101</v>
      </c>
      <c r="G116" s="10" t="s">
        <v>92</v>
      </c>
      <c r="H116" s="10" t="s">
        <v>41</v>
      </c>
      <c r="I116" s="11">
        <v>0</v>
      </c>
      <c r="J116" s="10"/>
      <c r="K116" s="10" t="s">
        <v>42</v>
      </c>
      <c r="L116" s="8"/>
      <c r="M116" s="12">
        <v>7.02</v>
      </c>
      <c r="N116" s="12">
        <f t="shared" si="1"/>
        <v>0</v>
      </c>
      <c r="O116" s="11">
        <v>0</v>
      </c>
      <c r="P116" s="11">
        <v>0</v>
      </c>
      <c r="Q116" s="11">
        <v>0</v>
      </c>
      <c r="R116" s="11">
        <v>0</v>
      </c>
      <c r="S116" s="11">
        <v>0</v>
      </c>
      <c r="T116" s="11">
        <v>0</v>
      </c>
      <c r="U116" s="11">
        <v>0</v>
      </c>
      <c r="V116" s="11">
        <v>0</v>
      </c>
      <c r="W116" s="11">
        <v>0</v>
      </c>
      <c r="X116" s="11">
        <v>0</v>
      </c>
      <c r="Y116" s="11">
        <v>0</v>
      </c>
      <c r="Z116" s="11">
        <v>0</v>
      </c>
      <c r="AA116" s="11">
        <v>0</v>
      </c>
      <c r="AB116" s="11">
        <v>0</v>
      </c>
      <c r="AC116" s="11">
        <v>0</v>
      </c>
      <c r="AD116" s="11">
        <v>0</v>
      </c>
      <c r="AE116" s="11">
        <v>0</v>
      </c>
      <c r="AF116" s="11">
        <v>0</v>
      </c>
      <c r="AG116" s="11">
        <v>0</v>
      </c>
      <c r="AH116" s="11">
        <v>0</v>
      </c>
      <c r="AI116" s="11">
        <v>0</v>
      </c>
      <c r="AJ116" s="11">
        <v>0</v>
      </c>
      <c r="AK116" s="11">
        <v>0</v>
      </c>
      <c r="AL116" s="11">
        <v>0</v>
      </c>
      <c r="AM116" s="11">
        <v>0</v>
      </c>
      <c r="AN116" s="72">
        <v>0</v>
      </c>
      <c r="AO116" s="72">
        <v>0</v>
      </c>
      <c r="AP116" s="72">
        <v>0</v>
      </c>
      <c r="AQ116" s="72">
        <v>0</v>
      </c>
      <c r="AR116" s="72">
        <v>0</v>
      </c>
      <c r="AS116" s="72">
        <v>0</v>
      </c>
      <c r="AT116" s="72">
        <v>0</v>
      </c>
      <c r="AU116" s="72">
        <v>0</v>
      </c>
      <c r="AV116" s="72">
        <v>0</v>
      </c>
      <c r="AW116" s="72">
        <v>0</v>
      </c>
      <c r="AX116" s="72">
        <v>0</v>
      </c>
      <c r="AY116" s="72">
        <v>0</v>
      </c>
      <c r="AZ116" s="72">
        <v>0</v>
      </c>
      <c r="BA116" s="72">
        <v>0</v>
      </c>
      <c r="BB116" s="72">
        <v>0</v>
      </c>
      <c r="BC116" s="72">
        <v>0</v>
      </c>
      <c r="BD116" s="72">
        <v>0</v>
      </c>
      <c r="BE116" s="72">
        <v>0</v>
      </c>
      <c r="BF116" s="72">
        <v>0</v>
      </c>
      <c r="BG116" s="72">
        <v>0</v>
      </c>
      <c r="BH116" s="72">
        <v>0</v>
      </c>
      <c r="BI116" s="72">
        <v>0</v>
      </c>
      <c r="BJ116" s="72">
        <v>0</v>
      </c>
      <c r="BK116" s="72">
        <v>0</v>
      </c>
      <c r="BL116" s="72">
        <v>0</v>
      </c>
      <c r="BM116" s="72">
        <v>0</v>
      </c>
      <c r="BN116" s="72">
        <v>0</v>
      </c>
      <c r="BO116" s="72">
        <v>0</v>
      </c>
      <c r="BP116" s="72">
        <v>0</v>
      </c>
      <c r="BQ116" s="72">
        <v>0</v>
      </c>
      <c r="BR116" s="72">
        <v>0</v>
      </c>
      <c r="BS116" s="72">
        <v>0</v>
      </c>
      <c r="BT116" s="72">
        <v>0</v>
      </c>
      <c r="BU116" s="72">
        <v>0</v>
      </c>
      <c r="BV116" s="72">
        <v>0</v>
      </c>
      <c r="BW116" s="72">
        <v>0</v>
      </c>
      <c r="BX116" s="72">
        <v>0</v>
      </c>
      <c r="BY116" s="72">
        <v>0</v>
      </c>
      <c r="BZ116" s="72">
        <v>0</v>
      </c>
      <c r="CA116" s="72">
        <v>0</v>
      </c>
      <c r="CB116" s="72">
        <v>0</v>
      </c>
      <c r="CC116" s="72">
        <v>0</v>
      </c>
      <c r="CD116" s="72">
        <v>0</v>
      </c>
      <c r="CE116" s="72">
        <v>0</v>
      </c>
      <c r="CF116" s="72">
        <v>0</v>
      </c>
      <c r="CG116" s="72">
        <v>0</v>
      </c>
      <c r="CH116" s="72">
        <v>0</v>
      </c>
      <c r="CI116" s="72">
        <v>0</v>
      </c>
      <c r="CJ116" s="72">
        <v>0</v>
      </c>
      <c r="CK116" s="72">
        <v>0</v>
      </c>
      <c r="CL116" s="72">
        <v>0</v>
      </c>
      <c r="CM116" s="72">
        <v>0</v>
      </c>
      <c r="CN116" s="72">
        <v>0</v>
      </c>
      <c r="CO116" s="72">
        <v>0</v>
      </c>
      <c r="CP116" s="72">
        <v>0</v>
      </c>
      <c r="CQ116" s="72">
        <v>0</v>
      </c>
      <c r="CR116" s="72">
        <v>0</v>
      </c>
      <c r="CS116" s="72">
        <v>0</v>
      </c>
      <c r="CT116" s="72">
        <v>0</v>
      </c>
      <c r="CU116" s="72">
        <v>0</v>
      </c>
      <c r="CV116" s="72">
        <v>0</v>
      </c>
      <c r="CW116" s="72">
        <v>0</v>
      </c>
      <c r="CX116" s="72">
        <v>0</v>
      </c>
      <c r="CY116" s="72">
        <v>0</v>
      </c>
      <c r="CZ116" s="72">
        <v>0</v>
      </c>
      <c r="DA116" s="72">
        <v>0</v>
      </c>
      <c r="DB116" s="72">
        <v>0</v>
      </c>
      <c r="DC116" s="72">
        <v>0</v>
      </c>
      <c r="DD116" s="72">
        <v>0</v>
      </c>
      <c r="DE116" s="72">
        <v>0</v>
      </c>
      <c r="DF116" s="72">
        <v>0</v>
      </c>
      <c r="DG116" s="72">
        <v>0</v>
      </c>
      <c r="DH116" s="72">
        <v>0</v>
      </c>
      <c r="DI116" s="72">
        <v>0</v>
      </c>
      <c r="DJ116" s="72">
        <v>0</v>
      </c>
      <c r="DK116" s="72">
        <v>0</v>
      </c>
      <c r="DL116" s="72">
        <v>0</v>
      </c>
      <c r="DM116" s="72">
        <v>0</v>
      </c>
    </row>
    <row r="117" spans="1:117" x14ac:dyDescent="0.35">
      <c r="A117" s="7"/>
      <c r="B117" s="8" t="s">
        <v>202</v>
      </c>
      <c r="C117" s="9" t="s">
        <v>203</v>
      </c>
      <c r="D117" s="10" t="s">
        <v>92</v>
      </c>
      <c r="E117" s="8" t="s">
        <v>1213</v>
      </c>
      <c r="F117" s="10">
        <v>1101</v>
      </c>
      <c r="G117" s="10" t="s">
        <v>92</v>
      </c>
      <c r="H117" s="10" t="s">
        <v>41</v>
      </c>
      <c r="I117" s="11">
        <v>289</v>
      </c>
      <c r="J117" s="10"/>
      <c r="K117" s="10" t="s">
        <v>42</v>
      </c>
      <c r="L117" s="8"/>
      <c r="M117" s="12">
        <v>11.88</v>
      </c>
      <c r="N117" s="12">
        <f t="shared" si="1"/>
        <v>3421.44</v>
      </c>
      <c r="O117" s="11">
        <v>289</v>
      </c>
      <c r="P117" s="11">
        <v>289</v>
      </c>
      <c r="Q117" s="11">
        <v>289</v>
      </c>
      <c r="R117" s="11">
        <v>289</v>
      </c>
      <c r="S117" s="11">
        <v>289</v>
      </c>
      <c r="T117" s="11">
        <v>289</v>
      </c>
      <c r="U117" s="11">
        <v>289</v>
      </c>
      <c r="V117" s="11">
        <v>289</v>
      </c>
      <c r="W117" s="11">
        <v>289</v>
      </c>
      <c r="X117" s="11">
        <v>289</v>
      </c>
      <c r="Y117" s="11">
        <v>289</v>
      </c>
      <c r="Z117" s="11">
        <v>289</v>
      </c>
      <c r="AA117" s="11">
        <v>289</v>
      </c>
      <c r="AB117" s="11">
        <v>289</v>
      </c>
      <c r="AC117" s="11">
        <v>289</v>
      </c>
      <c r="AD117" s="11">
        <v>289</v>
      </c>
      <c r="AE117" s="11">
        <v>289</v>
      </c>
      <c r="AF117" s="11">
        <v>289</v>
      </c>
      <c r="AG117" s="11">
        <v>289</v>
      </c>
      <c r="AH117" s="11">
        <v>289</v>
      </c>
      <c r="AI117" s="11">
        <v>289</v>
      </c>
      <c r="AJ117" s="11">
        <v>289</v>
      </c>
      <c r="AK117" s="11">
        <v>289</v>
      </c>
      <c r="AL117" s="11">
        <v>289</v>
      </c>
      <c r="AM117" s="11">
        <v>289</v>
      </c>
      <c r="AN117" s="72">
        <v>289</v>
      </c>
      <c r="AO117" s="72">
        <v>289</v>
      </c>
      <c r="AP117" s="72">
        <v>289</v>
      </c>
      <c r="AQ117" s="72">
        <v>289</v>
      </c>
      <c r="AR117" s="72">
        <v>289</v>
      </c>
      <c r="AS117" s="72">
        <v>289</v>
      </c>
      <c r="AT117" s="72">
        <v>289</v>
      </c>
      <c r="AU117" s="72">
        <v>289</v>
      </c>
      <c r="AV117" s="72">
        <v>289</v>
      </c>
      <c r="AW117" s="72">
        <v>289</v>
      </c>
      <c r="AX117" s="72">
        <v>289</v>
      </c>
      <c r="AY117" s="72">
        <v>289</v>
      </c>
      <c r="AZ117" s="72">
        <v>289</v>
      </c>
      <c r="BA117" s="72">
        <v>289</v>
      </c>
      <c r="BB117" s="72">
        <v>289</v>
      </c>
      <c r="BC117" s="72">
        <v>289</v>
      </c>
      <c r="BD117" s="72">
        <v>289</v>
      </c>
      <c r="BE117" s="72">
        <v>289</v>
      </c>
      <c r="BF117" s="72">
        <v>289</v>
      </c>
      <c r="BG117" s="72">
        <v>289</v>
      </c>
      <c r="BH117" s="72">
        <v>289</v>
      </c>
      <c r="BI117" s="72">
        <v>289</v>
      </c>
      <c r="BJ117" s="72">
        <v>289</v>
      </c>
      <c r="BK117" s="72">
        <v>289</v>
      </c>
      <c r="BL117" s="72">
        <v>289</v>
      </c>
      <c r="BM117" s="72">
        <v>289</v>
      </c>
      <c r="BN117" s="72">
        <v>289</v>
      </c>
      <c r="BO117" s="72">
        <v>289</v>
      </c>
      <c r="BP117" s="72">
        <v>289</v>
      </c>
      <c r="BQ117" s="72">
        <v>289</v>
      </c>
      <c r="BR117" s="72">
        <v>289</v>
      </c>
      <c r="BS117" s="72">
        <v>289</v>
      </c>
      <c r="BT117" s="72">
        <v>289</v>
      </c>
      <c r="BU117" s="72">
        <v>289</v>
      </c>
      <c r="BV117" s="72">
        <v>288</v>
      </c>
      <c r="BW117" s="72">
        <v>288</v>
      </c>
      <c r="BX117" s="72">
        <v>288</v>
      </c>
      <c r="BY117" s="72">
        <v>288</v>
      </c>
      <c r="BZ117" s="72">
        <v>288</v>
      </c>
      <c r="CA117" s="72">
        <v>288</v>
      </c>
      <c r="CB117" s="72">
        <v>288</v>
      </c>
      <c r="CC117" s="72">
        <v>288</v>
      </c>
      <c r="CD117" s="72">
        <v>288</v>
      </c>
      <c r="CE117" s="72">
        <v>288</v>
      </c>
      <c r="CF117" s="72">
        <v>289</v>
      </c>
      <c r="CG117" s="72">
        <v>289</v>
      </c>
      <c r="CH117" s="72">
        <v>289</v>
      </c>
      <c r="CI117" s="72">
        <v>289</v>
      </c>
      <c r="CJ117" s="72">
        <v>289</v>
      </c>
      <c r="CK117" s="72">
        <v>289</v>
      </c>
      <c r="CL117" s="72">
        <v>289</v>
      </c>
      <c r="CM117" s="72">
        <v>289</v>
      </c>
      <c r="CN117" s="72">
        <v>289</v>
      </c>
      <c r="CO117" s="72">
        <v>289</v>
      </c>
      <c r="CP117" s="72">
        <v>289</v>
      </c>
      <c r="CQ117" s="72">
        <v>289</v>
      </c>
      <c r="CR117" s="72">
        <v>289</v>
      </c>
      <c r="CS117" s="72">
        <v>289</v>
      </c>
      <c r="CT117" s="72">
        <v>289</v>
      </c>
      <c r="CU117" s="72">
        <v>289</v>
      </c>
      <c r="CV117" s="72">
        <v>289</v>
      </c>
      <c r="CW117" s="72">
        <v>289</v>
      </c>
      <c r="CX117" s="72">
        <v>289</v>
      </c>
      <c r="CY117" s="72">
        <v>289</v>
      </c>
      <c r="CZ117" s="72">
        <v>289</v>
      </c>
      <c r="DA117" s="72">
        <v>289</v>
      </c>
      <c r="DB117" s="72">
        <v>289</v>
      </c>
      <c r="DC117" s="72">
        <v>289</v>
      </c>
      <c r="DD117" s="72">
        <v>289</v>
      </c>
      <c r="DE117" s="72">
        <v>289</v>
      </c>
      <c r="DF117" s="72">
        <v>289</v>
      </c>
      <c r="DG117" s="72">
        <v>289</v>
      </c>
      <c r="DH117" s="72">
        <v>289</v>
      </c>
      <c r="DI117" s="72">
        <v>289</v>
      </c>
      <c r="DJ117" s="72">
        <v>288</v>
      </c>
      <c r="DK117" s="72">
        <v>288</v>
      </c>
      <c r="DL117" s="72">
        <v>288</v>
      </c>
      <c r="DM117" s="72">
        <v>288</v>
      </c>
    </row>
    <row r="118" spans="1:117" x14ac:dyDescent="0.35">
      <c r="A118" s="7"/>
      <c r="B118" s="8" t="s">
        <v>204</v>
      </c>
      <c r="C118" s="9" t="s">
        <v>205</v>
      </c>
      <c r="D118" s="10" t="s">
        <v>92</v>
      </c>
      <c r="E118" s="8" t="s">
        <v>1213</v>
      </c>
      <c r="F118" s="10">
        <v>1101</v>
      </c>
      <c r="G118" s="10" t="s">
        <v>92</v>
      </c>
      <c r="H118" s="10" t="s">
        <v>41</v>
      </c>
      <c r="I118" s="11">
        <v>75</v>
      </c>
      <c r="J118" s="10">
        <v>2</v>
      </c>
      <c r="K118" s="10" t="s">
        <v>42</v>
      </c>
      <c r="L118" s="8" t="s">
        <v>206</v>
      </c>
      <c r="M118" s="12">
        <v>10.199999999999999</v>
      </c>
      <c r="N118" s="12">
        <f t="shared" si="1"/>
        <v>663</v>
      </c>
      <c r="O118" s="11">
        <v>77</v>
      </c>
      <c r="P118" s="11">
        <v>77</v>
      </c>
      <c r="Q118" s="11">
        <v>77</v>
      </c>
      <c r="R118" s="11">
        <v>75</v>
      </c>
      <c r="S118" s="11">
        <v>75</v>
      </c>
      <c r="T118" s="11">
        <v>75</v>
      </c>
      <c r="U118" s="11">
        <v>75</v>
      </c>
      <c r="V118" s="11">
        <v>75</v>
      </c>
      <c r="W118" s="11">
        <v>75</v>
      </c>
      <c r="X118" s="11">
        <v>75</v>
      </c>
      <c r="Y118" s="11">
        <v>75</v>
      </c>
      <c r="Z118" s="11">
        <v>75</v>
      </c>
      <c r="AA118" s="11">
        <v>75</v>
      </c>
      <c r="AB118" s="11">
        <v>75</v>
      </c>
      <c r="AC118" s="11">
        <v>75</v>
      </c>
      <c r="AD118" s="11">
        <v>75</v>
      </c>
      <c r="AE118" s="11">
        <v>75</v>
      </c>
      <c r="AF118" s="11">
        <v>75</v>
      </c>
      <c r="AG118" s="11">
        <v>75</v>
      </c>
      <c r="AH118" s="11">
        <v>75</v>
      </c>
      <c r="AI118" s="11">
        <v>75</v>
      </c>
      <c r="AJ118" s="11">
        <v>75</v>
      </c>
      <c r="AK118" s="11">
        <v>75</v>
      </c>
      <c r="AL118" s="11">
        <v>74</v>
      </c>
      <c r="AM118" s="11">
        <v>74</v>
      </c>
      <c r="AN118" s="72">
        <v>74</v>
      </c>
      <c r="AO118" s="72">
        <v>74</v>
      </c>
      <c r="AP118" s="72">
        <v>74</v>
      </c>
      <c r="AQ118" s="72">
        <v>74</v>
      </c>
      <c r="AR118" s="72">
        <v>74</v>
      </c>
      <c r="AS118" s="72">
        <v>74</v>
      </c>
      <c r="AT118" s="72">
        <v>74</v>
      </c>
      <c r="AU118" s="72">
        <v>73</v>
      </c>
      <c r="AV118" s="72">
        <v>73</v>
      </c>
      <c r="AW118" s="72">
        <v>72</v>
      </c>
      <c r="AX118" s="72">
        <v>72</v>
      </c>
      <c r="AY118" s="72">
        <v>72</v>
      </c>
      <c r="AZ118" s="72">
        <v>72</v>
      </c>
      <c r="BA118" s="72">
        <v>72</v>
      </c>
      <c r="BB118" s="72">
        <v>72</v>
      </c>
      <c r="BC118" s="72">
        <v>72</v>
      </c>
      <c r="BD118" s="72">
        <v>72</v>
      </c>
      <c r="BE118" s="72">
        <v>72</v>
      </c>
      <c r="BF118" s="72">
        <v>72</v>
      </c>
      <c r="BG118" s="72">
        <v>72</v>
      </c>
      <c r="BH118" s="72">
        <v>46</v>
      </c>
      <c r="BI118" s="72">
        <v>46</v>
      </c>
      <c r="BJ118" s="72">
        <v>46</v>
      </c>
      <c r="BK118" s="72">
        <v>46</v>
      </c>
      <c r="BL118" s="72">
        <v>46</v>
      </c>
      <c r="BM118" s="72">
        <v>46</v>
      </c>
      <c r="BN118" s="72">
        <v>41</v>
      </c>
      <c r="BO118" s="72">
        <v>41</v>
      </c>
      <c r="BP118" s="72">
        <v>45</v>
      </c>
      <c r="BQ118" s="72">
        <v>62</v>
      </c>
      <c r="BR118" s="72">
        <v>62</v>
      </c>
      <c r="BS118" s="72">
        <v>62</v>
      </c>
      <c r="BT118" s="72">
        <v>62</v>
      </c>
      <c r="BU118" s="72">
        <v>62</v>
      </c>
      <c r="BV118" s="72">
        <v>59</v>
      </c>
      <c r="BW118" s="72">
        <v>59</v>
      </c>
      <c r="BX118" s="72">
        <v>59</v>
      </c>
      <c r="BY118" s="72">
        <v>59</v>
      </c>
      <c r="BZ118" s="72">
        <v>59</v>
      </c>
      <c r="CA118" s="72">
        <v>59</v>
      </c>
      <c r="CB118" s="72">
        <v>59</v>
      </c>
      <c r="CC118" s="72">
        <v>59</v>
      </c>
      <c r="CD118" s="72">
        <v>59</v>
      </c>
      <c r="CE118" s="72">
        <v>59</v>
      </c>
      <c r="CF118" s="72">
        <v>65</v>
      </c>
      <c r="CG118" s="72">
        <v>65</v>
      </c>
      <c r="CH118" s="72">
        <v>65</v>
      </c>
      <c r="CI118" s="72">
        <v>65</v>
      </c>
      <c r="CJ118" s="72">
        <v>65</v>
      </c>
      <c r="CK118" s="72">
        <v>65</v>
      </c>
      <c r="CL118" s="72">
        <v>65</v>
      </c>
      <c r="CM118" s="72">
        <v>65</v>
      </c>
      <c r="CN118" s="72">
        <v>65</v>
      </c>
      <c r="CO118" s="72">
        <v>65</v>
      </c>
      <c r="CP118" s="72">
        <v>65</v>
      </c>
      <c r="CQ118" s="72">
        <v>65</v>
      </c>
      <c r="CR118" s="72">
        <v>65</v>
      </c>
      <c r="CS118" s="72">
        <v>65</v>
      </c>
      <c r="CT118" s="72">
        <v>65</v>
      </c>
      <c r="CU118" s="72">
        <v>65</v>
      </c>
      <c r="CV118" s="72">
        <v>65</v>
      </c>
      <c r="CW118" s="72">
        <v>65</v>
      </c>
      <c r="CX118" s="72">
        <v>65</v>
      </c>
      <c r="CY118" s="72">
        <v>65</v>
      </c>
      <c r="CZ118" s="72">
        <v>65</v>
      </c>
      <c r="DA118" s="72">
        <v>65</v>
      </c>
      <c r="DB118" s="72">
        <v>65</v>
      </c>
      <c r="DC118" s="72">
        <v>65</v>
      </c>
      <c r="DD118" s="72">
        <v>65</v>
      </c>
      <c r="DE118" s="72">
        <v>65</v>
      </c>
      <c r="DF118" s="72">
        <v>65</v>
      </c>
      <c r="DG118" s="72">
        <v>65</v>
      </c>
      <c r="DH118" s="72">
        <v>65</v>
      </c>
      <c r="DI118" s="72">
        <v>65</v>
      </c>
      <c r="DJ118" s="72">
        <v>65</v>
      </c>
      <c r="DK118" s="72">
        <v>65</v>
      </c>
      <c r="DL118" s="72">
        <v>65</v>
      </c>
      <c r="DM118" s="72">
        <v>65</v>
      </c>
    </row>
    <row r="119" spans="1:117" x14ac:dyDescent="0.35">
      <c r="A119" s="7"/>
      <c r="B119" s="8" t="s">
        <v>207</v>
      </c>
      <c r="C119" s="9" t="s">
        <v>208</v>
      </c>
      <c r="D119" s="10" t="s">
        <v>92</v>
      </c>
      <c r="E119" s="8" t="s">
        <v>1213</v>
      </c>
      <c r="F119" s="10">
        <v>1101</v>
      </c>
      <c r="G119" s="10" t="s">
        <v>92</v>
      </c>
      <c r="H119" s="10" t="s">
        <v>41</v>
      </c>
      <c r="I119" s="11">
        <v>79</v>
      </c>
      <c r="J119" s="10">
        <v>2</v>
      </c>
      <c r="K119" s="10" t="s">
        <v>42</v>
      </c>
      <c r="L119" s="8" t="s">
        <v>206</v>
      </c>
      <c r="M119" s="12">
        <v>13.8</v>
      </c>
      <c r="N119" s="12">
        <f t="shared" si="1"/>
        <v>1104</v>
      </c>
      <c r="O119" s="11">
        <v>81</v>
      </c>
      <c r="P119" s="11">
        <v>81</v>
      </c>
      <c r="Q119" s="11">
        <v>81</v>
      </c>
      <c r="R119" s="11">
        <v>79</v>
      </c>
      <c r="S119" s="11">
        <v>79</v>
      </c>
      <c r="T119" s="11">
        <v>79</v>
      </c>
      <c r="U119" s="11">
        <v>79</v>
      </c>
      <c r="V119" s="11">
        <v>79</v>
      </c>
      <c r="W119" s="11">
        <v>79</v>
      </c>
      <c r="X119" s="11">
        <v>79</v>
      </c>
      <c r="Y119" s="11">
        <v>79</v>
      </c>
      <c r="Z119" s="11">
        <v>79</v>
      </c>
      <c r="AA119" s="11">
        <v>79</v>
      </c>
      <c r="AB119" s="11">
        <v>79</v>
      </c>
      <c r="AC119" s="11">
        <v>79</v>
      </c>
      <c r="AD119" s="11">
        <v>79</v>
      </c>
      <c r="AE119" s="11">
        <v>79</v>
      </c>
      <c r="AF119" s="11">
        <v>79</v>
      </c>
      <c r="AG119" s="11">
        <v>79</v>
      </c>
      <c r="AH119" s="11">
        <v>79</v>
      </c>
      <c r="AI119" s="11">
        <v>79</v>
      </c>
      <c r="AJ119" s="11">
        <v>79</v>
      </c>
      <c r="AK119" s="11">
        <v>79</v>
      </c>
      <c r="AL119" s="11">
        <v>78</v>
      </c>
      <c r="AM119" s="11">
        <v>78</v>
      </c>
      <c r="AN119" s="72">
        <v>78</v>
      </c>
      <c r="AO119" s="72">
        <v>78</v>
      </c>
      <c r="AP119" s="72">
        <v>78</v>
      </c>
      <c r="AQ119" s="72">
        <v>78</v>
      </c>
      <c r="AR119" s="72">
        <v>78</v>
      </c>
      <c r="AS119" s="72">
        <v>78</v>
      </c>
      <c r="AT119" s="72">
        <v>78</v>
      </c>
      <c r="AU119" s="72">
        <v>78</v>
      </c>
      <c r="AV119" s="72">
        <v>78</v>
      </c>
      <c r="AW119" s="72">
        <v>78</v>
      </c>
      <c r="AX119" s="72">
        <v>78</v>
      </c>
      <c r="AY119" s="72">
        <v>78</v>
      </c>
      <c r="AZ119" s="72">
        <v>78</v>
      </c>
      <c r="BA119" s="72">
        <v>78</v>
      </c>
      <c r="BB119" s="72">
        <v>78</v>
      </c>
      <c r="BC119" s="72">
        <v>78</v>
      </c>
      <c r="BD119" s="72">
        <v>78</v>
      </c>
      <c r="BE119" s="72">
        <v>78</v>
      </c>
      <c r="BF119" s="72">
        <v>78</v>
      </c>
      <c r="BG119" s="72">
        <v>78</v>
      </c>
      <c r="BH119" s="72">
        <v>78</v>
      </c>
      <c r="BI119" s="72">
        <v>78</v>
      </c>
      <c r="BJ119" s="72">
        <v>78</v>
      </c>
      <c r="BK119" s="72">
        <v>78</v>
      </c>
      <c r="BL119" s="72">
        <v>78</v>
      </c>
      <c r="BM119" s="72">
        <v>78</v>
      </c>
      <c r="BN119" s="72">
        <v>78</v>
      </c>
      <c r="BO119" s="72">
        <v>78</v>
      </c>
      <c r="BP119" s="72">
        <v>78</v>
      </c>
      <c r="BQ119" s="72">
        <v>78</v>
      </c>
      <c r="BR119" s="72">
        <v>78</v>
      </c>
      <c r="BS119" s="72">
        <v>78</v>
      </c>
      <c r="BT119" s="72">
        <v>78</v>
      </c>
      <c r="BU119" s="72">
        <v>78</v>
      </c>
      <c r="BV119" s="72">
        <v>78</v>
      </c>
      <c r="BW119" s="72">
        <v>78</v>
      </c>
      <c r="BX119" s="72">
        <v>78</v>
      </c>
      <c r="BY119" s="72">
        <v>78</v>
      </c>
      <c r="BZ119" s="72">
        <v>78</v>
      </c>
      <c r="CA119" s="72">
        <v>78</v>
      </c>
      <c r="CB119" s="72">
        <v>78</v>
      </c>
      <c r="CC119" s="72">
        <v>78</v>
      </c>
      <c r="CD119" s="72">
        <v>78</v>
      </c>
      <c r="CE119" s="72">
        <v>78</v>
      </c>
      <c r="CF119" s="72">
        <v>80</v>
      </c>
      <c r="CG119" s="72">
        <v>80</v>
      </c>
      <c r="CH119" s="72">
        <v>80</v>
      </c>
      <c r="CI119" s="72">
        <v>80</v>
      </c>
      <c r="CJ119" s="72">
        <v>80</v>
      </c>
      <c r="CK119" s="72">
        <v>80</v>
      </c>
      <c r="CL119" s="72">
        <v>80</v>
      </c>
      <c r="CM119" s="72">
        <v>80</v>
      </c>
      <c r="CN119" s="72">
        <v>80</v>
      </c>
      <c r="CO119" s="72">
        <v>80</v>
      </c>
      <c r="CP119" s="72">
        <v>80</v>
      </c>
      <c r="CQ119" s="72">
        <v>80</v>
      </c>
      <c r="CR119" s="72">
        <v>80</v>
      </c>
      <c r="CS119" s="72">
        <v>80</v>
      </c>
      <c r="CT119" s="72">
        <v>80</v>
      </c>
      <c r="CU119" s="72">
        <v>80</v>
      </c>
      <c r="CV119" s="72">
        <v>80</v>
      </c>
      <c r="CW119" s="72">
        <v>80</v>
      </c>
      <c r="CX119" s="72">
        <v>80</v>
      </c>
      <c r="CY119" s="72">
        <v>80</v>
      </c>
      <c r="CZ119" s="72">
        <v>80</v>
      </c>
      <c r="DA119" s="72">
        <v>80</v>
      </c>
      <c r="DB119" s="72">
        <v>80</v>
      </c>
      <c r="DC119" s="72">
        <v>80</v>
      </c>
      <c r="DD119" s="72">
        <v>80</v>
      </c>
      <c r="DE119" s="72">
        <v>80</v>
      </c>
      <c r="DF119" s="72">
        <v>80</v>
      </c>
      <c r="DG119" s="72">
        <v>80</v>
      </c>
      <c r="DH119" s="72">
        <v>80</v>
      </c>
      <c r="DI119" s="72">
        <v>80</v>
      </c>
      <c r="DJ119" s="72">
        <v>80</v>
      </c>
      <c r="DK119" s="72">
        <v>80</v>
      </c>
      <c r="DL119" s="72">
        <v>80</v>
      </c>
      <c r="DM119" s="72">
        <v>80</v>
      </c>
    </row>
    <row r="120" spans="1:117" ht="26.55" x14ac:dyDescent="0.35">
      <c r="A120" s="7"/>
      <c r="B120" s="8" t="s">
        <v>209</v>
      </c>
      <c r="C120" s="9" t="s">
        <v>210</v>
      </c>
      <c r="D120" s="10" t="s">
        <v>92</v>
      </c>
      <c r="E120" s="8" t="s">
        <v>1213</v>
      </c>
      <c r="F120" s="10">
        <v>1101</v>
      </c>
      <c r="G120" s="10" t="s">
        <v>92</v>
      </c>
      <c r="H120" s="10" t="s">
        <v>41</v>
      </c>
      <c r="I120" s="11">
        <v>68</v>
      </c>
      <c r="J120" s="10">
        <v>2</v>
      </c>
      <c r="K120" s="10" t="s">
        <v>42</v>
      </c>
      <c r="L120" s="14" t="s">
        <v>211</v>
      </c>
      <c r="M120" s="12">
        <v>6.66</v>
      </c>
      <c r="N120" s="12">
        <f t="shared" si="1"/>
        <v>0</v>
      </c>
      <c r="O120" s="11">
        <v>74</v>
      </c>
      <c r="P120" s="11">
        <v>74</v>
      </c>
      <c r="Q120" s="11">
        <v>74</v>
      </c>
      <c r="R120" s="11">
        <v>68</v>
      </c>
      <c r="S120" s="11">
        <v>68</v>
      </c>
      <c r="T120" s="11">
        <v>68</v>
      </c>
      <c r="U120" s="11">
        <v>68</v>
      </c>
      <c r="V120" s="11">
        <v>68</v>
      </c>
      <c r="W120" s="11">
        <v>68</v>
      </c>
      <c r="X120" s="11">
        <v>68</v>
      </c>
      <c r="Y120" s="11">
        <v>68</v>
      </c>
      <c r="Z120" s="11">
        <v>68</v>
      </c>
      <c r="AA120" s="11">
        <v>68</v>
      </c>
      <c r="AB120" s="11">
        <v>68</v>
      </c>
      <c r="AC120" s="11">
        <v>68</v>
      </c>
      <c r="AD120" s="11">
        <v>68</v>
      </c>
      <c r="AE120" s="11">
        <v>68</v>
      </c>
      <c r="AF120" s="11">
        <v>68</v>
      </c>
      <c r="AG120" s="11">
        <v>68</v>
      </c>
      <c r="AH120" s="11">
        <v>68</v>
      </c>
      <c r="AI120" s="11">
        <v>68</v>
      </c>
      <c r="AJ120" s="11">
        <v>68</v>
      </c>
      <c r="AK120" s="11">
        <v>68</v>
      </c>
      <c r="AL120" s="11">
        <v>68</v>
      </c>
      <c r="AM120" s="11">
        <v>68</v>
      </c>
      <c r="AN120" s="72">
        <v>68</v>
      </c>
      <c r="AO120" s="72">
        <v>68</v>
      </c>
      <c r="AP120" s="72">
        <v>68</v>
      </c>
      <c r="AQ120" s="72">
        <v>66</v>
      </c>
      <c r="AR120" s="72">
        <v>58</v>
      </c>
      <c r="AS120" s="72">
        <v>36</v>
      </c>
      <c r="AT120" s="72">
        <v>36</v>
      </c>
      <c r="AU120" s="72">
        <v>36</v>
      </c>
      <c r="AV120" s="72">
        <v>36</v>
      </c>
      <c r="AW120" s="72">
        <v>36</v>
      </c>
      <c r="AX120" s="72">
        <v>36</v>
      </c>
      <c r="AY120" s="72">
        <v>36</v>
      </c>
      <c r="AZ120" s="72">
        <v>36</v>
      </c>
      <c r="BA120" s="72">
        <v>31</v>
      </c>
      <c r="BB120" s="72">
        <v>31</v>
      </c>
      <c r="BC120" s="72">
        <v>31</v>
      </c>
      <c r="BD120" s="72">
        <v>31</v>
      </c>
      <c r="BE120" s="72">
        <v>31</v>
      </c>
      <c r="BF120" s="72">
        <v>31</v>
      </c>
      <c r="BG120" s="72">
        <v>31</v>
      </c>
      <c r="BH120" s="72">
        <v>31</v>
      </c>
      <c r="BI120" s="72">
        <v>15</v>
      </c>
      <c r="BJ120" s="72">
        <v>12</v>
      </c>
      <c r="BK120" s="72">
        <v>6</v>
      </c>
      <c r="BL120" s="72">
        <v>6</v>
      </c>
      <c r="BM120" s="72">
        <v>6</v>
      </c>
      <c r="BN120" s="72">
        <v>4</v>
      </c>
      <c r="BO120" s="72">
        <v>2</v>
      </c>
      <c r="BP120" s="72">
        <v>0</v>
      </c>
      <c r="BQ120" s="72">
        <v>0</v>
      </c>
      <c r="BR120" s="72">
        <v>0</v>
      </c>
      <c r="BS120" s="72">
        <v>0</v>
      </c>
      <c r="BT120" s="72">
        <v>0</v>
      </c>
      <c r="BU120" s="72">
        <v>0</v>
      </c>
      <c r="BV120" s="72">
        <v>0</v>
      </c>
      <c r="BW120" s="72">
        <v>0</v>
      </c>
      <c r="BX120" s="72">
        <v>0</v>
      </c>
      <c r="BY120" s="72">
        <v>0</v>
      </c>
      <c r="BZ120" s="72">
        <v>0</v>
      </c>
      <c r="CA120" s="72">
        <v>0</v>
      </c>
      <c r="CB120" s="72">
        <v>0</v>
      </c>
      <c r="CC120" s="72">
        <v>0</v>
      </c>
      <c r="CD120" s="72">
        <v>0</v>
      </c>
      <c r="CE120" s="72">
        <v>0</v>
      </c>
      <c r="CF120" s="72">
        <v>0</v>
      </c>
      <c r="CG120" s="72">
        <v>0</v>
      </c>
      <c r="CH120" s="72">
        <v>0</v>
      </c>
      <c r="CI120" s="72">
        <v>0</v>
      </c>
      <c r="CJ120" s="72">
        <v>0</v>
      </c>
      <c r="CK120" s="72">
        <v>0</v>
      </c>
      <c r="CL120" s="72">
        <v>0</v>
      </c>
      <c r="CM120" s="72">
        <v>0</v>
      </c>
      <c r="CN120" s="72">
        <v>0</v>
      </c>
      <c r="CO120" s="72">
        <v>0</v>
      </c>
      <c r="CP120" s="72">
        <v>0</v>
      </c>
      <c r="CQ120" s="72">
        <v>0</v>
      </c>
      <c r="CR120" s="72">
        <v>0</v>
      </c>
      <c r="CS120" s="72">
        <v>0</v>
      </c>
      <c r="CT120" s="72">
        <v>0</v>
      </c>
      <c r="CU120" s="72">
        <v>0</v>
      </c>
      <c r="CV120" s="72">
        <v>0</v>
      </c>
      <c r="CW120" s="72">
        <v>0</v>
      </c>
      <c r="CX120" s="72">
        <v>0</v>
      </c>
      <c r="CY120" s="72">
        <v>0</v>
      </c>
      <c r="CZ120" s="72">
        <v>0</v>
      </c>
      <c r="DA120" s="72">
        <v>0</v>
      </c>
      <c r="DB120" s="72">
        <v>0</v>
      </c>
      <c r="DC120" s="72">
        <v>0</v>
      </c>
      <c r="DD120" s="72">
        <v>0</v>
      </c>
      <c r="DE120" s="72">
        <v>0</v>
      </c>
      <c r="DF120" s="72">
        <v>0</v>
      </c>
      <c r="DG120" s="72">
        <v>0</v>
      </c>
      <c r="DH120" s="72">
        <v>0</v>
      </c>
      <c r="DI120" s="72">
        <v>0</v>
      </c>
      <c r="DJ120" s="72">
        <v>0</v>
      </c>
      <c r="DK120" s="72">
        <v>0</v>
      </c>
      <c r="DL120" s="72">
        <v>0</v>
      </c>
      <c r="DM120" s="72">
        <v>0</v>
      </c>
    </row>
    <row r="121" spans="1:117" x14ac:dyDescent="0.35">
      <c r="A121" s="7"/>
      <c r="B121" s="8" t="s">
        <v>212</v>
      </c>
      <c r="C121" s="9" t="s">
        <v>213</v>
      </c>
      <c r="D121" s="10" t="s">
        <v>92</v>
      </c>
      <c r="E121" s="8" t="s">
        <v>1213</v>
      </c>
      <c r="F121" s="10">
        <v>1101</v>
      </c>
      <c r="G121" s="10" t="s">
        <v>92</v>
      </c>
      <c r="H121" s="10" t="s">
        <v>41</v>
      </c>
      <c r="I121" s="11">
        <v>0</v>
      </c>
      <c r="J121" s="10"/>
      <c r="K121" s="10" t="s">
        <v>42</v>
      </c>
      <c r="L121" s="8"/>
      <c r="M121" s="12">
        <v>14.4</v>
      </c>
      <c r="N121" s="12">
        <f t="shared" si="1"/>
        <v>0</v>
      </c>
      <c r="O121" s="11">
        <v>0</v>
      </c>
      <c r="P121" s="11">
        <v>0</v>
      </c>
      <c r="Q121" s="11">
        <v>0</v>
      </c>
      <c r="R121" s="11">
        <v>0</v>
      </c>
      <c r="S121" s="11">
        <v>0</v>
      </c>
      <c r="T121" s="11">
        <v>0</v>
      </c>
      <c r="U121" s="11">
        <v>0</v>
      </c>
      <c r="V121" s="11">
        <v>0</v>
      </c>
      <c r="W121" s="11">
        <v>0</v>
      </c>
      <c r="X121" s="11">
        <v>0</v>
      </c>
      <c r="Y121" s="11">
        <v>0</v>
      </c>
      <c r="Z121" s="11">
        <v>0</v>
      </c>
      <c r="AA121" s="11">
        <v>0</v>
      </c>
      <c r="AB121" s="11">
        <v>0</v>
      </c>
      <c r="AC121" s="11">
        <v>0</v>
      </c>
      <c r="AD121" s="11">
        <v>0</v>
      </c>
      <c r="AE121" s="11">
        <v>0</v>
      </c>
      <c r="AF121" s="11">
        <v>0</v>
      </c>
      <c r="AG121" s="11">
        <v>0</v>
      </c>
      <c r="AH121" s="11">
        <v>0</v>
      </c>
      <c r="AI121" s="11">
        <v>0</v>
      </c>
      <c r="AJ121" s="11">
        <v>0</v>
      </c>
      <c r="AK121" s="11">
        <v>0</v>
      </c>
      <c r="AL121" s="11">
        <v>0</v>
      </c>
      <c r="AM121" s="11">
        <v>0</v>
      </c>
      <c r="AN121" s="72">
        <v>0</v>
      </c>
      <c r="AO121" s="72">
        <v>0</v>
      </c>
      <c r="AP121" s="72">
        <v>0</v>
      </c>
      <c r="AQ121" s="72">
        <v>0</v>
      </c>
      <c r="AR121" s="72">
        <v>0</v>
      </c>
      <c r="AS121" s="72">
        <v>0</v>
      </c>
      <c r="AT121" s="72">
        <v>0</v>
      </c>
      <c r="AU121" s="72">
        <v>0</v>
      </c>
      <c r="AV121" s="72">
        <v>0</v>
      </c>
      <c r="AW121" s="72">
        <v>0</v>
      </c>
      <c r="AX121" s="72">
        <v>0</v>
      </c>
      <c r="AY121" s="72">
        <v>0</v>
      </c>
      <c r="AZ121" s="72">
        <v>0</v>
      </c>
      <c r="BA121" s="72">
        <v>0</v>
      </c>
      <c r="BB121" s="72">
        <v>0</v>
      </c>
      <c r="BC121" s="72">
        <v>0</v>
      </c>
      <c r="BD121" s="72">
        <v>0</v>
      </c>
      <c r="BE121" s="72">
        <v>0</v>
      </c>
      <c r="BF121" s="72">
        <v>0</v>
      </c>
      <c r="BG121" s="72">
        <v>0</v>
      </c>
      <c r="BH121" s="72">
        <v>0</v>
      </c>
      <c r="BI121" s="72">
        <v>0</v>
      </c>
      <c r="BJ121" s="72">
        <v>0</v>
      </c>
      <c r="BK121" s="72">
        <v>0</v>
      </c>
      <c r="BL121" s="72">
        <v>0</v>
      </c>
      <c r="BM121" s="72">
        <v>0</v>
      </c>
      <c r="BN121" s="72">
        <v>0</v>
      </c>
      <c r="BO121" s="72">
        <v>0</v>
      </c>
      <c r="BP121" s="72">
        <v>0</v>
      </c>
      <c r="BQ121" s="72">
        <v>0</v>
      </c>
      <c r="BR121" s="72">
        <v>0</v>
      </c>
      <c r="BS121" s="72">
        <v>0</v>
      </c>
      <c r="BT121" s="72">
        <v>0</v>
      </c>
      <c r="BU121" s="72">
        <v>0</v>
      </c>
      <c r="BV121" s="72">
        <v>0</v>
      </c>
      <c r="BW121" s="72">
        <v>0</v>
      </c>
      <c r="BX121" s="72">
        <v>0</v>
      </c>
      <c r="BY121" s="72">
        <v>0</v>
      </c>
      <c r="BZ121" s="72">
        <v>0</v>
      </c>
      <c r="CA121" s="72">
        <v>0</v>
      </c>
      <c r="CB121" s="72">
        <v>0</v>
      </c>
      <c r="CC121" s="72">
        <v>0</v>
      </c>
      <c r="CD121" s="72">
        <v>0</v>
      </c>
      <c r="CE121" s="72">
        <v>0</v>
      </c>
      <c r="CF121" s="72">
        <v>0</v>
      </c>
      <c r="CG121" s="72">
        <v>0</v>
      </c>
      <c r="CH121" s="72">
        <v>0</v>
      </c>
      <c r="CI121" s="72">
        <v>0</v>
      </c>
      <c r="CJ121" s="72">
        <v>0</v>
      </c>
      <c r="CK121" s="72">
        <v>0</v>
      </c>
      <c r="CL121" s="72">
        <v>0</v>
      </c>
      <c r="CM121" s="72">
        <v>0</v>
      </c>
      <c r="CN121" s="72">
        <v>0</v>
      </c>
      <c r="CO121" s="72">
        <v>0</v>
      </c>
      <c r="CP121" s="72">
        <v>0</v>
      </c>
      <c r="CQ121" s="72">
        <v>0</v>
      </c>
      <c r="CR121" s="72">
        <v>0</v>
      </c>
      <c r="CS121" s="72">
        <v>0</v>
      </c>
      <c r="CT121" s="72">
        <v>0</v>
      </c>
      <c r="CU121" s="72">
        <v>0</v>
      </c>
      <c r="CV121" s="72">
        <v>0</v>
      </c>
      <c r="CW121" s="72">
        <v>0</v>
      </c>
      <c r="CX121" s="72">
        <v>0</v>
      </c>
      <c r="CY121" s="72">
        <v>0</v>
      </c>
      <c r="CZ121" s="72">
        <v>0</v>
      </c>
      <c r="DA121" s="72">
        <v>0</v>
      </c>
      <c r="DB121" s="72">
        <v>0</v>
      </c>
      <c r="DC121" s="72">
        <v>0</v>
      </c>
      <c r="DD121" s="72">
        <v>0</v>
      </c>
      <c r="DE121" s="72">
        <v>0</v>
      </c>
      <c r="DF121" s="72">
        <v>0</v>
      </c>
      <c r="DG121" s="72">
        <v>0</v>
      </c>
      <c r="DH121" s="72">
        <v>0</v>
      </c>
      <c r="DI121" s="72">
        <v>0</v>
      </c>
      <c r="DJ121" s="72">
        <v>0</v>
      </c>
      <c r="DK121" s="72">
        <v>0</v>
      </c>
      <c r="DL121" s="72">
        <v>0</v>
      </c>
      <c r="DM121" s="72">
        <v>0</v>
      </c>
    </row>
    <row r="122" spans="1:117" x14ac:dyDescent="0.35">
      <c r="A122" s="7"/>
      <c r="B122" s="8" t="s">
        <v>214</v>
      </c>
      <c r="C122" s="9" t="s">
        <v>215</v>
      </c>
      <c r="D122" s="10" t="s">
        <v>92</v>
      </c>
      <c r="E122" s="8" t="s">
        <v>1209</v>
      </c>
      <c r="F122" s="10">
        <v>1101</v>
      </c>
      <c r="G122" s="10" t="s">
        <v>92</v>
      </c>
      <c r="H122" s="10" t="s">
        <v>41</v>
      </c>
      <c r="I122" s="11">
        <v>1890</v>
      </c>
      <c r="J122" s="10"/>
      <c r="K122" s="10"/>
      <c r="L122" s="8"/>
      <c r="M122" s="12">
        <v>0.504</v>
      </c>
      <c r="N122" s="12">
        <f t="shared" si="1"/>
        <v>102.816</v>
      </c>
      <c r="O122" s="11">
        <v>1988</v>
      </c>
      <c r="P122" s="11">
        <v>1988</v>
      </c>
      <c r="Q122" s="11">
        <v>1988</v>
      </c>
      <c r="R122" s="11">
        <v>1988</v>
      </c>
      <c r="S122" s="11">
        <v>1987</v>
      </c>
      <c r="T122" s="11">
        <v>1987</v>
      </c>
      <c r="U122" s="11">
        <v>1935</v>
      </c>
      <c r="V122" s="11">
        <v>1935</v>
      </c>
      <c r="W122" s="11">
        <v>1935</v>
      </c>
      <c r="X122" s="11">
        <v>1935</v>
      </c>
      <c r="Y122" s="11">
        <v>1935</v>
      </c>
      <c r="Z122" s="11">
        <v>1915</v>
      </c>
      <c r="AA122" s="11">
        <v>1915</v>
      </c>
      <c r="AB122" s="11">
        <v>1915</v>
      </c>
      <c r="AC122" s="11">
        <v>1915</v>
      </c>
      <c r="AD122" s="11">
        <v>1915</v>
      </c>
      <c r="AE122" s="11">
        <v>1915</v>
      </c>
      <c r="AF122" s="11">
        <v>1890</v>
      </c>
      <c r="AG122" s="11">
        <v>1890</v>
      </c>
      <c r="AH122" s="11">
        <v>1890</v>
      </c>
      <c r="AI122" s="11">
        <v>1890</v>
      </c>
      <c r="AJ122" s="11">
        <v>1890</v>
      </c>
      <c r="AK122" s="11">
        <v>1890</v>
      </c>
      <c r="AL122" s="11">
        <v>1890</v>
      </c>
      <c r="AM122" s="11">
        <v>1890</v>
      </c>
      <c r="AN122" s="72">
        <v>1890</v>
      </c>
      <c r="AO122" s="72">
        <v>1890</v>
      </c>
      <c r="AP122" s="72">
        <v>1890</v>
      </c>
      <c r="AQ122" s="72">
        <v>1890</v>
      </c>
      <c r="AR122" s="72">
        <v>1890</v>
      </c>
      <c r="AS122" s="72">
        <v>1890</v>
      </c>
      <c r="AT122" s="72">
        <v>1890</v>
      </c>
      <c r="AU122" s="72">
        <v>1890</v>
      </c>
      <c r="AV122" s="72">
        <v>1590</v>
      </c>
      <c r="AW122" s="72">
        <v>1574</v>
      </c>
      <c r="AX122" s="72">
        <v>1574</v>
      </c>
      <c r="AY122" s="72">
        <v>1574</v>
      </c>
      <c r="AZ122" s="72">
        <v>1574</v>
      </c>
      <c r="BA122" s="72">
        <v>1574</v>
      </c>
      <c r="BB122" s="72">
        <v>1574</v>
      </c>
      <c r="BC122" s="72">
        <v>1574</v>
      </c>
      <c r="BD122" s="72">
        <v>1574</v>
      </c>
      <c r="BE122" s="72">
        <v>1574</v>
      </c>
      <c r="BF122" s="72">
        <v>1574</v>
      </c>
      <c r="BG122" s="72">
        <v>1574</v>
      </c>
      <c r="BH122" s="72">
        <v>1574</v>
      </c>
      <c r="BI122" s="72">
        <v>1574</v>
      </c>
      <c r="BJ122" s="72">
        <v>1574</v>
      </c>
      <c r="BK122" s="72">
        <v>1544</v>
      </c>
      <c r="BL122" s="72">
        <v>1544</v>
      </c>
      <c r="BM122" s="72">
        <v>1544</v>
      </c>
      <c r="BN122" s="72">
        <v>1544</v>
      </c>
      <c r="BO122" s="72">
        <v>1545</v>
      </c>
      <c r="BP122" s="72">
        <v>1545</v>
      </c>
      <c r="BQ122" s="72">
        <v>1045</v>
      </c>
      <c r="BR122" s="72">
        <v>995</v>
      </c>
      <c r="BS122" s="72">
        <v>995</v>
      </c>
      <c r="BT122" s="72">
        <v>995</v>
      </c>
      <c r="BU122" s="72">
        <v>875</v>
      </c>
      <c r="BV122" s="72">
        <v>575</v>
      </c>
      <c r="BW122" s="72">
        <v>575</v>
      </c>
      <c r="BX122" s="72">
        <v>575</v>
      </c>
      <c r="BY122" s="72">
        <v>575</v>
      </c>
      <c r="BZ122" s="72">
        <v>290</v>
      </c>
      <c r="CA122" s="72">
        <v>290</v>
      </c>
      <c r="CB122" s="72">
        <v>290</v>
      </c>
      <c r="CC122" s="72">
        <v>290</v>
      </c>
      <c r="CD122" s="72">
        <v>205</v>
      </c>
      <c r="CE122" s="72">
        <v>205</v>
      </c>
      <c r="CF122" s="72">
        <v>204</v>
      </c>
      <c r="CG122" s="72">
        <v>204</v>
      </c>
      <c r="CH122" s="72">
        <v>204</v>
      </c>
      <c r="CI122" s="72">
        <v>204</v>
      </c>
      <c r="CJ122" s="72">
        <v>204</v>
      </c>
      <c r="CK122" s="72">
        <v>204</v>
      </c>
      <c r="CL122" s="72">
        <v>204</v>
      </c>
      <c r="CM122" s="72">
        <v>204</v>
      </c>
      <c r="CN122" s="72">
        <v>204</v>
      </c>
      <c r="CO122" s="72">
        <v>204</v>
      </c>
      <c r="CP122" s="72">
        <v>204</v>
      </c>
      <c r="CQ122" s="72">
        <v>204</v>
      </c>
      <c r="CR122" s="72">
        <v>204</v>
      </c>
      <c r="CS122" s="72">
        <v>204</v>
      </c>
      <c r="CT122" s="72">
        <v>204</v>
      </c>
      <c r="CU122" s="72">
        <v>204</v>
      </c>
      <c r="CV122" s="72">
        <v>204</v>
      </c>
      <c r="CW122" s="72">
        <v>204</v>
      </c>
      <c r="CX122" s="72">
        <v>204</v>
      </c>
      <c r="CY122" s="72">
        <v>204</v>
      </c>
      <c r="CZ122" s="72">
        <v>204</v>
      </c>
      <c r="DA122" s="72">
        <v>204</v>
      </c>
      <c r="DB122" s="72">
        <v>204</v>
      </c>
      <c r="DC122" s="72">
        <v>204</v>
      </c>
      <c r="DD122" s="72">
        <v>204</v>
      </c>
      <c r="DE122" s="72">
        <v>204</v>
      </c>
      <c r="DF122" s="72">
        <v>204</v>
      </c>
      <c r="DG122" s="72">
        <v>204</v>
      </c>
      <c r="DH122" s="72">
        <v>204</v>
      </c>
      <c r="DI122" s="72">
        <v>204</v>
      </c>
      <c r="DJ122" s="72">
        <v>204</v>
      </c>
      <c r="DK122" s="72">
        <v>204</v>
      </c>
      <c r="DL122" s="72">
        <v>204</v>
      </c>
      <c r="DM122" s="72">
        <v>204</v>
      </c>
    </row>
    <row r="123" spans="1:117" x14ac:dyDescent="0.35">
      <c r="A123" s="7"/>
      <c r="B123" s="8" t="s">
        <v>216</v>
      </c>
      <c r="C123" s="9" t="s">
        <v>217</v>
      </c>
      <c r="D123" s="10" t="s">
        <v>92</v>
      </c>
      <c r="E123" s="8" t="s">
        <v>1209</v>
      </c>
      <c r="F123" s="10">
        <v>1101</v>
      </c>
      <c r="G123" s="10" t="s">
        <v>92</v>
      </c>
      <c r="H123" s="10" t="s">
        <v>41</v>
      </c>
      <c r="I123" s="11">
        <v>1512</v>
      </c>
      <c r="J123" s="10">
        <v>1</v>
      </c>
      <c r="K123" s="10" t="s">
        <v>42</v>
      </c>
      <c r="L123" s="8" t="s">
        <v>206</v>
      </c>
      <c r="M123" s="12">
        <v>0.53878423999999969</v>
      </c>
      <c r="N123" s="12">
        <f t="shared" si="1"/>
        <v>295.25376351999984</v>
      </c>
      <c r="O123" s="11">
        <v>1550</v>
      </c>
      <c r="P123" s="11">
        <v>1550</v>
      </c>
      <c r="Q123" s="11">
        <v>1550</v>
      </c>
      <c r="R123" s="11">
        <v>1549</v>
      </c>
      <c r="S123" s="11">
        <v>1549</v>
      </c>
      <c r="T123" s="11">
        <v>1549</v>
      </c>
      <c r="U123" s="11">
        <v>1549</v>
      </c>
      <c r="V123" s="11">
        <v>1549</v>
      </c>
      <c r="W123" s="11">
        <v>1549</v>
      </c>
      <c r="X123" s="11">
        <v>1549</v>
      </c>
      <c r="Y123" s="11">
        <v>1549</v>
      </c>
      <c r="Z123" s="11">
        <v>1549</v>
      </c>
      <c r="AA123" s="11">
        <v>1549</v>
      </c>
      <c r="AB123" s="11">
        <v>1549</v>
      </c>
      <c r="AC123" s="11">
        <v>1512</v>
      </c>
      <c r="AD123" s="11">
        <v>1512</v>
      </c>
      <c r="AE123" s="11">
        <v>1512</v>
      </c>
      <c r="AF123" s="11">
        <v>1512</v>
      </c>
      <c r="AG123" s="11">
        <v>1512</v>
      </c>
      <c r="AH123" s="11">
        <v>1512</v>
      </c>
      <c r="AI123" s="11">
        <v>1512</v>
      </c>
      <c r="AJ123" s="11">
        <v>1512</v>
      </c>
      <c r="AK123" s="11">
        <v>1512</v>
      </c>
      <c r="AL123" s="11">
        <v>1511</v>
      </c>
      <c r="AM123" s="11">
        <v>1311</v>
      </c>
      <c r="AN123" s="72">
        <v>1311</v>
      </c>
      <c r="AO123" s="72">
        <v>1311</v>
      </c>
      <c r="AP123" s="72">
        <v>1311</v>
      </c>
      <c r="AQ123" s="72">
        <v>1311</v>
      </c>
      <c r="AR123" s="72">
        <v>1311</v>
      </c>
      <c r="AS123" s="72">
        <v>1311</v>
      </c>
      <c r="AT123" s="72">
        <v>1311</v>
      </c>
      <c r="AU123" s="72">
        <v>1311</v>
      </c>
      <c r="AV123" s="72">
        <v>1311</v>
      </c>
      <c r="AW123" s="72">
        <v>1311</v>
      </c>
      <c r="AX123" s="72">
        <v>1311</v>
      </c>
      <c r="AY123" s="72">
        <v>1311</v>
      </c>
      <c r="AZ123" s="72">
        <v>1311</v>
      </c>
      <c r="BA123" s="72">
        <v>1311</v>
      </c>
      <c r="BB123" s="72">
        <v>1311</v>
      </c>
      <c r="BC123" s="72">
        <v>1311</v>
      </c>
      <c r="BD123" s="72">
        <v>1111</v>
      </c>
      <c r="BE123" s="72">
        <v>1111</v>
      </c>
      <c r="BF123" s="72">
        <v>1111</v>
      </c>
      <c r="BG123" s="72">
        <v>1111</v>
      </c>
      <c r="BH123" s="72">
        <v>1111</v>
      </c>
      <c r="BI123" s="72">
        <v>1111</v>
      </c>
      <c r="BJ123" s="72">
        <v>1111</v>
      </c>
      <c r="BK123" s="72">
        <v>1081</v>
      </c>
      <c r="BL123" s="72">
        <v>1081</v>
      </c>
      <c r="BM123" s="72">
        <v>1081</v>
      </c>
      <c r="BN123" s="72">
        <v>1081</v>
      </c>
      <c r="BO123" s="72">
        <v>1081</v>
      </c>
      <c r="BP123" s="72">
        <v>1081</v>
      </c>
      <c r="BQ123" s="72">
        <v>1018</v>
      </c>
      <c r="BR123" s="72">
        <v>988</v>
      </c>
      <c r="BS123" s="72">
        <v>988</v>
      </c>
      <c r="BT123" s="72">
        <v>988</v>
      </c>
      <c r="BU123" s="72">
        <v>988</v>
      </c>
      <c r="BV123" s="72">
        <v>982</v>
      </c>
      <c r="BW123" s="72">
        <v>982</v>
      </c>
      <c r="BX123" s="72">
        <v>982</v>
      </c>
      <c r="BY123" s="72">
        <v>982</v>
      </c>
      <c r="BZ123" s="72">
        <v>682</v>
      </c>
      <c r="CA123" s="72">
        <v>682</v>
      </c>
      <c r="CB123" s="72">
        <v>682</v>
      </c>
      <c r="CC123" s="72">
        <v>682</v>
      </c>
      <c r="CD123" s="72">
        <v>682</v>
      </c>
      <c r="CE123" s="72">
        <v>682</v>
      </c>
      <c r="CF123" s="72">
        <v>614</v>
      </c>
      <c r="CG123" s="72">
        <v>614</v>
      </c>
      <c r="CH123" s="72">
        <v>614</v>
      </c>
      <c r="CI123" s="72">
        <v>614</v>
      </c>
      <c r="CJ123" s="72">
        <v>614</v>
      </c>
      <c r="CK123" s="72">
        <v>614</v>
      </c>
      <c r="CL123" s="72">
        <v>614</v>
      </c>
      <c r="CM123" s="72">
        <v>614</v>
      </c>
      <c r="CN123" s="72">
        <v>614</v>
      </c>
      <c r="CO123" s="72">
        <v>614</v>
      </c>
      <c r="CP123" s="72">
        <v>614</v>
      </c>
      <c r="CQ123" s="72">
        <v>614</v>
      </c>
      <c r="CR123" s="72">
        <v>614</v>
      </c>
      <c r="CS123" s="72">
        <v>614</v>
      </c>
      <c r="CT123" s="72">
        <v>614</v>
      </c>
      <c r="CU123" s="72">
        <v>614</v>
      </c>
      <c r="CV123" s="72">
        <v>614</v>
      </c>
      <c r="CW123" s="72">
        <v>614</v>
      </c>
      <c r="CX123" s="72">
        <v>614</v>
      </c>
      <c r="CY123" s="72">
        <v>614</v>
      </c>
      <c r="CZ123" s="72">
        <v>614</v>
      </c>
      <c r="DA123" s="72">
        <v>614</v>
      </c>
      <c r="DB123" s="72">
        <v>614</v>
      </c>
      <c r="DC123" s="72">
        <v>614</v>
      </c>
      <c r="DD123" s="72">
        <v>614</v>
      </c>
      <c r="DE123" s="72">
        <v>614</v>
      </c>
      <c r="DF123" s="72">
        <v>614</v>
      </c>
      <c r="DG123" s="72">
        <v>614</v>
      </c>
      <c r="DH123" s="72">
        <v>614</v>
      </c>
      <c r="DI123" s="72">
        <v>614</v>
      </c>
      <c r="DJ123" s="72">
        <v>614</v>
      </c>
      <c r="DK123" s="72">
        <v>614</v>
      </c>
      <c r="DL123" s="72">
        <v>529</v>
      </c>
      <c r="DM123" s="72">
        <v>548</v>
      </c>
    </row>
    <row r="124" spans="1:117" x14ac:dyDescent="0.35">
      <c r="A124" s="7"/>
      <c r="B124" s="8" t="s">
        <v>218</v>
      </c>
      <c r="C124" s="9" t="s">
        <v>219</v>
      </c>
      <c r="D124" s="10" t="s">
        <v>92</v>
      </c>
      <c r="E124" s="8" t="s">
        <v>1209</v>
      </c>
      <c r="F124" s="10">
        <v>1101</v>
      </c>
      <c r="G124" s="10" t="s">
        <v>92</v>
      </c>
      <c r="H124" s="10" t="s">
        <v>41</v>
      </c>
      <c r="I124" s="11">
        <v>730</v>
      </c>
      <c r="J124" s="10">
        <v>1</v>
      </c>
      <c r="K124" s="10" t="s">
        <v>42</v>
      </c>
      <c r="L124" s="8" t="s">
        <v>206</v>
      </c>
      <c r="M124" s="12">
        <v>0.67247999999999997</v>
      </c>
      <c r="N124" s="12">
        <f t="shared" si="1"/>
        <v>270.33695999999998</v>
      </c>
      <c r="O124" s="11">
        <v>995</v>
      </c>
      <c r="P124" s="11">
        <v>995</v>
      </c>
      <c r="Q124" s="11">
        <v>995</v>
      </c>
      <c r="R124" s="11">
        <v>964</v>
      </c>
      <c r="S124" s="11">
        <v>964</v>
      </c>
      <c r="T124" s="11">
        <v>964</v>
      </c>
      <c r="U124" s="11">
        <v>964</v>
      </c>
      <c r="V124" s="11">
        <v>838</v>
      </c>
      <c r="W124" s="11">
        <v>838</v>
      </c>
      <c r="X124" s="11">
        <v>838</v>
      </c>
      <c r="Y124" s="11">
        <v>838</v>
      </c>
      <c r="Z124" s="11">
        <v>810</v>
      </c>
      <c r="AA124" s="11">
        <v>810</v>
      </c>
      <c r="AB124" s="11">
        <v>810</v>
      </c>
      <c r="AC124" s="11">
        <v>780</v>
      </c>
      <c r="AD124" s="11">
        <v>730</v>
      </c>
      <c r="AE124" s="11">
        <v>730</v>
      </c>
      <c r="AF124" s="11">
        <v>730</v>
      </c>
      <c r="AG124" s="11">
        <v>730</v>
      </c>
      <c r="AH124" s="11">
        <v>730</v>
      </c>
      <c r="AI124" s="11">
        <v>730</v>
      </c>
      <c r="AJ124" s="11">
        <v>730</v>
      </c>
      <c r="AK124" s="11">
        <v>730</v>
      </c>
      <c r="AL124" s="11">
        <v>730</v>
      </c>
      <c r="AM124" s="11">
        <v>730</v>
      </c>
      <c r="AN124" s="72">
        <v>730</v>
      </c>
      <c r="AO124" s="72">
        <v>730</v>
      </c>
      <c r="AP124" s="72">
        <v>730</v>
      </c>
      <c r="AQ124" s="72">
        <v>730</v>
      </c>
      <c r="AR124" s="72">
        <v>730</v>
      </c>
      <c r="AS124" s="72">
        <v>730</v>
      </c>
      <c r="AT124" s="72">
        <v>730</v>
      </c>
      <c r="AU124" s="72">
        <v>730</v>
      </c>
      <c r="AV124" s="72">
        <v>730</v>
      </c>
      <c r="AW124" s="72">
        <v>730</v>
      </c>
      <c r="AX124" s="72">
        <v>730</v>
      </c>
      <c r="AY124" s="72">
        <v>730</v>
      </c>
      <c r="AZ124" s="72">
        <v>730</v>
      </c>
      <c r="BA124" s="72">
        <v>730</v>
      </c>
      <c r="BB124" s="72">
        <v>730</v>
      </c>
      <c r="BC124" s="72">
        <v>730</v>
      </c>
      <c r="BD124" s="72">
        <v>730</v>
      </c>
      <c r="BE124" s="72">
        <v>730</v>
      </c>
      <c r="BF124" s="72">
        <v>730</v>
      </c>
      <c r="BG124" s="72">
        <v>730</v>
      </c>
      <c r="BH124" s="72">
        <v>642</v>
      </c>
      <c r="BI124" s="72">
        <v>642</v>
      </c>
      <c r="BJ124" s="72">
        <v>642</v>
      </c>
      <c r="BK124" s="72">
        <v>424</v>
      </c>
      <c r="BL124" s="72">
        <v>424</v>
      </c>
      <c r="BM124" s="72">
        <v>424</v>
      </c>
      <c r="BN124" s="72">
        <v>565</v>
      </c>
      <c r="BO124" s="72">
        <v>416</v>
      </c>
      <c r="BP124" s="72">
        <v>386</v>
      </c>
      <c r="BQ124" s="72">
        <v>427</v>
      </c>
      <c r="BR124" s="72">
        <v>371</v>
      </c>
      <c r="BS124" s="72">
        <v>371</v>
      </c>
      <c r="BT124" s="72">
        <v>371</v>
      </c>
      <c r="BU124" s="72">
        <v>354</v>
      </c>
      <c r="BV124" s="72">
        <v>348</v>
      </c>
      <c r="BW124" s="72">
        <v>338</v>
      </c>
      <c r="BX124" s="72">
        <v>339</v>
      </c>
      <c r="BY124" s="72">
        <v>339</v>
      </c>
      <c r="BZ124" s="72">
        <v>339</v>
      </c>
      <c r="CA124" s="72">
        <v>339</v>
      </c>
      <c r="CB124" s="72">
        <v>339</v>
      </c>
      <c r="CC124" s="72">
        <v>339</v>
      </c>
      <c r="CD124" s="72">
        <v>334</v>
      </c>
      <c r="CE124" s="72">
        <v>334</v>
      </c>
      <c r="CF124" s="72">
        <v>419</v>
      </c>
      <c r="CG124" s="72">
        <v>419</v>
      </c>
      <c r="CH124" s="72">
        <v>419</v>
      </c>
      <c r="CI124" s="72">
        <v>419</v>
      </c>
      <c r="CJ124" s="72">
        <v>419</v>
      </c>
      <c r="CK124" s="72">
        <v>419</v>
      </c>
      <c r="CL124" s="72">
        <v>419</v>
      </c>
      <c r="CM124" s="72">
        <v>419</v>
      </c>
      <c r="CN124" s="72">
        <v>419</v>
      </c>
      <c r="CO124" s="72">
        <v>419</v>
      </c>
      <c r="CP124" s="72">
        <v>419</v>
      </c>
      <c r="CQ124" s="72">
        <v>419</v>
      </c>
      <c r="CR124" s="72">
        <v>419</v>
      </c>
      <c r="CS124" s="72">
        <v>419</v>
      </c>
      <c r="CT124" s="72">
        <v>419</v>
      </c>
      <c r="CU124" s="72">
        <v>419</v>
      </c>
      <c r="CV124" s="72">
        <v>419</v>
      </c>
      <c r="CW124" s="72">
        <v>419</v>
      </c>
      <c r="CX124" s="72">
        <v>419</v>
      </c>
      <c r="CY124" s="72">
        <v>419</v>
      </c>
      <c r="CZ124" s="72">
        <v>419</v>
      </c>
      <c r="DA124" s="72">
        <v>419</v>
      </c>
      <c r="DB124" s="72">
        <v>419</v>
      </c>
      <c r="DC124" s="72">
        <v>419</v>
      </c>
      <c r="DD124" s="72">
        <v>419</v>
      </c>
      <c r="DE124" s="72">
        <v>419</v>
      </c>
      <c r="DF124" s="72">
        <v>419</v>
      </c>
      <c r="DG124" s="72">
        <v>419</v>
      </c>
      <c r="DH124" s="72">
        <v>419</v>
      </c>
      <c r="DI124" s="72">
        <v>419</v>
      </c>
      <c r="DJ124" s="72">
        <v>419</v>
      </c>
      <c r="DK124" s="72">
        <v>419</v>
      </c>
      <c r="DL124" s="72">
        <v>399</v>
      </c>
      <c r="DM124" s="72">
        <v>402</v>
      </c>
    </row>
    <row r="125" spans="1:117" x14ac:dyDescent="0.35">
      <c r="A125" s="7"/>
      <c r="B125" s="8" t="s">
        <v>220</v>
      </c>
      <c r="C125" s="9" t="s">
        <v>221</v>
      </c>
      <c r="D125" s="10" t="s">
        <v>92</v>
      </c>
      <c r="E125" s="8" t="s">
        <v>1209</v>
      </c>
      <c r="F125" s="10">
        <v>1101</v>
      </c>
      <c r="G125" s="10" t="s">
        <v>92</v>
      </c>
      <c r="H125" s="10" t="s">
        <v>41</v>
      </c>
      <c r="I125" s="11">
        <v>17</v>
      </c>
      <c r="J125" s="10">
        <v>1</v>
      </c>
      <c r="K125" s="10" t="s">
        <v>42</v>
      </c>
      <c r="L125" s="8" t="s">
        <v>206</v>
      </c>
      <c r="M125" s="12">
        <v>0.82379999999999998</v>
      </c>
      <c r="N125" s="12">
        <f t="shared" si="1"/>
        <v>0</v>
      </c>
      <c r="O125" s="11">
        <v>285</v>
      </c>
      <c r="P125" s="11">
        <v>285</v>
      </c>
      <c r="Q125" s="11">
        <v>285</v>
      </c>
      <c r="R125" s="11">
        <v>264</v>
      </c>
      <c r="S125" s="11">
        <v>264</v>
      </c>
      <c r="T125" s="11">
        <v>264</v>
      </c>
      <c r="U125" s="11">
        <v>264</v>
      </c>
      <c r="V125" s="11">
        <v>264</v>
      </c>
      <c r="W125" s="11">
        <v>214</v>
      </c>
      <c r="X125" s="11">
        <v>214</v>
      </c>
      <c r="Y125" s="11">
        <v>214</v>
      </c>
      <c r="Z125" s="11">
        <v>214</v>
      </c>
      <c r="AA125" s="11">
        <v>214</v>
      </c>
      <c r="AB125" s="11">
        <v>214</v>
      </c>
      <c r="AC125" s="11">
        <v>212</v>
      </c>
      <c r="AD125" s="11">
        <v>112</v>
      </c>
      <c r="AE125" s="11">
        <v>97</v>
      </c>
      <c r="AF125" s="11">
        <v>97</v>
      </c>
      <c r="AG125" s="11">
        <v>97</v>
      </c>
      <c r="AH125" s="11">
        <v>67</v>
      </c>
      <c r="AI125" s="11">
        <v>67</v>
      </c>
      <c r="AJ125" s="11">
        <v>17</v>
      </c>
      <c r="AK125" s="11">
        <v>17</v>
      </c>
      <c r="AL125" s="11">
        <v>17</v>
      </c>
      <c r="AM125" s="11">
        <v>17</v>
      </c>
      <c r="AN125" s="72">
        <v>17</v>
      </c>
      <c r="AO125" s="72">
        <v>17</v>
      </c>
      <c r="AP125" s="72">
        <v>17</v>
      </c>
      <c r="AQ125" s="72">
        <v>17</v>
      </c>
      <c r="AR125" s="72">
        <v>17</v>
      </c>
      <c r="AS125" s="72">
        <v>17</v>
      </c>
      <c r="AT125" s="72">
        <v>17</v>
      </c>
      <c r="AU125" s="72">
        <v>2</v>
      </c>
      <c r="AV125" s="72">
        <v>5</v>
      </c>
      <c r="AW125" s="72">
        <v>5</v>
      </c>
      <c r="AX125" s="72">
        <v>5</v>
      </c>
      <c r="AY125" s="72">
        <v>5</v>
      </c>
      <c r="AZ125" s="72">
        <v>5</v>
      </c>
      <c r="BA125" s="72">
        <v>5</v>
      </c>
      <c r="BB125" s="72">
        <v>5</v>
      </c>
      <c r="BC125" s="72">
        <v>5</v>
      </c>
      <c r="BD125" s="72">
        <v>5</v>
      </c>
      <c r="BE125" s="72">
        <v>5</v>
      </c>
      <c r="BF125" s="72">
        <v>5</v>
      </c>
      <c r="BG125" s="72">
        <v>5</v>
      </c>
      <c r="BH125" s="72">
        <v>5</v>
      </c>
      <c r="BI125" s="72">
        <v>5</v>
      </c>
      <c r="BJ125" s="72">
        <v>5</v>
      </c>
      <c r="BK125" s="72">
        <v>5</v>
      </c>
      <c r="BL125" s="72">
        <v>5</v>
      </c>
      <c r="BM125" s="72">
        <v>5</v>
      </c>
      <c r="BN125" s="72">
        <v>5</v>
      </c>
      <c r="BO125" s="72">
        <v>5</v>
      </c>
      <c r="BP125" s="72">
        <v>5</v>
      </c>
      <c r="BQ125" s="72">
        <v>5</v>
      </c>
      <c r="BR125" s="72">
        <v>5</v>
      </c>
      <c r="BS125" s="72">
        <v>5</v>
      </c>
      <c r="BT125" s="72">
        <v>5</v>
      </c>
      <c r="BU125" s="72">
        <v>3</v>
      </c>
      <c r="BV125" s="72">
        <v>0</v>
      </c>
      <c r="BW125" s="72">
        <v>0</v>
      </c>
      <c r="BX125" s="72">
        <v>0</v>
      </c>
      <c r="BY125" s="72">
        <v>0</v>
      </c>
      <c r="BZ125" s="72">
        <v>0</v>
      </c>
      <c r="CA125" s="72">
        <v>0</v>
      </c>
      <c r="CB125" s="72">
        <v>0</v>
      </c>
      <c r="CC125" s="72">
        <v>0</v>
      </c>
      <c r="CD125" s="72">
        <v>0</v>
      </c>
      <c r="CE125" s="72">
        <v>0</v>
      </c>
      <c r="CF125" s="72">
        <v>0</v>
      </c>
      <c r="CG125" s="72">
        <v>0</v>
      </c>
      <c r="CH125" s="72">
        <v>0</v>
      </c>
      <c r="CI125" s="72">
        <v>0</v>
      </c>
      <c r="CJ125" s="72">
        <v>0</v>
      </c>
      <c r="CK125" s="72">
        <v>0</v>
      </c>
      <c r="CL125" s="72">
        <v>0</v>
      </c>
      <c r="CM125" s="72">
        <v>0</v>
      </c>
      <c r="CN125" s="72">
        <v>0</v>
      </c>
      <c r="CO125" s="72">
        <v>0</v>
      </c>
      <c r="CP125" s="72">
        <v>0</v>
      </c>
      <c r="CQ125" s="72">
        <v>0</v>
      </c>
      <c r="CR125" s="72">
        <v>0</v>
      </c>
      <c r="CS125" s="72">
        <v>0</v>
      </c>
      <c r="CT125" s="72">
        <v>0</v>
      </c>
      <c r="CU125" s="72">
        <v>0</v>
      </c>
      <c r="CV125" s="72">
        <v>0</v>
      </c>
      <c r="CW125" s="72">
        <v>0</v>
      </c>
      <c r="CX125" s="72">
        <v>0</v>
      </c>
      <c r="CY125" s="72">
        <v>0</v>
      </c>
      <c r="CZ125" s="72">
        <v>0</v>
      </c>
      <c r="DA125" s="72">
        <v>0</v>
      </c>
      <c r="DB125" s="72">
        <v>0</v>
      </c>
      <c r="DC125" s="72">
        <v>0</v>
      </c>
      <c r="DD125" s="72">
        <v>0</v>
      </c>
      <c r="DE125" s="72">
        <v>0</v>
      </c>
      <c r="DF125" s="72">
        <v>0</v>
      </c>
      <c r="DG125" s="72">
        <v>0</v>
      </c>
      <c r="DH125" s="72">
        <v>0</v>
      </c>
      <c r="DI125" s="72">
        <v>0</v>
      </c>
      <c r="DJ125" s="72">
        <v>0</v>
      </c>
      <c r="DK125" s="72">
        <v>0</v>
      </c>
      <c r="DL125" s="72">
        <v>0</v>
      </c>
      <c r="DM125" s="72">
        <v>0</v>
      </c>
    </row>
    <row r="126" spans="1:117" x14ac:dyDescent="0.35">
      <c r="A126" s="7"/>
      <c r="B126" s="8" t="s">
        <v>222</v>
      </c>
      <c r="C126" s="9" t="s">
        <v>223</v>
      </c>
      <c r="D126" s="10" t="s">
        <v>92</v>
      </c>
      <c r="E126" s="8" t="s">
        <v>1209</v>
      </c>
      <c r="F126" s="10">
        <v>1101</v>
      </c>
      <c r="G126" s="10" t="s">
        <v>92</v>
      </c>
      <c r="H126" s="10" t="s">
        <v>41</v>
      </c>
      <c r="I126" s="11">
        <v>195</v>
      </c>
      <c r="J126" s="10">
        <v>1</v>
      </c>
      <c r="K126" s="10" t="s">
        <v>42</v>
      </c>
      <c r="L126" s="8" t="s">
        <v>206</v>
      </c>
      <c r="M126" s="12">
        <v>1.2661199999999999</v>
      </c>
      <c r="N126" s="12">
        <f t="shared" si="1"/>
        <v>0</v>
      </c>
      <c r="O126" s="11">
        <v>312</v>
      </c>
      <c r="P126" s="11">
        <v>312</v>
      </c>
      <c r="Q126" s="11">
        <v>312</v>
      </c>
      <c r="R126" s="11">
        <v>311</v>
      </c>
      <c r="S126" s="11">
        <v>311</v>
      </c>
      <c r="T126" s="11">
        <v>311</v>
      </c>
      <c r="U126" s="11">
        <v>311</v>
      </c>
      <c r="V126" s="11">
        <v>311</v>
      </c>
      <c r="W126" s="11">
        <v>311</v>
      </c>
      <c r="X126" s="11">
        <v>310</v>
      </c>
      <c r="Y126" s="11">
        <v>310</v>
      </c>
      <c r="Z126" s="11">
        <v>310</v>
      </c>
      <c r="AA126" s="11">
        <v>310</v>
      </c>
      <c r="AB126" s="11">
        <v>310</v>
      </c>
      <c r="AC126" s="11">
        <v>310</v>
      </c>
      <c r="AD126" s="11">
        <v>310</v>
      </c>
      <c r="AE126" s="11">
        <v>295</v>
      </c>
      <c r="AF126" s="11">
        <v>295</v>
      </c>
      <c r="AG126" s="11">
        <v>295</v>
      </c>
      <c r="AH126" s="11">
        <v>195</v>
      </c>
      <c r="AI126" s="11">
        <v>195</v>
      </c>
      <c r="AJ126" s="11">
        <v>195</v>
      </c>
      <c r="AK126" s="11">
        <v>195</v>
      </c>
      <c r="AL126" s="11">
        <v>195</v>
      </c>
      <c r="AM126" s="11">
        <v>145</v>
      </c>
      <c r="AN126" s="72">
        <v>145</v>
      </c>
      <c r="AO126" s="72">
        <v>145</v>
      </c>
      <c r="AP126" s="72">
        <v>145</v>
      </c>
      <c r="AQ126" s="72">
        <v>145</v>
      </c>
      <c r="AR126" s="72">
        <v>145</v>
      </c>
      <c r="AS126" s="72">
        <v>145</v>
      </c>
      <c r="AT126" s="72">
        <v>145</v>
      </c>
      <c r="AU126" s="72">
        <v>145</v>
      </c>
      <c r="AV126" s="72">
        <v>145</v>
      </c>
      <c r="AW126" s="72">
        <v>145</v>
      </c>
      <c r="AX126" s="72">
        <v>145</v>
      </c>
      <c r="AY126" s="72">
        <v>145</v>
      </c>
      <c r="AZ126" s="72">
        <v>145</v>
      </c>
      <c r="BA126" s="72">
        <v>145</v>
      </c>
      <c r="BB126" s="72">
        <v>145</v>
      </c>
      <c r="BC126" s="72">
        <v>145</v>
      </c>
      <c r="BD126" s="72">
        <v>145</v>
      </c>
      <c r="BE126" s="72">
        <v>145</v>
      </c>
      <c r="BF126" s="72">
        <v>145</v>
      </c>
      <c r="BG126" s="72">
        <v>145</v>
      </c>
      <c r="BH126" s="72">
        <v>130</v>
      </c>
      <c r="BI126" s="72">
        <v>130</v>
      </c>
      <c r="BJ126" s="72">
        <v>130</v>
      </c>
      <c r="BK126" s="72">
        <v>80</v>
      </c>
      <c r="BL126" s="72">
        <v>30</v>
      </c>
      <c r="BM126" s="72">
        <v>30</v>
      </c>
      <c r="BN126" s="72">
        <v>76</v>
      </c>
      <c r="BO126" s="72">
        <v>77</v>
      </c>
      <c r="BP126" s="72">
        <v>77</v>
      </c>
      <c r="BQ126" s="72">
        <v>67</v>
      </c>
      <c r="BR126" s="72">
        <v>9</v>
      </c>
      <c r="BS126" s="72">
        <v>9</v>
      </c>
      <c r="BT126" s="72">
        <v>9</v>
      </c>
      <c r="BU126" s="72">
        <v>9</v>
      </c>
      <c r="BV126" s="72">
        <v>6</v>
      </c>
      <c r="BW126" s="72">
        <v>6</v>
      </c>
      <c r="BX126" s="72">
        <v>6</v>
      </c>
      <c r="BY126" s="72">
        <v>6</v>
      </c>
      <c r="BZ126" s="72">
        <v>6</v>
      </c>
      <c r="CA126" s="72">
        <v>6</v>
      </c>
      <c r="CB126" s="72">
        <v>6</v>
      </c>
      <c r="CC126" s="72">
        <v>6</v>
      </c>
      <c r="CD126" s="72">
        <v>6</v>
      </c>
      <c r="CE126" s="72">
        <v>6</v>
      </c>
      <c r="CF126" s="72">
        <v>20</v>
      </c>
      <c r="CG126" s="72">
        <v>20</v>
      </c>
      <c r="CH126" s="72">
        <v>20</v>
      </c>
      <c r="CI126" s="72">
        <v>20</v>
      </c>
      <c r="CJ126" s="72">
        <v>20</v>
      </c>
      <c r="CK126" s="72">
        <v>20</v>
      </c>
      <c r="CL126" s="72">
        <v>20</v>
      </c>
      <c r="CM126" s="72">
        <v>20</v>
      </c>
      <c r="CN126" s="72">
        <v>20</v>
      </c>
      <c r="CO126" s="72">
        <v>20</v>
      </c>
      <c r="CP126" s="72">
        <v>20</v>
      </c>
      <c r="CQ126" s="72">
        <v>20</v>
      </c>
      <c r="CR126" s="72">
        <v>20</v>
      </c>
      <c r="CS126" s="72">
        <v>20</v>
      </c>
      <c r="CT126" s="72">
        <v>20</v>
      </c>
      <c r="CU126" s="72">
        <v>20</v>
      </c>
      <c r="CV126" s="72">
        <v>0</v>
      </c>
      <c r="CW126" s="72">
        <v>0</v>
      </c>
      <c r="CX126" s="72">
        <v>0</v>
      </c>
      <c r="CY126" s="72">
        <v>0</v>
      </c>
      <c r="CZ126" s="72">
        <v>0</v>
      </c>
      <c r="DA126" s="72">
        <v>0</v>
      </c>
      <c r="DB126" s="72">
        <v>0</v>
      </c>
      <c r="DC126" s="72">
        <v>0</v>
      </c>
      <c r="DD126" s="72">
        <v>0</v>
      </c>
      <c r="DE126" s="72">
        <v>0</v>
      </c>
      <c r="DF126" s="72">
        <v>0</v>
      </c>
      <c r="DG126" s="72">
        <v>0</v>
      </c>
      <c r="DH126" s="72">
        <v>0</v>
      </c>
      <c r="DI126" s="72">
        <v>0</v>
      </c>
      <c r="DJ126" s="72">
        <v>0</v>
      </c>
      <c r="DK126" s="72">
        <v>0</v>
      </c>
      <c r="DL126" s="72">
        <v>0</v>
      </c>
      <c r="DM126" s="72">
        <v>0</v>
      </c>
    </row>
    <row r="127" spans="1:117" x14ac:dyDescent="0.35">
      <c r="A127" s="7"/>
      <c r="B127" s="8" t="s">
        <v>224</v>
      </c>
      <c r="C127" s="9" t="s">
        <v>225</v>
      </c>
      <c r="D127" s="10" t="s">
        <v>92</v>
      </c>
      <c r="E127" s="8" t="s">
        <v>1209</v>
      </c>
      <c r="F127" s="10">
        <v>1101</v>
      </c>
      <c r="G127" s="10" t="s">
        <v>92</v>
      </c>
      <c r="H127" s="10" t="s">
        <v>41</v>
      </c>
      <c r="I127" s="11">
        <v>358</v>
      </c>
      <c r="J127" s="10">
        <v>1</v>
      </c>
      <c r="K127" s="10" t="s">
        <v>42</v>
      </c>
      <c r="L127" s="8" t="s">
        <v>206</v>
      </c>
      <c r="M127" s="12">
        <v>1.6967999999999999</v>
      </c>
      <c r="N127" s="12">
        <f t="shared" si="1"/>
        <v>110.29199999999999</v>
      </c>
      <c r="O127" s="11">
        <v>399</v>
      </c>
      <c r="P127" s="11">
        <v>399</v>
      </c>
      <c r="Q127" s="11">
        <v>399</v>
      </c>
      <c r="R127" s="11">
        <v>398</v>
      </c>
      <c r="S127" s="11">
        <v>398</v>
      </c>
      <c r="T127" s="11">
        <v>398</v>
      </c>
      <c r="U127" s="11">
        <v>398</v>
      </c>
      <c r="V127" s="11">
        <v>398</v>
      </c>
      <c r="W127" s="11">
        <v>398</v>
      </c>
      <c r="X127" s="11">
        <v>398</v>
      </c>
      <c r="Y127" s="11">
        <v>398</v>
      </c>
      <c r="Z127" s="11">
        <v>398</v>
      </c>
      <c r="AA127" s="11">
        <v>398</v>
      </c>
      <c r="AB127" s="11">
        <v>398</v>
      </c>
      <c r="AC127" s="11">
        <v>373</v>
      </c>
      <c r="AD127" s="11">
        <v>373</v>
      </c>
      <c r="AE127" s="11">
        <v>358</v>
      </c>
      <c r="AF127" s="11">
        <v>358</v>
      </c>
      <c r="AG127" s="11">
        <v>358</v>
      </c>
      <c r="AH127" s="11">
        <v>358</v>
      </c>
      <c r="AI127" s="11">
        <v>358</v>
      </c>
      <c r="AJ127" s="11">
        <v>358</v>
      </c>
      <c r="AK127" s="11">
        <v>358</v>
      </c>
      <c r="AL127" s="11">
        <v>358</v>
      </c>
      <c r="AM127" s="11">
        <v>258</v>
      </c>
      <c r="AN127" s="72">
        <v>258</v>
      </c>
      <c r="AO127" s="72">
        <v>258</v>
      </c>
      <c r="AP127" s="72">
        <v>258</v>
      </c>
      <c r="AQ127" s="72">
        <v>258</v>
      </c>
      <c r="AR127" s="72">
        <v>258</v>
      </c>
      <c r="AS127" s="72">
        <v>258</v>
      </c>
      <c r="AT127" s="72">
        <v>258</v>
      </c>
      <c r="AU127" s="72">
        <v>258</v>
      </c>
      <c r="AV127" s="72">
        <v>258</v>
      </c>
      <c r="AW127" s="72">
        <v>258</v>
      </c>
      <c r="AX127" s="72">
        <v>258</v>
      </c>
      <c r="AY127" s="72">
        <v>258</v>
      </c>
      <c r="AZ127" s="72">
        <v>258</v>
      </c>
      <c r="BA127" s="72">
        <v>258</v>
      </c>
      <c r="BB127" s="72">
        <v>258</v>
      </c>
      <c r="BC127" s="72">
        <v>258</v>
      </c>
      <c r="BD127" s="72">
        <v>258</v>
      </c>
      <c r="BE127" s="72">
        <v>258</v>
      </c>
      <c r="BF127" s="72">
        <v>258</v>
      </c>
      <c r="BG127" s="72">
        <v>258</v>
      </c>
      <c r="BH127" s="72">
        <v>258</v>
      </c>
      <c r="BI127" s="72">
        <v>258</v>
      </c>
      <c r="BJ127" s="72">
        <v>258</v>
      </c>
      <c r="BK127" s="72">
        <v>178</v>
      </c>
      <c r="BL127" s="72">
        <v>128</v>
      </c>
      <c r="BM127" s="72">
        <v>128</v>
      </c>
      <c r="BN127" s="72">
        <v>128</v>
      </c>
      <c r="BO127" s="72">
        <v>128</v>
      </c>
      <c r="BP127" s="72">
        <v>128</v>
      </c>
      <c r="BQ127" s="72">
        <v>128</v>
      </c>
      <c r="BR127" s="72">
        <v>126</v>
      </c>
      <c r="BS127" s="72">
        <v>126</v>
      </c>
      <c r="BT127" s="72">
        <v>126</v>
      </c>
      <c r="BU127" s="72">
        <v>126</v>
      </c>
      <c r="BV127" s="72">
        <v>126</v>
      </c>
      <c r="BW127" s="72">
        <v>126</v>
      </c>
      <c r="BX127" s="72">
        <v>126</v>
      </c>
      <c r="BY127" s="72">
        <v>126</v>
      </c>
      <c r="BZ127" s="72">
        <v>126</v>
      </c>
      <c r="CA127" s="72">
        <v>126</v>
      </c>
      <c r="CB127" s="72">
        <v>126</v>
      </c>
      <c r="CC127" s="72">
        <v>126</v>
      </c>
      <c r="CD127" s="72">
        <v>126</v>
      </c>
      <c r="CE127" s="72">
        <v>126</v>
      </c>
      <c r="CF127" s="72">
        <v>67</v>
      </c>
      <c r="CG127" s="72">
        <v>67</v>
      </c>
      <c r="CH127" s="72">
        <v>67</v>
      </c>
      <c r="CI127" s="72">
        <v>67</v>
      </c>
      <c r="CJ127" s="72">
        <v>67</v>
      </c>
      <c r="CK127" s="72">
        <v>67</v>
      </c>
      <c r="CL127" s="72">
        <v>67</v>
      </c>
      <c r="CM127" s="72">
        <v>67</v>
      </c>
      <c r="CN127" s="72">
        <v>65</v>
      </c>
      <c r="CO127" s="72">
        <v>65</v>
      </c>
      <c r="CP127" s="72">
        <v>65</v>
      </c>
      <c r="CQ127" s="72">
        <v>65</v>
      </c>
      <c r="CR127" s="72">
        <v>65</v>
      </c>
      <c r="CS127" s="72">
        <v>65</v>
      </c>
      <c r="CT127" s="72">
        <v>65</v>
      </c>
      <c r="CU127" s="72">
        <v>65</v>
      </c>
      <c r="CV127" s="72">
        <v>65</v>
      </c>
      <c r="CW127" s="72">
        <v>65</v>
      </c>
      <c r="CX127" s="72">
        <v>65</v>
      </c>
      <c r="CY127" s="72">
        <v>65</v>
      </c>
      <c r="CZ127" s="72">
        <v>65</v>
      </c>
      <c r="DA127" s="72">
        <v>65</v>
      </c>
      <c r="DB127" s="72">
        <v>65</v>
      </c>
      <c r="DC127" s="72">
        <v>65</v>
      </c>
      <c r="DD127" s="72">
        <v>65</v>
      </c>
      <c r="DE127" s="72">
        <v>65</v>
      </c>
      <c r="DF127" s="72">
        <v>65</v>
      </c>
      <c r="DG127" s="72">
        <v>65</v>
      </c>
      <c r="DH127" s="72">
        <v>65</v>
      </c>
      <c r="DI127" s="72">
        <v>65</v>
      </c>
      <c r="DJ127" s="72">
        <v>65</v>
      </c>
      <c r="DK127" s="72">
        <v>65</v>
      </c>
      <c r="DL127" s="72">
        <v>65</v>
      </c>
      <c r="DM127" s="72">
        <v>65</v>
      </c>
    </row>
    <row r="128" spans="1:117" x14ac:dyDescent="0.35">
      <c r="A128" s="7"/>
      <c r="B128" s="8" t="s">
        <v>226</v>
      </c>
      <c r="C128" s="9" t="s">
        <v>227</v>
      </c>
      <c r="D128" s="10" t="s">
        <v>92</v>
      </c>
      <c r="E128" s="8" t="s">
        <v>1209</v>
      </c>
      <c r="F128" s="10">
        <v>1101</v>
      </c>
      <c r="G128" s="10" t="s">
        <v>92</v>
      </c>
      <c r="H128" s="10" t="s">
        <v>41</v>
      </c>
      <c r="I128" s="11">
        <v>35</v>
      </c>
      <c r="J128" s="10">
        <v>1</v>
      </c>
      <c r="K128" s="10"/>
      <c r="L128" s="8" t="s">
        <v>206</v>
      </c>
      <c r="M128" s="12">
        <v>2.5930799999999996</v>
      </c>
      <c r="N128" s="12">
        <f t="shared" si="1"/>
        <v>49.268519999999995</v>
      </c>
      <c r="O128" s="11">
        <v>38</v>
      </c>
      <c r="P128" s="11">
        <v>38</v>
      </c>
      <c r="Q128" s="11">
        <v>38</v>
      </c>
      <c r="R128" s="11">
        <v>37</v>
      </c>
      <c r="S128" s="11">
        <v>37</v>
      </c>
      <c r="T128" s="11">
        <v>37</v>
      </c>
      <c r="U128" s="11">
        <v>37</v>
      </c>
      <c r="V128" s="11">
        <v>37</v>
      </c>
      <c r="W128" s="11">
        <v>37</v>
      </c>
      <c r="X128" s="11">
        <v>37</v>
      </c>
      <c r="Y128" s="11">
        <v>37</v>
      </c>
      <c r="Z128" s="11">
        <v>37</v>
      </c>
      <c r="AA128" s="11">
        <v>37</v>
      </c>
      <c r="AB128" s="11">
        <v>37</v>
      </c>
      <c r="AC128" s="11">
        <v>35</v>
      </c>
      <c r="AD128" s="11">
        <v>35</v>
      </c>
      <c r="AE128" s="11">
        <v>35</v>
      </c>
      <c r="AF128" s="11">
        <v>35</v>
      </c>
      <c r="AG128" s="11">
        <v>35</v>
      </c>
      <c r="AH128" s="11">
        <v>35</v>
      </c>
      <c r="AI128" s="11">
        <v>35</v>
      </c>
      <c r="AJ128" s="11">
        <v>35</v>
      </c>
      <c r="AK128" s="11">
        <v>35</v>
      </c>
      <c r="AL128" s="11">
        <v>35</v>
      </c>
      <c r="AM128" s="11">
        <v>35</v>
      </c>
      <c r="AN128" s="72">
        <v>35</v>
      </c>
      <c r="AO128" s="72">
        <v>35</v>
      </c>
      <c r="AP128" s="72">
        <v>35</v>
      </c>
      <c r="AQ128" s="72">
        <v>35</v>
      </c>
      <c r="AR128" s="72">
        <v>30</v>
      </c>
      <c r="AS128" s="72">
        <v>30</v>
      </c>
      <c r="AT128" s="72">
        <v>30</v>
      </c>
      <c r="AU128" s="72">
        <v>30</v>
      </c>
      <c r="AV128" s="72">
        <v>30</v>
      </c>
      <c r="AW128" s="72">
        <v>30</v>
      </c>
      <c r="AX128" s="72">
        <v>30</v>
      </c>
      <c r="AY128" s="72">
        <v>30</v>
      </c>
      <c r="AZ128" s="72">
        <v>30</v>
      </c>
      <c r="BA128" s="72">
        <v>30</v>
      </c>
      <c r="BB128" s="72">
        <v>30</v>
      </c>
      <c r="BC128" s="72">
        <v>30</v>
      </c>
      <c r="BD128" s="72">
        <v>30</v>
      </c>
      <c r="BE128" s="72">
        <v>30</v>
      </c>
      <c r="BF128" s="72">
        <v>30</v>
      </c>
      <c r="BG128" s="72">
        <v>30</v>
      </c>
      <c r="BH128" s="72">
        <v>30</v>
      </c>
      <c r="BI128" s="72">
        <v>30</v>
      </c>
      <c r="BJ128" s="72">
        <v>30</v>
      </c>
      <c r="BK128" s="72">
        <v>30</v>
      </c>
      <c r="BL128" s="72">
        <v>30</v>
      </c>
      <c r="BM128" s="72">
        <v>30</v>
      </c>
      <c r="BN128" s="72">
        <v>30</v>
      </c>
      <c r="BO128" s="72">
        <v>30</v>
      </c>
      <c r="BP128" s="72">
        <v>30</v>
      </c>
      <c r="BQ128" s="72">
        <v>18</v>
      </c>
      <c r="BR128" s="72">
        <v>18</v>
      </c>
      <c r="BS128" s="72">
        <v>18</v>
      </c>
      <c r="BT128" s="72">
        <v>18</v>
      </c>
      <c r="BU128" s="72">
        <v>18</v>
      </c>
      <c r="BV128" s="72">
        <v>18</v>
      </c>
      <c r="BW128" s="72">
        <v>18</v>
      </c>
      <c r="BX128" s="72">
        <v>18</v>
      </c>
      <c r="BY128" s="72">
        <v>18</v>
      </c>
      <c r="BZ128" s="72">
        <v>18</v>
      </c>
      <c r="CA128" s="72">
        <v>18</v>
      </c>
      <c r="CB128" s="72">
        <v>18</v>
      </c>
      <c r="CC128" s="72">
        <v>18</v>
      </c>
      <c r="CD128" s="72">
        <v>18</v>
      </c>
      <c r="CE128" s="72">
        <v>18</v>
      </c>
      <c r="CF128" s="72">
        <v>19</v>
      </c>
      <c r="CG128" s="72">
        <v>19</v>
      </c>
      <c r="CH128" s="72">
        <v>19</v>
      </c>
      <c r="CI128" s="72">
        <v>19</v>
      </c>
      <c r="CJ128" s="72">
        <v>19</v>
      </c>
      <c r="CK128" s="72">
        <v>19</v>
      </c>
      <c r="CL128" s="72">
        <v>19</v>
      </c>
      <c r="CM128" s="72">
        <v>19</v>
      </c>
      <c r="CN128" s="72">
        <v>19</v>
      </c>
      <c r="CO128" s="72">
        <v>19</v>
      </c>
      <c r="CP128" s="72">
        <v>19</v>
      </c>
      <c r="CQ128" s="72">
        <v>19</v>
      </c>
      <c r="CR128" s="72">
        <v>19</v>
      </c>
      <c r="CS128" s="72">
        <v>19</v>
      </c>
      <c r="CT128" s="72">
        <v>19</v>
      </c>
      <c r="CU128" s="72">
        <v>19</v>
      </c>
      <c r="CV128" s="72">
        <v>19</v>
      </c>
      <c r="CW128" s="72">
        <v>19</v>
      </c>
      <c r="CX128" s="72">
        <v>19</v>
      </c>
      <c r="CY128" s="72">
        <v>19</v>
      </c>
      <c r="CZ128" s="72">
        <v>19</v>
      </c>
      <c r="DA128" s="72">
        <v>19</v>
      </c>
      <c r="DB128" s="72">
        <v>19</v>
      </c>
      <c r="DC128" s="72">
        <v>19</v>
      </c>
      <c r="DD128" s="72">
        <v>19</v>
      </c>
      <c r="DE128" s="72">
        <v>19</v>
      </c>
      <c r="DF128" s="72">
        <v>19</v>
      </c>
      <c r="DG128" s="72">
        <v>19</v>
      </c>
      <c r="DH128" s="72">
        <v>19</v>
      </c>
      <c r="DI128" s="72">
        <v>19</v>
      </c>
      <c r="DJ128" s="72">
        <v>19</v>
      </c>
      <c r="DK128" s="72">
        <v>19</v>
      </c>
      <c r="DL128" s="72">
        <v>19</v>
      </c>
      <c r="DM128" s="72">
        <v>19</v>
      </c>
    </row>
    <row r="129" spans="1:117" x14ac:dyDescent="0.35">
      <c r="A129" s="7"/>
      <c r="B129" s="8" t="s">
        <v>228</v>
      </c>
      <c r="C129" s="9" t="s">
        <v>229</v>
      </c>
      <c r="D129" s="10" t="s">
        <v>92</v>
      </c>
      <c r="E129" s="8" t="s">
        <v>1209</v>
      </c>
      <c r="F129" s="10">
        <v>1101</v>
      </c>
      <c r="G129" s="10" t="s">
        <v>92</v>
      </c>
      <c r="H129" s="10" t="s">
        <v>41</v>
      </c>
      <c r="I129" s="11">
        <v>47</v>
      </c>
      <c r="J129" s="10">
        <v>1</v>
      </c>
      <c r="K129" s="10"/>
      <c r="L129" s="8" t="s">
        <v>206</v>
      </c>
      <c r="M129" s="12">
        <v>3.48936</v>
      </c>
      <c r="N129" s="12">
        <f t="shared" si="1"/>
        <v>167.48928000000001</v>
      </c>
      <c r="O129" s="11">
        <v>48</v>
      </c>
      <c r="P129" s="11">
        <v>48</v>
      </c>
      <c r="Q129" s="11">
        <v>48</v>
      </c>
      <c r="R129" s="11">
        <v>47</v>
      </c>
      <c r="S129" s="11">
        <v>47</v>
      </c>
      <c r="T129" s="11">
        <v>47</v>
      </c>
      <c r="U129" s="11">
        <v>47</v>
      </c>
      <c r="V129" s="11">
        <v>47</v>
      </c>
      <c r="W129" s="11">
        <v>47</v>
      </c>
      <c r="X129" s="11">
        <v>47</v>
      </c>
      <c r="Y129" s="11">
        <v>47</v>
      </c>
      <c r="Z129" s="11">
        <v>47</v>
      </c>
      <c r="AA129" s="11">
        <v>47</v>
      </c>
      <c r="AB129" s="11">
        <v>47</v>
      </c>
      <c r="AC129" s="11">
        <v>47</v>
      </c>
      <c r="AD129" s="11">
        <v>47</v>
      </c>
      <c r="AE129" s="11">
        <v>47</v>
      </c>
      <c r="AF129" s="11">
        <v>47</v>
      </c>
      <c r="AG129" s="11">
        <v>47</v>
      </c>
      <c r="AH129" s="11">
        <v>47</v>
      </c>
      <c r="AI129" s="11">
        <v>47</v>
      </c>
      <c r="AJ129" s="11">
        <v>47</v>
      </c>
      <c r="AK129" s="11">
        <v>47</v>
      </c>
      <c r="AL129" s="11">
        <v>47</v>
      </c>
      <c r="AM129" s="11">
        <v>47</v>
      </c>
      <c r="AN129" s="72">
        <v>47</v>
      </c>
      <c r="AO129" s="72">
        <v>47</v>
      </c>
      <c r="AP129" s="72">
        <v>47</v>
      </c>
      <c r="AQ129" s="72">
        <v>47</v>
      </c>
      <c r="AR129" s="72">
        <v>47</v>
      </c>
      <c r="AS129" s="72">
        <v>47</v>
      </c>
      <c r="AT129" s="72">
        <v>47</v>
      </c>
      <c r="AU129" s="72">
        <v>47</v>
      </c>
      <c r="AV129" s="72">
        <v>47</v>
      </c>
      <c r="AW129" s="72">
        <v>47</v>
      </c>
      <c r="AX129" s="72">
        <v>47</v>
      </c>
      <c r="AY129" s="72">
        <v>47</v>
      </c>
      <c r="AZ129" s="72">
        <v>47</v>
      </c>
      <c r="BA129" s="72">
        <v>47</v>
      </c>
      <c r="BB129" s="72">
        <v>47</v>
      </c>
      <c r="BC129" s="72">
        <v>47</v>
      </c>
      <c r="BD129" s="72">
        <v>47</v>
      </c>
      <c r="BE129" s="72">
        <v>47</v>
      </c>
      <c r="BF129" s="72">
        <v>47</v>
      </c>
      <c r="BG129" s="72">
        <v>47</v>
      </c>
      <c r="BH129" s="72">
        <v>47</v>
      </c>
      <c r="BI129" s="72">
        <v>47</v>
      </c>
      <c r="BJ129" s="72">
        <v>47</v>
      </c>
      <c r="BK129" s="72">
        <v>47</v>
      </c>
      <c r="BL129" s="72">
        <v>47</v>
      </c>
      <c r="BM129" s="72">
        <v>47</v>
      </c>
      <c r="BN129" s="72">
        <v>47</v>
      </c>
      <c r="BO129" s="72">
        <v>47</v>
      </c>
      <c r="BP129" s="72">
        <v>47</v>
      </c>
      <c r="BQ129" s="72">
        <v>47</v>
      </c>
      <c r="BR129" s="72">
        <v>47</v>
      </c>
      <c r="BS129" s="72">
        <v>47</v>
      </c>
      <c r="BT129" s="72">
        <v>47</v>
      </c>
      <c r="BU129" s="72">
        <v>47</v>
      </c>
      <c r="BV129" s="72">
        <v>47</v>
      </c>
      <c r="BW129" s="72">
        <v>47</v>
      </c>
      <c r="BX129" s="72">
        <v>47</v>
      </c>
      <c r="BY129" s="72">
        <v>47</v>
      </c>
      <c r="BZ129" s="72">
        <v>47</v>
      </c>
      <c r="CA129" s="72">
        <v>47</v>
      </c>
      <c r="CB129" s="72">
        <v>47</v>
      </c>
      <c r="CC129" s="72">
        <v>47</v>
      </c>
      <c r="CD129" s="72">
        <v>47</v>
      </c>
      <c r="CE129" s="72">
        <v>47</v>
      </c>
      <c r="CF129" s="72">
        <v>48</v>
      </c>
      <c r="CG129" s="72">
        <v>48</v>
      </c>
      <c r="CH129" s="72">
        <v>48</v>
      </c>
      <c r="CI129" s="72">
        <v>48</v>
      </c>
      <c r="CJ129" s="72">
        <v>48</v>
      </c>
      <c r="CK129" s="72">
        <v>48</v>
      </c>
      <c r="CL129" s="72">
        <v>48</v>
      </c>
      <c r="CM129" s="72">
        <v>48</v>
      </c>
      <c r="CN129" s="72">
        <v>48</v>
      </c>
      <c r="CO129" s="72">
        <v>48</v>
      </c>
      <c r="CP129" s="72">
        <v>48</v>
      </c>
      <c r="CQ129" s="72">
        <v>48</v>
      </c>
      <c r="CR129" s="72">
        <v>48</v>
      </c>
      <c r="CS129" s="72">
        <v>48</v>
      </c>
      <c r="CT129" s="72">
        <v>48</v>
      </c>
      <c r="CU129" s="72">
        <v>48</v>
      </c>
      <c r="CV129" s="72">
        <v>48</v>
      </c>
      <c r="CW129" s="72">
        <v>48</v>
      </c>
      <c r="CX129" s="72">
        <v>48</v>
      </c>
      <c r="CY129" s="72">
        <v>48</v>
      </c>
      <c r="CZ129" s="72">
        <v>48</v>
      </c>
      <c r="DA129" s="72">
        <v>48</v>
      </c>
      <c r="DB129" s="72">
        <v>48</v>
      </c>
      <c r="DC129" s="72">
        <v>48</v>
      </c>
      <c r="DD129" s="72">
        <v>48</v>
      </c>
      <c r="DE129" s="72">
        <v>48</v>
      </c>
      <c r="DF129" s="72">
        <v>48</v>
      </c>
      <c r="DG129" s="72">
        <v>48</v>
      </c>
      <c r="DH129" s="72">
        <v>48</v>
      </c>
      <c r="DI129" s="72">
        <v>48</v>
      </c>
      <c r="DJ129" s="72">
        <v>48</v>
      </c>
      <c r="DK129" s="72">
        <v>48</v>
      </c>
      <c r="DL129" s="72">
        <v>48</v>
      </c>
      <c r="DM129" s="72">
        <v>48</v>
      </c>
    </row>
    <row r="130" spans="1:117" x14ac:dyDescent="0.35">
      <c r="A130" s="7"/>
      <c r="B130" s="8" t="s">
        <v>230</v>
      </c>
      <c r="C130" s="9" t="s">
        <v>231</v>
      </c>
      <c r="D130" s="10" t="s">
        <v>92</v>
      </c>
      <c r="E130" s="8" t="s">
        <v>1209</v>
      </c>
      <c r="F130" s="10">
        <v>1101</v>
      </c>
      <c r="G130" s="10" t="s">
        <v>92</v>
      </c>
      <c r="H130" s="10" t="s">
        <v>41</v>
      </c>
      <c r="I130" s="11">
        <v>28</v>
      </c>
      <c r="J130" s="10">
        <v>1</v>
      </c>
      <c r="K130" s="10"/>
      <c r="L130" s="8" t="s">
        <v>206</v>
      </c>
      <c r="M130" s="12">
        <v>4.82796</v>
      </c>
      <c r="N130" s="12">
        <f t="shared" si="1"/>
        <v>140.01084</v>
      </c>
      <c r="O130" s="11">
        <v>29</v>
      </c>
      <c r="P130" s="11">
        <v>29</v>
      </c>
      <c r="Q130" s="11">
        <v>29</v>
      </c>
      <c r="R130" s="11">
        <v>28</v>
      </c>
      <c r="S130" s="11">
        <v>28</v>
      </c>
      <c r="T130" s="11">
        <v>28</v>
      </c>
      <c r="U130" s="11">
        <v>28</v>
      </c>
      <c r="V130" s="11">
        <v>28</v>
      </c>
      <c r="W130" s="11">
        <v>28</v>
      </c>
      <c r="X130" s="11">
        <v>28</v>
      </c>
      <c r="Y130" s="11">
        <v>28</v>
      </c>
      <c r="Z130" s="11">
        <v>28</v>
      </c>
      <c r="AA130" s="11">
        <v>28</v>
      </c>
      <c r="AB130" s="11">
        <v>28</v>
      </c>
      <c r="AC130" s="11">
        <v>28</v>
      </c>
      <c r="AD130" s="11">
        <v>28</v>
      </c>
      <c r="AE130" s="11">
        <v>28</v>
      </c>
      <c r="AF130" s="11">
        <v>28</v>
      </c>
      <c r="AG130" s="11">
        <v>28</v>
      </c>
      <c r="AH130" s="11">
        <v>28</v>
      </c>
      <c r="AI130" s="11">
        <v>28</v>
      </c>
      <c r="AJ130" s="11">
        <v>28</v>
      </c>
      <c r="AK130" s="11">
        <v>28</v>
      </c>
      <c r="AL130" s="11">
        <v>28</v>
      </c>
      <c r="AM130" s="11">
        <v>28</v>
      </c>
      <c r="AN130" s="72">
        <v>28</v>
      </c>
      <c r="AO130" s="72">
        <v>28</v>
      </c>
      <c r="AP130" s="72">
        <v>28</v>
      </c>
      <c r="AQ130" s="72">
        <v>28</v>
      </c>
      <c r="AR130" s="72">
        <v>28</v>
      </c>
      <c r="AS130" s="72">
        <v>28</v>
      </c>
      <c r="AT130" s="72">
        <v>28</v>
      </c>
      <c r="AU130" s="72">
        <v>28</v>
      </c>
      <c r="AV130" s="72">
        <v>28</v>
      </c>
      <c r="AW130" s="72">
        <v>28</v>
      </c>
      <c r="AX130" s="72">
        <v>28</v>
      </c>
      <c r="AY130" s="72">
        <v>28</v>
      </c>
      <c r="AZ130" s="72">
        <v>26</v>
      </c>
      <c r="BA130" s="72">
        <v>26</v>
      </c>
      <c r="BB130" s="72">
        <v>28</v>
      </c>
      <c r="BC130" s="72">
        <v>28</v>
      </c>
      <c r="BD130" s="72">
        <v>28</v>
      </c>
      <c r="BE130" s="72">
        <v>28</v>
      </c>
      <c r="BF130" s="72">
        <v>28</v>
      </c>
      <c r="BG130" s="72">
        <v>28</v>
      </c>
      <c r="BH130" s="72">
        <v>28</v>
      </c>
      <c r="BI130" s="72">
        <v>28</v>
      </c>
      <c r="BJ130" s="72">
        <v>28</v>
      </c>
      <c r="BK130" s="72">
        <v>28</v>
      </c>
      <c r="BL130" s="72">
        <v>28</v>
      </c>
      <c r="BM130" s="72">
        <v>28</v>
      </c>
      <c r="BN130" s="72">
        <v>28</v>
      </c>
      <c r="BO130" s="72">
        <v>28</v>
      </c>
      <c r="BP130" s="72">
        <v>28</v>
      </c>
      <c r="BQ130" s="72">
        <v>28</v>
      </c>
      <c r="BR130" s="72">
        <v>28</v>
      </c>
      <c r="BS130" s="72">
        <v>28</v>
      </c>
      <c r="BT130" s="72">
        <v>28</v>
      </c>
      <c r="BU130" s="72">
        <v>28</v>
      </c>
      <c r="BV130" s="72">
        <v>28</v>
      </c>
      <c r="BW130" s="72">
        <v>28</v>
      </c>
      <c r="BX130" s="72">
        <v>28</v>
      </c>
      <c r="BY130" s="72">
        <v>28</v>
      </c>
      <c r="BZ130" s="72">
        <v>28</v>
      </c>
      <c r="CA130" s="72">
        <v>28</v>
      </c>
      <c r="CB130" s="72">
        <v>28</v>
      </c>
      <c r="CC130" s="72">
        <v>28</v>
      </c>
      <c r="CD130" s="72">
        <v>28</v>
      </c>
      <c r="CE130" s="72">
        <v>28</v>
      </c>
      <c r="CF130" s="72">
        <v>29</v>
      </c>
      <c r="CG130" s="72">
        <v>29</v>
      </c>
      <c r="CH130" s="72">
        <v>29</v>
      </c>
      <c r="CI130" s="72">
        <v>29</v>
      </c>
      <c r="CJ130" s="72">
        <v>29</v>
      </c>
      <c r="CK130" s="72">
        <v>29</v>
      </c>
      <c r="CL130" s="72">
        <v>29</v>
      </c>
      <c r="CM130" s="72">
        <v>29</v>
      </c>
      <c r="CN130" s="72">
        <v>29</v>
      </c>
      <c r="CO130" s="72">
        <v>29</v>
      </c>
      <c r="CP130" s="72">
        <v>29</v>
      </c>
      <c r="CQ130" s="72">
        <v>29</v>
      </c>
      <c r="CR130" s="72">
        <v>29</v>
      </c>
      <c r="CS130" s="72">
        <v>29</v>
      </c>
      <c r="CT130" s="72">
        <v>29</v>
      </c>
      <c r="CU130" s="72">
        <v>29</v>
      </c>
      <c r="CV130" s="72">
        <v>29</v>
      </c>
      <c r="CW130" s="72">
        <v>29</v>
      </c>
      <c r="CX130" s="72">
        <v>29</v>
      </c>
      <c r="CY130" s="72">
        <v>29</v>
      </c>
      <c r="CZ130" s="72">
        <v>29</v>
      </c>
      <c r="DA130" s="72">
        <v>29</v>
      </c>
      <c r="DB130" s="72">
        <v>29</v>
      </c>
      <c r="DC130" s="72">
        <v>29</v>
      </c>
      <c r="DD130" s="72">
        <v>29</v>
      </c>
      <c r="DE130" s="72">
        <v>29</v>
      </c>
      <c r="DF130" s="72">
        <v>29</v>
      </c>
      <c r="DG130" s="72">
        <v>29</v>
      </c>
      <c r="DH130" s="72">
        <v>29</v>
      </c>
      <c r="DI130" s="72">
        <v>29</v>
      </c>
      <c r="DJ130" s="72">
        <v>29</v>
      </c>
      <c r="DK130" s="72">
        <v>29</v>
      </c>
      <c r="DL130" s="72">
        <v>29</v>
      </c>
      <c r="DM130" s="72">
        <v>29</v>
      </c>
    </row>
    <row r="131" spans="1:117" x14ac:dyDescent="0.35">
      <c r="A131" s="7"/>
      <c r="B131" s="8" t="s">
        <v>232</v>
      </c>
      <c r="C131" s="9" t="s">
        <v>233</v>
      </c>
      <c r="D131" s="10" t="s">
        <v>92</v>
      </c>
      <c r="E131" s="8" t="s">
        <v>1209</v>
      </c>
      <c r="F131" s="10">
        <v>1101</v>
      </c>
      <c r="G131" s="10" t="s">
        <v>92</v>
      </c>
      <c r="H131" s="10" t="s">
        <v>41</v>
      </c>
      <c r="I131" s="11">
        <v>15</v>
      </c>
      <c r="J131" s="10">
        <v>1</v>
      </c>
      <c r="K131" s="10"/>
      <c r="L131" s="8" t="s">
        <v>206</v>
      </c>
      <c r="M131" s="12">
        <v>7.1093999999999999</v>
      </c>
      <c r="N131" s="12">
        <f t="shared" ref="N131:N194" si="2">M131*DM131</f>
        <v>113.7504</v>
      </c>
      <c r="O131" s="11">
        <v>18</v>
      </c>
      <c r="P131" s="11">
        <v>18</v>
      </c>
      <c r="Q131" s="11">
        <v>18</v>
      </c>
      <c r="R131" s="11">
        <v>17</v>
      </c>
      <c r="S131" s="11">
        <v>17</v>
      </c>
      <c r="T131" s="11">
        <v>17</v>
      </c>
      <c r="U131" s="11">
        <v>17</v>
      </c>
      <c r="V131" s="11">
        <v>17</v>
      </c>
      <c r="W131" s="11">
        <v>17</v>
      </c>
      <c r="X131" s="11">
        <v>17</v>
      </c>
      <c r="Y131" s="11">
        <v>17</v>
      </c>
      <c r="Z131" s="11">
        <v>17</v>
      </c>
      <c r="AA131" s="11">
        <v>17</v>
      </c>
      <c r="AB131" s="11">
        <v>17</v>
      </c>
      <c r="AC131" s="11">
        <v>17</v>
      </c>
      <c r="AD131" s="11">
        <v>17</v>
      </c>
      <c r="AE131" s="11">
        <v>17</v>
      </c>
      <c r="AF131" s="11">
        <v>17</v>
      </c>
      <c r="AG131" s="11">
        <v>16</v>
      </c>
      <c r="AH131" s="11">
        <v>16</v>
      </c>
      <c r="AI131" s="11">
        <v>15</v>
      </c>
      <c r="AJ131" s="11">
        <v>15</v>
      </c>
      <c r="AK131" s="11">
        <v>15</v>
      </c>
      <c r="AL131" s="11">
        <v>15</v>
      </c>
      <c r="AM131" s="11">
        <v>15</v>
      </c>
      <c r="AN131" s="72">
        <v>15</v>
      </c>
      <c r="AO131" s="72">
        <v>15</v>
      </c>
      <c r="AP131" s="72">
        <v>15</v>
      </c>
      <c r="AQ131" s="72">
        <v>15</v>
      </c>
      <c r="AR131" s="72">
        <v>15</v>
      </c>
      <c r="AS131" s="72">
        <v>15</v>
      </c>
      <c r="AT131" s="72">
        <v>15</v>
      </c>
      <c r="AU131" s="72">
        <v>15</v>
      </c>
      <c r="AV131" s="72">
        <v>15</v>
      </c>
      <c r="AW131" s="72">
        <v>15</v>
      </c>
      <c r="AX131" s="72">
        <v>15</v>
      </c>
      <c r="AY131" s="72">
        <v>15</v>
      </c>
      <c r="AZ131" s="72">
        <v>15</v>
      </c>
      <c r="BA131" s="72">
        <v>15</v>
      </c>
      <c r="BB131" s="72">
        <v>15</v>
      </c>
      <c r="BC131" s="72">
        <v>15</v>
      </c>
      <c r="BD131" s="72">
        <v>15</v>
      </c>
      <c r="BE131" s="72">
        <v>15</v>
      </c>
      <c r="BF131" s="72">
        <v>15</v>
      </c>
      <c r="BG131" s="72">
        <v>15</v>
      </c>
      <c r="BH131" s="72">
        <v>15</v>
      </c>
      <c r="BI131" s="72">
        <v>15</v>
      </c>
      <c r="BJ131" s="72">
        <v>15</v>
      </c>
      <c r="BK131" s="72">
        <v>15</v>
      </c>
      <c r="BL131" s="72">
        <v>15</v>
      </c>
      <c r="BM131" s="72">
        <v>15</v>
      </c>
      <c r="BN131" s="72">
        <v>15</v>
      </c>
      <c r="BO131" s="72">
        <v>15</v>
      </c>
      <c r="BP131" s="72">
        <v>15</v>
      </c>
      <c r="BQ131" s="72">
        <v>15</v>
      </c>
      <c r="BR131" s="72">
        <v>15</v>
      </c>
      <c r="BS131" s="72">
        <v>15</v>
      </c>
      <c r="BT131" s="72">
        <v>15</v>
      </c>
      <c r="BU131" s="72">
        <v>15</v>
      </c>
      <c r="BV131" s="72">
        <v>15</v>
      </c>
      <c r="BW131" s="72">
        <v>15</v>
      </c>
      <c r="BX131" s="72">
        <v>15</v>
      </c>
      <c r="BY131" s="72">
        <v>15</v>
      </c>
      <c r="BZ131" s="72">
        <v>15</v>
      </c>
      <c r="CA131" s="72">
        <v>15</v>
      </c>
      <c r="CB131" s="72">
        <v>15</v>
      </c>
      <c r="CC131" s="72">
        <v>15</v>
      </c>
      <c r="CD131" s="72">
        <v>15</v>
      </c>
      <c r="CE131" s="72">
        <v>15</v>
      </c>
      <c r="CF131" s="72">
        <v>16</v>
      </c>
      <c r="CG131" s="72">
        <v>16</v>
      </c>
      <c r="CH131" s="72">
        <v>16</v>
      </c>
      <c r="CI131" s="72">
        <v>16</v>
      </c>
      <c r="CJ131" s="72">
        <v>16</v>
      </c>
      <c r="CK131" s="72">
        <v>16</v>
      </c>
      <c r="CL131" s="72">
        <v>16</v>
      </c>
      <c r="CM131" s="72">
        <v>16</v>
      </c>
      <c r="CN131" s="72">
        <v>16</v>
      </c>
      <c r="CO131" s="72">
        <v>16</v>
      </c>
      <c r="CP131" s="72">
        <v>16</v>
      </c>
      <c r="CQ131" s="72">
        <v>16</v>
      </c>
      <c r="CR131" s="72">
        <v>16</v>
      </c>
      <c r="CS131" s="72">
        <v>16</v>
      </c>
      <c r="CT131" s="72">
        <v>16</v>
      </c>
      <c r="CU131" s="72">
        <v>16</v>
      </c>
      <c r="CV131" s="72">
        <v>16</v>
      </c>
      <c r="CW131" s="72">
        <v>16</v>
      </c>
      <c r="CX131" s="72">
        <v>16</v>
      </c>
      <c r="CY131" s="72">
        <v>16</v>
      </c>
      <c r="CZ131" s="72">
        <v>16</v>
      </c>
      <c r="DA131" s="72">
        <v>16</v>
      </c>
      <c r="DB131" s="72">
        <v>16</v>
      </c>
      <c r="DC131" s="72">
        <v>16</v>
      </c>
      <c r="DD131" s="72">
        <v>16</v>
      </c>
      <c r="DE131" s="72">
        <v>16</v>
      </c>
      <c r="DF131" s="72">
        <v>16</v>
      </c>
      <c r="DG131" s="72">
        <v>16</v>
      </c>
      <c r="DH131" s="72">
        <v>16</v>
      </c>
      <c r="DI131" s="72">
        <v>16</v>
      </c>
      <c r="DJ131" s="72">
        <v>16</v>
      </c>
      <c r="DK131" s="72">
        <v>16</v>
      </c>
      <c r="DL131" s="72">
        <v>16</v>
      </c>
      <c r="DM131" s="72">
        <v>16</v>
      </c>
    </row>
    <row r="132" spans="1:117" x14ac:dyDescent="0.35">
      <c r="A132" s="7"/>
      <c r="B132" s="8" t="s">
        <v>234</v>
      </c>
      <c r="C132" s="9" t="s">
        <v>235</v>
      </c>
      <c r="D132" s="10" t="s">
        <v>92</v>
      </c>
      <c r="E132" s="8" t="s">
        <v>1209</v>
      </c>
      <c r="F132" s="10">
        <v>1101</v>
      </c>
      <c r="G132" s="10" t="s">
        <v>92</v>
      </c>
      <c r="H132" s="10" t="s">
        <v>41</v>
      </c>
      <c r="I132" s="11">
        <v>1843</v>
      </c>
      <c r="J132" s="10">
        <v>50</v>
      </c>
      <c r="K132" s="10"/>
      <c r="L132" s="8" t="s">
        <v>236</v>
      </c>
      <c r="M132" s="12">
        <v>0.504</v>
      </c>
      <c r="N132" s="12">
        <f t="shared" si="2"/>
        <v>612.86400000000003</v>
      </c>
      <c r="O132" s="11">
        <v>1914</v>
      </c>
      <c r="P132" s="11">
        <v>1914</v>
      </c>
      <c r="Q132" s="11">
        <v>1914</v>
      </c>
      <c r="R132" s="11">
        <v>1914</v>
      </c>
      <c r="S132" s="11">
        <v>1913</v>
      </c>
      <c r="T132" s="11">
        <v>1463</v>
      </c>
      <c r="U132" s="11">
        <v>1863</v>
      </c>
      <c r="V132" s="11">
        <v>1863</v>
      </c>
      <c r="W132" s="11">
        <v>1863</v>
      </c>
      <c r="X132" s="11">
        <v>1863</v>
      </c>
      <c r="Y132" s="11">
        <v>1863</v>
      </c>
      <c r="Z132" s="11">
        <v>1843</v>
      </c>
      <c r="AA132" s="11">
        <v>1843</v>
      </c>
      <c r="AB132" s="11">
        <v>1843</v>
      </c>
      <c r="AC132" s="11">
        <v>1843</v>
      </c>
      <c r="AD132" s="11">
        <v>1843</v>
      </c>
      <c r="AE132" s="11">
        <v>1843</v>
      </c>
      <c r="AF132" s="11">
        <v>1843</v>
      </c>
      <c r="AG132" s="11">
        <v>1843</v>
      </c>
      <c r="AH132" s="11">
        <v>1843</v>
      </c>
      <c r="AI132" s="11">
        <v>1843</v>
      </c>
      <c r="AJ132" s="11">
        <v>1843</v>
      </c>
      <c r="AK132" s="11">
        <v>1843</v>
      </c>
      <c r="AL132" s="11">
        <v>1482</v>
      </c>
      <c r="AM132" s="11">
        <v>1482</v>
      </c>
      <c r="AN132" s="72">
        <v>1482</v>
      </c>
      <c r="AO132" s="72">
        <v>1482</v>
      </c>
      <c r="AP132" s="72">
        <v>1482</v>
      </c>
      <c r="AQ132" s="72">
        <v>1482</v>
      </c>
      <c r="AR132" s="72">
        <v>1482</v>
      </c>
      <c r="AS132" s="72">
        <v>1482</v>
      </c>
      <c r="AT132" s="72">
        <v>1482</v>
      </c>
      <c r="AU132" s="72">
        <v>1482</v>
      </c>
      <c r="AV132" s="72">
        <v>1482</v>
      </c>
      <c r="AW132" s="72">
        <v>1482</v>
      </c>
      <c r="AX132" s="72">
        <v>1462</v>
      </c>
      <c r="AY132" s="72">
        <v>1462</v>
      </c>
      <c r="AZ132" s="72">
        <v>1462</v>
      </c>
      <c r="BA132" s="72">
        <v>1462</v>
      </c>
      <c r="BB132" s="72">
        <v>1462</v>
      </c>
      <c r="BC132" s="72">
        <v>1462</v>
      </c>
      <c r="BD132" s="72">
        <v>1462</v>
      </c>
      <c r="BE132" s="72">
        <v>1462</v>
      </c>
      <c r="BF132" s="72">
        <v>1462</v>
      </c>
      <c r="BG132" s="72">
        <v>1462</v>
      </c>
      <c r="BH132" s="72">
        <v>1462</v>
      </c>
      <c r="BI132" s="72">
        <v>1462</v>
      </c>
      <c r="BJ132" s="72">
        <v>1462</v>
      </c>
      <c r="BK132" s="72">
        <v>1412</v>
      </c>
      <c r="BL132" s="72">
        <v>1412</v>
      </c>
      <c r="BM132" s="72">
        <v>1412</v>
      </c>
      <c r="BN132" s="72">
        <v>1412</v>
      </c>
      <c r="BO132" s="72">
        <v>1412</v>
      </c>
      <c r="BP132" s="72">
        <v>1184</v>
      </c>
      <c r="BQ132" s="72">
        <v>1184</v>
      </c>
      <c r="BR132" s="72">
        <v>1184</v>
      </c>
      <c r="BS132" s="72">
        <v>1121</v>
      </c>
      <c r="BT132" s="72">
        <v>1096</v>
      </c>
      <c r="BU132" s="72">
        <v>1096</v>
      </c>
      <c r="BV132" s="72">
        <v>1084</v>
      </c>
      <c r="BW132" s="72">
        <v>1084</v>
      </c>
      <c r="BX132" s="72">
        <v>1084</v>
      </c>
      <c r="BY132" s="72">
        <v>1084</v>
      </c>
      <c r="BZ132" s="72">
        <v>1084</v>
      </c>
      <c r="CA132" s="72">
        <v>1084</v>
      </c>
      <c r="CB132" s="72">
        <v>1084</v>
      </c>
      <c r="CC132" s="72">
        <v>1084</v>
      </c>
      <c r="CD132" s="72">
        <v>1084</v>
      </c>
      <c r="CE132" s="72">
        <v>1084</v>
      </c>
      <c r="CF132" s="72">
        <v>1416</v>
      </c>
      <c r="CG132" s="72">
        <v>1416</v>
      </c>
      <c r="CH132" s="72">
        <v>1416</v>
      </c>
      <c r="CI132" s="72">
        <v>1416</v>
      </c>
      <c r="CJ132" s="72">
        <v>1416</v>
      </c>
      <c r="CK132" s="72">
        <v>1416</v>
      </c>
      <c r="CL132" s="72">
        <v>1416</v>
      </c>
      <c r="CM132" s="72">
        <v>1416</v>
      </c>
      <c r="CN132" s="72">
        <v>1416</v>
      </c>
      <c r="CO132" s="72">
        <v>1416</v>
      </c>
      <c r="CP132" s="72">
        <v>1416</v>
      </c>
      <c r="CQ132" s="72">
        <v>1416</v>
      </c>
      <c r="CR132" s="72">
        <v>1416</v>
      </c>
      <c r="CS132" s="72">
        <v>1416</v>
      </c>
      <c r="CT132" s="72">
        <v>1416</v>
      </c>
      <c r="CU132" s="72">
        <v>1416</v>
      </c>
      <c r="CV132" s="72">
        <v>1416</v>
      </c>
      <c r="CW132" s="72">
        <v>1416</v>
      </c>
      <c r="CX132" s="72">
        <v>1416</v>
      </c>
      <c r="CY132" s="72">
        <v>1416</v>
      </c>
      <c r="CZ132" s="72">
        <v>1416</v>
      </c>
      <c r="DA132" s="72">
        <v>1216</v>
      </c>
      <c r="DB132" s="72">
        <v>1216</v>
      </c>
      <c r="DC132" s="72">
        <v>1216</v>
      </c>
      <c r="DD132" s="72">
        <v>1216</v>
      </c>
      <c r="DE132" s="72">
        <v>1216</v>
      </c>
      <c r="DF132" s="72">
        <v>1216</v>
      </c>
      <c r="DG132" s="72">
        <v>1216</v>
      </c>
      <c r="DH132" s="72">
        <v>1216</v>
      </c>
      <c r="DI132" s="72">
        <v>1216</v>
      </c>
      <c r="DJ132" s="72">
        <v>1216</v>
      </c>
      <c r="DK132" s="72">
        <v>1216</v>
      </c>
      <c r="DL132" s="72">
        <v>1216</v>
      </c>
      <c r="DM132" s="72">
        <v>1216</v>
      </c>
    </row>
    <row r="133" spans="1:117" x14ac:dyDescent="0.35">
      <c r="A133" s="7"/>
      <c r="B133" s="8" t="s">
        <v>237</v>
      </c>
      <c r="C133" s="9" t="s">
        <v>238</v>
      </c>
      <c r="D133" s="10" t="s">
        <v>92</v>
      </c>
      <c r="E133" s="8" t="s">
        <v>1209</v>
      </c>
      <c r="F133" s="10">
        <v>1101</v>
      </c>
      <c r="G133" s="10" t="s">
        <v>92</v>
      </c>
      <c r="H133" s="10" t="s">
        <v>41</v>
      </c>
      <c r="I133" s="11">
        <v>1828</v>
      </c>
      <c r="J133" s="10">
        <v>1</v>
      </c>
      <c r="K133" s="10" t="s">
        <v>42</v>
      </c>
      <c r="L133" s="8" t="s">
        <v>206</v>
      </c>
      <c r="M133" s="12">
        <v>0.53878423999999969</v>
      </c>
      <c r="N133" s="12">
        <f t="shared" si="2"/>
        <v>0</v>
      </c>
      <c r="O133" s="11">
        <v>1981</v>
      </c>
      <c r="P133" s="11">
        <v>1981</v>
      </c>
      <c r="Q133" s="11">
        <v>1981</v>
      </c>
      <c r="R133" s="11">
        <v>1980</v>
      </c>
      <c r="S133" s="11">
        <v>1980</v>
      </c>
      <c r="T133" s="11">
        <v>1980</v>
      </c>
      <c r="U133" s="11">
        <v>1980</v>
      </c>
      <c r="V133" s="11">
        <v>1980</v>
      </c>
      <c r="W133" s="11">
        <v>1980</v>
      </c>
      <c r="X133" s="11">
        <v>1980</v>
      </c>
      <c r="Y133" s="11">
        <v>1980</v>
      </c>
      <c r="Z133" s="11">
        <v>1980</v>
      </c>
      <c r="AA133" s="11">
        <v>1980</v>
      </c>
      <c r="AB133" s="11">
        <v>1980</v>
      </c>
      <c r="AC133" s="11">
        <v>1980</v>
      </c>
      <c r="AD133" s="11">
        <v>1980</v>
      </c>
      <c r="AE133" s="11">
        <v>1978</v>
      </c>
      <c r="AF133" s="11">
        <v>1978</v>
      </c>
      <c r="AG133" s="11">
        <v>1828</v>
      </c>
      <c r="AH133" s="11">
        <v>1678</v>
      </c>
      <c r="AI133" s="11">
        <v>1678</v>
      </c>
      <c r="AJ133" s="11">
        <v>1678</v>
      </c>
      <c r="AK133" s="11">
        <v>1678</v>
      </c>
      <c r="AL133" s="11">
        <v>1328</v>
      </c>
      <c r="AM133" s="72">
        <v>1278</v>
      </c>
      <c r="AN133" s="72">
        <v>1278</v>
      </c>
      <c r="AO133" s="72">
        <v>1238</v>
      </c>
      <c r="AP133" s="72">
        <v>1238</v>
      </c>
      <c r="AQ133" s="72">
        <v>1238</v>
      </c>
      <c r="AR133" s="72">
        <v>1198</v>
      </c>
      <c r="AS133" s="72">
        <v>1198</v>
      </c>
      <c r="AT133" s="72">
        <v>1198</v>
      </c>
      <c r="AU133" s="72">
        <v>1198</v>
      </c>
      <c r="AV133" s="72">
        <v>1198</v>
      </c>
      <c r="AW133" s="72">
        <v>1198</v>
      </c>
      <c r="AX133" s="72">
        <v>1198</v>
      </c>
      <c r="AY133" s="72">
        <v>1198</v>
      </c>
      <c r="AZ133" s="72">
        <v>1198</v>
      </c>
      <c r="BA133" s="72">
        <v>1198</v>
      </c>
      <c r="BB133" s="72">
        <v>1198</v>
      </c>
      <c r="BC133" s="72">
        <v>1198</v>
      </c>
      <c r="BD133" s="72">
        <v>1198</v>
      </c>
      <c r="BE133" s="72">
        <v>1198</v>
      </c>
      <c r="BF133" s="72">
        <v>1198</v>
      </c>
      <c r="BG133" s="72">
        <v>1198</v>
      </c>
      <c r="BH133" s="72">
        <v>1198</v>
      </c>
      <c r="BI133" s="72">
        <v>1198</v>
      </c>
      <c r="BJ133" s="72">
        <v>1198</v>
      </c>
      <c r="BK133" s="72">
        <v>1148</v>
      </c>
      <c r="BL133" s="72">
        <v>1148</v>
      </c>
      <c r="BM133" s="72">
        <v>1148</v>
      </c>
      <c r="BN133" s="72">
        <v>1148</v>
      </c>
      <c r="BO133" s="72">
        <v>1148</v>
      </c>
      <c r="BP133" s="72">
        <v>0</v>
      </c>
      <c r="BQ133" s="72">
        <v>0</v>
      </c>
      <c r="BR133" s="72">
        <v>0</v>
      </c>
      <c r="BS133" s="72">
        <v>0</v>
      </c>
      <c r="BT133" s="72">
        <v>0</v>
      </c>
      <c r="BU133" s="72">
        <v>0</v>
      </c>
      <c r="BV133" s="72">
        <v>0</v>
      </c>
      <c r="BW133" s="72">
        <v>0</v>
      </c>
      <c r="BX133" s="72">
        <v>0</v>
      </c>
      <c r="BY133" s="72">
        <v>0</v>
      </c>
      <c r="BZ133" s="72">
        <v>0</v>
      </c>
      <c r="CA133" s="72">
        <v>0</v>
      </c>
      <c r="CB133" s="72">
        <v>0</v>
      </c>
      <c r="CC133" s="72">
        <v>0</v>
      </c>
      <c r="CD133" s="72">
        <v>0</v>
      </c>
      <c r="CE133" s="72">
        <v>0</v>
      </c>
      <c r="CF133" s="72">
        <v>1</v>
      </c>
      <c r="CG133" s="72">
        <v>1</v>
      </c>
      <c r="CH133" s="72">
        <v>1</v>
      </c>
      <c r="CI133" s="72">
        <v>1</v>
      </c>
      <c r="CJ133" s="72">
        <v>1</v>
      </c>
      <c r="CK133" s="72">
        <v>0</v>
      </c>
      <c r="CL133" s="72">
        <v>0</v>
      </c>
      <c r="CM133" s="72">
        <v>0</v>
      </c>
      <c r="CN133" s="72">
        <v>0</v>
      </c>
      <c r="CO133" s="72">
        <v>0</v>
      </c>
      <c r="CP133" s="72">
        <v>0</v>
      </c>
      <c r="CQ133" s="72">
        <v>0</v>
      </c>
      <c r="CR133" s="72">
        <v>0</v>
      </c>
      <c r="CS133" s="72">
        <v>0</v>
      </c>
      <c r="CT133" s="72">
        <v>0</v>
      </c>
      <c r="CU133" s="72">
        <v>0</v>
      </c>
      <c r="CV133" s="72">
        <v>0</v>
      </c>
      <c r="CW133" s="72">
        <v>0</v>
      </c>
      <c r="CX133" s="72">
        <v>0</v>
      </c>
      <c r="CY133" s="72">
        <v>0</v>
      </c>
      <c r="CZ133" s="72">
        <v>0</v>
      </c>
      <c r="DA133" s="72">
        <v>0</v>
      </c>
      <c r="DB133" s="72">
        <v>0</v>
      </c>
      <c r="DC133" s="72">
        <v>0</v>
      </c>
      <c r="DD133" s="72">
        <v>0</v>
      </c>
      <c r="DE133" s="72">
        <v>0</v>
      </c>
      <c r="DF133" s="72">
        <v>0</v>
      </c>
      <c r="DG133" s="72">
        <v>0</v>
      </c>
      <c r="DH133" s="72">
        <v>0</v>
      </c>
      <c r="DI133" s="72">
        <v>0</v>
      </c>
      <c r="DJ133" s="72">
        <v>0</v>
      </c>
      <c r="DK133" s="72">
        <v>0</v>
      </c>
      <c r="DL133" s="72">
        <v>0</v>
      </c>
      <c r="DM133" s="72">
        <v>0</v>
      </c>
    </row>
    <row r="134" spans="1:117" x14ac:dyDescent="0.35">
      <c r="A134" s="7"/>
      <c r="B134" s="8" t="s">
        <v>239</v>
      </c>
      <c r="C134" s="9" t="s">
        <v>240</v>
      </c>
      <c r="D134" s="10" t="s">
        <v>92</v>
      </c>
      <c r="E134" s="8" t="s">
        <v>1209</v>
      </c>
      <c r="F134" s="10">
        <v>1101</v>
      </c>
      <c r="G134" s="10" t="s">
        <v>92</v>
      </c>
      <c r="H134" s="10" t="s">
        <v>41</v>
      </c>
      <c r="I134" s="11">
        <v>1468</v>
      </c>
      <c r="J134" s="10"/>
      <c r="K134" s="10" t="s">
        <v>42</v>
      </c>
      <c r="L134" s="8"/>
      <c r="M134" s="12">
        <v>0.67247999999999997</v>
      </c>
      <c r="N134" s="12">
        <f t="shared" si="2"/>
        <v>614.64671999999996</v>
      </c>
      <c r="O134" s="11">
        <v>1468</v>
      </c>
      <c r="P134" s="11">
        <v>1468</v>
      </c>
      <c r="Q134" s="11">
        <v>1468</v>
      </c>
      <c r="R134" s="11">
        <v>1468</v>
      </c>
      <c r="S134" s="11">
        <v>1468</v>
      </c>
      <c r="T134" s="11">
        <v>1468</v>
      </c>
      <c r="U134" s="11">
        <v>1468</v>
      </c>
      <c r="V134" s="11">
        <v>1468</v>
      </c>
      <c r="W134" s="11">
        <v>1468</v>
      </c>
      <c r="X134" s="11">
        <v>1468</v>
      </c>
      <c r="Y134" s="11">
        <v>1468</v>
      </c>
      <c r="Z134" s="11">
        <v>1468</v>
      </c>
      <c r="AA134" s="11">
        <v>1468</v>
      </c>
      <c r="AB134" s="11">
        <v>1468</v>
      </c>
      <c r="AC134" s="11">
        <v>1468</v>
      </c>
      <c r="AD134" s="11">
        <v>1468</v>
      </c>
      <c r="AE134" s="11">
        <v>1468</v>
      </c>
      <c r="AF134" s="11">
        <v>1468</v>
      </c>
      <c r="AG134" s="11">
        <v>1468</v>
      </c>
      <c r="AH134" s="11">
        <v>1468</v>
      </c>
      <c r="AI134" s="11">
        <v>1468</v>
      </c>
      <c r="AJ134" s="11">
        <v>1468</v>
      </c>
      <c r="AK134" s="11">
        <v>1468</v>
      </c>
      <c r="AL134" s="11">
        <v>1468</v>
      </c>
      <c r="AM134" s="11">
        <v>1468</v>
      </c>
      <c r="AN134" s="72">
        <v>1468</v>
      </c>
      <c r="AO134" s="72">
        <v>1418</v>
      </c>
      <c r="AP134" s="72">
        <v>1418</v>
      </c>
      <c r="AQ134" s="72">
        <v>1355</v>
      </c>
      <c r="AR134" s="72">
        <v>1195</v>
      </c>
      <c r="AS134" s="72">
        <v>1195</v>
      </c>
      <c r="AT134" s="72">
        <v>1195</v>
      </c>
      <c r="AU134" s="72">
        <v>1195</v>
      </c>
      <c r="AV134" s="72">
        <v>1195</v>
      </c>
      <c r="AW134" s="72">
        <v>1195</v>
      </c>
      <c r="AX134" s="72">
        <v>1195</v>
      </c>
      <c r="AY134" s="72">
        <v>1195</v>
      </c>
      <c r="AZ134" s="72">
        <v>1195</v>
      </c>
      <c r="BA134" s="72">
        <v>1195</v>
      </c>
      <c r="BB134" s="72">
        <v>1195</v>
      </c>
      <c r="BC134" s="72">
        <v>1195</v>
      </c>
      <c r="BD134" s="72">
        <v>1195</v>
      </c>
      <c r="BE134" s="72">
        <v>1195</v>
      </c>
      <c r="BF134" s="72">
        <v>1195</v>
      </c>
      <c r="BG134" s="72">
        <v>1195</v>
      </c>
      <c r="BH134" s="72">
        <v>1108</v>
      </c>
      <c r="BI134" s="72">
        <v>1108</v>
      </c>
      <c r="BJ134" s="72">
        <v>1108</v>
      </c>
      <c r="BK134" s="72">
        <v>1058</v>
      </c>
      <c r="BL134" s="72">
        <v>1058</v>
      </c>
      <c r="BM134" s="72">
        <v>1058</v>
      </c>
      <c r="BN134" s="72">
        <v>971</v>
      </c>
      <c r="BO134" s="72">
        <v>971</v>
      </c>
      <c r="BP134" s="72">
        <v>1058</v>
      </c>
      <c r="BQ134" s="72">
        <v>1058</v>
      </c>
      <c r="BR134" s="72">
        <v>1058</v>
      </c>
      <c r="BS134" s="72">
        <v>1035</v>
      </c>
      <c r="BT134" s="72">
        <v>980</v>
      </c>
      <c r="BU134" s="72">
        <v>997</v>
      </c>
      <c r="BV134" s="72">
        <v>927</v>
      </c>
      <c r="BW134" s="72">
        <v>877</v>
      </c>
      <c r="BX134" s="72">
        <v>877</v>
      </c>
      <c r="BY134" s="72">
        <v>877</v>
      </c>
      <c r="BZ134" s="72">
        <v>877</v>
      </c>
      <c r="CA134" s="72">
        <v>877</v>
      </c>
      <c r="CB134" s="72">
        <v>877</v>
      </c>
      <c r="CC134" s="72">
        <v>877</v>
      </c>
      <c r="CD134" s="72">
        <v>872</v>
      </c>
      <c r="CE134" s="72">
        <v>872</v>
      </c>
      <c r="CF134" s="72">
        <v>914</v>
      </c>
      <c r="CG134" s="72">
        <v>914</v>
      </c>
      <c r="CH134" s="72">
        <v>914</v>
      </c>
      <c r="CI134" s="72">
        <v>914</v>
      </c>
      <c r="CJ134" s="72">
        <v>914</v>
      </c>
      <c r="CK134" s="72">
        <v>914</v>
      </c>
      <c r="CL134" s="72">
        <v>914</v>
      </c>
      <c r="CM134" s="72">
        <v>914</v>
      </c>
      <c r="CN134" s="72">
        <v>914</v>
      </c>
      <c r="CO134" s="72">
        <v>914</v>
      </c>
      <c r="CP134" s="72">
        <v>914</v>
      </c>
      <c r="CQ134" s="72">
        <v>914</v>
      </c>
      <c r="CR134" s="72">
        <v>914</v>
      </c>
      <c r="CS134" s="72">
        <v>914</v>
      </c>
      <c r="CT134" s="72">
        <v>914</v>
      </c>
      <c r="CU134" s="72">
        <v>914</v>
      </c>
      <c r="CV134" s="72">
        <v>914</v>
      </c>
      <c r="CW134" s="72">
        <v>914</v>
      </c>
      <c r="CX134" s="72">
        <v>914</v>
      </c>
      <c r="CY134" s="72">
        <v>914</v>
      </c>
      <c r="CZ134" s="72">
        <v>914</v>
      </c>
      <c r="DA134" s="72">
        <v>914</v>
      </c>
      <c r="DB134" s="72">
        <v>914</v>
      </c>
      <c r="DC134" s="72">
        <v>914</v>
      </c>
      <c r="DD134" s="72">
        <v>914</v>
      </c>
      <c r="DE134" s="72">
        <v>914</v>
      </c>
      <c r="DF134" s="72">
        <v>914</v>
      </c>
      <c r="DG134" s="72">
        <v>914</v>
      </c>
      <c r="DH134" s="72">
        <v>914</v>
      </c>
      <c r="DI134" s="72">
        <v>914</v>
      </c>
      <c r="DJ134" s="72">
        <v>914</v>
      </c>
      <c r="DK134" s="72">
        <v>914</v>
      </c>
      <c r="DL134" s="72">
        <v>914</v>
      </c>
      <c r="DM134" s="72">
        <v>914</v>
      </c>
    </row>
    <row r="135" spans="1:117" x14ac:dyDescent="0.35">
      <c r="A135" s="7"/>
      <c r="B135" s="8" t="s">
        <v>241</v>
      </c>
      <c r="C135" s="9" t="s">
        <v>242</v>
      </c>
      <c r="D135" s="10" t="s">
        <v>92</v>
      </c>
      <c r="E135" s="8" t="s">
        <v>1209</v>
      </c>
      <c r="F135" s="10">
        <v>1101</v>
      </c>
      <c r="G135" s="10" t="s">
        <v>92</v>
      </c>
      <c r="H135" s="10" t="s">
        <v>41</v>
      </c>
      <c r="I135" s="11">
        <v>678</v>
      </c>
      <c r="J135" s="10">
        <v>15</v>
      </c>
      <c r="K135" s="10" t="s">
        <v>42</v>
      </c>
      <c r="L135" s="8" t="s">
        <v>243</v>
      </c>
      <c r="M135" s="12">
        <v>0.82379999999999998</v>
      </c>
      <c r="N135" s="12">
        <f t="shared" si="2"/>
        <v>2.4714</v>
      </c>
      <c r="O135" s="11">
        <v>1349</v>
      </c>
      <c r="P135" s="11">
        <v>1349</v>
      </c>
      <c r="Q135" s="11">
        <v>1349</v>
      </c>
      <c r="R135" s="11">
        <v>1349</v>
      </c>
      <c r="S135" s="11">
        <v>1349</v>
      </c>
      <c r="T135" s="11">
        <v>1299</v>
      </c>
      <c r="U135" s="11">
        <v>1291</v>
      </c>
      <c r="V135" s="11">
        <v>1316</v>
      </c>
      <c r="W135" s="11">
        <v>1316</v>
      </c>
      <c r="X135" s="11">
        <v>1316</v>
      </c>
      <c r="Y135" s="11">
        <v>1316</v>
      </c>
      <c r="Z135" s="11">
        <v>1298</v>
      </c>
      <c r="AA135" s="11">
        <v>1298</v>
      </c>
      <c r="AB135" s="11">
        <v>778</v>
      </c>
      <c r="AC135" s="11">
        <v>778</v>
      </c>
      <c r="AD135" s="11">
        <v>778</v>
      </c>
      <c r="AE135" s="11">
        <v>678</v>
      </c>
      <c r="AF135" s="11">
        <v>678</v>
      </c>
      <c r="AG135" s="11">
        <v>678</v>
      </c>
      <c r="AH135" s="11">
        <v>678</v>
      </c>
      <c r="AI135" s="11">
        <v>678</v>
      </c>
      <c r="AJ135" s="11">
        <v>678</v>
      </c>
      <c r="AK135" s="11">
        <v>676</v>
      </c>
      <c r="AL135" s="11">
        <v>676</v>
      </c>
      <c r="AM135" s="11">
        <v>626</v>
      </c>
      <c r="AN135" s="72">
        <v>626</v>
      </c>
      <c r="AO135" s="72">
        <v>86</v>
      </c>
      <c r="AP135" s="72">
        <v>86</v>
      </c>
      <c r="AQ135" s="72">
        <v>86</v>
      </c>
      <c r="AR135" s="72">
        <v>86</v>
      </c>
      <c r="AS135" s="72">
        <v>86</v>
      </c>
      <c r="AT135" s="72">
        <v>86</v>
      </c>
      <c r="AU135" s="72">
        <v>86</v>
      </c>
      <c r="AV135" s="72">
        <v>86</v>
      </c>
      <c r="AW135" s="72">
        <v>45</v>
      </c>
      <c r="AX135" s="72">
        <v>45</v>
      </c>
      <c r="AY135" s="72">
        <v>34</v>
      </c>
      <c r="AZ135" s="72">
        <v>34</v>
      </c>
      <c r="BA135" s="72">
        <v>34</v>
      </c>
      <c r="BB135" s="72">
        <v>2</v>
      </c>
      <c r="BC135" s="72">
        <v>2</v>
      </c>
      <c r="BD135" s="72">
        <v>5</v>
      </c>
      <c r="BE135" s="72">
        <v>5</v>
      </c>
      <c r="BF135" s="72">
        <v>5</v>
      </c>
      <c r="BG135" s="72">
        <v>5</v>
      </c>
      <c r="BH135" s="72">
        <v>5</v>
      </c>
      <c r="BI135" s="72">
        <v>5</v>
      </c>
      <c r="BJ135" s="72">
        <v>5</v>
      </c>
      <c r="BK135" s="72">
        <v>5</v>
      </c>
      <c r="BL135" s="72">
        <v>5</v>
      </c>
      <c r="BM135" s="72">
        <v>5</v>
      </c>
      <c r="BN135" s="72">
        <v>5</v>
      </c>
      <c r="BO135" s="72">
        <v>5</v>
      </c>
      <c r="BP135" s="72">
        <v>5</v>
      </c>
      <c r="BQ135" s="72">
        <v>5</v>
      </c>
      <c r="BR135" s="72">
        <v>5</v>
      </c>
      <c r="BS135" s="72">
        <v>3</v>
      </c>
      <c r="BT135" s="72">
        <v>3</v>
      </c>
      <c r="BU135" s="72">
        <v>3</v>
      </c>
      <c r="BV135" s="72">
        <v>0</v>
      </c>
      <c r="BW135" s="72">
        <v>0</v>
      </c>
      <c r="BX135" s="72">
        <v>0</v>
      </c>
      <c r="BY135" s="72">
        <v>0</v>
      </c>
      <c r="BZ135" s="72">
        <v>0</v>
      </c>
      <c r="CA135" s="72">
        <v>0</v>
      </c>
      <c r="CB135" s="72">
        <v>0</v>
      </c>
      <c r="CC135" s="72">
        <v>0</v>
      </c>
      <c r="CD135" s="72">
        <v>0</v>
      </c>
      <c r="CE135" s="72">
        <v>0</v>
      </c>
      <c r="CF135" s="72">
        <v>4</v>
      </c>
      <c r="CG135" s="72">
        <v>4</v>
      </c>
      <c r="CH135" s="72">
        <v>4</v>
      </c>
      <c r="CI135" s="72">
        <v>4</v>
      </c>
      <c r="CJ135" s="72">
        <v>4</v>
      </c>
      <c r="CK135" s="72">
        <v>4</v>
      </c>
      <c r="CL135" s="72">
        <v>4</v>
      </c>
      <c r="CM135" s="72">
        <v>4</v>
      </c>
      <c r="CN135" s="72">
        <v>4</v>
      </c>
      <c r="CO135" s="72">
        <v>4</v>
      </c>
      <c r="CP135" s="72">
        <v>4</v>
      </c>
      <c r="CQ135" s="72">
        <v>4</v>
      </c>
      <c r="CR135" s="72">
        <v>4</v>
      </c>
      <c r="CS135" s="72">
        <v>4</v>
      </c>
      <c r="CT135" s="72">
        <v>4</v>
      </c>
      <c r="CU135" s="72">
        <v>4</v>
      </c>
      <c r="CV135" s="72">
        <v>4</v>
      </c>
      <c r="CW135" s="72">
        <v>4</v>
      </c>
      <c r="CX135" s="72">
        <v>4</v>
      </c>
      <c r="CY135" s="72">
        <v>4</v>
      </c>
      <c r="CZ135" s="72">
        <v>4</v>
      </c>
      <c r="DA135" s="72">
        <v>4</v>
      </c>
      <c r="DB135" s="72">
        <v>4</v>
      </c>
      <c r="DC135" s="72">
        <v>4</v>
      </c>
      <c r="DD135" s="72">
        <v>4</v>
      </c>
      <c r="DE135" s="72">
        <v>4</v>
      </c>
      <c r="DF135" s="72">
        <v>4</v>
      </c>
      <c r="DG135" s="72">
        <v>4</v>
      </c>
      <c r="DH135" s="72">
        <v>4</v>
      </c>
      <c r="DI135" s="72">
        <v>4</v>
      </c>
      <c r="DJ135" s="72">
        <v>4</v>
      </c>
      <c r="DK135" s="72">
        <v>3</v>
      </c>
      <c r="DL135" s="72">
        <v>3</v>
      </c>
      <c r="DM135" s="72">
        <v>3</v>
      </c>
    </row>
    <row r="136" spans="1:117" x14ac:dyDescent="0.35">
      <c r="A136" s="7"/>
      <c r="B136" s="8" t="s">
        <v>244</v>
      </c>
      <c r="C136" s="9" t="s">
        <v>245</v>
      </c>
      <c r="D136" s="10" t="s">
        <v>92</v>
      </c>
      <c r="E136" s="8" t="s">
        <v>1209</v>
      </c>
      <c r="F136" s="10">
        <v>1101</v>
      </c>
      <c r="G136" s="10" t="s">
        <v>92</v>
      </c>
      <c r="H136" s="10" t="s">
        <v>41</v>
      </c>
      <c r="I136" s="11">
        <v>1656</v>
      </c>
      <c r="J136" s="10"/>
      <c r="K136" s="10" t="s">
        <v>42</v>
      </c>
      <c r="L136" s="8"/>
      <c r="M136" s="12">
        <v>1.2661199999999999</v>
      </c>
      <c r="N136" s="12">
        <f t="shared" si="2"/>
        <v>0</v>
      </c>
      <c r="O136" s="11">
        <v>1703</v>
      </c>
      <c r="P136" s="11">
        <v>1703</v>
      </c>
      <c r="Q136" s="11">
        <v>1703</v>
      </c>
      <c r="R136" s="11">
        <v>1692</v>
      </c>
      <c r="S136" s="11">
        <v>1692</v>
      </c>
      <c r="T136" s="11">
        <v>1682</v>
      </c>
      <c r="U136" s="11">
        <v>1682</v>
      </c>
      <c r="V136" s="11">
        <v>1692</v>
      </c>
      <c r="W136" s="11">
        <v>1692</v>
      </c>
      <c r="X136" s="11">
        <v>1677</v>
      </c>
      <c r="Y136" s="11">
        <v>1677</v>
      </c>
      <c r="Z136" s="11">
        <v>1657</v>
      </c>
      <c r="AA136" s="11">
        <v>1657</v>
      </c>
      <c r="AB136" s="11">
        <v>1657</v>
      </c>
      <c r="AC136" s="11">
        <v>1657</v>
      </c>
      <c r="AD136" s="11">
        <v>1657</v>
      </c>
      <c r="AE136" s="11">
        <v>1656</v>
      </c>
      <c r="AF136" s="11">
        <v>1656</v>
      </c>
      <c r="AG136" s="11">
        <v>1656</v>
      </c>
      <c r="AH136" s="11">
        <v>1656</v>
      </c>
      <c r="AI136" s="11">
        <v>1656</v>
      </c>
      <c r="AJ136" s="11">
        <v>1656</v>
      </c>
      <c r="AK136" s="11">
        <v>1656</v>
      </c>
      <c r="AL136" s="11">
        <v>1636</v>
      </c>
      <c r="AM136" s="11">
        <v>1586</v>
      </c>
      <c r="AN136" s="72">
        <v>1586</v>
      </c>
      <c r="AO136" s="72">
        <v>1586</v>
      </c>
      <c r="AP136" s="72">
        <v>1586</v>
      </c>
      <c r="AQ136" s="72">
        <v>1586</v>
      </c>
      <c r="AR136" s="72">
        <v>1566</v>
      </c>
      <c r="AS136" s="72">
        <v>1566</v>
      </c>
      <c r="AT136" s="72">
        <v>1566</v>
      </c>
      <c r="AU136" s="72">
        <v>1566</v>
      </c>
      <c r="AV136" s="72">
        <v>566</v>
      </c>
      <c r="AW136" s="72">
        <v>516</v>
      </c>
      <c r="AX136" s="72">
        <v>516</v>
      </c>
      <c r="AY136" s="72">
        <v>516</v>
      </c>
      <c r="AZ136" s="72">
        <v>516</v>
      </c>
      <c r="BA136" s="72">
        <v>516</v>
      </c>
      <c r="BB136" s="72">
        <v>516</v>
      </c>
      <c r="BC136" s="72">
        <v>516</v>
      </c>
      <c r="BD136" s="72">
        <v>386</v>
      </c>
      <c r="BE136" s="72">
        <v>386</v>
      </c>
      <c r="BF136" s="72">
        <v>376</v>
      </c>
      <c r="BG136" s="72">
        <v>376</v>
      </c>
      <c r="BH136" s="72">
        <v>376</v>
      </c>
      <c r="BI136" s="72">
        <v>376</v>
      </c>
      <c r="BJ136" s="72">
        <v>376</v>
      </c>
      <c r="BK136" s="72">
        <v>376</v>
      </c>
      <c r="BL136" s="72">
        <v>376</v>
      </c>
      <c r="BM136" s="72">
        <v>376</v>
      </c>
      <c r="BN136" s="72">
        <v>376</v>
      </c>
      <c r="BO136" s="72">
        <v>376</v>
      </c>
      <c r="BP136" s="72">
        <v>376</v>
      </c>
      <c r="BQ136" s="72">
        <v>376</v>
      </c>
      <c r="BR136" s="72">
        <v>376</v>
      </c>
      <c r="BS136" s="72">
        <v>344</v>
      </c>
      <c r="BT136" s="72">
        <v>344</v>
      </c>
      <c r="BU136" s="72">
        <v>344</v>
      </c>
      <c r="BV136" s="72">
        <v>338</v>
      </c>
      <c r="BW136" s="72">
        <v>338</v>
      </c>
      <c r="BX136" s="72">
        <v>338</v>
      </c>
      <c r="BY136" s="72">
        <v>338</v>
      </c>
      <c r="BZ136" s="72">
        <v>338</v>
      </c>
      <c r="CA136" s="72">
        <v>326</v>
      </c>
      <c r="CB136" s="72">
        <v>326</v>
      </c>
      <c r="CC136" s="72">
        <v>326</v>
      </c>
      <c r="CD136" s="72">
        <v>326</v>
      </c>
      <c r="CE136" s="72">
        <v>326</v>
      </c>
      <c r="CF136" s="72">
        <v>0</v>
      </c>
      <c r="CG136" s="72">
        <v>0</v>
      </c>
      <c r="CH136" s="72">
        <v>0</v>
      </c>
      <c r="CI136" s="72">
        <v>0</v>
      </c>
      <c r="CJ136" s="72">
        <v>0</v>
      </c>
      <c r="CK136" s="72">
        <v>0</v>
      </c>
      <c r="CL136" s="72">
        <v>0</v>
      </c>
      <c r="CM136" s="72">
        <v>0</v>
      </c>
      <c r="CN136" s="72">
        <v>0</v>
      </c>
      <c r="CO136" s="72">
        <v>0</v>
      </c>
      <c r="CP136" s="72">
        <v>0</v>
      </c>
      <c r="CQ136" s="72">
        <v>0</v>
      </c>
      <c r="CR136" s="72">
        <v>0</v>
      </c>
      <c r="CS136" s="72">
        <v>0</v>
      </c>
      <c r="CT136" s="72">
        <v>0</v>
      </c>
      <c r="CU136" s="72">
        <v>0</v>
      </c>
      <c r="CV136" s="72">
        <v>0</v>
      </c>
      <c r="CW136" s="72">
        <v>0</v>
      </c>
      <c r="CX136" s="72">
        <v>0</v>
      </c>
      <c r="CY136" s="72">
        <v>0</v>
      </c>
      <c r="CZ136" s="72">
        <v>0</v>
      </c>
      <c r="DA136" s="72">
        <v>0</v>
      </c>
      <c r="DB136" s="72">
        <v>0</v>
      </c>
      <c r="DC136" s="72">
        <v>0</v>
      </c>
      <c r="DD136" s="72">
        <v>0</v>
      </c>
      <c r="DE136" s="72">
        <v>0</v>
      </c>
      <c r="DF136" s="72">
        <v>0</v>
      </c>
      <c r="DG136" s="72">
        <v>0</v>
      </c>
      <c r="DH136" s="72">
        <v>0</v>
      </c>
      <c r="DI136" s="72">
        <v>0</v>
      </c>
      <c r="DJ136" s="72">
        <v>0</v>
      </c>
      <c r="DK136" s="72">
        <v>0</v>
      </c>
      <c r="DL136" s="72">
        <v>0</v>
      </c>
      <c r="DM136" s="72">
        <v>0</v>
      </c>
    </row>
    <row r="137" spans="1:117" x14ac:dyDescent="0.35">
      <c r="A137" s="7"/>
      <c r="B137" s="8" t="s">
        <v>246</v>
      </c>
      <c r="C137" s="9" t="s">
        <v>247</v>
      </c>
      <c r="D137" s="10" t="s">
        <v>92</v>
      </c>
      <c r="E137" s="8" t="s">
        <v>1209</v>
      </c>
      <c r="F137" s="10">
        <v>1101</v>
      </c>
      <c r="G137" s="10" t="s">
        <v>92</v>
      </c>
      <c r="H137" s="10" t="s">
        <v>41</v>
      </c>
      <c r="I137" s="11">
        <v>1276</v>
      </c>
      <c r="J137" s="10">
        <v>1</v>
      </c>
      <c r="K137" s="10" t="s">
        <v>42</v>
      </c>
      <c r="L137" s="8" t="s">
        <v>248</v>
      </c>
      <c r="M137" s="12">
        <v>1.6967999999999999</v>
      </c>
      <c r="N137" s="12">
        <f t="shared" si="2"/>
        <v>30.542399999999997</v>
      </c>
      <c r="O137" s="11">
        <v>1311</v>
      </c>
      <c r="P137" s="11">
        <v>1309</v>
      </c>
      <c r="Q137" s="11">
        <v>1309</v>
      </c>
      <c r="R137" s="11">
        <v>1305</v>
      </c>
      <c r="S137" s="11">
        <v>1305</v>
      </c>
      <c r="T137" s="11">
        <v>1305</v>
      </c>
      <c r="U137" s="11">
        <v>1305</v>
      </c>
      <c r="V137" s="11">
        <v>1314</v>
      </c>
      <c r="W137" s="11">
        <v>1314</v>
      </c>
      <c r="X137" s="11">
        <v>1313</v>
      </c>
      <c r="Y137" s="11">
        <v>1313</v>
      </c>
      <c r="Z137" s="11">
        <v>1292</v>
      </c>
      <c r="AA137" s="11">
        <v>1292</v>
      </c>
      <c r="AB137" s="11">
        <v>1292</v>
      </c>
      <c r="AC137" s="11">
        <v>1292</v>
      </c>
      <c r="AD137" s="11">
        <v>1292</v>
      </c>
      <c r="AE137" s="11">
        <v>1292</v>
      </c>
      <c r="AF137" s="11">
        <v>1286</v>
      </c>
      <c r="AG137" s="11">
        <v>1276</v>
      </c>
      <c r="AH137" s="11">
        <v>1276</v>
      </c>
      <c r="AI137" s="11">
        <v>1276</v>
      </c>
      <c r="AJ137" s="11">
        <v>1276</v>
      </c>
      <c r="AK137" s="11">
        <v>1276</v>
      </c>
      <c r="AL137" s="11">
        <v>1276</v>
      </c>
      <c r="AM137" s="11">
        <v>1265</v>
      </c>
      <c r="AN137" s="72">
        <v>1245</v>
      </c>
      <c r="AO137" s="72">
        <v>1245</v>
      </c>
      <c r="AP137" s="72">
        <v>1245</v>
      </c>
      <c r="AQ137" s="72">
        <v>1245</v>
      </c>
      <c r="AR137" s="72">
        <v>1230</v>
      </c>
      <c r="AS137" s="72">
        <v>1230</v>
      </c>
      <c r="AT137" s="72">
        <v>1230</v>
      </c>
      <c r="AU137" s="72">
        <v>1230</v>
      </c>
      <c r="AV137" s="72">
        <v>730</v>
      </c>
      <c r="AW137" s="72">
        <v>730</v>
      </c>
      <c r="AX137" s="72">
        <v>730</v>
      </c>
      <c r="AY137" s="72">
        <v>719</v>
      </c>
      <c r="AZ137" s="72">
        <v>719</v>
      </c>
      <c r="BA137" s="72">
        <v>719</v>
      </c>
      <c r="BB137" s="72">
        <v>689</v>
      </c>
      <c r="BC137" s="72">
        <v>689</v>
      </c>
      <c r="BD137" s="72">
        <v>700</v>
      </c>
      <c r="BE137" s="72">
        <v>700</v>
      </c>
      <c r="BF137" s="72">
        <v>690</v>
      </c>
      <c r="BG137" s="72">
        <v>690</v>
      </c>
      <c r="BH137" s="72">
        <v>690</v>
      </c>
      <c r="BI137" s="72">
        <v>690</v>
      </c>
      <c r="BJ137" s="72">
        <v>690</v>
      </c>
      <c r="BK137" s="72">
        <v>690</v>
      </c>
      <c r="BL137" s="72">
        <v>690</v>
      </c>
      <c r="BM137" s="72">
        <v>690</v>
      </c>
      <c r="BN137" s="72">
        <v>690</v>
      </c>
      <c r="BO137" s="72">
        <v>690</v>
      </c>
      <c r="BP137" s="72">
        <v>680</v>
      </c>
      <c r="BQ137" s="72">
        <v>680</v>
      </c>
      <c r="BR137" s="72">
        <v>680</v>
      </c>
      <c r="BS137" s="72">
        <v>680</v>
      </c>
      <c r="BT137" s="72">
        <v>680</v>
      </c>
      <c r="BU137" s="72">
        <v>674</v>
      </c>
      <c r="BV137" s="72">
        <v>674</v>
      </c>
      <c r="BW137" s="72">
        <v>674</v>
      </c>
      <c r="BX137" s="72">
        <v>674</v>
      </c>
      <c r="BY137" s="72">
        <v>674</v>
      </c>
      <c r="BZ137" s="72">
        <v>674</v>
      </c>
      <c r="CA137" s="72">
        <v>674</v>
      </c>
      <c r="CB137" s="72">
        <v>674</v>
      </c>
      <c r="CC137" s="72">
        <v>674</v>
      </c>
      <c r="CD137" s="72">
        <v>674</v>
      </c>
      <c r="CE137" s="72">
        <v>674</v>
      </c>
      <c r="CF137" s="72">
        <v>668</v>
      </c>
      <c r="CG137" s="72">
        <v>668</v>
      </c>
      <c r="CH137" s="72">
        <v>668</v>
      </c>
      <c r="CI137" s="72">
        <v>418</v>
      </c>
      <c r="CJ137" s="72">
        <v>18</v>
      </c>
      <c r="CK137" s="72">
        <v>18</v>
      </c>
      <c r="CL137" s="72">
        <v>18</v>
      </c>
      <c r="CM137" s="72">
        <v>18</v>
      </c>
      <c r="CN137" s="72">
        <v>18</v>
      </c>
      <c r="CO137" s="72">
        <v>18</v>
      </c>
      <c r="CP137" s="72">
        <v>18</v>
      </c>
      <c r="CQ137" s="72">
        <v>18</v>
      </c>
      <c r="CR137" s="72">
        <v>18</v>
      </c>
      <c r="CS137" s="72">
        <v>18</v>
      </c>
      <c r="CT137" s="72">
        <v>18</v>
      </c>
      <c r="CU137" s="72">
        <v>18</v>
      </c>
      <c r="CV137" s="72">
        <v>18</v>
      </c>
      <c r="CW137" s="72">
        <v>18</v>
      </c>
      <c r="CX137" s="72">
        <v>18</v>
      </c>
      <c r="CY137" s="72">
        <v>18</v>
      </c>
      <c r="CZ137" s="72">
        <v>18</v>
      </c>
      <c r="DA137" s="72">
        <v>18</v>
      </c>
      <c r="DB137" s="72">
        <v>18</v>
      </c>
      <c r="DC137" s="72">
        <v>18</v>
      </c>
      <c r="DD137" s="72">
        <v>18</v>
      </c>
      <c r="DE137" s="72">
        <v>18</v>
      </c>
      <c r="DF137" s="72">
        <v>18</v>
      </c>
      <c r="DG137" s="72">
        <v>18</v>
      </c>
      <c r="DH137" s="72">
        <v>18</v>
      </c>
      <c r="DI137" s="72">
        <v>18</v>
      </c>
      <c r="DJ137" s="72">
        <v>18</v>
      </c>
      <c r="DK137" s="72">
        <v>18</v>
      </c>
      <c r="DL137" s="72">
        <v>18</v>
      </c>
      <c r="DM137" s="72">
        <v>18</v>
      </c>
    </row>
    <row r="138" spans="1:117" x14ac:dyDescent="0.35">
      <c r="A138" s="7"/>
      <c r="B138" s="8" t="s">
        <v>249</v>
      </c>
      <c r="C138" s="9" t="s">
        <v>250</v>
      </c>
      <c r="D138" s="10" t="s">
        <v>92</v>
      </c>
      <c r="E138" s="8" t="s">
        <v>1209</v>
      </c>
      <c r="F138" s="10">
        <v>1101</v>
      </c>
      <c r="G138" s="10" t="s">
        <v>92</v>
      </c>
      <c r="H138" s="10" t="s">
        <v>41</v>
      </c>
      <c r="I138" s="11">
        <v>18</v>
      </c>
      <c r="J138" s="10"/>
      <c r="K138" s="10"/>
      <c r="L138" s="8"/>
      <c r="M138" s="12">
        <v>2.5930799999999996</v>
      </c>
      <c r="N138" s="12">
        <f t="shared" si="2"/>
        <v>0</v>
      </c>
      <c r="O138" s="11">
        <v>48</v>
      </c>
      <c r="P138" s="11">
        <v>48</v>
      </c>
      <c r="Q138" s="11">
        <v>48</v>
      </c>
      <c r="R138" s="11">
        <v>40</v>
      </c>
      <c r="S138" s="11">
        <v>40</v>
      </c>
      <c r="T138" s="11">
        <v>38</v>
      </c>
      <c r="U138" s="11">
        <v>36</v>
      </c>
      <c r="V138" s="11">
        <v>36</v>
      </c>
      <c r="W138" s="11">
        <v>36</v>
      </c>
      <c r="X138" s="11">
        <v>36</v>
      </c>
      <c r="Y138" s="11">
        <v>32</v>
      </c>
      <c r="Z138" s="11">
        <v>20</v>
      </c>
      <c r="AA138" s="11">
        <v>20</v>
      </c>
      <c r="AB138" s="11">
        <v>18</v>
      </c>
      <c r="AC138" s="11">
        <v>18</v>
      </c>
      <c r="AD138" s="11">
        <v>18</v>
      </c>
      <c r="AE138" s="11">
        <v>18</v>
      </c>
      <c r="AF138" s="11">
        <v>14</v>
      </c>
      <c r="AG138" s="11">
        <v>18</v>
      </c>
      <c r="AH138" s="11">
        <v>18</v>
      </c>
      <c r="AI138" s="11">
        <v>18</v>
      </c>
      <c r="AJ138" s="11">
        <v>18</v>
      </c>
      <c r="AK138" s="11">
        <v>18</v>
      </c>
      <c r="AL138" s="11">
        <v>16</v>
      </c>
      <c r="AM138" s="11">
        <v>7</v>
      </c>
      <c r="AN138" s="72">
        <v>5</v>
      </c>
      <c r="AO138" s="72">
        <v>0</v>
      </c>
      <c r="AP138" s="72">
        <v>0</v>
      </c>
      <c r="AQ138" s="72">
        <v>0</v>
      </c>
      <c r="AR138" s="72">
        <v>0</v>
      </c>
      <c r="AS138" s="72">
        <v>0</v>
      </c>
      <c r="AT138" s="72">
        <v>0</v>
      </c>
      <c r="AU138" s="72">
        <v>0</v>
      </c>
      <c r="AV138" s="72">
        <v>0</v>
      </c>
      <c r="AW138" s="72">
        <v>0</v>
      </c>
      <c r="AX138" s="72">
        <v>0</v>
      </c>
      <c r="AY138" s="72">
        <v>0</v>
      </c>
      <c r="AZ138" s="72">
        <v>0</v>
      </c>
      <c r="BA138" s="72">
        <v>0</v>
      </c>
      <c r="BB138" s="72">
        <v>0</v>
      </c>
      <c r="BC138" s="72">
        <v>0</v>
      </c>
      <c r="BD138" s="72">
        <v>0</v>
      </c>
      <c r="BE138" s="72">
        <v>0</v>
      </c>
      <c r="BF138" s="72">
        <v>0</v>
      </c>
      <c r="BG138" s="72">
        <v>0</v>
      </c>
      <c r="BH138" s="72">
        <v>0</v>
      </c>
      <c r="BI138" s="72">
        <v>0</v>
      </c>
      <c r="BJ138" s="72">
        <v>0</v>
      </c>
      <c r="BK138" s="72">
        <v>0</v>
      </c>
      <c r="BL138" s="72">
        <v>0</v>
      </c>
      <c r="BM138" s="72">
        <v>0</v>
      </c>
      <c r="BN138" s="72">
        <v>0</v>
      </c>
      <c r="BO138" s="72">
        <v>0</v>
      </c>
      <c r="BP138" s="72">
        <v>0</v>
      </c>
      <c r="BQ138" s="72">
        <v>0</v>
      </c>
      <c r="BR138" s="72">
        <v>0</v>
      </c>
      <c r="BS138" s="72">
        <v>0</v>
      </c>
      <c r="BT138" s="72">
        <v>0</v>
      </c>
      <c r="BU138" s="72">
        <v>0</v>
      </c>
      <c r="BV138" s="72">
        <v>0</v>
      </c>
      <c r="BW138" s="72">
        <v>0</v>
      </c>
      <c r="BX138" s="72">
        <v>0</v>
      </c>
      <c r="BY138" s="72">
        <v>0</v>
      </c>
      <c r="BZ138" s="72">
        <v>0</v>
      </c>
      <c r="CA138" s="72">
        <v>0</v>
      </c>
      <c r="CB138" s="72">
        <v>0</v>
      </c>
      <c r="CC138" s="72">
        <v>0</v>
      </c>
      <c r="CD138" s="72">
        <v>0</v>
      </c>
      <c r="CE138" s="72">
        <v>0</v>
      </c>
      <c r="CF138" s="72">
        <v>0</v>
      </c>
      <c r="CG138" s="72">
        <v>0</v>
      </c>
      <c r="CH138" s="72">
        <v>0</v>
      </c>
      <c r="CI138" s="72">
        <v>0</v>
      </c>
      <c r="CJ138" s="72">
        <v>0</v>
      </c>
      <c r="CK138" s="72">
        <v>0</v>
      </c>
      <c r="CL138" s="72">
        <v>0</v>
      </c>
      <c r="CM138" s="72">
        <v>0</v>
      </c>
      <c r="CN138" s="72">
        <v>0</v>
      </c>
      <c r="CO138" s="72">
        <v>0</v>
      </c>
      <c r="CP138" s="72">
        <v>0</v>
      </c>
      <c r="CQ138" s="72">
        <v>0</v>
      </c>
      <c r="CR138" s="72">
        <v>0</v>
      </c>
      <c r="CS138" s="72">
        <v>0</v>
      </c>
      <c r="CT138" s="72">
        <v>0</v>
      </c>
      <c r="CU138" s="72">
        <v>0</v>
      </c>
      <c r="CV138" s="72">
        <v>0</v>
      </c>
      <c r="CW138" s="72">
        <v>0</v>
      </c>
      <c r="CX138" s="72">
        <v>0</v>
      </c>
      <c r="CY138" s="72">
        <v>0</v>
      </c>
      <c r="CZ138" s="72">
        <v>0</v>
      </c>
      <c r="DA138" s="72">
        <v>0</v>
      </c>
      <c r="DB138" s="72">
        <v>0</v>
      </c>
      <c r="DC138" s="72">
        <v>0</v>
      </c>
      <c r="DD138" s="72">
        <v>0</v>
      </c>
      <c r="DE138" s="72">
        <v>0</v>
      </c>
      <c r="DF138" s="72">
        <v>0</v>
      </c>
      <c r="DG138" s="72">
        <v>0</v>
      </c>
      <c r="DH138" s="72">
        <v>0</v>
      </c>
      <c r="DI138" s="72">
        <v>0</v>
      </c>
      <c r="DJ138" s="72">
        <v>0</v>
      </c>
      <c r="DK138" s="72">
        <v>0</v>
      </c>
      <c r="DL138" s="72">
        <v>0</v>
      </c>
      <c r="DM138" s="72">
        <v>0</v>
      </c>
    </row>
    <row r="139" spans="1:117" x14ac:dyDescent="0.35">
      <c r="A139" s="7"/>
      <c r="B139" s="8" t="s">
        <v>251</v>
      </c>
      <c r="C139" s="9" t="s">
        <v>252</v>
      </c>
      <c r="D139" s="10" t="s">
        <v>92</v>
      </c>
      <c r="E139" s="8" t="s">
        <v>1209</v>
      </c>
      <c r="F139" s="10">
        <v>1101</v>
      </c>
      <c r="G139" s="10" t="s">
        <v>92</v>
      </c>
      <c r="H139" s="10" t="s">
        <v>41</v>
      </c>
      <c r="I139" s="11">
        <v>59</v>
      </c>
      <c r="J139" s="10"/>
      <c r="K139" s="10"/>
      <c r="L139" s="8"/>
      <c r="M139" s="12">
        <v>3.48936</v>
      </c>
      <c r="N139" s="12">
        <f t="shared" si="2"/>
        <v>188.42544000000001</v>
      </c>
      <c r="O139" s="11">
        <v>59</v>
      </c>
      <c r="P139" s="11">
        <v>59</v>
      </c>
      <c r="Q139" s="11">
        <v>59</v>
      </c>
      <c r="R139" s="11">
        <v>59</v>
      </c>
      <c r="S139" s="11">
        <v>59</v>
      </c>
      <c r="T139" s="11">
        <v>59</v>
      </c>
      <c r="U139" s="11">
        <v>59</v>
      </c>
      <c r="V139" s="11">
        <v>59</v>
      </c>
      <c r="W139" s="11">
        <v>59</v>
      </c>
      <c r="X139" s="11">
        <v>59</v>
      </c>
      <c r="Y139" s="11">
        <v>59</v>
      </c>
      <c r="Z139" s="11">
        <v>59</v>
      </c>
      <c r="AA139" s="11">
        <v>59</v>
      </c>
      <c r="AB139" s="11">
        <v>59</v>
      </c>
      <c r="AC139" s="11">
        <v>59</v>
      </c>
      <c r="AD139" s="11">
        <v>59</v>
      </c>
      <c r="AE139" s="11">
        <v>59</v>
      </c>
      <c r="AF139" s="11">
        <v>59</v>
      </c>
      <c r="AG139" s="11">
        <v>59</v>
      </c>
      <c r="AH139" s="11">
        <v>59</v>
      </c>
      <c r="AI139" s="11">
        <v>59</v>
      </c>
      <c r="AJ139" s="11">
        <v>59</v>
      </c>
      <c r="AK139" s="11">
        <v>59</v>
      </c>
      <c r="AL139" s="11">
        <v>59</v>
      </c>
      <c r="AM139" s="11">
        <v>59</v>
      </c>
      <c r="AN139" s="72">
        <v>59</v>
      </c>
      <c r="AO139" s="72">
        <v>59</v>
      </c>
      <c r="AP139" s="72">
        <v>59</v>
      </c>
      <c r="AQ139" s="72">
        <v>59</v>
      </c>
      <c r="AR139" s="72">
        <v>59</v>
      </c>
      <c r="AS139" s="72">
        <v>59</v>
      </c>
      <c r="AT139" s="72">
        <v>59</v>
      </c>
      <c r="AU139" s="72">
        <v>59</v>
      </c>
      <c r="AV139" s="72">
        <v>59</v>
      </c>
      <c r="AW139" s="72">
        <v>59</v>
      </c>
      <c r="AX139" s="72">
        <v>59</v>
      </c>
      <c r="AY139" s="72">
        <v>59</v>
      </c>
      <c r="AZ139" s="72">
        <v>59</v>
      </c>
      <c r="BA139" s="72">
        <v>59</v>
      </c>
      <c r="BB139" s="72">
        <v>39</v>
      </c>
      <c r="BC139" s="72">
        <v>39</v>
      </c>
      <c r="BD139" s="72">
        <v>59</v>
      </c>
      <c r="BE139" s="72">
        <v>59</v>
      </c>
      <c r="BF139" s="72">
        <v>59</v>
      </c>
      <c r="BG139" s="72">
        <v>59</v>
      </c>
      <c r="BH139" s="72">
        <v>59</v>
      </c>
      <c r="BI139" s="72">
        <v>59</v>
      </c>
      <c r="BJ139" s="72">
        <v>59</v>
      </c>
      <c r="BK139" s="72">
        <v>59</v>
      </c>
      <c r="BL139" s="72">
        <v>59</v>
      </c>
      <c r="BM139" s="72">
        <v>59</v>
      </c>
      <c r="BN139" s="72">
        <v>59</v>
      </c>
      <c r="BO139" s="72">
        <v>59</v>
      </c>
      <c r="BP139" s="72">
        <v>59</v>
      </c>
      <c r="BQ139" s="72">
        <v>59</v>
      </c>
      <c r="BR139" s="72">
        <v>59</v>
      </c>
      <c r="BS139" s="72">
        <v>59</v>
      </c>
      <c r="BT139" s="72">
        <v>59</v>
      </c>
      <c r="BU139" s="72">
        <v>59</v>
      </c>
      <c r="BV139" s="72">
        <v>59</v>
      </c>
      <c r="BW139" s="72">
        <v>59</v>
      </c>
      <c r="BX139" s="72">
        <v>59</v>
      </c>
      <c r="BY139" s="72">
        <v>59</v>
      </c>
      <c r="BZ139" s="72">
        <v>59</v>
      </c>
      <c r="CA139" s="72">
        <v>59</v>
      </c>
      <c r="CB139" s="72">
        <v>59</v>
      </c>
      <c r="CC139" s="72">
        <v>59</v>
      </c>
      <c r="CD139" s="72">
        <v>59</v>
      </c>
      <c r="CE139" s="72">
        <v>59</v>
      </c>
      <c r="CF139" s="72">
        <v>54</v>
      </c>
      <c r="CG139" s="72">
        <v>54</v>
      </c>
      <c r="CH139" s="72">
        <v>54</v>
      </c>
      <c r="CI139" s="72">
        <v>54</v>
      </c>
      <c r="CJ139" s="72">
        <v>54</v>
      </c>
      <c r="CK139" s="72">
        <v>54</v>
      </c>
      <c r="CL139" s="72">
        <v>54</v>
      </c>
      <c r="CM139" s="72">
        <v>54</v>
      </c>
      <c r="CN139" s="72">
        <v>54</v>
      </c>
      <c r="CO139" s="72">
        <v>54</v>
      </c>
      <c r="CP139" s="72">
        <v>54</v>
      </c>
      <c r="CQ139" s="72">
        <v>54</v>
      </c>
      <c r="CR139" s="72">
        <v>54</v>
      </c>
      <c r="CS139" s="72">
        <v>54</v>
      </c>
      <c r="CT139" s="72">
        <v>54</v>
      </c>
      <c r="CU139" s="72">
        <v>54</v>
      </c>
      <c r="CV139" s="72">
        <v>54</v>
      </c>
      <c r="CW139" s="72">
        <v>54</v>
      </c>
      <c r="CX139" s="72">
        <v>54</v>
      </c>
      <c r="CY139" s="72">
        <v>54</v>
      </c>
      <c r="CZ139" s="72">
        <v>54</v>
      </c>
      <c r="DA139" s="72">
        <v>54</v>
      </c>
      <c r="DB139" s="72">
        <v>54</v>
      </c>
      <c r="DC139" s="72">
        <v>54</v>
      </c>
      <c r="DD139" s="72">
        <v>54</v>
      </c>
      <c r="DE139" s="72">
        <v>54</v>
      </c>
      <c r="DF139" s="72">
        <v>54</v>
      </c>
      <c r="DG139" s="72">
        <v>54</v>
      </c>
      <c r="DH139" s="72">
        <v>54</v>
      </c>
      <c r="DI139" s="72">
        <v>54</v>
      </c>
      <c r="DJ139" s="72">
        <v>54</v>
      </c>
      <c r="DK139" s="72">
        <v>54</v>
      </c>
      <c r="DL139" s="72">
        <v>54</v>
      </c>
      <c r="DM139" s="72">
        <v>54</v>
      </c>
    </row>
    <row r="140" spans="1:117" x14ac:dyDescent="0.35">
      <c r="A140" s="7"/>
      <c r="B140" s="8" t="s">
        <v>253</v>
      </c>
      <c r="C140" s="9" t="s">
        <v>254</v>
      </c>
      <c r="D140" s="10" t="s">
        <v>92</v>
      </c>
      <c r="E140" s="8" t="s">
        <v>1209</v>
      </c>
      <c r="F140" s="10">
        <v>1101</v>
      </c>
      <c r="G140" s="10" t="s">
        <v>92</v>
      </c>
      <c r="H140" s="10" t="s">
        <v>41</v>
      </c>
      <c r="I140" s="11">
        <v>27</v>
      </c>
      <c r="J140" s="10"/>
      <c r="K140" s="10"/>
      <c r="L140" s="8"/>
      <c r="M140" s="12">
        <v>4.82796</v>
      </c>
      <c r="N140" s="12">
        <f t="shared" si="2"/>
        <v>106.21512</v>
      </c>
      <c r="O140" s="11">
        <v>30</v>
      </c>
      <c r="P140" s="11">
        <v>30</v>
      </c>
      <c r="Q140" s="11">
        <v>30</v>
      </c>
      <c r="R140" s="11">
        <v>30</v>
      </c>
      <c r="S140" s="11">
        <v>30</v>
      </c>
      <c r="T140" s="11">
        <v>30</v>
      </c>
      <c r="U140" s="11">
        <v>28</v>
      </c>
      <c r="V140" s="11">
        <v>28</v>
      </c>
      <c r="W140" s="11">
        <v>27</v>
      </c>
      <c r="X140" s="11">
        <v>27</v>
      </c>
      <c r="Y140" s="11">
        <v>27</v>
      </c>
      <c r="Z140" s="11">
        <v>27</v>
      </c>
      <c r="AA140" s="11">
        <v>27</v>
      </c>
      <c r="AB140" s="11">
        <v>27</v>
      </c>
      <c r="AC140" s="11">
        <v>27</v>
      </c>
      <c r="AD140" s="11">
        <v>27</v>
      </c>
      <c r="AE140" s="11">
        <v>27</v>
      </c>
      <c r="AF140" s="11">
        <v>27</v>
      </c>
      <c r="AG140" s="11">
        <v>27</v>
      </c>
      <c r="AH140" s="11">
        <v>27</v>
      </c>
      <c r="AI140" s="11">
        <v>27</v>
      </c>
      <c r="AJ140" s="11">
        <v>27</v>
      </c>
      <c r="AK140" s="11">
        <v>27</v>
      </c>
      <c r="AL140" s="11">
        <v>27</v>
      </c>
      <c r="AM140" s="11">
        <v>27</v>
      </c>
      <c r="AN140" s="72">
        <v>25</v>
      </c>
      <c r="AO140" s="72">
        <v>23</v>
      </c>
      <c r="AP140" s="72">
        <v>37</v>
      </c>
      <c r="AQ140" s="72">
        <v>22</v>
      </c>
      <c r="AR140" s="72">
        <v>22</v>
      </c>
      <c r="AS140" s="72">
        <v>22</v>
      </c>
      <c r="AT140" s="72">
        <v>22</v>
      </c>
      <c r="AU140" s="72">
        <v>22</v>
      </c>
      <c r="AV140" s="72">
        <v>22</v>
      </c>
      <c r="AW140" s="72">
        <v>22</v>
      </c>
      <c r="AX140" s="72">
        <v>22</v>
      </c>
      <c r="AY140" s="72">
        <v>22</v>
      </c>
      <c r="AZ140" s="72">
        <v>22</v>
      </c>
      <c r="BA140" s="72">
        <v>22</v>
      </c>
      <c r="BB140" s="72">
        <v>22</v>
      </c>
      <c r="BC140" s="72">
        <v>22</v>
      </c>
      <c r="BD140" s="72">
        <v>22</v>
      </c>
      <c r="BE140" s="72">
        <v>22</v>
      </c>
      <c r="BF140" s="72">
        <v>22</v>
      </c>
      <c r="BG140" s="72">
        <v>22</v>
      </c>
      <c r="BH140" s="72">
        <v>22</v>
      </c>
      <c r="BI140" s="72">
        <v>22</v>
      </c>
      <c r="BJ140" s="72">
        <v>22</v>
      </c>
      <c r="BK140" s="72">
        <v>22</v>
      </c>
      <c r="BL140" s="72">
        <v>22</v>
      </c>
      <c r="BM140" s="72">
        <v>22</v>
      </c>
      <c r="BN140" s="72">
        <v>22</v>
      </c>
      <c r="BO140" s="72">
        <v>22</v>
      </c>
      <c r="BP140" s="72">
        <v>22</v>
      </c>
      <c r="BQ140" s="72">
        <v>22</v>
      </c>
      <c r="BR140" s="72">
        <v>22</v>
      </c>
      <c r="BS140" s="72">
        <v>22</v>
      </c>
      <c r="BT140" s="72">
        <v>22</v>
      </c>
      <c r="BU140" s="72">
        <v>22</v>
      </c>
      <c r="BV140" s="72">
        <v>22</v>
      </c>
      <c r="BW140" s="72">
        <v>22</v>
      </c>
      <c r="BX140" s="72">
        <v>22</v>
      </c>
      <c r="BY140" s="72">
        <v>22</v>
      </c>
      <c r="BZ140" s="72">
        <v>22</v>
      </c>
      <c r="CA140" s="72">
        <v>22</v>
      </c>
      <c r="CB140" s="72">
        <v>22</v>
      </c>
      <c r="CC140" s="72">
        <v>22</v>
      </c>
      <c r="CD140" s="72">
        <v>22</v>
      </c>
      <c r="CE140" s="72">
        <v>22</v>
      </c>
      <c r="CF140" s="72">
        <v>22</v>
      </c>
      <c r="CG140" s="72">
        <v>22</v>
      </c>
      <c r="CH140" s="72">
        <v>22</v>
      </c>
      <c r="CI140" s="72">
        <v>22</v>
      </c>
      <c r="CJ140" s="72">
        <v>22</v>
      </c>
      <c r="CK140" s="72">
        <v>22</v>
      </c>
      <c r="CL140" s="72">
        <v>22</v>
      </c>
      <c r="CM140" s="72">
        <v>22</v>
      </c>
      <c r="CN140" s="72">
        <v>22</v>
      </c>
      <c r="CO140" s="72">
        <v>22</v>
      </c>
      <c r="CP140" s="72">
        <v>22</v>
      </c>
      <c r="CQ140" s="72">
        <v>22</v>
      </c>
      <c r="CR140" s="72">
        <v>22</v>
      </c>
      <c r="CS140" s="72">
        <v>22</v>
      </c>
      <c r="CT140" s="72">
        <v>22</v>
      </c>
      <c r="CU140" s="72">
        <v>22</v>
      </c>
      <c r="CV140" s="72">
        <v>22</v>
      </c>
      <c r="CW140" s="72">
        <v>22</v>
      </c>
      <c r="CX140" s="72">
        <v>22</v>
      </c>
      <c r="CY140" s="72">
        <v>22</v>
      </c>
      <c r="CZ140" s="72">
        <v>22</v>
      </c>
      <c r="DA140" s="72">
        <v>22</v>
      </c>
      <c r="DB140" s="72">
        <v>22</v>
      </c>
      <c r="DC140" s="72">
        <v>22</v>
      </c>
      <c r="DD140" s="72">
        <v>22</v>
      </c>
      <c r="DE140" s="72">
        <v>22</v>
      </c>
      <c r="DF140" s="72">
        <v>22</v>
      </c>
      <c r="DG140" s="72">
        <v>22</v>
      </c>
      <c r="DH140" s="72">
        <v>22</v>
      </c>
      <c r="DI140" s="72">
        <v>22</v>
      </c>
      <c r="DJ140" s="72">
        <v>22</v>
      </c>
      <c r="DK140" s="72">
        <v>22</v>
      </c>
      <c r="DL140" s="72">
        <v>22</v>
      </c>
      <c r="DM140" s="72">
        <v>22</v>
      </c>
    </row>
    <row r="141" spans="1:117" x14ac:dyDescent="0.35">
      <c r="A141" s="7"/>
      <c r="B141" s="8" t="s">
        <v>255</v>
      </c>
      <c r="C141" s="9" t="s">
        <v>256</v>
      </c>
      <c r="D141" s="10" t="s">
        <v>92</v>
      </c>
      <c r="E141" s="8" t="s">
        <v>1209</v>
      </c>
      <c r="F141" s="10">
        <v>1101</v>
      </c>
      <c r="G141" s="10" t="s">
        <v>92</v>
      </c>
      <c r="H141" s="10" t="s">
        <v>41</v>
      </c>
      <c r="I141" s="11">
        <v>20</v>
      </c>
      <c r="J141" s="10"/>
      <c r="K141" s="10"/>
      <c r="L141" s="8"/>
      <c r="M141" s="12">
        <v>7.1093999999999999</v>
      </c>
      <c r="N141" s="12">
        <f t="shared" si="2"/>
        <v>142.18799999999999</v>
      </c>
      <c r="O141" s="11">
        <v>20</v>
      </c>
      <c r="P141" s="11">
        <v>20</v>
      </c>
      <c r="Q141" s="11">
        <v>20</v>
      </c>
      <c r="R141" s="11">
        <v>20</v>
      </c>
      <c r="S141" s="11">
        <v>20</v>
      </c>
      <c r="T141" s="11">
        <v>20</v>
      </c>
      <c r="U141" s="11">
        <v>20</v>
      </c>
      <c r="V141" s="11">
        <v>20</v>
      </c>
      <c r="W141" s="11">
        <v>20</v>
      </c>
      <c r="X141" s="11">
        <v>20</v>
      </c>
      <c r="Y141" s="11">
        <v>20</v>
      </c>
      <c r="Z141" s="11">
        <v>20</v>
      </c>
      <c r="AA141" s="11">
        <v>20</v>
      </c>
      <c r="AB141" s="11">
        <v>20</v>
      </c>
      <c r="AC141" s="11">
        <v>20</v>
      </c>
      <c r="AD141" s="11">
        <v>20</v>
      </c>
      <c r="AE141" s="11">
        <v>20</v>
      </c>
      <c r="AF141" s="11">
        <v>20</v>
      </c>
      <c r="AG141" s="11">
        <v>20</v>
      </c>
      <c r="AH141" s="11">
        <v>20</v>
      </c>
      <c r="AI141" s="11">
        <v>20</v>
      </c>
      <c r="AJ141" s="11">
        <v>20</v>
      </c>
      <c r="AK141" s="11">
        <v>20</v>
      </c>
      <c r="AL141" s="11">
        <v>20</v>
      </c>
      <c r="AM141" s="11">
        <v>20</v>
      </c>
      <c r="AN141" s="72">
        <v>20</v>
      </c>
      <c r="AO141" s="72">
        <v>20</v>
      </c>
      <c r="AP141" s="72">
        <v>20</v>
      </c>
      <c r="AQ141" s="72">
        <v>20</v>
      </c>
      <c r="AR141" s="72">
        <v>20</v>
      </c>
      <c r="AS141" s="72">
        <v>20</v>
      </c>
      <c r="AT141" s="72">
        <v>20</v>
      </c>
      <c r="AU141" s="72">
        <v>20</v>
      </c>
      <c r="AV141" s="72">
        <v>20</v>
      </c>
      <c r="AW141" s="72">
        <v>20</v>
      </c>
      <c r="AX141" s="72">
        <v>20</v>
      </c>
      <c r="AY141" s="72">
        <v>20</v>
      </c>
      <c r="AZ141" s="72">
        <v>20</v>
      </c>
      <c r="BA141" s="72">
        <v>20</v>
      </c>
      <c r="BB141" s="72">
        <v>20</v>
      </c>
      <c r="BC141" s="72">
        <v>20</v>
      </c>
      <c r="BD141" s="72">
        <v>20</v>
      </c>
      <c r="BE141" s="72">
        <v>20</v>
      </c>
      <c r="BF141" s="72">
        <v>20</v>
      </c>
      <c r="BG141" s="72">
        <v>20</v>
      </c>
      <c r="BH141" s="72">
        <v>20</v>
      </c>
      <c r="BI141" s="72">
        <v>20</v>
      </c>
      <c r="BJ141" s="72">
        <v>20</v>
      </c>
      <c r="BK141" s="72">
        <v>20</v>
      </c>
      <c r="BL141" s="72">
        <v>20</v>
      </c>
      <c r="BM141" s="72">
        <v>20</v>
      </c>
      <c r="BN141" s="72">
        <v>20</v>
      </c>
      <c r="BO141" s="72">
        <v>20</v>
      </c>
      <c r="BP141" s="72">
        <v>20</v>
      </c>
      <c r="BQ141" s="72">
        <v>20</v>
      </c>
      <c r="BR141" s="72">
        <v>20</v>
      </c>
      <c r="BS141" s="72">
        <v>20</v>
      </c>
      <c r="BT141" s="72">
        <v>20</v>
      </c>
      <c r="BU141" s="72">
        <v>20</v>
      </c>
      <c r="BV141" s="72">
        <v>20</v>
      </c>
      <c r="BW141" s="72">
        <v>20</v>
      </c>
      <c r="BX141" s="72">
        <v>20</v>
      </c>
      <c r="BY141" s="72">
        <v>20</v>
      </c>
      <c r="BZ141" s="72">
        <v>20</v>
      </c>
      <c r="CA141" s="72">
        <v>20</v>
      </c>
      <c r="CB141" s="72">
        <v>20</v>
      </c>
      <c r="CC141" s="72">
        <v>20</v>
      </c>
      <c r="CD141" s="72">
        <v>20</v>
      </c>
      <c r="CE141" s="72">
        <v>20</v>
      </c>
      <c r="CF141" s="72">
        <v>20</v>
      </c>
      <c r="CG141" s="72">
        <v>20</v>
      </c>
      <c r="CH141" s="72">
        <v>20</v>
      </c>
      <c r="CI141" s="72">
        <v>20</v>
      </c>
      <c r="CJ141" s="72">
        <v>20</v>
      </c>
      <c r="CK141" s="72">
        <v>20</v>
      </c>
      <c r="CL141" s="72">
        <v>20</v>
      </c>
      <c r="CM141" s="72">
        <v>20</v>
      </c>
      <c r="CN141" s="72">
        <v>20</v>
      </c>
      <c r="CO141" s="72">
        <v>20</v>
      </c>
      <c r="CP141" s="72">
        <v>20</v>
      </c>
      <c r="CQ141" s="72">
        <v>20</v>
      </c>
      <c r="CR141" s="72">
        <v>20</v>
      </c>
      <c r="CS141" s="72">
        <v>20</v>
      </c>
      <c r="CT141" s="72">
        <v>20</v>
      </c>
      <c r="CU141" s="72">
        <v>20</v>
      </c>
      <c r="CV141" s="72">
        <v>20</v>
      </c>
      <c r="CW141" s="72">
        <v>20</v>
      </c>
      <c r="CX141" s="72">
        <v>20</v>
      </c>
      <c r="CY141" s="72">
        <v>20</v>
      </c>
      <c r="CZ141" s="72">
        <v>20</v>
      </c>
      <c r="DA141" s="72">
        <v>20</v>
      </c>
      <c r="DB141" s="72">
        <v>20</v>
      </c>
      <c r="DC141" s="72">
        <v>20</v>
      </c>
      <c r="DD141" s="72">
        <v>20</v>
      </c>
      <c r="DE141" s="72">
        <v>20</v>
      </c>
      <c r="DF141" s="72">
        <v>20</v>
      </c>
      <c r="DG141" s="72">
        <v>20</v>
      </c>
      <c r="DH141" s="72">
        <v>20</v>
      </c>
      <c r="DI141" s="72">
        <v>20</v>
      </c>
      <c r="DJ141" s="72">
        <v>20</v>
      </c>
      <c r="DK141" s="72">
        <v>20</v>
      </c>
      <c r="DL141" s="72">
        <v>20</v>
      </c>
      <c r="DM141" s="72">
        <v>20</v>
      </c>
    </row>
    <row r="142" spans="1:117" x14ac:dyDescent="0.35">
      <c r="A142" s="7"/>
      <c r="B142" s="8" t="s">
        <v>257</v>
      </c>
      <c r="C142" s="9" t="s">
        <v>258</v>
      </c>
      <c r="D142" s="10" t="s">
        <v>92</v>
      </c>
      <c r="E142" s="8" t="s">
        <v>1209</v>
      </c>
      <c r="F142" s="10">
        <v>1101</v>
      </c>
      <c r="G142" s="10" t="s">
        <v>92</v>
      </c>
      <c r="H142" s="10" t="s">
        <v>41</v>
      </c>
      <c r="I142" s="11">
        <v>1813</v>
      </c>
      <c r="J142" s="10"/>
      <c r="K142" s="10"/>
      <c r="L142" s="8"/>
      <c r="M142" s="12">
        <v>0.504</v>
      </c>
      <c r="N142" s="12">
        <f t="shared" si="2"/>
        <v>381.52800000000002</v>
      </c>
      <c r="O142" s="11">
        <v>2000</v>
      </c>
      <c r="P142" s="11">
        <v>2000</v>
      </c>
      <c r="Q142" s="11">
        <v>2000</v>
      </c>
      <c r="R142" s="11">
        <v>2000</v>
      </c>
      <c r="S142" s="11">
        <v>1999</v>
      </c>
      <c r="T142" s="11">
        <v>1999</v>
      </c>
      <c r="U142" s="11">
        <v>1999</v>
      </c>
      <c r="V142" s="11">
        <v>1999</v>
      </c>
      <c r="W142" s="11">
        <v>1999</v>
      </c>
      <c r="X142" s="11">
        <v>1999</v>
      </c>
      <c r="Y142" s="11">
        <v>1813</v>
      </c>
      <c r="Z142" s="11">
        <v>1813</v>
      </c>
      <c r="AA142" s="11">
        <v>1813</v>
      </c>
      <c r="AB142" s="11">
        <v>1813</v>
      </c>
      <c r="AC142" s="11">
        <v>1813</v>
      </c>
      <c r="AD142" s="11">
        <v>1813</v>
      </c>
      <c r="AE142" s="11">
        <v>1813</v>
      </c>
      <c r="AF142" s="11">
        <v>1813</v>
      </c>
      <c r="AG142" s="11">
        <v>1813</v>
      </c>
      <c r="AH142" s="11">
        <v>1813</v>
      </c>
      <c r="AI142" s="11">
        <v>1813</v>
      </c>
      <c r="AJ142" s="11">
        <v>1813</v>
      </c>
      <c r="AK142" s="11">
        <v>1813</v>
      </c>
      <c r="AL142" s="11">
        <v>1799</v>
      </c>
      <c r="AM142" s="11">
        <v>1799</v>
      </c>
      <c r="AN142" s="72">
        <v>1799</v>
      </c>
      <c r="AO142" s="72">
        <v>1799</v>
      </c>
      <c r="AP142" s="72">
        <v>1799</v>
      </c>
      <c r="AQ142" s="72">
        <v>1799</v>
      </c>
      <c r="AR142" s="72">
        <v>1799</v>
      </c>
      <c r="AS142" s="72">
        <v>1799</v>
      </c>
      <c r="AT142" s="72">
        <v>1799</v>
      </c>
      <c r="AU142" s="72">
        <v>1799</v>
      </c>
      <c r="AV142" s="72">
        <v>1799</v>
      </c>
      <c r="AW142" s="72">
        <v>1799</v>
      </c>
      <c r="AX142" s="72">
        <v>1799</v>
      </c>
      <c r="AY142" s="72">
        <v>1799</v>
      </c>
      <c r="AZ142" s="72">
        <v>1799</v>
      </c>
      <c r="BA142" s="72">
        <v>1779</v>
      </c>
      <c r="BB142" s="72">
        <v>1779</v>
      </c>
      <c r="BC142" s="72">
        <v>1779</v>
      </c>
      <c r="BD142" s="72">
        <v>1779</v>
      </c>
      <c r="BE142" s="72">
        <v>1779</v>
      </c>
      <c r="BF142" s="72">
        <v>1779</v>
      </c>
      <c r="BG142" s="72">
        <v>1779</v>
      </c>
      <c r="BH142" s="72">
        <v>1779</v>
      </c>
      <c r="BI142" s="72">
        <v>1779</v>
      </c>
      <c r="BJ142" s="72">
        <v>1779</v>
      </c>
      <c r="BK142" s="72">
        <v>1779</v>
      </c>
      <c r="BL142" s="72">
        <v>1779</v>
      </c>
      <c r="BM142" s="72">
        <v>1779</v>
      </c>
      <c r="BN142" s="72">
        <v>1779</v>
      </c>
      <c r="BO142" s="72">
        <v>1779</v>
      </c>
      <c r="BP142" s="72">
        <v>1779</v>
      </c>
      <c r="BQ142" s="72">
        <v>1779</v>
      </c>
      <c r="BR142" s="72">
        <v>1779</v>
      </c>
      <c r="BS142" s="72">
        <v>1779</v>
      </c>
      <c r="BT142" s="72">
        <v>1779</v>
      </c>
      <c r="BU142" s="72">
        <v>1749</v>
      </c>
      <c r="BV142" s="72">
        <v>1749</v>
      </c>
      <c r="BW142" s="72">
        <v>1749</v>
      </c>
      <c r="BX142" s="72">
        <v>1749</v>
      </c>
      <c r="BY142" s="72">
        <v>1649</v>
      </c>
      <c r="BZ142" s="72">
        <v>1629</v>
      </c>
      <c r="CA142" s="72">
        <v>1629</v>
      </c>
      <c r="CB142" s="72">
        <v>1629</v>
      </c>
      <c r="CC142" s="72">
        <v>1729</v>
      </c>
      <c r="CD142" s="72">
        <v>1709</v>
      </c>
      <c r="CE142" s="72">
        <v>1709</v>
      </c>
      <c r="CF142" s="72">
        <v>1707</v>
      </c>
      <c r="CG142" s="72">
        <v>1707</v>
      </c>
      <c r="CH142" s="72">
        <v>1707</v>
      </c>
      <c r="CI142" s="72">
        <v>1207</v>
      </c>
      <c r="CJ142" s="72">
        <v>1007</v>
      </c>
      <c r="CK142" s="72">
        <v>1007</v>
      </c>
      <c r="CL142" s="72">
        <v>1007</v>
      </c>
      <c r="CM142" s="72">
        <v>1007</v>
      </c>
      <c r="CN142" s="72">
        <v>1007</v>
      </c>
      <c r="CO142" s="72">
        <v>1007</v>
      </c>
      <c r="CP142" s="72">
        <v>1007</v>
      </c>
      <c r="CQ142" s="72">
        <v>1007</v>
      </c>
      <c r="CR142" s="72">
        <v>1007</v>
      </c>
      <c r="CS142" s="72">
        <v>1007</v>
      </c>
      <c r="CT142" s="72">
        <v>1007</v>
      </c>
      <c r="CU142" s="72">
        <v>1007</v>
      </c>
      <c r="CV142" s="72">
        <v>1007</v>
      </c>
      <c r="CW142" s="72">
        <v>1007</v>
      </c>
      <c r="CX142" s="72">
        <v>1007</v>
      </c>
      <c r="CY142" s="72">
        <v>1007</v>
      </c>
      <c r="CZ142" s="72">
        <f t="shared" ref="CZ142:DE142" si="3">1007-250</f>
        <v>757</v>
      </c>
      <c r="DA142" s="72">
        <f t="shared" si="3"/>
        <v>757</v>
      </c>
      <c r="DB142" s="72">
        <f t="shared" si="3"/>
        <v>757</v>
      </c>
      <c r="DC142" s="72">
        <f t="shared" si="3"/>
        <v>757</v>
      </c>
      <c r="DD142" s="72">
        <f t="shared" si="3"/>
        <v>757</v>
      </c>
      <c r="DE142" s="72">
        <f t="shared" si="3"/>
        <v>757</v>
      </c>
      <c r="DF142" s="72">
        <f t="shared" ref="DF142:DK142" si="4">1007-250</f>
        <v>757</v>
      </c>
      <c r="DG142" s="72">
        <f t="shared" si="4"/>
        <v>757</v>
      </c>
      <c r="DH142" s="72">
        <f t="shared" si="4"/>
        <v>757</v>
      </c>
      <c r="DI142" s="72">
        <f t="shared" si="4"/>
        <v>757</v>
      </c>
      <c r="DJ142" s="72">
        <f t="shared" si="4"/>
        <v>757</v>
      </c>
      <c r="DK142" s="72">
        <f t="shared" si="4"/>
        <v>757</v>
      </c>
      <c r="DL142" s="72">
        <f>1007-250</f>
        <v>757</v>
      </c>
      <c r="DM142" s="72">
        <f>1007-250</f>
        <v>757</v>
      </c>
    </row>
    <row r="143" spans="1:117" x14ac:dyDescent="0.35">
      <c r="A143" s="7"/>
      <c r="B143" s="8" t="s">
        <v>259</v>
      </c>
      <c r="C143" s="9" t="s">
        <v>260</v>
      </c>
      <c r="D143" s="10" t="s">
        <v>92</v>
      </c>
      <c r="E143" s="8" t="s">
        <v>1209</v>
      </c>
      <c r="F143" s="10">
        <v>1101</v>
      </c>
      <c r="G143" s="10" t="s">
        <v>92</v>
      </c>
      <c r="H143" s="10" t="s">
        <v>41</v>
      </c>
      <c r="I143" s="11">
        <v>1659</v>
      </c>
      <c r="J143" s="10">
        <v>1</v>
      </c>
      <c r="K143" s="10" t="s">
        <v>42</v>
      </c>
      <c r="L143" s="8" t="s">
        <v>206</v>
      </c>
      <c r="M143" s="12">
        <v>0.53878423999999969</v>
      </c>
      <c r="N143" s="12">
        <f t="shared" si="2"/>
        <v>883.60615359999952</v>
      </c>
      <c r="O143" s="11">
        <v>2020</v>
      </c>
      <c r="P143" s="11">
        <v>2020</v>
      </c>
      <c r="Q143" s="11">
        <v>2020</v>
      </c>
      <c r="R143" s="11">
        <v>2019</v>
      </c>
      <c r="S143" s="11">
        <v>2019</v>
      </c>
      <c r="T143" s="11">
        <v>2019</v>
      </c>
      <c r="U143" s="11">
        <v>2019</v>
      </c>
      <c r="V143" s="11">
        <v>2019</v>
      </c>
      <c r="W143" s="11">
        <v>2019</v>
      </c>
      <c r="X143" s="11">
        <v>2019</v>
      </c>
      <c r="Y143" s="11">
        <v>1669</v>
      </c>
      <c r="Z143" s="11">
        <v>1669</v>
      </c>
      <c r="AA143" s="11">
        <v>1669</v>
      </c>
      <c r="AB143" s="11">
        <v>1669</v>
      </c>
      <c r="AC143" s="11">
        <v>1669</v>
      </c>
      <c r="AD143" s="11">
        <v>1669</v>
      </c>
      <c r="AE143" s="11">
        <v>1669</v>
      </c>
      <c r="AF143" s="11">
        <v>1669</v>
      </c>
      <c r="AG143" s="11">
        <v>1669</v>
      </c>
      <c r="AH143" s="11">
        <v>1659</v>
      </c>
      <c r="AI143" s="11">
        <v>1659</v>
      </c>
      <c r="AJ143" s="11">
        <v>1659</v>
      </c>
      <c r="AK143" s="11">
        <v>1659</v>
      </c>
      <c r="AL143" s="11">
        <v>1659</v>
      </c>
      <c r="AM143" s="11">
        <v>1659</v>
      </c>
      <c r="AN143" s="72">
        <v>1659</v>
      </c>
      <c r="AO143" s="72">
        <v>1659</v>
      </c>
      <c r="AP143" s="72">
        <v>1659</v>
      </c>
      <c r="AQ143" s="72">
        <v>1659</v>
      </c>
      <c r="AR143" s="72">
        <v>1659</v>
      </c>
      <c r="AS143" s="72">
        <v>1659</v>
      </c>
      <c r="AT143" s="72">
        <v>1659</v>
      </c>
      <c r="AU143" s="72">
        <v>1659</v>
      </c>
      <c r="AV143" s="72">
        <v>1659</v>
      </c>
      <c r="AW143" s="72">
        <v>1659</v>
      </c>
      <c r="AX143" s="72">
        <v>1659</v>
      </c>
      <c r="AY143" s="72">
        <v>1659</v>
      </c>
      <c r="AZ143" s="72">
        <v>1659</v>
      </c>
      <c r="BA143" s="72">
        <v>1639</v>
      </c>
      <c r="BB143" s="72">
        <v>1639</v>
      </c>
      <c r="BC143" s="72">
        <v>1639</v>
      </c>
      <c r="BD143" s="72">
        <v>1639</v>
      </c>
      <c r="BE143" s="72">
        <v>1639</v>
      </c>
      <c r="BF143" s="72">
        <v>1639</v>
      </c>
      <c r="BG143" s="72">
        <v>1639</v>
      </c>
      <c r="BH143" s="72">
        <v>1639</v>
      </c>
      <c r="BI143" s="72">
        <v>1639</v>
      </c>
      <c r="BJ143" s="72">
        <v>1639</v>
      </c>
      <c r="BK143" s="72">
        <v>1639</v>
      </c>
      <c r="BL143" s="72">
        <v>1639</v>
      </c>
      <c r="BM143" s="72">
        <v>1639</v>
      </c>
      <c r="BN143" s="72">
        <v>1639</v>
      </c>
      <c r="BO143" s="72">
        <v>1639</v>
      </c>
      <c r="BP143" s="72">
        <v>1639</v>
      </c>
      <c r="BQ143" s="72">
        <v>1639</v>
      </c>
      <c r="BR143" s="72">
        <v>1639</v>
      </c>
      <c r="BS143" s="72">
        <v>1639</v>
      </c>
      <c r="BT143" s="72">
        <v>1639</v>
      </c>
      <c r="BU143" s="72">
        <v>1639</v>
      </c>
      <c r="BV143" s="72">
        <v>1633</v>
      </c>
      <c r="BW143" s="72">
        <v>1633</v>
      </c>
      <c r="BX143" s="72">
        <v>1633</v>
      </c>
      <c r="BY143" s="72">
        <v>1633</v>
      </c>
      <c r="BZ143" s="72">
        <v>1633</v>
      </c>
      <c r="CA143" s="72">
        <v>1621</v>
      </c>
      <c r="CB143" s="72">
        <v>1621</v>
      </c>
      <c r="CC143" s="72">
        <v>1621</v>
      </c>
      <c r="CD143" s="72">
        <v>1621</v>
      </c>
      <c r="CE143" s="72">
        <v>1621</v>
      </c>
      <c r="CF143" s="72">
        <v>1955</v>
      </c>
      <c r="CG143" s="72">
        <v>1955</v>
      </c>
      <c r="CH143" s="72">
        <v>1955</v>
      </c>
      <c r="CI143" s="72">
        <v>1755</v>
      </c>
      <c r="CJ143" s="72">
        <v>1655</v>
      </c>
      <c r="CK143" s="72">
        <v>1655</v>
      </c>
      <c r="CL143" s="72">
        <v>1655</v>
      </c>
      <c r="CM143" s="72">
        <v>1655</v>
      </c>
      <c r="CN143" s="72">
        <v>1655</v>
      </c>
      <c r="CO143" s="72">
        <v>1655</v>
      </c>
      <c r="CP143" s="72">
        <v>1655</v>
      </c>
      <c r="CQ143" s="72">
        <v>1655</v>
      </c>
      <c r="CR143" s="72">
        <v>1655</v>
      </c>
      <c r="CS143" s="72">
        <v>1655</v>
      </c>
      <c r="CT143" s="72">
        <v>1655</v>
      </c>
      <c r="CU143" s="72">
        <v>1655</v>
      </c>
      <c r="CV143" s="72">
        <v>1655</v>
      </c>
      <c r="CW143" s="72">
        <v>1655</v>
      </c>
      <c r="CX143" s="72">
        <v>1655</v>
      </c>
      <c r="CY143" s="72">
        <v>1655</v>
      </c>
      <c r="CZ143" s="72">
        <v>1655</v>
      </c>
      <c r="DA143" s="72">
        <v>1655</v>
      </c>
      <c r="DB143" s="72">
        <v>1655</v>
      </c>
      <c r="DC143" s="72">
        <v>1655</v>
      </c>
      <c r="DD143" s="72">
        <v>1655</v>
      </c>
      <c r="DE143" s="72">
        <v>1655</v>
      </c>
      <c r="DF143" s="72">
        <v>1655</v>
      </c>
      <c r="DG143" s="72">
        <v>1655</v>
      </c>
      <c r="DH143" s="72">
        <v>1655</v>
      </c>
      <c r="DI143" s="72">
        <v>1655</v>
      </c>
      <c r="DJ143" s="72">
        <v>1655</v>
      </c>
      <c r="DK143" s="72">
        <v>1655</v>
      </c>
      <c r="DL143" s="72">
        <v>1630</v>
      </c>
      <c r="DM143" s="72">
        <v>1640</v>
      </c>
    </row>
    <row r="144" spans="1:117" x14ac:dyDescent="0.35">
      <c r="A144" s="7"/>
      <c r="B144" s="8" t="s">
        <v>261</v>
      </c>
      <c r="C144" s="9" t="s">
        <v>262</v>
      </c>
      <c r="D144" s="10" t="s">
        <v>92</v>
      </c>
      <c r="E144" s="8" t="s">
        <v>1209</v>
      </c>
      <c r="F144" s="10">
        <v>1101</v>
      </c>
      <c r="G144" s="10" t="s">
        <v>92</v>
      </c>
      <c r="H144" s="10" t="s">
        <v>41</v>
      </c>
      <c r="I144" s="11">
        <v>1033</v>
      </c>
      <c r="J144" s="10"/>
      <c r="K144" s="10" t="s">
        <v>42</v>
      </c>
      <c r="L144" s="8"/>
      <c r="M144" s="12">
        <v>0.67247999999999997</v>
      </c>
      <c r="N144" s="12">
        <f t="shared" si="2"/>
        <v>528.56927999999994</v>
      </c>
      <c r="O144" s="11">
        <v>1068</v>
      </c>
      <c r="P144" s="11">
        <v>1068</v>
      </c>
      <c r="Q144" s="11">
        <v>1068</v>
      </c>
      <c r="R144" s="11">
        <v>1068</v>
      </c>
      <c r="S144" s="11">
        <v>1068</v>
      </c>
      <c r="T144" s="11">
        <v>1068</v>
      </c>
      <c r="U144" s="11">
        <v>1068</v>
      </c>
      <c r="V144" s="11">
        <v>1068</v>
      </c>
      <c r="W144" s="11">
        <v>1068</v>
      </c>
      <c r="X144" s="11">
        <v>1068</v>
      </c>
      <c r="Y144" s="11">
        <v>1068</v>
      </c>
      <c r="Z144" s="11">
        <v>1068</v>
      </c>
      <c r="AA144" s="11">
        <v>1068</v>
      </c>
      <c r="AB144" s="11">
        <v>1068</v>
      </c>
      <c r="AC144" s="11">
        <v>1068</v>
      </c>
      <c r="AD144" s="11">
        <v>1068</v>
      </c>
      <c r="AE144" s="11">
        <v>1063</v>
      </c>
      <c r="AF144" s="11">
        <v>1063</v>
      </c>
      <c r="AG144" s="11">
        <v>1033</v>
      </c>
      <c r="AH144" s="11">
        <v>1033</v>
      </c>
      <c r="AI144" s="11">
        <v>1033</v>
      </c>
      <c r="AJ144" s="11">
        <v>1033</v>
      </c>
      <c r="AK144" s="11">
        <v>1033</v>
      </c>
      <c r="AL144" s="11">
        <v>1032</v>
      </c>
      <c r="AM144" s="11">
        <v>1032</v>
      </c>
      <c r="AN144" s="72">
        <v>1032</v>
      </c>
      <c r="AO144" s="72">
        <v>992</v>
      </c>
      <c r="AP144" s="72">
        <v>992</v>
      </c>
      <c r="AQ144" s="72">
        <v>992</v>
      </c>
      <c r="AR144" s="72">
        <v>987</v>
      </c>
      <c r="AS144" s="72">
        <v>987</v>
      </c>
      <c r="AT144" s="72">
        <v>987</v>
      </c>
      <c r="AU144" s="72">
        <v>987</v>
      </c>
      <c r="AV144" s="72">
        <v>987</v>
      </c>
      <c r="AW144" s="72">
        <v>987</v>
      </c>
      <c r="AX144" s="72">
        <v>987</v>
      </c>
      <c r="AY144" s="72">
        <v>987</v>
      </c>
      <c r="AZ144" s="72">
        <v>987</v>
      </c>
      <c r="BA144" s="72">
        <v>987</v>
      </c>
      <c r="BB144" s="72">
        <v>987</v>
      </c>
      <c r="BC144" s="72">
        <v>987</v>
      </c>
      <c r="BD144" s="72">
        <v>987</v>
      </c>
      <c r="BE144" s="72">
        <v>987</v>
      </c>
      <c r="BF144" s="72">
        <v>987</v>
      </c>
      <c r="BG144" s="72">
        <v>987</v>
      </c>
      <c r="BH144" s="72">
        <v>899</v>
      </c>
      <c r="BI144" s="72">
        <v>899</v>
      </c>
      <c r="BJ144" s="72">
        <v>899</v>
      </c>
      <c r="BK144" s="72">
        <v>899</v>
      </c>
      <c r="BL144" s="72">
        <v>899</v>
      </c>
      <c r="BM144" s="72">
        <v>899</v>
      </c>
      <c r="BN144" s="72">
        <v>922</v>
      </c>
      <c r="BO144" s="72">
        <v>923</v>
      </c>
      <c r="BP144" s="72">
        <v>923</v>
      </c>
      <c r="BQ144" s="72">
        <v>923</v>
      </c>
      <c r="BR144" s="72">
        <v>923</v>
      </c>
      <c r="BS144" s="72">
        <v>923</v>
      </c>
      <c r="BT144" s="72">
        <v>923</v>
      </c>
      <c r="BU144" s="72">
        <f>923-18</f>
        <v>905</v>
      </c>
      <c r="BV144" s="72">
        <v>829</v>
      </c>
      <c r="BW144" s="72">
        <v>821</v>
      </c>
      <c r="BX144" s="72">
        <v>821</v>
      </c>
      <c r="BY144" s="72">
        <v>821</v>
      </c>
      <c r="BZ144" s="72">
        <v>813</v>
      </c>
      <c r="CA144" s="72">
        <v>801</v>
      </c>
      <c r="CB144" s="72">
        <v>801</v>
      </c>
      <c r="CC144" s="72">
        <v>801</v>
      </c>
      <c r="CD144" s="72">
        <v>796</v>
      </c>
      <c r="CE144" s="72">
        <v>796</v>
      </c>
      <c r="CF144" s="72">
        <v>796</v>
      </c>
      <c r="CG144" s="72">
        <v>796</v>
      </c>
      <c r="CH144" s="72">
        <v>796</v>
      </c>
      <c r="CI144" s="72">
        <v>796</v>
      </c>
      <c r="CJ144" s="72">
        <v>796</v>
      </c>
      <c r="CK144" s="72">
        <v>796</v>
      </c>
      <c r="CL144" s="72">
        <v>796</v>
      </c>
      <c r="CM144" s="72">
        <v>796</v>
      </c>
      <c r="CN144" s="72">
        <v>796</v>
      </c>
      <c r="CO144" s="72">
        <v>796</v>
      </c>
      <c r="CP144" s="72">
        <v>796</v>
      </c>
      <c r="CQ144" s="72">
        <v>796</v>
      </c>
      <c r="CR144" s="72">
        <v>796</v>
      </c>
      <c r="CS144" s="72">
        <v>796</v>
      </c>
      <c r="CT144" s="72">
        <v>796</v>
      </c>
      <c r="CU144" s="72">
        <v>796</v>
      </c>
      <c r="CV144" s="72">
        <v>796</v>
      </c>
      <c r="CW144" s="72">
        <v>796</v>
      </c>
      <c r="CX144" s="72">
        <v>796</v>
      </c>
      <c r="CY144" s="72">
        <v>796</v>
      </c>
      <c r="CZ144" s="72">
        <v>796</v>
      </c>
      <c r="DA144" s="72">
        <v>796</v>
      </c>
      <c r="DB144" s="72">
        <v>796</v>
      </c>
      <c r="DC144" s="72">
        <v>796</v>
      </c>
      <c r="DD144" s="72">
        <v>796</v>
      </c>
      <c r="DE144" s="72">
        <v>796</v>
      </c>
      <c r="DF144" s="72">
        <v>796</v>
      </c>
      <c r="DG144" s="72">
        <v>796</v>
      </c>
      <c r="DH144" s="72">
        <v>796</v>
      </c>
      <c r="DI144" s="72">
        <v>796</v>
      </c>
      <c r="DJ144" s="72">
        <v>796</v>
      </c>
      <c r="DK144" s="72">
        <v>796</v>
      </c>
      <c r="DL144" s="72">
        <v>786</v>
      </c>
      <c r="DM144" s="72">
        <v>786</v>
      </c>
    </row>
    <row r="145" spans="1:117" x14ac:dyDescent="0.35">
      <c r="A145" s="7"/>
      <c r="B145" s="8" t="s">
        <v>263</v>
      </c>
      <c r="C145" s="9" t="s">
        <v>264</v>
      </c>
      <c r="D145" s="10" t="s">
        <v>92</v>
      </c>
      <c r="E145" s="8" t="s">
        <v>1209</v>
      </c>
      <c r="F145" s="10">
        <v>1101</v>
      </c>
      <c r="G145" s="10" t="s">
        <v>92</v>
      </c>
      <c r="H145" s="10" t="s">
        <v>41</v>
      </c>
      <c r="I145" s="11">
        <v>347</v>
      </c>
      <c r="J145" s="10"/>
      <c r="K145" s="10" t="s">
        <v>42</v>
      </c>
      <c r="L145" s="8"/>
      <c r="M145" s="12">
        <v>0.82379999999999998</v>
      </c>
      <c r="N145" s="12">
        <f t="shared" si="2"/>
        <v>0</v>
      </c>
      <c r="O145" s="11">
        <v>347</v>
      </c>
      <c r="P145" s="11">
        <v>347</v>
      </c>
      <c r="Q145" s="11">
        <v>347</v>
      </c>
      <c r="R145" s="11">
        <v>347</v>
      </c>
      <c r="S145" s="11">
        <v>347</v>
      </c>
      <c r="T145" s="11">
        <v>347</v>
      </c>
      <c r="U145" s="11">
        <v>347</v>
      </c>
      <c r="V145" s="11">
        <v>347</v>
      </c>
      <c r="W145" s="11">
        <v>347</v>
      </c>
      <c r="X145" s="11">
        <v>347</v>
      </c>
      <c r="Y145" s="11">
        <v>347</v>
      </c>
      <c r="Z145" s="11">
        <v>347</v>
      </c>
      <c r="AA145" s="11">
        <v>347</v>
      </c>
      <c r="AB145" s="11">
        <v>347</v>
      </c>
      <c r="AC145" s="11">
        <v>347</v>
      </c>
      <c r="AD145" s="11">
        <v>347</v>
      </c>
      <c r="AE145" s="11">
        <v>347</v>
      </c>
      <c r="AF145" s="11">
        <v>347</v>
      </c>
      <c r="AG145" s="11">
        <v>347</v>
      </c>
      <c r="AH145" s="11">
        <v>347</v>
      </c>
      <c r="AI145" s="11">
        <v>347</v>
      </c>
      <c r="AJ145" s="11">
        <v>347</v>
      </c>
      <c r="AK145" s="11">
        <v>347</v>
      </c>
      <c r="AL145" s="11">
        <v>346</v>
      </c>
      <c r="AM145" s="11">
        <v>346</v>
      </c>
      <c r="AN145" s="72">
        <v>346</v>
      </c>
      <c r="AO145" s="72">
        <v>146</v>
      </c>
      <c r="AP145" s="72">
        <v>146</v>
      </c>
      <c r="AQ145" s="72">
        <v>146</v>
      </c>
      <c r="AR145" s="72">
        <v>141</v>
      </c>
      <c r="AS145" s="72">
        <v>141</v>
      </c>
      <c r="AT145" s="72">
        <v>141</v>
      </c>
      <c r="AU145" s="72">
        <v>141</v>
      </c>
      <c r="AV145" s="72">
        <v>0</v>
      </c>
      <c r="AW145" s="72">
        <v>0</v>
      </c>
      <c r="AX145" s="72">
        <v>0</v>
      </c>
      <c r="AY145" s="72">
        <v>0</v>
      </c>
      <c r="AZ145" s="72">
        <v>0</v>
      </c>
      <c r="BA145" s="72">
        <v>0</v>
      </c>
      <c r="BB145" s="72">
        <v>0</v>
      </c>
      <c r="BC145" s="72">
        <v>0</v>
      </c>
      <c r="BD145" s="72">
        <v>0</v>
      </c>
      <c r="BE145" s="72">
        <v>0</v>
      </c>
      <c r="BF145" s="72">
        <v>0</v>
      </c>
      <c r="BG145" s="72">
        <v>0</v>
      </c>
      <c r="BH145" s="72">
        <v>0</v>
      </c>
      <c r="BI145" s="72">
        <v>0</v>
      </c>
      <c r="BJ145" s="72">
        <v>0</v>
      </c>
      <c r="BK145" s="72">
        <v>0</v>
      </c>
      <c r="BL145" s="72">
        <v>0</v>
      </c>
      <c r="BM145" s="72">
        <v>0</v>
      </c>
      <c r="BN145" s="72">
        <v>0</v>
      </c>
      <c r="BO145" s="72">
        <v>0</v>
      </c>
      <c r="BP145" s="72">
        <v>0</v>
      </c>
      <c r="BQ145" s="72">
        <v>0</v>
      </c>
      <c r="BR145" s="72">
        <v>0</v>
      </c>
      <c r="BS145" s="72">
        <v>0</v>
      </c>
      <c r="BT145" s="72">
        <v>0</v>
      </c>
      <c r="BU145" s="72">
        <v>0</v>
      </c>
      <c r="BV145" s="72">
        <v>0</v>
      </c>
      <c r="BW145" s="72">
        <v>0</v>
      </c>
      <c r="BX145" s="72">
        <v>0</v>
      </c>
      <c r="BY145" s="72">
        <v>0</v>
      </c>
      <c r="BZ145" s="72">
        <v>0</v>
      </c>
      <c r="CA145" s="72">
        <v>0</v>
      </c>
      <c r="CB145" s="72">
        <v>0</v>
      </c>
      <c r="CC145" s="72">
        <v>0</v>
      </c>
      <c r="CD145" s="72">
        <v>0</v>
      </c>
      <c r="CE145" s="72">
        <v>0</v>
      </c>
      <c r="CF145" s="72">
        <v>0</v>
      </c>
      <c r="CG145" s="72">
        <v>0</v>
      </c>
      <c r="CH145" s="72">
        <v>0</v>
      </c>
      <c r="CI145" s="72">
        <v>0</v>
      </c>
      <c r="CJ145" s="72">
        <v>0</v>
      </c>
      <c r="CK145" s="72">
        <v>0</v>
      </c>
      <c r="CL145" s="72">
        <v>0</v>
      </c>
      <c r="CM145" s="72">
        <v>0</v>
      </c>
      <c r="CN145" s="72">
        <v>0</v>
      </c>
      <c r="CO145" s="72">
        <v>0</v>
      </c>
      <c r="CP145" s="72">
        <v>0</v>
      </c>
      <c r="CQ145" s="72">
        <v>0</v>
      </c>
      <c r="CR145" s="72">
        <v>0</v>
      </c>
      <c r="CS145" s="72">
        <v>0</v>
      </c>
      <c r="CT145" s="72">
        <v>0</v>
      </c>
      <c r="CU145" s="72">
        <v>0</v>
      </c>
      <c r="CV145" s="72">
        <v>0</v>
      </c>
      <c r="CW145" s="72">
        <v>0</v>
      </c>
      <c r="CX145" s="72">
        <v>0</v>
      </c>
      <c r="CY145" s="72">
        <v>0</v>
      </c>
      <c r="CZ145" s="72">
        <v>0</v>
      </c>
      <c r="DA145" s="72">
        <v>0</v>
      </c>
      <c r="DB145" s="72">
        <v>0</v>
      </c>
      <c r="DC145" s="72">
        <v>0</v>
      </c>
      <c r="DD145" s="72">
        <v>0</v>
      </c>
      <c r="DE145" s="72">
        <v>0</v>
      </c>
      <c r="DF145" s="72">
        <v>0</v>
      </c>
      <c r="DG145" s="72">
        <v>0</v>
      </c>
      <c r="DH145" s="72">
        <v>0</v>
      </c>
      <c r="DI145" s="72">
        <v>0</v>
      </c>
      <c r="DJ145" s="72">
        <v>0</v>
      </c>
      <c r="DK145" s="72">
        <v>0</v>
      </c>
      <c r="DL145" s="72">
        <v>0</v>
      </c>
      <c r="DM145" s="72">
        <v>0</v>
      </c>
    </row>
    <row r="146" spans="1:117" x14ac:dyDescent="0.35">
      <c r="A146" s="7"/>
      <c r="B146" s="8" t="s">
        <v>265</v>
      </c>
      <c r="C146" s="9" t="s">
        <v>266</v>
      </c>
      <c r="D146" s="10" t="s">
        <v>92</v>
      </c>
      <c r="E146" s="8" t="s">
        <v>1209</v>
      </c>
      <c r="F146" s="10">
        <v>1101</v>
      </c>
      <c r="G146" s="10" t="s">
        <v>92</v>
      </c>
      <c r="H146" s="10" t="s">
        <v>41</v>
      </c>
      <c r="I146" s="11">
        <v>364</v>
      </c>
      <c r="J146" s="10"/>
      <c r="K146" s="10" t="s">
        <v>42</v>
      </c>
      <c r="L146" s="8"/>
      <c r="M146" s="12">
        <v>1.2661199999999999</v>
      </c>
      <c r="N146" s="12">
        <f t="shared" si="2"/>
        <v>6.3305999999999996</v>
      </c>
      <c r="O146" s="11">
        <v>369</v>
      </c>
      <c r="P146" s="11">
        <v>369</v>
      </c>
      <c r="Q146" s="11">
        <v>369</v>
      </c>
      <c r="R146" s="11">
        <v>369</v>
      </c>
      <c r="S146" s="11">
        <v>369</v>
      </c>
      <c r="T146" s="11">
        <v>369</v>
      </c>
      <c r="U146" s="11">
        <v>369</v>
      </c>
      <c r="V146" s="11">
        <v>369</v>
      </c>
      <c r="W146" s="11">
        <v>369</v>
      </c>
      <c r="X146" s="11">
        <v>369</v>
      </c>
      <c r="Y146" s="11">
        <v>364</v>
      </c>
      <c r="Z146" s="11">
        <v>364</v>
      </c>
      <c r="AA146" s="11">
        <v>364</v>
      </c>
      <c r="AB146" s="11">
        <v>364</v>
      </c>
      <c r="AC146" s="11">
        <v>364</v>
      </c>
      <c r="AD146" s="11">
        <v>364</v>
      </c>
      <c r="AE146" s="11">
        <v>364</v>
      </c>
      <c r="AF146" s="11">
        <v>364</v>
      </c>
      <c r="AG146" s="11">
        <v>364</v>
      </c>
      <c r="AH146" s="11">
        <v>364</v>
      </c>
      <c r="AI146" s="11">
        <v>364</v>
      </c>
      <c r="AJ146" s="11">
        <v>364</v>
      </c>
      <c r="AK146" s="11">
        <v>364</v>
      </c>
      <c r="AL146" s="11">
        <v>364</v>
      </c>
      <c r="AM146" s="11">
        <v>164</v>
      </c>
      <c r="AN146" s="72">
        <v>164</v>
      </c>
      <c r="AO146" s="72">
        <v>164</v>
      </c>
      <c r="AP146" s="72">
        <v>164</v>
      </c>
      <c r="AQ146" s="72">
        <v>164</v>
      </c>
      <c r="AR146" s="72">
        <v>159</v>
      </c>
      <c r="AS146" s="72">
        <v>159</v>
      </c>
      <c r="AT146" s="72">
        <v>159</v>
      </c>
      <c r="AU146" s="72">
        <v>159</v>
      </c>
      <c r="AV146" s="72">
        <v>159</v>
      </c>
      <c r="AW146" s="72">
        <v>159</v>
      </c>
      <c r="AX146" s="72">
        <v>159</v>
      </c>
      <c r="AY146" s="72">
        <v>159</v>
      </c>
      <c r="AZ146" s="72">
        <v>159</v>
      </c>
      <c r="BA146" s="72">
        <v>159</v>
      </c>
      <c r="BB146" s="72">
        <v>159</v>
      </c>
      <c r="BC146" s="72">
        <v>159</v>
      </c>
      <c r="BD146" s="72">
        <v>159</v>
      </c>
      <c r="BE146" s="72">
        <v>159</v>
      </c>
      <c r="BF146" s="72">
        <v>159</v>
      </c>
      <c r="BG146" s="72">
        <v>159</v>
      </c>
      <c r="BH146" s="72">
        <v>159</v>
      </c>
      <c r="BI146" s="72">
        <v>159</v>
      </c>
      <c r="BJ146" s="72">
        <v>159</v>
      </c>
      <c r="BK146" s="72">
        <v>159</v>
      </c>
      <c r="BL146" s="72">
        <v>159</v>
      </c>
      <c r="BM146" s="72">
        <v>159</v>
      </c>
      <c r="BN146" s="72">
        <v>159</v>
      </c>
      <c r="BO146" s="72">
        <v>159</v>
      </c>
      <c r="BP146" s="72">
        <v>159</v>
      </c>
      <c r="BQ146" s="72">
        <v>159</v>
      </c>
      <c r="BR146" s="72">
        <v>159</v>
      </c>
      <c r="BS146" s="72">
        <v>119</v>
      </c>
      <c r="BT146" s="72">
        <v>119</v>
      </c>
      <c r="BU146" s="72">
        <v>119</v>
      </c>
      <c r="BV146" s="72">
        <v>119</v>
      </c>
      <c r="BW146" s="72">
        <v>119</v>
      </c>
      <c r="BX146" s="72">
        <v>119</v>
      </c>
      <c r="BY146" s="72">
        <v>119</v>
      </c>
      <c r="BZ146" s="72">
        <v>119</v>
      </c>
      <c r="CA146" s="72">
        <v>105</v>
      </c>
      <c r="CB146" s="72">
        <v>105</v>
      </c>
      <c r="CC146" s="72">
        <v>105</v>
      </c>
      <c r="CD146" s="72">
        <v>105</v>
      </c>
      <c r="CE146" s="72">
        <v>105</v>
      </c>
      <c r="CF146" s="72">
        <v>5</v>
      </c>
      <c r="CG146" s="72">
        <v>5</v>
      </c>
      <c r="CH146" s="72">
        <v>5</v>
      </c>
      <c r="CI146" s="72">
        <v>5</v>
      </c>
      <c r="CJ146" s="72">
        <v>5</v>
      </c>
      <c r="CK146" s="72">
        <v>5</v>
      </c>
      <c r="CL146" s="72">
        <v>5</v>
      </c>
      <c r="CM146" s="72">
        <v>5</v>
      </c>
      <c r="CN146" s="72">
        <v>5</v>
      </c>
      <c r="CO146" s="72">
        <v>5</v>
      </c>
      <c r="CP146" s="72">
        <v>5</v>
      </c>
      <c r="CQ146" s="72">
        <v>5</v>
      </c>
      <c r="CR146" s="72">
        <v>5</v>
      </c>
      <c r="CS146" s="72">
        <v>5</v>
      </c>
      <c r="CT146" s="72">
        <v>5</v>
      </c>
      <c r="CU146" s="72">
        <v>5</v>
      </c>
      <c r="CV146" s="72">
        <v>5</v>
      </c>
      <c r="CW146" s="72">
        <v>5</v>
      </c>
      <c r="CX146" s="72">
        <v>5</v>
      </c>
      <c r="CY146" s="72">
        <v>5</v>
      </c>
      <c r="CZ146" s="72">
        <v>5</v>
      </c>
      <c r="DA146" s="72">
        <v>5</v>
      </c>
      <c r="DB146" s="72">
        <v>5</v>
      </c>
      <c r="DC146" s="72">
        <v>5</v>
      </c>
      <c r="DD146" s="72">
        <v>5</v>
      </c>
      <c r="DE146" s="72">
        <v>5</v>
      </c>
      <c r="DF146" s="72">
        <v>5</v>
      </c>
      <c r="DG146" s="72">
        <v>5</v>
      </c>
      <c r="DH146" s="72">
        <v>5</v>
      </c>
      <c r="DI146" s="72">
        <v>5</v>
      </c>
      <c r="DJ146" s="72">
        <v>5</v>
      </c>
      <c r="DK146" s="72">
        <v>5</v>
      </c>
      <c r="DL146" s="72">
        <v>5</v>
      </c>
      <c r="DM146" s="72">
        <v>5</v>
      </c>
    </row>
    <row r="147" spans="1:117" x14ac:dyDescent="0.35">
      <c r="A147" s="7"/>
      <c r="B147" s="8" t="s">
        <v>267</v>
      </c>
      <c r="C147" s="9" t="s">
        <v>268</v>
      </c>
      <c r="D147" s="10" t="s">
        <v>92</v>
      </c>
      <c r="E147" s="8" t="s">
        <v>1209</v>
      </c>
      <c r="F147" s="10">
        <v>1101</v>
      </c>
      <c r="G147" s="10" t="s">
        <v>92</v>
      </c>
      <c r="H147" s="10" t="s">
        <v>41</v>
      </c>
      <c r="I147" s="11">
        <v>434</v>
      </c>
      <c r="J147" s="10"/>
      <c r="K147" s="10" t="s">
        <v>42</v>
      </c>
      <c r="L147" s="8"/>
      <c r="M147" s="12">
        <v>1.6967999999999999</v>
      </c>
      <c r="N147" s="12">
        <f t="shared" si="2"/>
        <v>363.11519999999996</v>
      </c>
      <c r="O147" s="11">
        <v>443</v>
      </c>
      <c r="P147" s="11">
        <v>443</v>
      </c>
      <c r="Q147" s="11">
        <v>443</v>
      </c>
      <c r="R147" s="11">
        <v>443</v>
      </c>
      <c r="S147" s="11">
        <v>443</v>
      </c>
      <c r="T147" s="11">
        <v>443</v>
      </c>
      <c r="U147" s="11">
        <v>439</v>
      </c>
      <c r="V147" s="11">
        <v>439</v>
      </c>
      <c r="W147" s="11">
        <v>439</v>
      </c>
      <c r="X147" s="11">
        <v>439</v>
      </c>
      <c r="Y147" s="11">
        <v>434</v>
      </c>
      <c r="Z147" s="11">
        <v>434</v>
      </c>
      <c r="AA147" s="11">
        <v>434</v>
      </c>
      <c r="AB147" s="11">
        <v>434</v>
      </c>
      <c r="AC147" s="11">
        <v>434</v>
      </c>
      <c r="AD147" s="11">
        <v>434</v>
      </c>
      <c r="AE147" s="11">
        <v>434</v>
      </c>
      <c r="AF147" s="11">
        <v>434</v>
      </c>
      <c r="AG147" s="11">
        <v>434</v>
      </c>
      <c r="AH147" s="11">
        <v>434</v>
      </c>
      <c r="AI147" s="11">
        <v>434</v>
      </c>
      <c r="AJ147" s="11">
        <v>434</v>
      </c>
      <c r="AK147" s="11">
        <v>434</v>
      </c>
      <c r="AL147" s="11">
        <v>434</v>
      </c>
      <c r="AM147" s="11">
        <v>434</v>
      </c>
      <c r="AN147" s="72">
        <v>434</v>
      </c>
      <c r="AO147" s="72">
        <v>434</v>
      </c>
      <c r="AP147" s="72">
        <v>434</v>
      </c>
      <c r="AQ147" s="72">
        <v>434</v>
      </c>
      <c r="AR147" s="72">
        <v>434</v>
      </c>
      <c r="AS147" s="72">
        <v>434</v>
      </c>
      <c r="AT147" s="72">
        <v>434</v>
      </c>
      <c r="AU147" s="72">
        <v>434</v>
      </c>
      <c r="AV147" s="72">
        <v>434</v>
      </c>
      <c r="AW147" s="72">
        <v>434</v>
      </c>
      <c r="AX147" s="72">
        <v>434</v>
      </c>
      <c r="AY147" s="72">
        <v>434</v>
      </c>
      <c r="AZ147" s="72">
        <v>434</v>
      </c>
      <c r="BA147" s="72">
        <v>434</v>
      </c>
      <c r="BB147" s="72">
        <v>434</v>
      </c>
      <c r="BC147" s="72">
        <v>434</v>
      </c>
      <c r="BD147" s="72">
        <v>434</v>
      </c>
      <c r="BE147" s="72">
        <v>434</v>
      </c>
      <c r="BF147" s="72">
        <v>434</v>
      </c>
      <c r="BG147" s="72">
        <v>434</v>
      </c>
      <c r="BH147" s="72">
        <v>434</v>
      </c>
      <c r="BI147" s="72">
        <v>434</v>
      </c>
      <c r="BJ147" s="72">
        <v>434</v>
      </c>
      <c r="BK147" s="72">
        <v>434</v>
      </c>
      <c r="BL147" s="72">
        <v>434</v>
      </c>
      <c r="BM147" s="72">
        <v>434</v>
      </c>
      <c r="BN147" s="72">
        <v>434</v>
      </c>
      <c r="BO147" s="72">
        <v>434</v>
      </c>
      <c r="BP147" s="72">
        <v>434</v>
      </c>
      <c r="BQ147" s="72">
        <v>434</v>
      </c>
      <c r="BR147" s="72">
        <v>434</v>
      </c>
      <c r="BS147" s="72">
        <v>434</v>
      </c>
      <c r="BT147" s="72">
        <v>434</v>
      </c>
      <c r="BU147" s="72">
        <v>434</v>
      </c>
      <c r="BV147" s="72">
        <v>434</v>
      </c>
      <c r="BW147" s="72">
        <v>434</v>
      </c>
      <c r="BX147" s="72">
        <v>434</v>
      </c>
      <c r="BY147" s="72">
        <v>434</v>
      </c>
      <c r="BZ147" s="72">
        <v>434</v>
      </c>
      <c r="CA147" s="72">
        <v>434</v>
      </c>
      <c r="CB147" s="72">
        <v>434</v>
      </c>
      <c r="CC147" s="72">
        <v>434</v>
      </c>
      <c r="CD147" s="72">
        <v>434</v>
      </c>
      <c r="CE147" s="72">
        <v>434</v>
      </c>
      <c r="CF147" s="72">
        <v>434</v>
      </c>
      <c r="CG147" s="72">
        <v>434</v>
      </c>
      <c r="CH147" s="72">
        <v>434</v>
      </c>
      <c r="CI147" s="72">
        <v>314</v>
      </c>
      <c r="CJ147" s="72">
        <v>214</v>
      </c>
      <c r="CK147" s="72">
        <v>214</v>
      </c>
      <c r="CL147" s="72">
        <v>214</v>
      </c>
      <c r="CM147" s="72">
        <v>214</v>
      </c>
      <c r="CN147" s="72">
        <v>214</v>
      </c>
      <c r="CO147" s="72">
        <v>214</v>
      </c>
      <c r="CP147" s="72">
        <v>214</v>
      </c>
      <c r="CQ147" s="72">
        <v>214</v>
      </c>
      <c r="CR147" s="72">
        <v>214</v>
      </c>
      <c r="CS147" s="72">
        <v>214</v>
      </c>
      <c r="CT147" s="72">
        <v>214</v>
      </c>
      <c r="CU147" s="72">
        <v>214</v>
      </c>
      <c r="CV147" s="72">
        <v>214</v>
      </c>
      <c r="CW147" s="72">
        <v>214</v>
      </c>
      <c r="CX147" s="72">
        <v>214</v>
      </c>
      <c r="CY147" s="72">
        <v>214</v>
      </c>
      <c r="CZ147" s="72">
        <v>214</v>
      </c>
      <c r="DA147" s="72">
        <v>214</v>
      </c>
      <c r="DB147" s="72">
        <v>214</v>
      </c>
      <c r="DC147" s="72">
        <v>214</v>
      </c>
      <c r="DD147" s="72">
        <v>214</v>
      </c>
      <c r="DE147" s="72">
        <v>214</v>
      </c>
      <c r="DF147" s="72">
        <v>214</v>
      </c>
      <c r="DG147" s="72">
        <v>214</v>
      </c>
      <c r="DH147" s="72">
        <v>214</v>
      </c>
      <c r="DI147" s="72">
        <v>214</v>
      </c>
      <c r="DJ147" s="72">
        <v>214</v>
      </c>
      <c r="DK147" s="72">
        <v>214</v>
      </c>
      <c r="DL147" s="72">
        <v>214</v>
      </c>
      <c r="DM147" s="72">
        <v>214</v>
      </c>
    </row>
    <row r="148" spans="1:117" x14ac:dyDescent="0.35">
      <c r="A148" s="7"/>
      <c r="B148" s="8" t="s">
        <v>269</v>
      </c>
      <c r="C148" s="9" t="s">
        <v>270</v>
      </c>
      <c r="D148" s="10" t="s">
        <v>92</v>
      </c>
      <c r="E148" s="8" t="s">
        <v>1209</v>
      </c>
      <c r="F148" s="10">
        <v>1101</v>
      </c>
      <c r="G148" s="10" t="s">
        <v>92</v>
      </c>
      <c r="H148" s="10" t="s">
        <v>41</v>
      </c>
      <c r="I148" s="11">
        <v>50</v>
      </c>
      <c r="J148" s="10"/>
      <c r="K148" s="10"/>
      <c r="L148" s="8"/>
      <c r="M148" s="12">
        <v>2.5930799999999996</v>
      </c>
      <c r="N148" s="12">
        <f t="shared" si="2"/>
        <v>77.792399999999986</v>
      </c>
      <c r="O148" s="11">
        <v>50</v>
      </c>
      <c r="P148" s="11">
        <v>50</v>
      </c>
      <c r="Q148" s="11">
        <v>50</v>
      </c>
      <c r="R148" s="11">
        <v>50</v>
      </c>
      <c r="S148" s="11">
        <v>50</v>
      </c>
      <c r="T148" s="11">
        <v>50</v>
      </c>
      <c r="U148" s="11">
        <v>50</v>
      </c>
      <c r="V148" s="11">
        <v>50</v>
      </c>
      <c r="W148" s="11">
        <v>50</v>
      </c>
      <c r="X148" s="11">
        <v>50</v>
      </c>
      <c r="Y148" s="11">
        <v>50</v>
      </c>
      <c r="Z148" s="11">
        <v>50</v>
      </c>
      <c r="AA148" s="11">
        <v>50</v>
      </c>
      <c r="AB148" s="11">
        <v>50</v>
      </c>
      <c r="AC148" s="11">
        <v>50</v>
      </c>
      <c r="AD148" s="11">
        <v>50</v>
      </c>
      <c r="AE148" s="11">
        <v>50</v>
      </c>
      <c r="AF148" s="11">
        <v>50</v>
      </c>
      <c r="AG148" s="11">
        <v>50</v>
      </c>
      <c r="AH148" s="11">
        <v>50</v>
      </c>
      <c r="AI148" s="11">
        <v>50</v>
      </c>
      <c r="AJ148" s="11">
        <v>50</v>
      </c>
      <c r="AK148" s="11">
        <v>50</v>
      </c>
      <c r="AL148" s="11">
        <v>50</v>
      </c>
      <c r="AM148" s="11">
        <v>50</v>
      </c>
      <c r="AN148" s="72">
        <v>50</v>
      </c>
      <c r="AO148" s="72">
        <v>50</v>
      </c>
      <c r="AP148" s="72">
        <v>50</v>
      </c>
      <c r="AQ148" s="72">
        <v>50</v>
      </c>
      <c r="AR148" s="72">
        <v>30</v>
      </c>
      <c r="AS148" s="72">
        <v>30</v>
      </c>
      <c r="AT148" s="72">
        <v>30</v>
      </c>
      <c r="AU148" s="72">
        <v>30</v>
      </c>
      <c r="AV148" s="72">
        <v>30</v>
      </c>
      <c r="AW148" s="72">
        <v>30</v>
      </c>
      <c r="AX148" s="72">
        <v>30</v>
      </c>
      <c r="AY148" s="72">
        <v>30</v>
      </c>
      <c r="AZ148" s="72">
        <v>30</v>
      </c>
      <c r="BA148" s="72">
        <v>30</v>
      </c>
      <c r="BB148" s="72">
        <v>30</v>
      </c>
      <c r="BC148" s="72">
        <v>30</v>
      </c>
      <c r="BD148" s="72">
        <v>30</v>
      </c>
      <c r="BE148" s="72">
        <v>30</v>
      </c>
      <c r="BF148" s="72">
        <v>30</v>
      </c>
      <c r="BG148" s="72">
        <v>30</v>
      </c>
      <c r="BH148" s="72">
        <v>30</v>
      </c>
      <c r="BI148" s="72">
        <v>30</v>
      </c>
      <c r="BJ148" s="72">
        <v>30</v>
      </c>
      <c r="BK148" s="72">
        <v>30</v>
      </c>
      <c r="BL148" s="72">
        <v>30</v>
      </c>
      <c r="BM148" s="72">
        <v>30</v>
      </c>
      <c r="BN148" s="72">
        <v>30</v>
      </c>
      <c r="BO148" s="72">
        <v>30</v>
      </c>
      <c r="BP148" s="72">
        <v>30</v>
      </c>
      <c r="BQ148" s="72">
        <v>30</v>
      </c>
      <c r="BR148" s="72">
        <v>30</v>
      </c>
      <c r="BS148" s="72">
        <v>30</v>
      </c>
      <c r="BT148" s="72">
        <v>30</v>
      </c>
      <c r="BU148" s="72">
        <v>30</v>
      </c>
      <c r="BV148" s="72">
        <v>30</v>
      </c>
      <c r="BW148" s="72">
        <v>30</v>
      </c>
      <c r="BX148" s="72">
        <v>30</v>
      </c>
      <c r="BY148" s="72">
        <v>30</v>
      </c>
      <c r="BZ148" s="72">
        <v>30</v>
      </c>
      <c r="CA148" s="72">
        <v>30</v>
      </c>
      <c r="CB148" s="72">
        <v>30</v>
      </c>
      <c r="CC148" s="72">
        <v>30</v>
      </c>
      <c r="CD148" s="72">
        <v>30</v>
      </c>
      <c r="CE148" s="72">
        <v>30</v>
      </c>
      <c r="CF148" s="72">
        <v>30</v>
      </c>
      <c r="CG148" s="72">
        <v>30</v>
      </c>
      <c r="CH148" s="72">
        <v>30</v>
      </c>
      <c r="CI148" s="72">
        <v>30</v>
      </c>
      <c r="CJ148" s="72">
        <v>30</v>
      </c>
      <c r="CK148" s="72">
        <v>30</v>
      </c>
      <c r="CL148" s="72">
        <v>30</v>
      </c>
      <c r="CM148" s="72">
        <v>30</v>
      </c>
      <c r="CN148" s="72">
        <v>30</v>
      </c>
      <c r="CO148" s="72">
        <v>30</v>
      </c>
      <c r="CP148" s="72">
        <v>30</v>
      </c>
      <c r="CQ148" s="72">
        <v>30</v>
      </c>
      <c r="CR148" s="72">
        <v>30</v>
      </c>
      <c r="CS148" s="72">
        <v>30</v>
      </c>
      <c r="CT148" s="72">
        <v>30</v>
      </c>
      <c r="CU148" s="72">
        <v>30</v>
      </c>
      <c r="CV148" s="72">
        <v>30</v>
      </c>
      <c r="CW148" s="72">
        <v>30</v>
      </c>
      <c r="CX148" s="72">
        <v>30</v>
      </c>
      <c r="CY148" s="72">
        <v>30</v>
      </c>
      <c r="CZ148" s="72">
        <v>30</v>
      </c>
      <c r="DA148" s="72">
        <v>30</v>
      </c>
      <c r="DB148" s="72">
        <v>30</v>
      </c>
      <c r="DC148" s="72">
        <v>30</v>
      </c>
      <c r="DD148" s="72">
        <v>30</v>
      </c>
      <c r="DE148" s="72">
        <v>30</v>
      </c>
      <c r="DF148" s="72">
        <v>30</v>
      </c>
      <c r="DG148" s="72">
        <v>30</v>
      </c>
      <c r="DH148" s="72">
        <v>30</v>
      </c>
      <c r="DI148" s="72">
        <v>30</v>
      </c>
      <c r="DJ148" s="72">
        <v>30</v>
      </c>
      <c r="DK148" s="72">
        <v>30</v>
      </c>
      <c r="DL148" s="72">
        <v>30</v>
      </c>
      <c r="DM148" s="72">
        <v>30</v>
      </c>
    </row>
    <row r="149" spans="1:117" x14ac:dyDescent="0.35">
      <c r="A149" s="7"/>
      <c r="B149" s="8" t="s">
        <v>271</v>
      </c>
      <c r="C149" s="9" t="s">
        <v>272</v>
      </c>
      <c r="D149" s="10" t="s">
        <v>92</v>
      </c>
      <c r="E149" s="8" t="s">
        <v>1209</v>
      </c>
      <c r="F149" s="10">
        <v>1101</v>
      </c>
      <c r="G149" s="10" t="s">
        <v>92</v>
      </c>
      <c r="H149" s="10" t="s">
        <v>41</v>
      </c>
      <c r="I149" s="11">
        <v>50</v>
      </c>
      <c r="J149" s="10"/>
      <c r="K149" s="10"/>
      <c r="L149" s="8"/>
      <c r="M149" s="12">
        <v>3.48936</v>
      </c>
      <c r="N149" s="12">
        <f t="shared" si="2"/>
        <v>174.46799999999999</v>
      </c>
      <c r="O149" s="11">
        <v>50</v>
      </c>
      <c r="P149" s="11">
        <v>50</v>
      </c>
      <c r="Q149" s="11">
        <v>50</v>
      </c>
      <c r="R149" s="11">
        <v>50</v>
      </c>
      <c r="S149" s="11">
        <v>50</v>
      </c>
      <c r="T149" s="11">
        <v>50</v>
      </c>
      <c r="U149" s="11">
        <v>50</v>
      </c>
      <c r="V149" s="11">
        <v>50</v>
      </c>
      <c r="W149" s="11">
        <v>50</v>
      </c>
      <c r="X149" s="11">
        <v>50</v>
      </c>
      <c r="Y149" s="11">
        <v>50</v>
      </c>
      <c r="Z149" s="11">
        <v>50</v>
      </c>
      <c r="AA149" s="11">
        <v>50</v>
      </c>
      <c r="AB149" s="11">
        <v>50</v>
      </c>
      <c r="AC149" s="11">
        <v>50</v>
      </c>
      <c r="AD149" s="11">
        <v>50</v>
      </c>
      <c r="AE149" s="11">
        <v>50</v>
      </c>
      <c r="AF149" s="11">
        <v>50</v>
      </c>
      <c r="AG149" s="11">
        <v>50</v>
      </c>
      <c r="AH149" s="11">
        <v>50</v>
      </c>
      <c r="AI149" s="11">
        <v>50</v>
      </c>
      <c r="AJ149" s="11">
        <v>50</v>
      </c>
      <c r="AK149" s="11">
        <v>50</v>
      </c>
      <c r="AL149" s="11">
        <v>50</v>
      </c>
      <c r="AM149" s="11">
        <v>50</v>
      </c>
      <c r="AN149" s="72">
        <v>50</v>
      </c>
      <c r="AO149" s="72">
        <v>50</v>
      </c>
      <c r="AP149" s="72">
        <v>50</v>
      </c>
      <c r="AQ149" s="72">
        <v>50</v>
      </c>
      <c r="AR149" s="72">
        <v>50</v>
      </c>
      <c r="AS149" s="72">
        <v>50</v>
      </c>
      <c r="AT149" s="72">
        <v>50</v>
      </c>
      <c r="AU149" s="72">
        <v>50</v>
      </c>
      <c r="AV149" s="72">
        <v>50</v>
      </c>
      <c r="AW149" s="72">
        <v>50</v>
      </c>
      <c r="AX149" s="72">
        <v>50</v>
      </c>
      <c r="AY149" s="72">
        <v>50</v>
      </c>
      <c r="AZ149" s="72">
        <v>50</v>
      </c>
      <c r="BA149" s="72">
        <v>50</v>
      </c>
      <c r="BB149" s="72">
        <v>50</v>
      </c>
      <c r="BC149" s="72">
        <v>50</v>
      </c>
      <c r="BD149" s="72">
        <v>50</v>
      </c>
      <c r="BE149" s="72">
        <v>50</v>
      </c>
      <c r="BF149" s="72">
        <v>50</v>
      </c>
      <c r="BG149" s="72">
        <v>50</v>
      </c>
      <c r="BH149" s="72">
        <v>50</v>
      </c>
      <c r="BI149" s="72">
        <v>50</v>
      </c>
      <c r="BJ149" s="72">
        <v>50</v>
      </c>
      <c r="BK149" s="72">
        <v>50</v>
      </c>
      <c r="BL149" s="72">
        <v>50</v>
      </c>
      <c r="BM149" s="72">
        <v>50</v>
      </c>
      <c r="BN149" s="72">
        <v>50</v>
      </c>
      <c r="BO149" s="72">
        <v>50</v>
      </c>
      <c r="BP149" s="72">
        <v>50</v>
      </c>
      <c r="BQ149" s="72">
        <v>50</v>
      </c>
      <c r="BR149" s="72">
        <v>50</v>
      </c>
      <c r="BS149" s="72">
        <v>50</v>
      </c>
      <c r="BT149" s="72">
        <v>50</v>
      </c>
      <c r="BU149" s="72">
        <v>50</v>
      </c>
      <c r="BV149" s="72">
        <v>50</v>
      </c>
      <c r="BW149" s="72">
        <v>50</v>
      </c>
      <c r="BX149" s="72">
        <v>50</v>
      </c>
      <c r="BY149" s="72">
        <v>50</v>
      </c>
      <c r="BZ149" s="72">
        <v>50</v>
      </c>
      <c r="CA149" s="72">
        <v>50</v>
      </c>
      <c r="CB149" s="72">
        <v>50</v>
      </c>
      <c r="CC149" s="72">
        <v>50</v>
      </c>
      <c r="CD149" s="72">
        <v>50</v>
      </c>
      <c r="CE149" s="72">
        <v>50</v>
      </c>
      <c r="CF149" s="72">
        <v>50</v>
      </c>
      <c r="CG149" s="72">
        <v>50</v>
      </c>
      <c r="CH149" s="72">
        <v>50</v>
      </c>
      <c r="CI149" s="72">
        <v>50</v>
      </c>
      <c r="CJ149" s="72">
        <v>50</v>
      </c>
      <c r="CK149" s="72">
        <v>50</v>
      </c>
      <c r="CL149" s="72">
        <v>50</v>
      </c>
      <c r="CM149" s="72">
        <v>50</v>
      </c>
      <c r="CN149" s="72">
        <v>50</v>
      </c>
      <c r="CO149" s="72">
        <v>50</v>
      </c>
      <c r="CP149" s="72">
        <v>50</v>
      </c>
      <c r="CQ149" s="72">
        <v>50</v>
      </c>
      <c r="CR149" s="72">
        <v>50</v>
      </c>
      <c r="CS149" s="72">
        <v>50</v>
      </c>
      <c r="CT149" s="72">
        <v>50</v>
      </c>
      <c r="CU149" s="72">
        <v>50</v>
      </c>
      <c r="CV149" s="72">
        <v>50</v>
      </c>
      <c r="CW149" s="72">
        <v>50</v>
      </c>
      <c r="CX149" s="72">
        <v>50</v>
      </c>
      <c r="CY149" s="72">
        <v>50</v>
      </c>
      <c r="CZ149" s="72">
        <v>50</v>
      </c>
      <c r="DA149" s="72">
        <v>50</v>
      </c>
      <c r="DB149" s="72">
        <v>50</v>
      </c>
      <c r="DC149" s="72">
        <v>50</v>
      </c>
      <c r="DD149" s="72">
        <v>50</v>
      </c>
      <c r="DE149" s="72">
        <v>50</v>
      </c>
      <c r="DF149" s="72">
        <v>50</v>
      </c>
      <c r="DG149" s="72">
        <v>50</v>
      </c>
      <c r="DH149" s="72">
        <v>50</v>
      </c>
      <c r="DI149" s="72">
        <v>50</v>
      </c>
      <c r="DJ149" s="72">
        <v>50</v>
      </c>
      <c r="DK149" s="72">
        <v>50</v>
      </c>
      <c r="DL149" s="72">
        <v>50</v>
      </c>
      <c r="DM149" s="72">
        <v>50</v>
      </c>
    </row>
    <row r="150" spans="1:117" x14ac:dyDescent="0.35">
      <c r="A150" s="7"/>
      <c r="B150" s="8" t="s">
        <v>273</v>
      </c>
      <c r="C150" s="9" t="s">
        <v>274</v>
      </c>
      <c r="D150" s="10" t="s">
        <v>92</v>
      </c>
      <c r="E150" s="8" t="s">
        <v>1209</v>
      </c>
      <c r="F150" s="10">
        <v>1101</v>
      </c>
      <c r="G150" s="10" t="s">
        <v>92</v>
      </c>
      <c r="H150" s="10" t="s">
        <v>41</v>
      </c>
      <c r="I150" s="11">
        <v>30</v>
      </c>
      <c r="J150" s="10"/>
      <c r="K150" s="10"/>
      <c r="L150" s="8"/>
      <c r="M150" s="12">
        <v>4.82796</v>
      </c>
      <c r="N150" s="12">
        <f t="shared" si="2"/>
        <v>144.83879999999999</v>
      </c>
      <c r="O150" s="11">
        <v>30</v>
      </c>
      <c r="P150" s="11">
        <v>30</v>
      </c>
      <c r="Q150" s="11">
        <v>30</v>
      </c>
      <c r="R150" s="11">
        <v>30</v>
      </c>
      <c r="S150" s="11">
        <v>30</v>
      </c>
      <c r="T150" s="11">
        <v>30</v>
      </c>
      <c r="U150" s="11">
        <v>30</v>
      </c>
      <c r="V150" s="11">
        <v>30</v>
      </c>
      <c r="W150" s="11">
        <v>30</v>
      </c>
      <c r="X150" s="11">
        <v>30</v>
      </c>
      <c r="Y150" s="11">
        <v>30</v>
      </c>
      <c r="Z150" s="11">
        <v>30</v>
      </c>
      <c r="AA150" s="11">
        <v>30</v>
      </c>
      <c r="AB150" s="11">
        <v>30</v>
      </c>
      <c r="AC150" s="11">
        <v>30</v>
      </c>
      <c r="AD150" s="11">
        <v>30</v>
      </c>
      <c r="AE150" s="11">
        <v>30</v>
      </c>
      <c r="AF150" s="11">
        <v>30</v>
      </c>
      <c r="AG150" s="11">
        <v>30</v>
      </c>
      <c r="AH150" s="11">
        <v>30</v>
      </c>
      <c r="AI150" s="11">
        <v>30</v>
      </c>
      <c r="AJ150" s="11">
        <v>30</v>
      </c>
      <c r="AK150" s="11">
        <v>30</v>
      </c>
      <c r="AL150" s="11">
        <v>30</v>
      </c>
      <c r="AM150" s="11">
        <v>30</v>
      </c>
      <c r="AN150" s="72">
        <v>30</v>
      </c>
      <c r="AO150" s="72">
        <v>30</v>
      </c>
      <c r="AP150" s="72">
        <v>30</v>
      </c>
      <c r="AQ150" s="72">
        <v>30</v>
      </c>
      <c r="AR150" s="72">
        <v>30</v>
      </c>
      <c r="AS150" s="72">
        <v>30</v>
      </c>
      <c r="AT150" s="72">
        <v>30</v>
      </c>
      <c r="AU150" s="72">
        <v>30</v>
      </c>
      <c r="AV150" s="72">
        <v>30</v>
      </c>
      <c r="AW150" s="72">
        <v>30</v>
      </c>
      <c r="AX150" s="72">
        <v>30</v>
      </c>
      <c r="AY150" s="72">
        <v>30</v>
      </c>
      <c r="AZ150" s="72">
        <v>30</v>
      </c>
      <c r="BA150" s="72">
        <v>30</v>
      </c>
      <c r="BB150" s="72">
        <v>30</v>
      </c>
      <c r="BC150" s="72">
        <v>30</v>
      </c>
      <c r="BD150" s="72">
        <v>30</v>
      </c>
      <c r="BE150" s="72">
        <v>30</v>
      </c>
      <c r="BF150" s="72">
        <v>30</v>
      </c>
      <c r="BG150" s="72">
        <v>30</v>
      </c>
      <c r="BH150" s="72">
        <v>30</v>
      </c>
      <c r="BI150" s="72">
        <v>30</v>
      </c>
      <c r="BJ150" s="72">
        <v>30</v>
      </c>
      <c r="BK150" s="72">
        <v>30</v>
      </c>
      <c r="BL150" s="72">
        <v>30</v>
      </c>
      <c r="BM150" s="72">
        <v>30</v>
      </c>
      <c r="BN150" s="72">
        <v>30</v>
      </c>
      <c r="BO150" s="72">
        <v>30</v>
      </c>
      <c r="BP150" s="72">
        <v>30</v>
      </c>
      <c r="BQ150" s="72">
        <v>30</v>
      </c>
      <c r="BR150" s="72">
        <v>30</v>
      </c>
      <c r="BS150" s="72">
        <v>30</v>
      </c>
      <c r="BT150" s="72">
        <v>30</v>
      </c>
      <c r="BU150" s="72">
        <v>30</v>
      </c>
      <c r="BV150" s="72">
        <v>30</v>
      </c>
      <c r="BW150" s="72">
        <v>30</v>
      </c>
      <c r="BX150" s="72">
        <v>30</v>
      </c>
      <c r="BY150" s="72">
        <v>30</v>
      </c>
      <c r="BZ150" s="72">
        <v>30</v>
      </c>
      <c r="CA150" s="72">
        <v>30</v>
      </c>
      <c r="CB150" s="72">
        <v>30</v>
      </c>
      <c r="CC150" s="72">
        <v>30</v>
      </c>
      <c r="CD150" s="72">
        <v>30</v>
      </c>
      <c r="CE150" s="72">
        <v>30</v>
      </c>
      <c r="CF150" s="72">
        <v>30</v>
      </c>
      <c r="CG150" s="72">
        <v>30</v>
      </c>
      <c r="CH150" s="72">
        <v>30</v>
      </c>
      <c r="CI150" s="72">
        <v>30</v>
      </c>
      <c r="CJ150" s="72">
        <v>30</v>
      </c>
      <c r="CK150" s="72">
        <v>30</v>
      </c>
      <c r="CL150" s="72">
        <v>30</v>
      </c>
      <c r="CM150" s="72">
        <v>30</v>
      </c>
      <c r="CN150" s="72">
        <v>30</v>
      </c>
      <c r="CO150" s="72">
        <v>30</v>
      </c>
      <c r="CP150" s="72">
        <v>30</v>
      </c>
      <c r="CQ150" s="72">
        <v>30</v>
      </c>
      <c r="CR150" s="72">
        <v>30</v>
      </c>
      <c r="CS150" s="72">
        <v>30</v>
      </c>
      <c r="CT150" s="72">
        <v>30</v>
      </c>
      <c r="CU150" s="72">
        <v>30</v>
      </c>
      <c r="CV150" s="72">
        <v>30</v>
      </c>
      <c r="CW150" s="72">
        <v>30</v>
      </c>
      <c r="CX150" s="72">
        <v>30</v>
      </c>
      <c r="CY150" s="72">
        <v>30</v>
      </c>
      <c r="CZ150" s="72">
        <v>30</v>
      </c>
      <c r="DA150" s="72">
        <v>30</v>
      </c>
      <c r="DB150" s="72">
        <v>30</v>
      </c>
      <c r="DC150" s="72">
        <v>30</v>
      </c>
      <c r="DD150" s="72">
        <v>30</v>
      </c>
      <c r="DE150" s="72">
        <v>30</v>
      </c>
      <c r="DF150" s="72">
        <v>30</v>
      </c>
      <c r="DG150" s="72">
        <v>30</v>
      </c>
      <c r="DH150" s="72">
        <v>30</v>
      </c>
      <c r="DI150" s="72">
        <v>30</v>
      </c>
      <c r="DJ150" s="72">
        <v>30</v>
      </c>
      <c r="DK150" s="72">
        <v>30</v>
      </c>
      <c r="DL150" s="72">
        <v>30</v>
      </c>
      <c r="DM150" s="72">
        <v>30</v>
      </c>
    </row>
    <row r="151" spans="1:117" x14ac:dyDescent="0.35">
      <c r="A151" s="7"/>
      <c r="B151" s="8" t="s">
        <v>275</v>
      </c>
      <c r="C151" s="9" t="s">
        <v>276</v>
      </c>
      <c r="D151" s="10" t="s">
        <v>92</v>
      </c>
      <c r="E151" s="8" t="s">
        <v>1209</v>
      </c>
      <c r="F151" s="10">
        <v>1101</v>
      </c>
      <c r="G151" s="10" t="s">
        <v>92</v>
      </c>
      <c r="H151" s="10" t="s">
        <v>41</v>
      </c>
      <c r="I151" s="11">
        <v>20</v>
      </c>
      <c r="J151" s="10"/>
      <c r="K151" s="10"/>
      <c r="L151" s="8"/>
      <c r="M151" s="12">
        <v>7.1093999999999999</v>
      </c>
      <c r="N151" s="12">
        <f t="shared" si="2"/>
        <v>142.18799999999999</v>
      </c>
      <c r="O151" s="11">
        <v>20</v>
      </c>
      <c r="P151" s="11">
        <v>20</v>
      </c>
      <c r="Q151" s="11">
        <v>20</v>
      </c>
      <c r="R151" s="11">
        <v>20</v>
      </c>
      <c r="S151" s="11">
        <v>20</v>
      </c>
      <c r="T151" s="11">
        <v>20</v>
      </c>
      <c r="U151" s="11">
        <v>20</v>
      </c>
      <c r="V151" s="11">
        <v>20</v>
      </c>
      <c r="W151" s="11">
        <v>20</v>
      </c>
      <c r="X151" s="11">
        <v>20</v>
      </c>
      <c r="Y151" s="11">
        <v>20</v>
      </c>
      <c r="Z151" s="11">
        <v>20</v>
      </c>
      <c r="AA151" s="11">
        <v>20</v>
      </c>
      <c r="AB151" s="11">
        <v>20</v>
      </c>
      <c r="AC151" s="11">
        <v>20</v>
      </c>
      <c r="AD151" s="11">
        <v>20</v>
      </c>
      <c r="AE151" s="11">
        <v>20</v>
      </c>
      <c r="AF151" s="11">
        <v>20</v>
      </c>
      <c r="AG151" s="11">
        <v>20</v>
      </c>
      <c r="AH151" s="11">
        <v>20</v>
      </c>
      <c r="AI151" s="11">
        <v>20</v>
      </c>
      <c r="AJ151" s="11">
        <v>20</v>
      </c>
      <c r="AK151" s="11">
        <v>20</v>
      </c>
      <c r="AL151" s="11">
        <v>20</v>
      </c>
      <c r="AM151" s="11">
        <v>20</v>
      </c>
      <c r="AN151" s="72">
        <v>20</v>
      </c>
      <c r="AO151" s="72">
        <v>20</v>
      </c>
      <c r="AP151" s="72">
        <v>20</v>
      </c>
      <c r="AQ151" s="72">
        <v>20</v>
      </c>
      <c r="AR151" s="72">
        <v>20</v>
      </c>
      <c r="AS151" s="72">
        <v>20</v>
      </c>
      <c r="AT151" s="72">
        <v>20</v>
      </c>
      <c r="AU151" s="72">
        <v>20</v>
      </c>
      <c r="AV151" s="72">
        <v>20</v>
      </c>
      <c r="AW151" s="72">
        <v>20</v>
      </c>
      <c r="AX151" s="72">
        <v>20</v>
      </c>
      <c r="AY151" s="72">
        <v>20</v>
      </c>
      <c r="AZ151" s="72">
        <v>20</v>
      </c>
      <c r="BA151" s="72">
        <v>20</v>
      </c>
      <c r="BB151" s="72">
        <v>20</v>
      </c>
      <c r="BC151" s="72">
        <v>20</v>
      </c>
      <c r="BD151" s="72">
        <v>20</v>
      </c>
      <c r="BE151" s="72">
        <v>20</v>
      </c>
      <c r="BF151" s="72">
        <v>20</v>
      </c>
      <c r="BG151" s="72">
        <v>20</v>
      </c>
      <c r="BH151" s="72">
        <v>20</v>
      </c>
      <c r="BI151" s="72">
        <v>20</v>
      </c>
      <c r="BJ151" s="72">
        <v>20</v>
      </c>
      <c r="BK151" s="72">
        <v>20</v>
      </c>
      <c r="BL151" s="72">
        <v>20</v>
      </c>
      <c r="BM151" s="72">
        <v>20</v>
      </c>
      <c r="BN151" s="72">
        <v>20</v>
      </c>
      <c r="BO151" s="72">
        <v>20</v>
      </c>
      <c r="BP151" s="72">
        <v>20</v>
      </c>
      <c r="BQ151" s="72">
        <v>20</v>
      </c>
      <c r="BR151" s="72">
        <v>20</v>
      </c>
      <c r="BS151" s="72">
        <v>20</v>
      </c>
      <c r="BT151" s="72">
        <v>20</v>
      </c>
      <c r="BU151" s="72">
        <v>20</v>
      </c>
      <c r="BV151" s="72">
        <v>20</v>
      </c>
      <c r="BW151" s="72">
        <v>20</v>
      </c>
      <c r="BX151" s="72">
        <v>20</v>
      </c>
      <c r="BY151" s="72">
        <v>20</v>
      </c>
      <c r="BZ151" s="72">
        <v>20</v>
      </c>
      <c r="CA151" s="72">
        <v>20</v>
      </c>
      <c r="CB151" s="72">
        <v>20</v>
      </c>
      <c r="CC151" s="72">
        <v>20</v>
      </c>
      <c r="CD151" s="72">
        <v>20</v>
      </c>
      <c r="CE151" s="72">
        <v>20</v>
      </c>
      <c r="CF151" s="72">
        <v>20</v>
      </c>
      <c r="CG151" s="72">
        <v>20</v>
      </c>
      <c r="CH151" s="72">
        <v>20</v>
      </c>
      <c r="CI151" s="72">
        <v>20</v>
      </c>
      <c r="CJ151" s="72">
        <v>20</v>
      </c>
      <c r="CK151" s="72">
        <v>20</v>
      </c>
      <c r="CL151" s="72">
        <v>20</v>
      </c>
      <c r="CM151" s="72">
        <v>20</v>
      </c>
      <c r="CN151" s="72">
        <v>20</v>
      </c>
      <c r="CO151" s="72">
        <v>20</v>
      </c>
      <c r="CP151" s="72">
        <v>20</v>
      </c>
      <c r="CQ151" s="72">
        <v>20</v>
      </c>
      <c r="CR151" s="72">
        <v>20</v>
      </c>
      <c r="CS151" s="72">
        <v>20</v>
      </c>
      <c r="CT151" s="72">
        <v>20</v>
      </c>
      <c r="CU151" s="72">
        <v>20</v>
      </c>
      <c r="CV151" s="72">
        <v>20</v>
      </c>
      <c r="CW151" s="72">
        <v>20</v>
      </c>
      <c r="CX151" s="72">
        <v>20</v>
      </c>
      <c r="CY151" s="72">
        <v>20</v>
      </c>
      <c r="CZ151" s="72">
        <v>20</v>
      </c>
      <c r="DA151" s="72">
        <v>20</v>
      </c>
      <c r="DB151" s="72">
        <v>20</v>
      </c>
      <c r="DC151" s="72">
        <v>20</v>
      </c>
      <c r="DD151" s="72">
        <v>20</v>
      </c>
      <c r="DE151" s="72">
        <v>20</v>
      </c>
      <c r="DF151" s="72">
        <v>20</v>
      </c>
      <c r="DG151" s="72">
        <v>20</v>
      </c>
      <c r="DH151" s="72">
        <v>20</v>
      </c>
      <c r="DI151" s="72">
        <v>20</v>
      </c>
      <c r="DJ151" s="72">
        <v>20</v>
      </c>
      <c r="DK151" s="72">
        <v>20</v>
      </c>
      <c r="DL151" s="72">
        <v>20</v>
      </c>
      <c r="DM151" s="72">
        <v>20</v>
      </c>
    </row>
    <row r="152" spans="1:117" x14ac:dyDescent="0.35">
      <c r="A152" s="7"/>
      <c r="B152" s="8" t="s">
        <v>277</v>
      </c>
      <c r="C152" s="9" t="s">
        <v>278</v>
      </c>
      <c r="D152" s="10" t="s">
        <v>92</v>
      </c>
      <c r="E152" s="8" t="s">
        <v>1209</v>
      </c>
      <c r="F152" s="10">
        <v>1101</v>
      </c>
      <c r="G152" s="10" t="s">
        <v>92</v>
      </c>
      <c r="H152" s="10" t="s">
        <v>41</v>
      </c>
      <c r="I152" s="11">
        <v>0</v>
      </c>
      <c r="J152" s="10">
        <v>1</v>
      </c>
      <c r="K152" s="10" t="s">
        <v>42</v>
      </c>
      <c r="L152" s="8" t="s">
        <v>206</v>
      </c>
      <c r="M152" s="12">
        <v>0.53878423999999969</v>
      </c>
      <c r="N152" s="12">
        <f t="shared" si="2"/>
        <v>0</v>
      </c>
      <c r="O152" s="11">
        <v>0</v>
      </c>
      <c r="P152" s="11">
        <v>0</v>
      </c>
      <c r="Q152" s="11">
        <v>0</v>
      </c>
      <c r="R152" s="11">
        <v>0</v>
      </c>
      <c r="S152" s="11">
        <v>0</v>
      </c>
      <c r="T152" s="11">
        <v>0</v>
      </c>
      <c r="U152" s="11">
        <v>0</v>
      </c>
      <c r="V152" s="11">
        <v>0</v>
      </c>
      <c r="W152" s="11">
        <v>0</v>
      </c>
      <c r="X152" s="11">
        <v>0</v>
      </c>
      <c r="Y152" s="11">
        <v>0</v>
      </c>
      <c r="Z152" s="11">
        <v>0</v>
      </c>
      <c r="AA152" s="11">
        <v>0</v>
      </c>
      <c r="AB152" s="11">
        <v>0</v>
      </c>
      <c r="AC152" s="11">
        <v>0</v>
      </c>
      <c r="AD152" s="11">
        <v>0</v>
      </c>
      <c r="AE152" s="11">
        <v>0</v>
      </c>
      <c r="AF152" s="11">
        <v>0</v>
      </c>
      <c r="AG152" s="11">
        <v>0</v>
      </c>
      <c r="AH152" s="11">
        <v>0</v>
      </c>
      <c r="AI152" s="11">
        <v>0</v>
      </c>
      <c r="AJ152" s="11">
        <v>0</v>
      </c>
      <c r="AK152" s="11">
        <v>0</v>
      </c>
      <c r="AL152" s="11">
        <v>0</v>
      </c>
      <c r="AM152" s="11">
        <v>0</v>
      </c>
      <c r="AN152" s="72">
        <v>0</v>
      </c>
      <c r="AO152" s="72">
        <v>0</v>
      </c>
      <c r="AP152" s="72">
        <v>0</v>
      </c>
      <c r="AQ152" s="72">
        <v>0</v>
      </c>
      <c r="AR152" s="72">
        <v>0</v>
      </c>
      <c r="AS152" s="72">
        <v>0</v>
      </c>
      <c r="AT152" s="72">
        <v>0</v>
      </c>
      <c r="AU152" s="72">
        <v>0</v>
      </c>
      <c r="AV152" s="72">
        <v>0</v>
      </c>
      <c r="AW152" s="72">
        <v>0</v>
      </c>
      <c r="AX152" s="72">
        <v>0</v>
      </c>
      <c r="AY152" s="72">
        <v>0</v>
      </c>
      <c r="AZ152" s="72">
        <v>0</v>
      </c>
      <c r="BA152" s="72">
        <v>0</v>
      </c>
      <c r="BB152" s="72">
        <v>0</v>
      </c>
      <c r="BC152" s="72">
        <v>0</v>
      </c>
      <c r="BD152" s="72">
        <v>0</v>
      </c>
      <c r="BE152" s="72">
        <v>0</v>
      </c>
      <c r="BF152" s="72">
        <v>0</v>
      </c>
      <c r="BG152" s="72">
        <v>0</v>
      </c>
      <c r="BH152" s="72">
        <v>0</v>
      </c>
      <c r="BI152" s="72">
        <v>0</v>
      </c>
      <c r="BJ152" s="72">
        <v>0</v>
      </c>
      <c r="BK152" s="72">
        <v>0</v>
      </c>
      <c r="BL152" s="72">
        <v>0</v>
      </c>
      <c r="BM152" s="72">
        <v>0</v>
      </c>
      <c r="BN152" s="72">
        <v>0</v>
      </c>
      <c r="BO152" s="72">
        <v>0</v>
      </c>
      <c r="BP152" s="72">
        <v>0</v>
      </c>
      <c r="BQ152" s="72">
        <v>0</v>
      </c>
      <c r="BR152" s="72">
        <v>0</v>
      </c>
      <c r="BS152" s="72">
        <v>0</v>
      </c>
      <c r="BT152" s="72">
        <v>0</v>
      </c>
      <c r="BU152" s="72">
        <v>0</v>
      </c>
      <c r="BV152" s="72">
        <v>0</v>
      </c>
      <c r="BW152" s="72">
        <v>0</v>
      </c>
      <c r="BX152" s="72">
        <v>0</v>
      </c>
      <c r="BY152" s="72">
        <v>0</v>
      </c>
      <c r="BZ152" s="72">
        <v>0</v>
      </c>
      <c r="CA152" s="72">
        <v>0</v>
      </c>
      <c r="CB152" s="72">
        <v>0</v>
      </c>
      <c r="CC152" s="72">
        <v>0</v>
      </c>
      <c r="CD152" s="72">
        <v>0</v>
      </c>
      <c r="CE152" s="72">
        <v>0</v>
      </c>
      <c r="CF152" s="72">
        <v>0</v>
      </c>
      <c r="CG152" s="72">
        <v>0</v>
      </c>
      <c r="CH152" s="72">
        <v>0</v>
      </c>
      <c r="CI152" s="72">
        <v>0</v>
      </c>
      <c r="CJ152" s="72">
        <v>0</v>
      </c>
      <c r="CK152" s="72">
        <v>0</v>
      </c>
      <c r="CL152" s="72">
        <v>0</v>
      </c>
      <c r="CM152" s="72">
        <v>0</v>
      </c>
      <c r="CN152" s="72">
        <v>0</v>
      </c>
      <c r="CO152" s="72">
        <v>0</v>
      </c>
      <c r="CP152" s="72">
        <v>0</v>
      </c>
      <c r="CQ152" s="72">
        <v>0</v>
      </c>
      <c r="CR152" s="72">
        <v>0</v>
      </c>
      <c r="CS152" s="72">
        <v>0</v>
      </c>
      <c r="CT152" s="72">
        <v>0</v>
      </c>
      <c r="CU152" s="72">
        <v>0</v>
      </c>
      <c r="CV152" s="72">
        <v>0</v>
      </c>
      <c r="CW152" s="72">
        <v>0</v>
      </c>
      <c r="CX152" s="72">
        <v>0</v>
      </c>
      <c r="CY152" s="72">
        <v>0</v>
      </c>
      <c r="CZ152" s="72">
        <v>0</v>
      </c>
      <c r="DA152" s="72">
        <v>0</v>
      </c>
      <c r="DB152" s="72">
        <v>0</v>
      </c>
      <c r="DC152" s="72">
        <v>0</v>
      </c>
      <c r="DD152" s="72">
        <v>0</v>
      </c>
      <c r="DE152" s="72">
        <v>0</v>
      </c>
      <c r="DF152" s="72">
        <v>0</v>
      </c>
      <c r="DG152" s="72">
        <v>0</v>
      </c>
      <c r="DH152" s="72">
        <v>0</v>
      </c>
      <c r="DI152" s="72">
        <v>0</v>
      </c>
      <c r="DJ152" s="72">
        <v>0</v>
      </c>
      <c r="DK152" s="72">
        <v>0</v>
      </c>
      <c r="DL152" s="72">
        <v>0</v>
      </c>
      <c r="DM152" s="72">
        <v>0</v>
      </c>
    </row>
    <row r="153" spans="1:117" x14ac:dyDescent="0.35">
      <c r="A153" s="7"/>
      <c r="B153" s="8" t="s">
        <v>279</v>
      </c>
      <c r="C153" s="9" t="s">
        <v>280</v>
      </c>
      <c r="D153" s="10" t="s">
        <v>92</v>
      </c>
      <c r="E153" s="8" t="s">
        <v>1209</v>
      </c>
      <c r="F153" s="10">
        <v>1101</v>
      </c>
      <c r="G153" s="10" t="s">
        <v>92</v>
      </c>
      <c r="H153" s="10" t="s">
        <v>41</v>
      </c>
      <c r="I153" s="11">
        <v>76</v>
      </c>
      <c r="J153" s="10"/>
      <c r="K153" s="10" t="s">
        <v>42</v>
      </c>
      <c r="L153" s="8"/>
      <c r="M153" s="12">
        <v>0.67247999999999997</v>
      </c>
      <c r="N153" s="12">
        <f t="shared" si="2"/>
        <v>0</v>
      </c>
      <c r="O153" s="11">
        <v>76</v>
      </c>
      <c r="P153" s="11">
        <v>76</v>
      </c>
      <c r="Q153" s="11">
        <v>76</v>
      </c>
      <c r="R153" s="11">
        <v>76</v>
      </c>
      <c r="S153" s="11">
        <v>76</v>
      </c>
      <c r="T153" s="11">
        <v>76</v>
      </c>
      <c r="U153" s="11">
        <v>76</v>
      </c>
      <c r="V153" s="11">
        <v>76</v>
      </c>
      <c r="W153" s="11">
        <v>76</v>
      </c>
      <c r="X153" s="11">
        <v>76</v>
      </c>
      <c r="Y153" s="11">
        <v>76</v>
      </c>
      <c r="Z153" s="11">
        <v>76</v>
      </c>
      <c r="AA153" s="11">
        <v>76</v>
      </c>
      <c r="AB153" s="11">
        <v>76</v>
      </c>
      <c r="AC153" s="11">
        <v>76</v>
      </c>
      <c r="AD153" s="11">
        <v>76</v>
      </c>
      <c r="AE153" s="11">
        <v>76</v>
      </c>
      <c r="AF153" s="11">
        <v>76</v>
      </c>
      <c r="AG153" s="11">
        <v>76</v>
      </c>
      <c r="AH153" s="11">
        <v>76</v>
      </c>
      <c r="AI153" s="11">
        <v>76</v>
      </c>
      <c r="AJ153" s="11">
        <v>76</v>
      </c>
      <c r="AK153" s="11">
        <v>76</v>
      </c>
      <c r="AL153" s="11">
        <v>76</v>
      </c>
      <c r="AM153" s="11">
        <v>76</v>
      </c>
      <c r="AN153" s="72">
        <v>76</v>
      </c>
      <c r="AO153" s="72">
        <v>76</v>
      </c>
      <c r="AP153" s="72">
        <v>76</v>
      </c>
      <c r="AQ153" s="72">
        <v>76</v>
      </c>
      <c r="AR153" s="72">
        <v>76</v>
      </c>
      <c r="AS153" s="72">
        <v>76</v>
      </c>
      <c r="AT153" s="72">
        <v>76</v>
      </c>
      <c r="AU153" s="72">
        <v>76</v>
      </c>
      <c r="AV153" s="72">
        <v>76</v>
      </c>
      <c r="AW153" s="72">
        <v>76</v>
      </c>
      <c r="AX153" s="72">
        <v>76</v>
      </c>
      <c r="AY153" s="72">
        <v>76</v>
      </c>
      <c r="AZ153" s="72">
        <v>76</v>
      </c>
      <c r="BA153" s="72">
        <v>76</v>
      </c>
      <c r="BB153" s="72">
        <v>76</v>
      </c>
      <c r="BC153" s="72">
        <v>76</v>
      </c>
      <c r="BD153" s="72">
        <v>76</v>
      </c>
      <c r="BE153" s="72">
        <v>76</v>
      </c>
      <c r="BF153" s="72">
        <v>76</v>
      </c>
      <c r="BG153" s="72">
        <v>76</v>
      </c>
      <c r="BH153" s="72">
        <v>76</v>
      </c>
      <c r="BI153" s="72">
        <v>76</v>
      </c>
      <c r="BJ153" s="72">
        <v>76</v>
      </c>
      <c r="BK153" s="72">
        <v>0</v>
      </c>
      <c r="BL153" s="72">
        <v>0</v>
      </c>
      <c r="BM153" s="72">
        <v>0</v>
      </c>
      <c r="BN153" s="72">
        <v>0</v>
      </c>
      <c r="BO153" s="72">
        <v>0</v>
      </c>
      <c r="BP153" s="72">
        <v>0</v>
      </c>
      <c r="BQ153" s="72">
        <v>0</v>
      </c>
      <c r="BR153" s="72">
        <v>0</v>
      </c>
      <c r="BS153" s="72">
        <v>0</v>
      </c>
      <c r="BT153" s="72">
        <v>0</v>
      </c>
      <c r="BU153" s="72">
        <v>0</v>
      </c>
      <c r="BV153" s="72">
        <v>0</v>
      </c>
      <c r="BW153" s="72">
        <v>0</v>
      </c>
      <c r="BX153" s="72">
        <v>0</v>
      </c>
      <c r="BY153" s="72">
        <v>0</v>
      </c>
      <c r="BZ153" s="72">
        <v>0</v>
      </c>
      <c r="CA153" s="72">
        <v>0</v>
      </c>
      <c r="CB153" s="72">
        <v>0</v>
      </c>
      <c r="CC153" s="72">
        <v>0</v>
      </c>
      <c r="CD153" s="72">
        <v>0</v>
      </c>
      <c r="CE153" s="72">
        <v>0</v>
      </c>
      <c r="CF153" s="72">
        <v>0</v>
      </c>
      <c r="CG153" s="72">
        <v>0</v>
      </c>
      <c r="CH153" s="72">
        <v>0</v>
      </c>
      <c r="CI153" s="72">
        <v>0</v>
      </c>
      <c r="CJ153" s="72">
        <v>0</v>
      </c>
      <c r="CK153" s="72">
        <v>0</v>
      </c>
      <c r="CL153" s="72">
        <v>0</v>
      </c>
      <c r="CM153" s="72">
        <v>0</v>
      </c>
      <c r="CN153" s="72">
        <v>0</v>
      </c>
      <c r="CO153" s="72">
        <v>0</v>
      </c>
      <c r="CP153" s="72">
        <v>0</v>
      </c>
      <c r="CQ153" s="72">
        <v>0</v>
      </c>
      <c r="CR153" s="72">
        <v>0</v>
      </c>
      <c r="CS153" s="72">
        <v>0</v>
      </c>
      <c r="CT153" s="72">
        <v>0</v>
      </c>
      <c r="CU153" s="72">
        <v>0</v>
      </c>
      <c r="CV153" s="72">
        <v>0</v>
      </c>
      <c r="CW153" s="72">
        <v>0</v>
      </c>
      <c r="CX153" s="72">
        <v>0</v>
      </c>
      <c r="CY153" s="72">
        <v>0</v>
      </c>
      <c r="CZ153" s="72">
        <v>0</v>
      </c>
      <c r="DA153" s="72">
        <v>0</v>
      </c>
      <c r="DB153" s="72">
        <v>0</v>
      </c>
      <c r="DC153" s="72">
        <v>0</v>
      </c>
      <c r="DD153" s="72">
        <v>0</v>
      </c>
      <c r="DE153" s="72">
        <v>0</v>
      </c>
      <c r="DF153" s="72">
        <v>0</v>
      </c>
      <c r="DG153" s="72">
        <v>0</v>
      </c>
      <c r="DH153" s="72">
        <v>0</v>
      </c>
      <c r="DI153" s="72">
        <v>0</v>
      </c>
      <c r="DJ153" s="72">
        <v>0</v>
      </c>
      <c r="DK153" s="72">
        <v>0</v>
      </c>
      <c r="DL153" s="72">
        <v>0</v>
      </c>
      <c r="DM153" s="72">
        <v>0</v>
      </c>
    </row>
    <row r="154" spans="1:117" x14ac:dyDescent="0.35">
      <c r="A154" s="7"/>
      <c r="B154" s="8" t="s">
        <v>281</v>
      </c>
      <c r="C154" s="9" t="s">
        <v>282</v>
      </c>
      <c r="D154" s="10" t="s">
        <v>92</v>
      </c>
      <c r="E154" s="8" t="s">
        <v>1209</v>
      </c>
      <c r="F154" s="10">
        <v>1101</v>
      </c>
      <c r="G154" s="10" t="s">
        <v>92</v>
      </c>
      <c r="H154" s="10" t="s">
        <v>41</v>
      </c>
      <c r="I154" s="11">
        <v>219</v>
      </c>
      <c r="J154" s="10"/>
      <c r="K154" s="10" t="s">
        <v>42</v>
      </c>
      <c r="L154" s="8"/>
      <c r="M154" s="12">
        <v>0.82379999999999998</v>
      </c>
      <c r="N154" s="12">
        <f t="shared" si="2"/>
        <v>0</v>
      </c>
      <c r="O154" s="11">
        <v>221</v>
      </c>
      <c r="P154" s="11">
        <v>221</v>
      </c>
      <c r="Q154" s="11">
        <v>221</v>
      </c>
      <c r="R154" s="11">
        <v>221</v>
      </c>
      <c r="S154" s="11">
        <v>221</v>
      </c>
      <c r="T154" s="11">
        <v>219</v>
      </c>
      <c r="U154" s="11">
        <v>219</v>
      </c>
      <c r="V154" s="11">
        <v>219</v>
      </c>
      <c r="W154" s="11">
        <v>219</v>
      </c>
      <c r="X154" s="11">
        <v>219</v>
      </c>
      <c r="Y154" s="11">
        <v>219</v>
      </c>
      <c r="Z154" s="11">
        <v>219</v>
      </c>
      <c r="AA154" s="11">
        <v>219</v>
      </c>
      <c r="AB154" s="11">
        <v>219</v>
      </c>
      <c r="AC154" s="11">
        <v>219</v>
      </c>
      <c r="AD154" s="11">
        <v>219</v>
      </c>
      <c r="AE154" s="11">
        <v>219</v>
      </c>
      <c r="AF154" s="11">
        <v>219</v>
      </c>
      <c r="AG154" s="11">
        <v>219</v>
      </c>
      <c r="AH154" s="11">
        <v>219</v>
      </c>
      <c r="AI154" s="11">
        <v>219</v>
      </c>
      <c r="AJ154" s="11">
        <v>219</v>
      </c>
      <c r="AK154" s="11">
        <v>219</v>
      </c>
      <c r="AL154" s="11">
        <v>219</v>
      </c>
      <c r="AM154" s="11">
        <v>219</v>
      </c>
      <c r="AN154" s="72">
        <v>219</v>
      </c>
      <c r="AO154" s="72">
        <v>219</v>
      </c>
      <c r="AP154" s="72">
        <v>219</v>
      </c>
      <c r="AQ154" s="72">
        <v>219</v>
      </c>
      <c r="AR154" s="72">
        <v>219</v>
      </c>
      <c r="AS154" s="72">
        <v>219</v>
      </c>
      <c r="AT154" s="72">
        <v>219</v>
      </c>
      <c r="AU154" s="72">
        <v>219</v>
      </c>
      <c r="AV154" s="72">
        <v>0</v>
      </c>
      <c r="AW154" s="72">
        <v>0</v>
      </c>
      <c r="AX154" s="72">
        <v>0</v>
      </c>
      <c r="AY154" s="72">
        <v>0</v>
      </c>
      <c r="AZ154" s="72">
        <v>0</v>
      </c>
      <c r="BA154" s="72">
        <v>0</v>
      </c>
      <c r="BB154" s="72">
        <v>0</v>
      </c>
      <c r="BC154" s="72">
        <v>0</v>
      </c>
      <c r="BD154" s="72">
        <v>0</v>
      </c>
      <c r="BE154" s="72">
        <v>0</v>
      </c>
      <c r="BF154" s="72">
        <v>0</v>
      </c>
      <c r="BG154" s="72">
        <v>0</v>
      </c>
      <c r="BH154" s="72">
        <v>0</v>
      </c>
      <c r="BI154" s="72">
        <v>0</v>
      </c>
      <c r="BJ154" s="72">
        <v>0</v>
      </c>
      <c r="BK154" s="72">
        <v>0</v>
      </c>
      <c r="BL154" s="72">
        <v>0</v>
      </c>
      <c r="BM154" s="72">
        <v>0</v>
      </c>
      <c r="BN154" s="72">
        <v>0</v>
      </c>
      <c r="BO154" s="72">
        <v>0</v>
      </c>
      <c r="BP154" s="72">
        <v>0</v>
      </c>
      <c r="BQ154" s="72">
        <v>0</v>
      </c>
      <c r="BR154" s="72">
        <v>0</v>
      </c>
      <c r="BS154" s="72">
        <v>0</v>
      </c>
      <c r="BT154" s="72">
        <v>0</v>
      </c>
      <c r="BU154" s="72">
        <v>0</v>
      </c>
      <c r="BV154" s="72">
        <v>0</v>
      </c>
      <c r="BW154" s="72">
        <v>0</v>
      </c>
      <c r="BX154" s="72">
        <v>0</v>
      </c>
      <c r="BY154" s="72">
        <v>0</v>
      </c>
      <c r="BZ154" s="72">
        <v>0</v>
      </c>
      <c r="CA154" s="72">
        <v>0</v>
      </c>
      <c r="CB154" s="72">
        <v>0</v>
      </c>
      <c r="CC154" s="72">
        <v>0</v>
      </c>
      <c r="CD154" s="72">
        <v>0</v>
      </c>
      <c r="CE154" s="72">
        <v>0</v>
      </c>
      <c r="CF154" s="72">
        <v>0</v>
      </c>
      <c r="CG154" s="72">
        <v>0</v>
      </c>
      <c r="CH154" s="72">
        <v>0</v>
      </c>
      <c r="CI154" s="72">
        <v>0</v>
      </c>
      <c r="CJ154" s="72">
        <v>0</v>
      </c>
      <c r="CK154" s="72">
        <v>0</v>
      </c>
      <c r="CL154" s="72">
        <v>0</v>
      </c>
      <c r="CM154" s="72">
        <v>0</v>
      </c>
      <c r="CN154" s="72">
        <v>0</v>
      </c>
      <c r="CO154" s="72">
        <v>0</v>
      </c>
      <c r="CP154" s="72">
        <v>0</v>
      </c>
      <c r="CQ154" s="72">
        <v>0</v>
      </c>
      <c r="CR154" s="72">
        <v>0</v>
      </c>
      <c r="CS154" s="72">
        <v>0</v>
      </c>
      <c r="CT154" s="72">
        <v>0</v>
      </c>
      <c r="CU154" s="72">
        <v>0</v>
      </c>
      <c r="CV154" s="72">
        <v>0</v>
      </c>
      <c r="CW154" s="72">
        <v>0</v>
      </c>
      <c r="CX154" s="72">
        <v>0</v>
      </c>
      <c r="CY154" s="72">
        <v>0</v>
      </c>
      <c r="CZ154" s="72">
        <v>0</v>
      </c>
      <c r="DA154" s="72">
        <v>0</v>
      </c>
      <c r="DB154" s="72">
        <v>0</v>
      </c>
      <c r="DC154" s="72">
        <v>0</v>
      </c>
      <c r="DD154" s="72">
        <v>0</v>
      </c>
      <c r="DE154" s="72">
        <v>0</v>
      </c>
      <c r="DF154" s="72">
        <v>0</v>
      </c>
      <c r="DG154" s="72">
        <v>0</v>
      </c>
      <c r="DH154" s="72">
        <v>0</v>
      </c>
      <c r="DI154" s="72">
        <v>0</v>
      </c>
      <c r="DJ154" s="72">
        <v>0</v>
      </c>
      <c r="DK154" s="72">
        <v>0</v>
      </c>
      <c r="DL154" s="72">
        <v>0</v>
      </c>
      <c r="DM154" s="72">
        <v>0</v>
      </c>
    </row>
    <row r="155" spans="1:117" x14ac:dyDescent="0.35">
      <c r="A155" s="7"/>
      <c r="B155" s="8" t="s">
        <v>283</v>
      </c>
      <c r="C155" s="9" t="s">
        <v>284</v>
      </c>
      <c r="D155" s="10" t="s">
        <v>92</v>
      </c>
      <c r="E155" s="8" t="s">
        <v>1209</v>
      </c>
      <c r="F155" s="10">
        <v>1101</v>
      </c>
      <c r="G155" s="10" t="s">
        <v>92</v>
      </c>
      <c r="H155" s="10" t="s">
        <v>41</v>
      </c>
      <c r="I155" s="11">
        <v>311</v>
      </c>
      <c r="J155" s="10"/>
      <c r="K155" s="10" t="s">
        <v>42</v>
      </c>
      <c r="L155" s="8"/>
      <c r="M155" s="12">
        <v>1.2661199999999999</v>
      </c>
      <c r="N155" s="12">
        <f t="shared" si="2"/>
        <v>24.056279999999997</v>
      </c>
      <c r="O155" s="11">
        <v>311</v>
      </c>
      <c r="P155" s="11">
        <v>311</v>
      </c>
      <c r="Q155" s="11">
        <v>311</v>
      </c>
      <c r="R155" s="11">
        <v>311</v>
      </c>
      <c r="S155" s="11">
        <v>311</v>
      </c>
      <c r="T155" s="11">
        <v>311</v>
      </c>
      <c r="U155" s="11">
        <v>311</v>
      </c>
      <c r="V155" s="11">
        <v>311</v>
      </c>
      <c r="W155" s="11">
        <v>311</v>
      </c>
      <c r="X155" s="11">
        <v>311</v>
      </c>
      <c r="Y155" s="11">
        <v>311</v>
      </c>
      <c r="Z155" s="11">
        <v>311</v>
      </c>
      <c r="AA155" s="11">
        <v>311</v>
      </c>
      <c r="AB155" s="11">
        <v>311</v>
      </c>
      <c r="AC155" s="11">
        <v>311</v>
      </c>
      <c r="AD155" s="11">
        <v>311</v>
      </c>
      <c r="AE155" s="11">
        <v>311</v>
      </c>
      <c r="AF155" s="11">
        <v>311</v>
      </c>
      <c r="AG155" s="11">
        <v>311</v>
      </c>
      <c r="AH155" s="11">
        <v>311</v>
      </c>
      <c r="AI155" s="11">
        <v>311</v>
      </c>
      <c r="AJ155" s="11">
        <v>311</v>
      </c>
      <c r="AK155" s="11">
        <v>311</v>
      </c>
      <c r="AL155" s="11">
        <v>310</v>
      </c>
      <c r="AM155" s="11">
        <v>310</v>
      </c>
      <c r="AN155" s="72">
        <v>310</v>
      </c>
      <c r="AO155" s="72">
        <v>310</v>
      </c>
      <c r="AP155" s="72">
        <v>310</v>
      </c>
      <c r="AQ155" s="72">
        <v>310</v>
      </c>
      <c r="AR155" s="72">
        <v>310</v>
      </c>
      <c r="AS155" s="72">
        <v>310</v>
      </c>
      <c r="AT155" s="72">
        <v>310</v>
      </c>
      <c r="AU155" s="72">
        <v>310</v>
      </c>
      <c r="AV155" s="72">
        <v>310</v>
      </c>
      <c r="AW155" s="72">
        <v>310</v>
      </c>
      <c r="AX155" s="72">
        <v>310</v>
      </c>
      <c r="AY155" s="72">
        <v>310</v>
      </c>
      <c r="AZ155" s="72">
        <v>310</v>
      </c>
      <c r="BA155" s="72">
        <v>310</v>
      </c>
      <c r="BB155" s="72">
        <v>310</v>
      </c>
      <c r="BC155" s="72">
        <v>310</v>
      </c>
      <c r="BD155" s="72">
        <v>160</v>
      </c>
      <c r="BE155" s="72">
        <v>160</v>
      </c>
      <c r="BF155" s="72">
        <v>160</v>
      </c>
      <c r="BG155" s="72">
        <v>160</v>
      </c>
      <c r="BH155" s="72">
        <v>160</v>
      </c>
      <c r="BI155" s="72">
        <v>160</v>
      </c>
      <c r="BJ155" s="72">
        <v>160</v>
      </c>
      <c r="BK155" s="72">
        <v>160</v>
      </c>
      <c r="BL155" s="72">
        <v>160</v>
      </c>
      <c r="BM155" s="72">
        <v>160</v>
      </c>
      <c r="BN155" s="72">
        <v>160</v>
      </c>
      <c r="BO155" s="72">
        <v>160</v>
      </c>
      <c r="BP155" s="72">
        <v>160</v>
      </c>
      <c r="BQ155" s="72">
        <v>160</v>
      </c>
      <c r="BR155" s="72">
        <v>160</v>
      </c>
      <c r="BS155" s="72">
        <v>160</v>
      </c>
      <c r="BT155" s="72">
        <v>160</v>
      </c>
      <c r="BU155" s="72">
        <v>160</v>
      </c>
      <c r="BV155" s="72">
        <v>154</v>
      </c>
      <c r="BW155" s="72">
        <v>120</v>
      </c>
      <c r="BX155" s="72">
        <v>120</v>
      </c>
      <c r="BY155" s="72">
        <v>120</v>
      </c>
      <c r="BZ155" s="72">
        <v>120</v>
      </c>
      <c r="CA155" s="72">
        <v>120</v>
      </c>
      <c r="CB155" s="72">
        <v>120</v>
      </c>
      <c r="CC155" s="72">
        <v>120</v>
      </c>
      <c r="CD155" s="72">
        <v>120</v>
      </c>
      <c r="CE155" s="72">
        <v>120</v>
      </c>
      <c r="CF155" s="72">
        <v>19</v>
      </c>
      <c r="CG155" s="72">
        <v>19</v>
      </c>
      <c r="CH155" s="72">
        <v>19</v>
      </c>
      <c r="CI155" s="72">
        <v>19</v>
      </c>
      <c r="CJ155" s="72">
        <v>19</v>
      </c>
      <c r="CK155" s="72">
        <v>19</v>
      </c>
      <c r="CL155" s="72">
        <v>19</v>
      </c>
      <c r="CM155" s="72">
        <v>19</v>
      </c>
      <c r="CN155" s="72">
        <v>19</v>
      </c>
      <c r="CO155" s="72">
        <v>19</v>
      </c>
      <c r="CP155" s="72">
        <v>19</v>
      </c>
      <c r="CQ155" s="72">
        <v>19</v>
      </c>
      <c r="CR155" s="72">
        <v>19</v>
      </c>
      <c r="CS155" s="72">
        <v>19</v>
      </c>
      <c r="CT155" s="72">
        <v>19</v>
      </c>
      <c r="CU155" s="72">
        <v>19</v>
      </c>
      <c r="CV155" s="72">
        <v>19</v>
      </c>
      <c r="CW155" s="72">
        <v>19</v>
      </c>
      <c r="CX155" s="72">
        <v>19</v>
      </c>
      <c r="CY155" s="72">
        <v>19</v>
      </c>
      <c r="CZ155" s="72">
        <v>19</v>
      </c>
      <c r="DA155" s="72">
        <v>19</v>
      </c>
      <c r="DB155" s="72">
        <v>19</v>
      </c>
      <c r="DC155" s="72">
        <v>19</v>
      </c>
      <c r="DD155" s="72">
        <v>19</v>
      </c>
      <c r="DE155" s="72">
        <v>19</v>
      </c>
      <c r="DF155" s="72">
        <v>19</v>
      </c>
      <c r="DG155" s="72">
        <v>19</v>
      </c>
      <c r="DH155" s="72">
        <v>19</v>
      </c>
      <c r="DI155" s="72">
        <v>19</v>
      </c>
      <c r="DJ155" s="72">
        <v>19</v>
      </c>
      <c r="DK155" s="72">
        <v>19</v>
      </c>
      <c r="DL155" s="72">
        <v>19</v>
      </c>
      <c r="DM155" s="72">
        <v>19</v>
      </c>
    </row>
    <row r="156" spans="1:117" x14ac:dyDescent="0.35">
      <c r="A156" s="7"/>
      <c r="B156" s="8" t="s">
        <v>285</v>
      </c>
      <c r="C156" s="9" t="s">
        <v>286</v>
      </c>
      <c r="D156" s="10" t="s">
        <v>92</v>
      </c>
      <c r="E156" s="8" t="s">
        <v>1209</v>
      </c>
      <c r="F156" s="10">
        <v>1101</v>
      </c>
      <c r="G156" s="10" t="s">
        <v>92</v>
      </c>
      <c r="H156" s="10" t="s">
        <v>41</v>
      </c>
      <c r="I156" s="11">
        <v>390</v>
      </c>
      <c r="J156" s="10"/>
      <c r="K156" s="10" t="s">
        <v>42</v>
      </c>
      <c r="L156" s="8"/>
      <c r="M156" s="12">
        <v>1.6967999999999999</v>
      </c>
      <c r="N156" s="12">
        <f t="shared" si="2"/>
        <v>118.776</v>
      </c>
      <c r="O156" s="11">
        <v>395</v>
      </c>
      <c r="P156" s="11">
        <v>390</v>
      </c>
      <c r="Q156" s="11">
        <v>390</v>
      </c>
      <c r="R156" s="11">
        <v>390</v>
      </c>
      <c r="S156" s="11">
        <v>390</v>
      </c>
      <c r="T156" s="11">
        <v>390</v>
      </c>
      <c r="U156" s="11">
        <v>390</v>
      </c>
      <c r="V156" s="11">
        <v>390</v>
      </c>
      <c r="W156" s="11">
        <v>390</v>
      </c>
      <c r="X156" s="11">
        <v>390</v>
      </c>
      <c r="Y156" s="11">
        <v>390</v>
      </c>
      <c r="Z156" s="11">
        <v>390</v>
      </c>
      <c r="AA156" s="11">
        <v>390</v>
      </c>
      <c r="AB156" s="11">
        <v>390</v>
      </c>
      <c r="AC156" s="11">
        <v>390</v>
      </c>
      <c r="AD156" s="11">
        <v>390</v>
      </c>
      <c r="AE156" s="11">
        <v>390</v>
      </c>
      <c r="AF156" s="11">
        <v>390</v>
      </c>
      <c r="AG156" s="11">
        <v>390</v>
      </c>
      <c r="AH156" s="11">
        <v>390</v>
      </c>
      <c r="AI156" s="11">
        <v>390</v>
      </c>
      <c r="AJ156" s="11">
        <v>390</v>
      </c>
      <c r="AK156" s="11">
        <v>390</v>
      </c>
      <c r="AL156" s="11">
        <v>390</v>
      </c>
      <c r="AM156" s="11">
        <v>390</v>
      </c>
      <c r="AN156" s="72">
        <v>390</v>
      </c>
      <c r="AO156" s="72">
        <v>390</v>
      </c>
      <c r="AP156" s="72">
        <v>390</v>
      </c>
      <c r="AQ156" s="72">
        <v>390</v>
      </c>
      <c r="AR156" s="72">
        <v>390</v>
      </c>
      <c r="AS156" s="72">
        <v>390</v>
      </c>
      <c r="AT156" s="72">
        <v>390</v>
      </c>
      <c r="AU156" s="72">
        <v>390</v>
      </c>
      <c r="AV156" s="72">
        <v>390</v>
      </c>
      <c r="AW156" s="72">
        <v>390</v>
      </c>
      <c r="AX156" s="72">
        <v>390</v>
      </c>
      <c r="AY156" s="72">
        <v>390</v>
      </c>
      <c r="AZ156" s="72">
        <v>390</v>
      </c>
      <c r="BA156" s="72">
        <v>390</v>
      </c>
      <c r="BB156" s="72">
        <v>390</v>
      </c>
      <c r="BC156" s="72">
        <v>390</v>
      </c>
      <c r="BD156" s="72">
        <v>390</v>
      </c>
      <c r="BE156" s="72">
        <v>390</v>
      </c>
      <c r="BF156" s="72">
        <v>390</v>
      </c>
      <c r="BG156" s="72">
        <v>390</v>
      </c>
      <c r="BH156" s="72">
        <v>390</v>
      </c>
      <c r="BI156" s="72">
        <v>390</v>
      </c>
      <c r="BJ156" s="72">
        <v>390</v>
      </c>
      <c r="BK156" s="72">
        <v>390</v>
      </c>
      <c r="BL156" s="72">
        <v>390</v>
      </c>
      <c r="BM156" s="72">
        <v>390</v>
      </c>
      <c r="BN156" s="72">
        <v>390</v>
      </c>
      <c r="BO156" s="72">
        <v>390</v>
      </c>
      <c r="BP156" s="72">
        <v>390</v>
      </c>
      <c r="BQ156" s="72">
        <v>390</v>
      </c>
      <c r="BR156" s="72">
        <v>390</v>
      </c>
      <c r="BS156" s="72">
        <v>390</v>
      </c>
      <c r="BT156" s="72">
        <v>390</v>
      </c>
      <c r="BU156" s="72">
        <v>390</v>
      </c>
      <c r="BV156" s="72">
        <v>390</v>
      </c>
      <c r="BW156" s="72">
        <v>390</v>
      </c>
      <c r="BX156" s="72">
        <v>390</v>
      </c>
      <c r="BY156" s="72">
        <v>390</v>
      </c>
      <c r="BZ156" s="72">
        <v>390</v>
      </c>
      <c r="CA156" s="72">
        <v>390</v>
      </c>
      <c r="CB156" s="72">
        <v>390</v>
      </c>
      <c r="CC156" s="72">
        <v>390</v>
      </c>
      <c r="CD156" s="72">
        <v>390</v>
      </c>
      <c r="CE156" s="72">
        <v>390</v>
      </c>
      <c r="CF156" s="72">
        <v>390</v>
      </c>
      <c r="CG156" s="72">
        <v>390</v>
      </c>
      <c r="CH156" s="72">
        <v>390</v>
      </c>
      <c r="CI156" s="72">
        <v>270</v>
      </c>
      <c r="CJ156" s="72">
        <v>70</v>
      </c>
      <c r="CK156" s="72">
        <v>70</v>
      </c>
      <c r="CL156" s="72">
        <v>70</v>
      </c>
      <c r="CM156" s="72">
        <v>70</v>
      </c>
      <c r="CN156" s="72">
        <v>70</v>
      </c>
      <c r="CO156" s="72">
        <v>70</v>
      </c>
      <c r="CP156" s="72">
        <v>70</v>
      </c>
      <c r="CQ156" s="72">
        <v>70</v>
      </c>
      <c r="CR156" s="72">
        <v>70</v>
      </c>
      <c r="CS156" s="72">
        <v>70</v>
      </c>
      <c r="CT156" s="72">
        <v>70</v>
      </c>
      <c r="CU156" s="72">
        <v>70</v>
      </c>
      <c r="CV156" s="72">
        <v>70</v>
      </c>
      <c r="CW156" s="72">
        <v>70</v>
      </c>
      <c r="CX156" s="72">
        <v>70</v>
      </c>
      <c r="CY156" s="72">
        <v>70</v>
      </c>
      <c r="CZ156" s="72">
        <v>70</v>
      </c>
      <c r="DA156" s="72">
        <v>70</v>
      </c>
      <c r="DB156" s="72">
        <v>70</v>
      </c>
      <c r="DC156" s="72">
        <v>70</v>
      </c>
      <c r="DD156" s="72">
        <v>70</v>
      </c>
      <c r="DE156" s="72">
        <v>70</v>
      </c>
      <c r="DF156" s="72">
        <v>70</v>
      </c>
      <c r="DG156" s="72">
        <v>70</v>
      </c>
      <c r="DH156" s="72">
        <v>70</v>
      </c>
      <c r="DI156" s="72">
        <v>70</v>
      </c>
      <c r="DJ156" s="72">
        <v>70</v>
      </c>
      <c r="DK156" s="72">
        <v>70</v>
      </c>
      <c r="DL156" s="72">
        <v>70</v>
      </c>
      <c r="DM156" s="72">
        <v>70</v>
      </c>
    </row>
    <row r="157" spans="1:117" x14ac:dyDescent="0.35">
      <c r="A157" s="7"/>
      <c r="B157" s="8" t="s">
        <v>287</v>
      </c>
      <c r="C157" s="9" t="s">
        <v>288</v>
      </c>
      <c r="D157" s="10" t="s">
        <v>92</v>
      </c>
      <c r="E157" s="8" t="s">
        <v>1209</v>
      </c>
      <c r="F157" s="10">
        <v>1101</v>
      </c>
      <c r="G157" s="10" t="s">
        <v>92</v>
      </c>
      <c r="H157" s="10" t="s">
        <v>41</v>
      </c>
      <c r="I157" s="11">
        <v>1432</v>
      </c>
      <c r="J157" s="10"/>
      <c r="K157" s="10"/>
      <c r="L157" s="8"/>
      <c r="M157" s="12">
        <v>0.504</v>
      </c>
      <c r="N157" s="12">
        <f t="shared" si="2"/>
        <v>27.216000000000001</v>
      </c>
      <c r="O157" s="11">
        <v>1423</v>
      </c>
      <c r="P157" s="11">
        <v>1423</v>
      </c>
      <c r="Q157" s="11">
        <v>1423</v>
      </c>
      <c r="R157" s="11">
        <v>1423</v>
      </c>
      <c r="S157" s="11">
        <v>1423</v>
      </c>
      <c r="T157" s="11">
        <v>1472</v>
      </c>
      <c r="U157" s="11">
        <v>1452</v>
      </c>
      <c r="V157" s="11">
        <v>1452</v>
      </c>
      <c r="W157" s="11">
        <v>1452</v>
      </c>
      <c r="X157" s="11">
        <v>1452</v>
      </c>
      <c r="Y157" s="11">
        <v>1452</v>
      </c>
      <c r="Z157" s="11">
        <v>1432</v>
      </c>
      <c r="AA157" s="11">
        <v>1432</v>
      </c>
      <c r="AB157" s="11">
        <v>1432</v>
      </c>
      <c r="AC157" s="11">
        <v>1432</v>
      </c>
      <c r="AD157" s="11">
        <v>1432</v>
      </c>
      <c r="AE157" s="11">
        <v>1432</v>
      </c>
      <c r="AF157" s="11">
        <v>1432</v>
      </c>
      <c r="AG157" s="11">
        <v>1432</v>
      </c>
      <c r="AH157" s="11">
        <v>1432</v>
      </c>
      <c r="AI157" s="11">
        <v>1432</v>
      </c>
      <c r="AJ157" s="11">
        <v>1432</v>
      </c>
      <c r="AK157" s="11">
        <v>1432</v>
      </c>
      <c r="AL157" s="11">
        <v>1450</v>
      </c>
      <c r="AM157" s="11">
        <v>1450</v>
      </c>
      <c r="AN157" s="72">
        <v>1450</v>
      </c>
      <c r="AO157" s="72">
        <v>1444</v>
      </c>
      <c r="AP157" s="72">
        <v>1444</v>
      </c>
      <c r="AQ157" s="72">
        <v>1444</v>
      </c>
      <c r="AR157" s="72">
        <v>1444</v>
      </c>
      <c r="AS157" s="72">
        <v>1444</v>
      </c>
      <c r="AT157" s="72">
        <v>1444</v>
      </c>
      <c r="AU157" s="72">
        <v>444</v>
      </c>
      <c r="AV157" s="72">
        <v>444</v>
      </c>
      <c r="AW157" s="72">
        <v>444</v>
      </c>
      <c r="AX157" s="72">
        <v>444</v>
      </c>
      <c r="AY157" s="72">
        <v>444</v>
      </c>
      <c r="AZ157" s="72">
        <v>444</v>
      </c>
      <c r="BA157" s="72">
        <v>444</v>
      </c>
      <c r="BB157" s="72">
        <v>444</v>
      </c>
      <c r="BC157" s="72">
        <v>444</v>
      </c>
      <c r="BD157" s="72">
        <v>444</v>
      </c>
      <c r="BE157" s="72">
        <v>444</v>
      </c>
      <c r="BF157" s="72">
        <v>444</v>
      </c>
      <c r="BG157" s="72">
        <v>444</v>
      </c>
      <c r="BH157" s="72">
        <v>444</v>
      </c>
      <c r="BI157" s="72">
        <v>444</v>
      </c>
      <c r="BJ157" s="72">
        <v>444</v>
      </c>
      <c r="BK157" s="72">
        <v>414</v>
      </c>
      <c r="BL157" s="72">
        <v>414</v>
      </c>
      <c r="BM157" s="72">
        <v>414</v>
      </c>
      <c r="BN157" s="72">
        <v>414</v>
      </c>
      <c r="BO157" s="72">
        <v>414</v>
      </c>
      <c r="BP157" s="72">
        <v>186</v>
      </c>
      <c r="BQ157" s="72">
        <v>186</v>
      </c>
      <c r="BR157" s="72">
        <v>186</v>
      </c>
      <c r="BS157" s="72">
        <v>187</v>
      </c>
      <c r="BT157" s="72">
        <v>187</v>
      </c>
      <c r="BU157" s="72">
        <v>167</v>
      </c>
      <c r="BV157" s="72">
        <v>167</v>
      </c>
      <c r="BW157" s="72">
        <v>167</v>
      </c>
      <c r="BX157" s="72">
        <v>167</v>
      </c>
      <c r="BY157" s="72">
        <v>167</v>
      </c>
      <c r="BZ157" s="72">
        <v>85</v>
      </c>
      <c r="CA157" s="72">
        <v>85</v>
      </c>
      <c r="CB157" s="72">
        <v>85</v>
      </c>
      <c r="CC157" s="72">
        <v>85</v>
      </c>
      <c r="CD157" s="72">
        <v>73</v>
      </c>
      <c r="CE157" s="72">
        <v>73</v>
      </c>
      <c r="CF157" s="72">
        <v>54</v>
      </c>
      <c r="CG157" s="72">
        <v>54</v>
      </c>
      <c r="CH157" s="72">
        <v>54</v>
      </c>
      <c r="CI157" s="72">
        <v>54</v>
      </c>
      <c r="CJ157" s="72">
        <v>54</v>
      </c>
      <c r="CK157" s="72">
        <v>54</v>
      </c>
      <c r="CL157" s="72">
        <v>54</v>
      </c>
      <c r="CM157" s="72">
        <v>54</v>
      </c>
      <c r="CN157" s="72">
        <v>54</v>
      </c>
      <c r="CO157" s="72">
        <v>54</v>
      </c>
      <c r="CP157" s="72">
        <v>54</v>
      </c>
      <c r="CQ157" s="72">
        <v>54</v>
      </c>
      <c r="CR157" s="72">
        <v>54</v>
      </c>
      <c r="CS157" s="72">
        <v>54</v>
      </c>
      <c r="CT157" s="72">
        <v>54</v>
      </c>
      <c r="CU157" s="72">
        <v>54</v>
      </c>
      <c r="CV157" s="72">
        <v>54</v>
      </c>
      <c r="CW157" s="72">
        <v>54</v>
      </c>
      <c r="CX157" s="72">
        <v>54</v>
      </c>
      <c r="CY157" s="72">
        <v>54</v>
      </c>
      <c r="CZ157" s="72">
        <v>54</v>
      </c>
      <c r="DA157" s="72">
        <v>54</v>
      </c>
      <c r="DB157" s="72">
        <v>54</v>
      </c>
      <c r="DC157" s="72">
        <v>54</v>
      </c>
      <c r="DD157" s="72">
        <v>54</v>
      </c>
      <c r="DE157" s="72">
        <v>54</v>
      </c>
      <c r="DF157" s="72">
        <v>54</v>
      </c>
      <c r="DG157" s="72">
        <v>54</v>
      </c>
      <c r="DH157" s="72">
        <v>54</v>
      </c>
      <c r="DI157" s="72">
        <v>54</v>
      </c>
      <c r="DJ157" s="72">
        <v>54</v>
      </c>
      <c r="DK157" s="72">
        <v>54</v>
      </c>
      <c r="DL157" s="72">
        <v>54</v>
      </c>
      <c r="DM157" s="72">
        <v>54</v>
      </c>
    </row>
    <row r="158" spans="1:117" x14ac:dyDescent="0.35">
      <c r="A158" s="7"/>
      <c r="B158" s="8" t="s">
        <v>289</v>
      </c>
      <c r="C158" s="9" t="s">
        <v>290</v>
      </c>
      <c r="D158" s="10" t="s">
        <v>92</v>
      </c>
      <c r="E158" s="8" t="s">
        <v>1209</v>
      </c>
      <c r="F158" s="10">
        <v>1101</v>
      </c>
      <c r="G158" s="10" t="s">
        <v>92</v>
      </c>
      <c r="H158" s="10" t="s">
        <v>41</v>
      </c>
      <c r="I158" s="11">
        <v>1308</v>
      </c>
      <c r="J158" s="10"/>
      <c r="K158" s="10"/>
      <c r="L158" s="8"/>
      <c r="M158" s="12">
        <v>0.53878423999999969</v>
      </c>
      <c r="N158" s="12">
        <f t="shared" si="2"/>
        <v>626.60607111999968</v>
      </c>
      <c r="O158" s="11">
        <v>1498</v>
      </c>
      <c r="P158" s="11">
        <v>1498</v>
      </c>
      <c r="Q158" s="11">
        <v>1498</v>
      </c>
      <c r="R158" s="11">
        <v>1498</v>
      </c>
      <c r="S158" s="11">
        <v>1488</v>
      </c>
      <c r="T158" s="11">
        <v>1488</v>
      </c>
      <c r="U158" s="11">
        <v>1458</v>
      </c>
      <c r="V158" s="11">
        <v>1458</v>
      </c>
      <c r="W158" s="11">
        <v>1458</v>
      </c>
      <c r="X158" s="11">
        <v>1458</v>
      </c>
      <c r="Y158" s="11">
        <v>1458</v>
      </c>
      <c r="Z158" s="11">
        <v>1458</v>
      </c>
      <c r="AA158" s="11">
        <v>1458</v>
      </c>
      <c r="AB158" s="11">
        <v>1458</v>
      </c>
      <c r="AC158" s="11">
        <v>1458</v>
      </c>
      <c r="AD158" s="11">
        <v>1458</v>
      </c>
      <c r="AE158" s="11">
        <v>1458</v>
      </c>
      <c r="AF158" s="11">
        <v>1458</v>
      </c>
      <c r="AG158" s="11">
        <v>1458</v>
      </c>
      <c r="AH158" s="11">
        <v>1308</v>
      </c>
      <c r="AI158" s="11">
        <v>1308</v>
      </c>
      <c r="AJ158" s="11">
        <v>1308</v>
      </c>
      <c r="AK158" s="11">
        <v>1308</v>
      </c>
      <c r="AL158" s="11">
        <v>1308</v>
      </c>
      <c r="AM158" s="11">
        <v>1308</v>
      </c>
      <c r="AN158" s="72">
        <v>1308</v>
      </c>
      <c r="AO158" s="72">
        <v>1308</v>
      </c>
      <c r="AP158" s="72">
        <v>1308</v>
      </c>
      <c r="AQ158" s="72">
        <v>1308</v>
      </c>
      <c r="AR158" s="72">
        <v>1308</v>
      </c>
      <c r="AS158" s="72">
        <v>1308</v>
      </c>
      <c r="AT158" s="72">
        <v>1308</v>
      </c>
      <c r="AU158" s="72">
        <v>1308</v>
      </c>
      <c r="AV158" s="72">
        <v>1308</v>
      </c>
      <c r="AW158" s="72">
        <v>1308</v>
      </c>
      <c r="AX158" s="72">
        <v>1308</v>
      </c>
      <c r="AY158" s="72">
        <v>1308</v>
      </c>
      <c r="AZ158" s="72">
        <v>1308</v>
      </c>
      <c r="BA158" s="72">
        <v>1308</v>
      </c>
      <c r="BB158" s="72">
        <v>1308</v>
      </c>
      <c r="BC158" s="72">
        <v>1308</v>
      </c>
      <c r="BD158" s="72">
        <v>1308</v>
      </c>
      <c r="BE158" s="72">
        <v>1308</v>
      </c>
      <c r="BF158" s="72">
        <v>1308</v>
      </c>
      <c r="BG158" s="72">
        <v>1308</v>
      </c>
      <c r="BH158" s="72">
        <v>1308</v>
      </c>
      <c r="BI158" s="72">
        <v>1308</v>
      </c>
      <c r="BJ158" s="72">
        <v>1308</v>
      </c>
      <c r="BK158" s="72">
        <v>1288</v>
      </c>
      <c r="BL158" s="72">
        <v>1288</v>
      </c>
      <c r="BM158" s="72">
        <v>1288</v>
      </c>
      <c r="BN158" s="72">
        <v>1372</v>
      </c>
      <c r="BO158" s="72">
        <v>1372</v>
      </c>
      <c r="BP158" s="72">
        <v>1372</v>
      </c>
      <c r="BQ158" s="72">
        <v>1372</v>
      </c>
      <c r="BR158" s="72">
        <v>1372</v>
      </c>
      <c r="BS158" s="72">
        <v>1372</v>
      </c>
      <c r="BT158" s="72">
        <v>1372</v>
      </c>
      <c r="BU158" s="72">
        <v>1372</v>
      </c>
      <c r="BV158" s="72">
        <v>1372</v>
      </c>
      <c r="BW158" s="72">
        <v>1372</v>
      </c>
      <c r="BX158" s="72">
        <v>1272</v>
      </c>
      <c r="BY158" s="72">
        <v>1272</v>
      </c>
      <c r="BZ158" s="72">
        <v>1172</v>
      </c>
      <c r="CA158" s="72">
        <v>1172</v>
      </c>
      <c r="CB158" s="72">
        <v>1172</v>
      </c>
      <c r="CC158" s="72">
        <v>1172</v>
      </c>
      <c r="CD158" s="72">
        <v>1172</v>
      </c>
      <c r="CE158" s="72">
        <v>1172</v>
      </c>
      <c r="CF158" s="72">
        <v>1173</v>
      </c>
      <c r="CG158" s="72">
        <v>1173</v>
      </c>
      <c r="CH158" s="72">
        <v>1173</v>
      </c>
      <c r="CI158" s="72">
        <v>1173</v>
      </c>
      <c r="CJ158" s="72">
        <v>1173</v>
      </c>
      <c r="CK158" s="72">
        <v>1173</v>
      </c>
      <c r="CL158" s="72">
        <v>1173</v>
      </c>
      <c r="CM158" s="72">
        <v>1173</v>
      </c>
      <c r="CN158" s="72">
        <v>1173</v>
      </c>
      <c r="CO158" s="72">
        <v>1173</v>
      </c>
      <c r="CP158" s="72">
        <v>1173</v>
      </c>
      <c r="CQ158" s="72">
        <v>1173</v>
      </c>
      <c r="CR158" s="72">
        <v>1173</v>
      </c>
      <c r="CS158" s="72">
        <v>1173</v>
      </c>
      <c r="CT158" s="72">
        <v>1173</v>
      </c>
      <c r="CU158" s="72">
        <v>1173</v>
      </c>
      <c r="CV158" s="72">
        <v>1173</v>
      </c>
      <c r="CW158" s="72">
        <v>1173</v>
      </c>
      <c r="CX158" s="72">
        <v>1173</v>
      </c>
      <c r="CY158" s="72">
        <v>1173</v>
      </c>
      <c r="CZ158" s="72">
        <v>1173</v>
      </c>
      <c r="DA158" s="72">
        <v>1173</v>
      </c>
      <c r="DB158" s="72">
        <v>1173</v>
      </c>
      <c r="DC158" s="72">
        <v>1173</v>
      </c>
      <c r="DD158" s="72">
        <v>1173</v>
      </c>
      <c r="DE158" s="72">
        <v>1173</v>
      </c>
      <c r="DF158" s="72">
        <v>1173</v>
      </c>
      <c r="DG158" s="72">
        <v>1173</v>
      </c>
      <c r="DH158" s="72">
        <v>1173</v>
      </c>
      <c r="DI158" s="72">
        <v>1173</v>
      </c>
      <c r="DJ158" s="72">
        <v>1173</v>
      </c>
      <c r="DK158" s="72">
        <v>1173</v>
      </c>
      <c r="DL158" s="72">
        <v>1163</v>
      </c>
      <c r="DM158" s="72">
        <v>1163</v>
      </c>
    </row>
    <row r="159" spans="1:117" x14ac:dyDescent="0.35">
      <c r="A159" s="7"/>
      <c r="B159" s="8" t="s">
        <v>291</v>
      </c>
      <c r="C159" s="9" t="s">
        <v>292</v>
      </c>
      <c r="D159" s="10" t="s">
        <v>92</v>
      </c>
      <c r="E159" s="8" t="s">
        <v>1209</v>
      </c>
      <c r="F159" s="10">
        <v>1101</v>
      </c>
      <c r="G159" s="10" t="s">
        <v>92</v>
      </c>
      <c r="H159" s="10" t="s">
        <v>41</v>
      </c>
      <c r="I159" s="11">
        <v>963</v>
      </c>
      <c r="J159" s="10">
        <v>1</v>
      </c>
      <c r="K159" s="10"/>
      <c r="L159" s="8" t="s">
        <v>206</v>
      </c>
      <c r="M159" s="12">
        <v>0.67247999999999997</v>
      </c>
      <c r="N159" s="12">
        <f t="shared" si="2"/>
        <v>445.18176</v>
      </c>
      <c r="O159" s="11">
        <v>1000</v>
      </c>
      <c r="P159" s="11">
        <v>1000</v>
      </c>
      <c r="Q159" s="11">
        <v>1000</v>
      </c>
      <c r="R159" s="11">
        <v>999</v>
      </c>
      <c r="S159" s="11">
        <v>979</v>
      </c>
      <c r="T159" s="11">
        <v>999</v>
      </c>
      <c r="U159" s="11">
        <v>969</v>
      </c>
      <c r="V159" s="11">
        <v>969</v>
      </c>
      <c r="W159" s="11">
        <v>969</v>
      </c>
      <c r="X159" s="11">
        <v>969</v>
      </c>
      <c r="Y159" s="11">
        <v>969</v>
      </c>
      <c r="Z159" s="11">
        <v>969</v>
      </c>
      <c r="AA159" s="11">
        <v>969</v>
      </c>
      <c r="AB159" s="11">
        <v>969</v>
      </c>
      <c r="AC159" s="11">
        <v>969</v>
      </c>
      <c r="AD159" s="11">
        <v>969</v>
      </c>
      <c r="AE159" s="11">
        <v>969</v>
      </c>
      <c r="AF159" s="11">
        <v>963</v>
      </c>
      <c r="AG159" s="11">
        <v>963</v>
      </c>
      <c r="AH159" s="11">
        <v>963</v>
      </c>
      <c r="AI159" s="11">
        <v>963</v>
      </c>
      <c r="AJ159" s="11">
        <v>963</v>
      </c>
      <c r="AK159" s="11">
        <v>963</v>
      </c>
      <c r="AL159" s="11">
        <v>962</v>
      </c>
      <c r="AM159" s="11">
        <v>962</v>
      </c>
      <c r="AN159" s="72">
        <v>962</v>
      </c>
      <c r="AO159" s="72">
        <v>962</v>
      </c>
      <c r="AP159" s="72">
        <v>962</v>
      </c>
      <c r="AQ159" s="72">
        <v>962</v>
      </c>
      <c r="AR159" s="72">
        <v>957</v>
      </c>
      <c r="AS159" s="72">
        <v>957</v>
      </c>
      <c r="AT159" s="72">
        <v>957</v>
      </c>
      <c r="AU159" s="72">
        <v>957</v>
      </c>
      <c r="AV159" s="72">
        <v>957</v>
      </c>
      <c r="AW159" s="72">
        <v>907</v>
      </c>
      <c r="AX159" s="72">
        <v>907</v>
      </c>
      <c r="AY159" s="72">
        <v>907</v>
      </c>
      <c r="AZ159" s="72">
        <v>907</v>
      </c>
      <c r="BA159" s="72">
        <v>907</v>
      </c>
      <c r="BB159" s="72">
        <v>907</v>
      </c>
      <c r="BC159" s="72">
        <v>907</v>
      </c>
      <c r="BD159" s="72">
        <v>907</v>
      </c>
      <c r="BE159" s="72">
        <v>907</v>
      </c>
      <c r="BF159" s="72">
        <v>907</v>
      </c>
      <c r="BG159" s="72">
        <v>907</v>
      </c>
      <c r="BH159" s="72">
        <v>820</v>
      </c>
      <c r="BI159" s="72">
        <v>820</v>
      </c>
      <c r="BJ159" s="72">
        <v>820</v>
      </c>
      <c r="BK159" s="72">
        <v>800</v>
      </c>
      <c r="BL159" s="72">
        <v>800</v>
      </c>
      <c r="BM159" s="72">
        <v>800</v>
      </c>
      <c r="BN159" s="72">
        <v>563</v>
      </c>
      <c r="BO159" s="72">
        <v>563</v>
      </c>
      <c r="BP159" s="72">
        <v>650</v>
      </c>
      <c r="BQ159" s="72">
        <v>650</v>
      </c>
      <c r="BR159" s="72">
        <v>650</v>
      </c>
      <c r="BS159" s="72">
        <v>650</v>
      </c>
      <c r="BT159" s="72">
        <v>650</v>
      </c>
      <c r="BU159" s="72">
        <v>642</v>
      </c>
      <c r="BV159" s="72">
        <v>642</v>
      </c>
      <c r="BW159" s="72">
        <v>634</v>
      </c>
      <c r="BX159" s="72">
        <v>584</v>
      </c>
      <c r="BY159" s="72">
        <v>584</v>
      </c>
      <c r="BZ159" s="72">
        <v>568</v>
      </c>
      <c r="CA159" s="72">
        <v>568</v>
      </c>
      <c r="CB159" s="72">
        <v>568</v>
      </c>
      <c r="CC159" s="72">
        <v>568</v>
      </c>
      <c r="CD159" s="72">
        <v>568</v>
      </c>
      <c r="CE159" s="72">
        <v>568</v>
      </c>
      <c r="CF159" s="72">
        <v>862</v>
      </c>
      <c r="CG159" s="72">
        <v>862</v>
      </c>
      <c r="CH159" s="72">
        <v>862</v>
      </c>
      <c r="CI159" s="72">
        <v>862</v>
      </c>
      <c r="CJ159" s="72">
        <v>862</v>
      </c>
      <c r="CK159" s="72">
        <v>662</v>
      </c>
      <c r="CL159" s="72">
        <v>662</v>
      </c>
      <c r="CM159" s="72">
        <v>662</v>
      </c>
      <c r="CN159" s="72">
        <v>662</v>
      </c>
      <c r="CO159" s="72">
        <v>662</v>
      </c>
      <c r="CP159" s="72">
        <v>662</v>
      </c>
      <c r="CQ159" s="72">
        <v>662</v>
      </c>
      <c r="CR159" s="72">
        <v>662</v>
      </c>
      <c r="CS159" s="72">
        <v>662</v>
      </c>
      <c r="CT159" s="72">
        <v>662</v>
      </c>
      <c r="CU159" s="72">
        <v>662</v>
      </c>
      <c r="CV159" s="72">
        <v>662</v>
      </c>
      <c r="CW159" s="72">
        <v>662</v>
      </c>
      <c r="CX159" s="72">
        <v>662</v>
      </c>
      <c r="CY159" s="72">
        <v>662</v>
      </c>
      <c r="CZ159" s="72">
        <v>662</v>
      </c>
      <c r="DA159" s="72">
        <v>662</v>
      </c>
      <c r="DB159" s="72">
        <v>662</v>
      </c>
      <c r="DC159" s="72">
        <v>662</v>
      </c>
      <c r="DD159" s="72">
        <v>662</v>
      </c>
      <c r="DE159" s="72">
        <v>662</v>
      </c>
      <c r="DF159" s="72">
        <v>662</v>
      </c>
      <c r="DG159" s="72">
        <v>662</v>
      </c>
      <c r="DH159" s="72">
        <v>662</v>
      </c>
      <c r="DI159" s="72">
        <v>662</v>
      </c>
      <c r="DJ159" s="72">
        <v>662</v>
      </c>
      <c r="DK159" s="72">
        <v>662</v>
      </c>
      <c r="DL159" s="72">
        <v>662</v>
      </c>
      <c r="DM159" s="72">
        <v>662</v>
      </c>
    </row>
    <row r="160" spans="1:117" x14ac:dyDescent="0.35">
      <c r="A160" s="7"/>
      <c r="B160" s="8" t="s">
        <v>293</v>
      </c>
      <c r="C160" s="9" t="s">
        <v>294</v>
      </c>
      <c r="D160" s="10" t="s">
        <v>92</v>
      </c>
      <c r="E160" s="8" t="s">
        <v>1209</v>
      </c>
      <c r="F160" s="10">
        <v>1101</v>
      </c>
      <c r="G160" s="10" t="s">
        <v>92</v>
      </c>
      <c r="H160" s="10" t="s">
        <v>41</v>
      </c>
      <c r="I160" s="11">
        <v>481</v>
      </c>
      <c r="J160" s="10"/>
      <c r="K160" s="10"/>
      <c r="L160" s="8"/>
      <c r="M160" s="12">
        <v>0.82379999999999998</v>
      </c>
      <c r="N160" s="12">
        <f t="shared" si="2"/>
        <v>0</v>
      </c>
      <c r="O160" s="11">
        <v>479</v>
      </c>
      <c r="P160" s="11">
        <v>479</v>
      </c>
      <c r="Q160" s="11">
        <v>479</v>
      </c>
      <c r="R160" s="11">
        <v>479</v>
      </c>
      <c r="S160" s="11">
        <v>454</v>
      </c>
      <c r="T160" s="11">
        <v>481</v>
      </c>
      <c r="U160" s="11">
        <v>481</v>
      </c>
      <c r="V160" s="11">
        <v>481</v>
      </c>
      <c r="W160" s="11">
        <v>481</v>
      </c>
      <c r="X160" s="11">
        <v>481</v>
      </c>
      <c r="Y160" s="11">
        <v>481</v>
      </c>
      <c r="Z160" s="11">
        <v>481</v>
      </c>
      <c r="AA160" s="11">
        <v>481</v>
      </c>
      <c r="AB160" s="11">
        <v>481</v>
      </c>
      <c r="AC160" s="11">
        <v>481</v>
      </c>
      <c r="AD160" s="11">
        <v>481</v>
      </c>
      <c r="AE160" s="11">
        <v>481</v>
      </c>
      <c r="AF160" s="11">
        <v>481</v>
      </c>
      <c r="AG160" s="11">
        <v>481</v>
      </c>
      <c r="AH160" s="11">
        <v>481</v>
      </c>
      <c r="AI160" s="11">
        <v>481</v>
      </c>
      <c r="AJ160" s="11">
        <v>481</v>
      </c>
      <c r="AK160" s="11">
        <v>481</v>
      </c>
      <c r="AL160" s="11">
        <v>461</v>
      </c>
      <c r="AM160" s="11">
        <v>461</v>
      </c>
      <c r="AN160" s="72">
        <v>461</v>
      </c>
      <c r="AO160" s="72">
        <v>461</v>
      </c>
      <c r="AP160" s="72">
        <v>461</v>
      </c>
      <c r="AQ160" s="72">
        <v>461</v>
      </c>
      <c r="AR160" s="72">
        <v>451</v>
      </c>
      <c r="AS160" s="72">
        <v>113</v>
      </c>
      <c r="AT160" s="72">
        <v>113</v>
      </c>
      <c r="AU160" s="72">
        <v>113</v>
      </c>
      <c r="AV160" s="72">
        <v>0</v>
      </c>
      <c r="AW160" s="72">
        <v>0</v>
      </c>
      <c r="AX160" s="72">
        <v>0</v>
      </c>
      <c r="AY160" s="72">
        <v>0</v>
      </c>
      <c r="AZ160" s="72">
        <v>0</v>
      </c>
      <c r="BA160" s="72">
        <v>0</v>
      </c>
      <c r="BB160" s="72">
        <v>0</v>
      </c>
      <c r="BC160" s="72">
        <v>0</v>
      </c>
      <c r="BD160" s="72">
        <v>0</v>
      </c>
      <c r="BE160" s="72">
        <v>0</v>
      </c>
      <c r="BF160" s="72">
        <v>0</v>
      </c>
      <c r="BG160" s="72">
        <v>0</v>
      </c>
      <c r="BH160" s="72">
        <v>0</v>
      </c>
      <c r="BI160" s="72">
        <v>0</v>
      </c>
      <c r="BJ160" s="72">
        <v>0</v>
      </c>
      <c r="BK160" s="72">
        <v>0</v>
      </c>
      <c r="BL160" s="72">
        <v>0</v>
      </c>
      <c r="BM160" s="72">
        <v>0</v>
      </c>
      <c r="BN160" s="72">
        <v>0</v>
      </c>
      <c r="BO160" s="72">
        <v>0</v>
      </c>
      <c r="BP160" s="72">
        <v>0</v>
      </c>
      <c r="BQ160" s="72">
        <v>0</v>
      </c>
      <c r="BR160" s="72">
        <v>0</v>
      </c>
      <c r="BS160" s="72">
        <v>0</v>
      </c>
      <c r="BT160" s="72">
        <v>0</v>
      </c>
      <c r="BU160" s="72">
        <v>0</v>
      </c>
      <c r="BV160" s="72">
        <v>0</v>
      </c>
      <c r="BW160" s="72">
        <v>0</v>
      </c>
      <c r="BX160" s="72">
        <v>0</v>
      </c>
      <c r="BY160" s="72">
        <v>0</v>
      </c>
      <c r="BZ160" s="72">
        <v>0</v>
      </c>
      <c r="CA160" s="72">
        <v>0</v>
      </c>
      <c r="CB160" s="72">
        <v>0</v>
      </c>
      <c r="CC160" s="72">
        <v>0</v>
      </c>
      <c r="CD160" s="72">
        <v>0</v>
      </c>
      <c r="CE160" s="72">
        <v>0</v>
      </c>
      <c r="CF160" s="72">
        <v>0</v>
      </c>
      <c r="CG160" s="72">
        <v>0</v>
      </c>
      <c r="CH160" s="72">
        <v>0</v>
      </c>
      <c r="CI160" s="72">
        <v>0</v>
      </c>
      <c r="CJ160" s="72">
        <v>0</v>
      </c>
      <c r="CK160" s="72">
        <v>0</v>
      </c>
      <c r="CL160" s="72">
        <v>0</v>
      </c>
      <c r="CM160" s="72">
        <v>0</v>
      </c>
      <c r="CN160" s="72">
        <v>0</v>
      </c>
      <c r="CO160" s="72">
        <v>0</v>
      </c>
      <c r="CP160" s="72">
        <v>0</v>
      </c>
      <c r="CQ160" s="72">
        <v>0</v>
      </c>
      <c r="CR160" s="72">
        <v>0</v>
      </c>
      <c r="CS160" s="72">
        <v>0</v>
      </c>
      <c r="CT160" s="72">
        <v>0</v>
      </c>
      <c r="CU160" s="72">
        <v>0</v>
      </c>
      <c r="CV160" s="72">
        <v>0</v>
      </c>
      <c r="CW160" s="72">
        <v>0</v>
      </c>
      <c r="CX160" s="72">
        <v>0</v>
      </c>
      <c r="CY160" s="72">
        <v>0</v>
      </c>
      <c r="CZ160" s="72">
        <v>0</v>
      </c>
      <c r="DA160" s="72">
        <v>0</v>
      </c>
      <c r="DB160" s="72">
        <v>0</v>
      </c>
      <c r="DC160" s="72">
        <v>0</v>
      </c>
      <c r="DD160" s="72">
        <v>0</v>
      </c>
      <c r="DE160" s="72">
        <v>0</v>
      </c>
      <c r="DF160" s="72">
        <v>0</v>
      </c>
      <c r="DG160" s="72">
        <v>0</v>
      </c>
      <c r="DH160" s="72">
        <v>0</v>
      </c>
      <c r="DI160" s="72">
        <v>0</v>
      </c>
      <c r="DJ160" s="72">
        <v>0</v>
      </c>
      <c r="DK160" s="72">
        <v>0</v>
      </c>
      <c r="DL160" s="72">
        <v>0</v>
      </c>
      <c r="DM160" s="72">
        <v>0</v>
      </c>
    </row>
    <row r="161" spans="1:117" x14ac:dyDescent="0.35">
      <c r="A161" s="7"/>
      <c r="B161" s="8" t="s">
        <v>295</v>
      </c>
      <c r="C161" s="9" t="s">
        <v>296</v>
      </c>
      <c r="D161" s="10" t="s">
        <v>92</v>
      </c>
      <c r="E161" s="8" t="s">
        <v>1209</v>
      </c>
      <c r="F161" s="10">
        <v>1101</v>
      </c>
      <c r="G161" s="10" t="s">
        <v>92</v>
      </c>
      <c r="H161" s="10" t="s">
        <v>41</v>
      </c>
      <c r="I161" s="11">
        <v>186</v>
      </c>
      <c r="J161" s="10"/>
      <c r="K161" s="10"/>
      <c r="L161" s="8"/>
      <c r="M161" s="12">
        <v>1.2661199999999999</v>
      </c>
      <c r="N161" s="12">
        <f t="shared" si="2"/>
        <v>6.3305999999999996</v>
      </c>
      <c r="O161" s="11">
        <v>185</v>
      </c>
      <c r="P161" s="11">
        <v>185</v>
      </c>
      <c r="Q161" s="11">
        <v>185</v>
      </c>
      <c r="R161" s="11">
        <v>185</v>
      </c>
      <c r="S161" s="11">
        <v>175</v>
      </c>
      <c r="T161" s="11">
        <v>194</v>
      </c>
      <c r="U161" s="11">
        <v>186</v>
      </c>
      <c r="V161" s="11">
        <v>186</v>
      </c>
      <c r="W161" s="11">
        <v>186</v>
      </c>
      <c r="X161" s="11">
        <v>186</v>
      </c>
      <c r="Y161" s="11">
        <v>186</v>
      </c>
      <c r="Z161" s="11">
        <v>186</v>
      </c>
      <c r="AA161" s="11">
        <v>186</v>
      </c>
      <c r="AB161" s="11">
        <v>186</v>
      </c>
      <c r="AC161" s="11">
        <v>186</v>
      </c>
      <c r="AD161" s="11">
        <v>186</v>
      </c>
      <c r="AE161" s="11">
        <v>186</v>
      </c>
      <c r="AF161" s="11">
        <v>186</v>
      </c>
      <c r="AG161" s="11">
        <v>186</v>
      </c>
      <c r="AH161" s="11">
        <v>186</v>
      </c>
      <c r="AI161" s="11">
        <v>186</v>
      </c>
      <c r="AJ161" s="11">
        <v>186</v>
      </c>
      <c r="AK161" s="11">
        <v>186</v>
      </c>
      <c r="AL161" s="11">
        <v>193</v>
      </c>
      <c r="AM161" s="11">
        <v>193</v>
      </c>
      <c r="AN161" s="72">
        <v>193</v>
      </c>
      <c r="AO161" s="72">
        <v>193</v>
      </c>
      <c r="AP161" s="72">
        <v>193</v>
      </c>
      <c r="AQ161" s="72">
        <v>193</v>
      </c>
      <c r="AR161" s="72">
        <v>183</v>
      </c>
      <c r="AS161" s="72">
        <v>183</v>
      </c>
      <c r="AT161" s="72">
        <v>183</v>
      </c>
      <c r="AU161" s="72">
        <v>183</v>
      </c>
      <c r="AV161" s="72">
        <v>183</v>
      </c>
      <c r="AW161" s="72">
        <v>183</v>
      </c>
      <c r="AX161" s="72">
        <v>183</v>
      </c>
      <c r="AY161" s="72">
        <v>183</v>
      </c>
      <c r="AZ161" s="72">
        <v>183</v>
      </c>
      <c r="BA161" s="72">
        <v>183</v>
      </c>
      <c r="BB161" s="72">
        <v>183</v>
      </c>
      <c r="BC161" s="72">
        <v>183</v>
      </c>
      <c r="BD161" s="72">
        <v>53</v>
      </c>
      <c r="BE161" s="72">
        <v>53</v>
      </c>
      <c r="BF161" s="72">
        <v>53</v>
      </c>
      <c r="BG161" s="72">
        <v>53</v>
      </c>
      <c r="BH161" s="72">
        <v>53</v>
      </c>
      <c r="BI161" s="72">
        <v>53</v>
      </c>
      <c r="BJ161" s="72">
        <v>53</v>
      </c>
      <c r="BK161" s="72">
        <v>53</v>
      </c>
      <c r="BL161" s="72">
        <v>53</v>
      </c>
      <c r="BM161" s="72">
        <v>53</v>
      </c>
      <c r="BN161" s="72">
        <v>53</v>
      </c>
      <c r="BO161" s="72">
        <v>53</v>
      </c>
      <c r="BP161" s="72">
        <v>53</v>
      </c>
      <c r="BQ161" s="72">
        <v>53</v>
      </c>
      <c r="BR161" s="72">
        <v>52</v>
      </c>
      <c r="BS161" s="72">
        <v>12</v>
      </c>
      <c r="BT161" s="72">
        <v>12</v>
      </c>
      <c r="BU161" s="72">
        <v>12</v>
      </c>
      <c r="BV161" s="72">
        <v>12</v>
      </c>
      <c r="BW161" s="72">
        <v>12</v>
      </c>
      <c r="BX161" s="72">
        <v>12</v>
      </c>
      <c r="BY161" s="72">
        <v>12</v>
      </c>
      <c r="BZ161" s="72">
        <v>12</v>
      </c>
      <c r="CA161" s="72">
        <v>12</v>
      </c>
      <c r="CB161" s="72">
        <v>12</v>
      </c>
      <c r="CC161" s="72">
        <v>12</v>
      </c>
      <c r="CD161" s="72">
        <v>12</v>
      </c>
      <c r="CE161" s="72">
        <v>12</v>
      </c>
      <c r="CF161" s="72">
        <v>6</v>
      </c>
      <c r="CG161" s="72">
        <v>6</v>
      </c>
      <c r="CH161" s="72">
        <v>6</v>
      </c>
      <c r="CI161" s="72">
        <v>6</v>
      </c>
      <c r="CJ161" s="72">
        <v>6</v>
      </c>
      <c r="CK161" s="72">
        <v>6</v>
      </c>
      <c r="CL161" s="72">
        <v>6</v>
      </c>
      <c r="CM161" s="72">
        <v>6</v>
      </c>
      <c r="CN161" s="72">
        <v>6</v>
      </c>
      <c r="CO161" s="72">
        <v>6</v>
      </c>
      <c r="CP161" s="72">
        <v>6</v>
      </c>
      <c r="CQ161" s="72">
        <v>6</v>
      </c>
      <c r="CR161" s="72">
        <v>6</v>
      </c>
      <c r="CS161" s="72">
        <v>6</v>
      </c>
      <c r="CT161" s="72">
        <v>6</v>
      </c>
      <c r="CU161" s="72">
        <v>6</v>
      </c>
      <c r="CV161" s="72">
        <v>6</v>
      </c>
      <c r="CW161" s="72">
        <v>6</v>
      </c>
      <c r="CX161" s="72">
        <v>6</v>
      </c>
      <c r="CY161" s="72">
        <v>6</v>
      </c>
      <c r="CZ161" s="72">
        <v>6</v>
      </c>
      <c r="DA161" s="72">
        <v>6</v>
      </c>
      <c r="DB161" s="72">
        <v>6</v>
      </c>
      <c r="DC161" s="72">
        <v>6</v>
      </c>
      <c r="DD161" s="72">
        <v>6</v>
      </c>
      <c r="DE161" s="72">
        <v>6</v>
      </c>
      <c r="DF161" s="72">
        <v>6</v>
      </c>
      <c r="DG161" s="72">
        <v>6</v>
      </c>
      <c r="DH161" s="72">
        <v>5</v>
      </c>
      <c r="DI161" s="72">
        <v>5</v>
      </c>
      <c r="DJ161" s="72">
        <v>5</v>
      </c>
      <c r="DK161" s="72">
        <v>5</v>
      </c>
      <c r="DL161" s="72">
        <v>5</v>
      </c>
      <c r="DM161" s="72">
        <v>5</v>
      </c>
    </row>
    <row r="162" spans="1:117" x14ac:dyDescent="0.35">
      <c r="A162" s="7"/>
      <c r="B162" s="8" t="s">
        <v>297</v>
      </c>
      <c r="C162" s="9" t="s">
        <v>298</v>
      </c>
      <c r="D162" s="10" t="s">
        <v>92</v>
      </c>
      <c r="E162" s="8" t="s">
        <v>1209</v>
      </c>
      <c r="F162" s="10">
        <v>1101</v>
      </c>
      <c r="G162" s="10" t="s">
        <v>92</v>
      </c>
      <c r="H162" s="10" t="s">
        <v>41</v>
      </c>
      <c r="I162" s="11">
        <v>199</v>
      </c>
      <c r="J162" s="10"/>
      <c r="K162" s="10"/>
      <c r="L162" s="8"/>
      <c r="M162" s="12">
        <v>1.6967999999999999</v>
      </c>
      <c r="N162" s="12">
        <f t="shared" si="2"/>
        <v>174.7704</v>
      </c>
      <c r="O162" s="11">
        <v>195</v>
      </c>
      <c r="P162" s="11">
        <v>195</v>
      </c>
      <c r="Q162" s="11">
        <v>195</v>
      </c>
      <c r="R162" s="11">
        <v>195</v>
      </c>
      <c r="S162" s="11">
        <v>195</v>
      </c>
      <c r="T162" s="11">
        <v>199</v>
      </c>
      <c r="U162" s="11">
        <v>199</v>
      </c>
      <c r="V162" s="11">
        <v>199</v>
      </c>
      <c r="W162" s="11">
        <v>199</v>
      </c>
      <c r="X162" s="11">
        <v>199</v>
      </c>
      <c r="Y162" s="11">
        <v>199</v>
      </c>
      <c r="Z162" s="11">
        <v>199</v>
      </c>
      <c r="AA162" s="11">
        <v>199</v>
      </c>
      <c r="AB162" s="11">
        <v>199</v>
      </c>
      <c r="AC162" s="11">
        <v>199</v>
      </c>
      <c r="AD162" s="11">
        <v>199</v>
      </c>
      <c r="AE162" s="11">
        <v>199</v>
      </c>
      <c r="AF162" s="11">
        <v>199</v>
      </c>
      <c r="AG162" s="11">
        <v>199</v>
      </c>
      <c r="AH162" s="11">
        <v>199</v>
      </c>
      <c r="AI162" s="11">
        <v>199</v>
      </c>
      <c r="AJ162" s="11">
        <v>199</v>
      </c>
      <c r="AK162" s="11">
        <v>199</v>
      </c>
      <c r="AL162" s="11">
        <v>199</v>
      </c>
      <c r="AM162" s="11">
        <v>199</v>
      </c>
      <c r="AN162" s="72">
        <v>199</v>
      </c>
      <c r="AO162" s="72">
        <v>199</v>
      </c>
      <c r="AP162" s="72">
        <v>199</v>
      </c>
      <c r="AQ162" s="72">
        <v>199</v>
      </c>
      <c r="AR162" s="72">
        <v>199</v>
      </c>
      <c r="AS162" s="72">
        <v>199</v>
      </c>
      <c r="AT162" s="72">
        <v>199</v>
      </c>
      <c r="AU162" s="72">
        <v>199</v>
      </c>
      <c r="AV162" s="72">
        <v>199</v>
      </c>
      <c r="AW162" s="72">
        <v>199</v>
      </c>
      <c r="AX162" s="72">
        <v>199</v>
      </c>
      <c r="AY162" s="72">
        <v>199</v>
      </c>
      <c r="AZ162" s="72">
        <v>199</v>
      </c>
      <c r="BA162" s="72">
        <v>199</v>
      </c>
      <c r="BB162" s="72">
        <v>199</v>
      </c>
      <c r="BC162" s="72">
        <v>199</v>
      </c>
      <c r="BD162" s="72">
        <v>199</v>
      </c>
      <c r="BE162" s="72">
        <v>199</v>
      </c>
      <c r="BF162" s="72">
        <v>199</v>
      </c>
      <c r="BG162" s="72">
        <v>199</v>
      </c>
      <c r="BH162" s="72">
        <v>199</v>
      </c>
      <c r="BI162" s="72">
        <v>199</v>
      </c>
      <c r="BJ162" s="72">
        <v>199</v>
      </c>
      <c r="BK162" s="72">
        <v>199</v>
      </c>
      <c r="BL162" s="72">
        <v>199</v>
      </c>
      <c r="BM162" s="72">
        <v>199</v>
      </c>
      <c r="BN162" s="72">
        <v>199</v>
      </c>
      <c r="BO162" s="72">
        <v>199</v>
      </c>
      <c r="BP162" s="72">
        <v>199</v>
      </c>
      <c r="BQ162" s="72">
        <v>199</v>
      </c>
      <c r="BR162" s="72">
        <v>199</v>
      </c>
      <c r="BS162" s="72">
        <v>199</v>
      </c>
      <c r="BT162" s="72">
        <v>199</v>
      </c>
      <c r="BU162" s="72">
        <v>199</v>
      </c>
      <c r="BV162" s="72">
        <v>199</v>
      </c>
      <c r="BW162" s="72">
        <v>199</v>
      </c>
      <c r="BX162" s="72">
        <v>199</v>
      </c>
      <c r="BY162" s="72">
        <v>199</v>
      </c>
      <c r="BZ162" s="72">
        <v>199</v>
      </c>
      <c r="CA162" s="72">
        <v>199</v>
      </c>
      <c r="CB162" s="72">
        <v>199</v>
      </c>
      <c r="CC162" s="72">
        <v>199</v>
      </c>
      <c r="CD162" s="72">
        <v>199</v>
      </c>
      <c r="CE162" s="72">
        <v>199</v>
      </c>
      <c r="CF162" s="72">
        <v>199</v>
      </c>
      <c r="CG162" s="72">
        <v>199</v>
      </c>
      <c r="CH162" s="72">
        <v>199</v>
      </c>
      <c r="CI162" s="72">
        <v>199</v>
      </c>
      <c r="CJ162" s="72">
        <v>109</v>
      </c>
      <c r="CK162" s="72">
        <v>109</v>
      </c>
      <c r="CL162" s="72">
        <v>109</v>
      </c>
      <c r="CM162" s="72">
        <v>109</v>
      </c>
      <c r="CN162" s="72">
        <v>109</v>
      </c>
      <c r="CO162" s="72">
        <v>109</v>
      </c>
      <c r="CP162" s="72">
        <v>109</v>
      </c>
      <c r="CQ162" s="72">
        <v>109</v>
      </c>
      <c r="CR162" s="72">
        <v>109</v>
      </c>
      <c r="CS162" s="72">
        <v>109</v>
      </c>
      <c r="CT162" s="72">
        <v>109</v>
      </c>
      <c r="CU162" s="72">
        <v>109</v>
      </c>
      <c r="CV162" s="72">
        <v>109</v>
      </c>
      <c r="CW162" s="72">
        <v>109</v>
      </c>
      <c r="CX162" s="72">
        <v>109</v>
      </c>
      <c r="CY162" s="72">
        <v>109</v>
      </c>
      <c r="CZ162" s="72">
        <v>109</v>
      </c>
      <c r="DA162" s="72">
        <v>109</v>
      </c>
      <c r="DB162" s="72">
        <v>109</v>
      </c>
      <c r="DC162" s="72">
        <v>109</v>
      </c>
      <c r="DD162" s="72">
        <v>109</v>
      </c>
      <c r="DE162" s="72">
        <v>109</v>
      </c>
      <c r="DF162" s="72">
        <v>109</v>
      </c>
      <c r="DG162" s="72">
        <v>109</v>
      </c>
      <c r="DH162" s="72">
        <v>103</v>
      </c>
      <c r="DI162" s="72">
        <v>103</v>
      </c>
      <c r="DJ162" s="72">
        <v>103</v>
      </c>
      <c r="DK162" s="72">
        <v>103</v>
      </c>
      <c r="DL162" s="72">
        <v>103</v>
      </c>
      <c r="DM162" s="72">
        <v>103</v>
      </c>
    </row>
    <row r="163" spans="1:117" x14ac:dyDescent="0.35">
      <c r="A163" s="7"/>
      <c r="B163" s="8" t="s">
        <v>299</v>
      </c>
      <c r="C163" s="9" t="s">
        <v>300</v>
      </c>
      <c r="D163" s="10" t="s">
        <v>92</v>
      </c>
      <c r="E163" s="8" t="s">
        <v>1209</v>
      </c>
      <c r="F163" s="10">
        <v>1101</v>
      </c>
      <c r="G163" s="10" t="s">
        <v>92</v>
      </c>
      <c r="H163" s="10" t="s">
        <v>41</v>
      </c>
      <c r="I163" s="11">
        <v>30</v>
      </c>
      <c r="J163" s="10"/>
      <c r="K163" s="10"/>
      <c r="L163" s="8"/>
      <c r="M163" s="12">
        <v>2.5930799999999996</v>
      </c>
      <c r="N163" s="12">
        <f t="shared" si="2"/>
        <v>77.792399999999986</v>
      </c>
      <c r="O163" s="11">
        <v>30</v>
      </c>
      <c r="P163" s="11">
        <v>30</v>
      </c>
      <c r="Q163" s="11">
        <v>30</v>
      </c>
      <c r="R163" s="11">
        <v>30</v>
      </c>
      <c r="S163" s="11">
        <v>30</v>
      </c>
      <c r="T163" s="11">
        <v>30</v>
      </c>
      <c r="U163" s="11">
        <v>30</v>
      </c>
      <c r="V163" s="11">
        <v>30</v>
      </c>
      <c r="W163" s="11">
        <v>30</v>
      </c>
      <c r="X163" s="11">
        <v>30</v>
      </c>
      <c r="Y163" s="11">
        <v>30</v>
      </c>
      <c r="Z163" s="11">
        <v>30</v>
      </c>
      <c r="AA163" s="11">
        <v>30</v>
      </c>
      <c r="AB163" s="11">
        <v>30</v>
      </c>
      <c r="AC163" s="11">
        <v>30</v>
      </c>
      <c r="AD163" s="11">
        <v>30</v>
      </c>
      <c r="AE163" s="11">
        <v>30</v>
      </c>
      <c r="AF163" s="11">
        <v>30</v>
      </c>
      <c r="AG163" s="11">
        <v>30</v>
      </c>
      <c r="AH163" s="11">
        <v>30</v>
      </c>
      <c r="AI163" s="11">
        <v>30</v>
      </c>
      <c r="AJ163" s="11">
        <v>30</v>
      </c>
      <c r="AK163" s="11">
        <v>30</v>
      </c>
      <c r="AL163" s="11">
        <v>30</v>
      </c>
      <c r="AM163" s="11">
        <v>30</v>
      </c>
      <c r="AN163" s="72">
        <v>30</v>
      </c>
      <c r="AO163" s="72">
        <v>28</v>
      </c>
      <c r="AP163" s="72">
        <v>28</v>
      </c>
      <c r="AQ163" s="72">
        <v>28</v>
      </c>
      <c r="AR163" s="72">
        <v>28</v>
      </c>
      <c r="AS163" s="72">
        <v>28</v>
      </c>
      <c r="AT163" s="72">
        <v>28</v>
      </c>
      <c r="AU163" s="72">
        <v>28</v>
      </c>
      <c r="AV163" s="72">
        <v>28</v>
      </c>
      <c r="AW163" s="72">
        <v>28</v>
      </c>
      <c r="AX163" s="72">
        <v>28</v>
      </c>
      <c r="AY163" s="72">
        <v>28</v>
      </c>
      <c r="AZ163" s="72">
        <v>28</v>
      </c>
      <c r="BA163" s="72">
        <v>28</v>
      </c>
      <c r="BB163" s="72">
        <v>28</v>
      </c>
      <c r="BC163" s="72">
        <v>28</v>
      </c>
      <c r="BD163" s="72">
        <v>28</v>
      </c>
      <c r="BE163" s="72">
        <v>28</v>
      </c>
      <c r="BF163" s="72">
        <v>28</v>
      </c>
      <c r="BG163" s="72">
        <v>28</v>
      </c>
      <c r="BH163" s="72">
        <v>28</v>
      </c>
      <c r="BI163" s="72">
        <v>28</v>
      </c>
      <c r="BJ163" s="72">
        <v>28</v>
      </c>
      <c r="BK163" s="72">
        <v>28</v>
      </c>
      <c r="BL163" s="72">
        <v>28</v>
      </c>
      <c r="BM163" s="72">
        <v>28</v>
      </c>
      <c r="BN163" s="72">
        <v>28</v>
      </c>
      <c r="BO163" s="72">
        <v>28</v>
      </c>
      <c r="BP163" s="72">
        <v>28</v>
      </c>
      <c r="BQ163" s="72">
        <v>28</v>
      </c>
      <c r="BR163" s="72">
        <v>28</v>
      </c>
      <c r="BS163" s="72">
        <v>28</v>
      </c>
      <c r="BT163" s="72">
        <v>28</v>
      </c>
      <c r="BU163" s="72">
        <v>28</v>
      </c>
      <c r="BV163" s="72">
        <v>28</v>
      </c>
      <c r="BW163" s="72">
        <v>28</v>
      </c>
      <c r="BX163" s="72">
        <v>28</v>
      </c>
      <c r="BY163" s="72">
        <v>28</v>
      </c>
      <c r="BZ163" s="72">
        <v>28</v>
      </c>
      <c r="CA163" s="72">
        <v>28</v>
      </c>
      <c r="CB163" s="72">
        <v>28</v>
      </c>
      <c r="CC163" s="72">
        <v>28</v>
      </c>
      <c r="CD163" s="72">
        <v>28</v>
      </c>
      <c r="CE163" s="72">
        <v>28</v>
      </c>
      <c r="CF163" s="72">
        <v>30</v>
      </c>
      <c r="CG163" s="72">
        <v>30</v>
      </c>
      <c r="CH163" s="72">
        <v>30</v>
      </c>
      <c r="CI163" s="72">
        <v>30</v>
      </c>
      <c r="CJ163" s="72">
        <v>30</v>
      </c>
      <c r="CK163" s="72">
        <v>30</v>
      </c>
      <c r="CL163" s="72">
        <v>30</v>
      </c>
      <c r="CM163" s="72">
        <v>30</v>
      </c>
      <c r="CN163" s="72">
        <v>30</v>
      </c>
      <c r="CO163" s="72">
        <v>30</v>
      </c>
      <c r="CP163" s="72">
        <v>30</v>
      </c>
      <c r="CQ163" s="72">
        <v>30</v>
      </c>
      <c r="CR163" s="72">
        <v>30</v>
      </c>
      <c r="CS163" s="72">
        <v>30</v>
      </c>
      <c r="CT163" s="72">
        <v>30</v>
      </c>
      <c r="CU163" s="72">
        <v>30</v>
      </c>
      <c r="CV163" s="72">
        <v>30</v>
      </c>
      <c r="CW163" s="72">
        <v>30</v>
      </c>
      <c r="CX163" s="72">
        <v>30</v>
      </c>
      <c r="CY163" s="72">
        <v>30</v>
      </c>
      <c r="CZ163" s="72">
        <v>30</v>
      </c>
      <c r="DA163" s="72">
        <v>30</v>
      </c>
      <c r="DB163" s="72">
        <v>30</v>
      </c>
      <c r="DC163" s="72">
        <v>30</v>
      </c>
      <c r="DD163" s="72">
        <v>30</v>
      </c>
      <c r="DE163" s="72">
        <v>30</v>
      </c>
      <c r="DF163" s="72">
        <v>30</v>
      </c>
      <c r="DG163" s="72">
        <v>30</v>
      </c>
      <c r="DH163" s="72">
        <v>30</v>
      </c>
      <c r="DI163" s="72">
        <v>30</v>
      </c>
      <c r="DJ163" s="72">
        <v>30</v>
      </c>
      <c r="DK163" s="72">
        <v>30</v>
      </c>
      <c r="DL163" s="72">
        <v>30</v>
      </c>
      <c r="DM163" s="72">
        <v>30</v>
      </c>
    </row>
    <row r="164" spans="1:117" x14ac:dyDescent="0.35">
      <c r="A164" s="7"/>
      <c r="B164" s="8" t="s">
        <v>301</v>
      </c>
      <c r="C164" s="9" t="s">
        <v>302</v>
      </c>
      <c r="D164" s="10" t="s">
        <v>92</v>
      </c>
      <c r="E164" s="8" t="s">
        <v>1209</v>
      </c>
      <c r="F164" s="10">
        <v>1101</v>
      </c>
      <c r="G164" s="10" t="s">
        <v>92</v>
      </c>
      <c r="H164" s="10" t="s">
        <v>41</v>
      </c>
      <c r="I164" s="11">
        <v>30</v>
      </c>
      <c r="J164" s="10"/>
      <c r="K164" s="10"/>
      <c r="L164" s="8"/>
      <c r="M164" s="12">
        <v>3.48936</v>
      </c>
      <c r="N164" s="12">
        <f t="shared" si="2"/>
        <v>104.6808</v>
      </c>
      <c r="O164" s="11">
        <v>30</v>
      </c>
      <c r="P164" s="11">
        <v>30</v>
      </c>
      <c r="Q164" s="11">
        <v>30</v>
      </c>
      <c r="R164" s="11">
        <v>30</v>
      </c>
      <c r="S164" s="11">
        <v>30</v>
      </c>
      <c r="T164" s="11">
        <v>30</v>
      </c>
      <c r="U164" s="11">
        <v>30</v>
      </c>
      <c r="V164" s="11">
        <v>30</v>
      </c>
      <c r="W164" s="11">
        <v>30</v>
      </c>
      <c r="X164" s="11">
        <v>30</v>
      </c>
      <c r="Y164" s="11">
        <v>30</v>
      </c>
      <c r="Z164" s="11">
        <v>30</v>
      </c>
      <c r="AA164" s="11">
        <v>30</v>
      </c>
      <c r="AB164" s="11">
        <v>30</v>
      </c>
      <c r="AC164" s="11">
        <v>30</v>
      </c>
      <c r="AD164" s="11">
        <v>30</v>
      </c>
      <c r="AE164" s="11">
        <v>30</v>
      </c>
      <c r="AF164" s="11">
        <v>30</v>
      </c>
      <c r="AG164" s="11">
        <v>30</v>
      </c>
      <c r="AH164" s="11">
        <v>30</v>
      </c>
      <c r="AI164" s="11">
        <v>30</v>
      </c>
      <c r="AJ164" s="11">
        <v>30</v>
      </c>
      <c r="AK164" s="11">
        <v>30</v>
      </c>
      <c r="AL164" s="11">
        <v>30</v>
      </c>
      <c r="AM164" s="11">
        <v>30</v>
      </c>
      <c r="AN164" s="72">
        <v>30</v>
      </c>
      <c r="AO164" s="72">
        <v>30</v>
      </c>
      <c r="AP164" s="72">
        <v>30</v>
      </c>
      <c r="AQ164" s="72">
        <v>30</v>
      </c>
      <c r="AR164" s="72">
        <v>25</v>
      </c>
      <c r="AS164" s="72">
        <v>25</v>
      </c>
      <c r="AT164" s="72">
        <v>25</v>
      </c>
      <c r="AU164" s="72">
        <v>25</v>
      </c>
      <c r="AV164" s="72">
        <v>25</v>
      </c>
      <c r="AW164" s="72">
        <v>25</v>
      </c>
      <c r="AX164" s="72">
        <v>25</v>
      </c>
      <c r="AY164" s="72">
        <v>25</v>
      </c>
      <c r="AZ164" s="72">
        <v>25</v>
      </c>
      <c r="BA164" s="72">
        <v>25</v>
      </c>
      <c r="BB164" s="72">
        <v>25</v>
      </c>
      <c r="BC164" s="72">
        <v>25</v>
      </c>
      <c r="BD164" s="72">
        <v>25</v>
      </c>
      <c r="BE164" s="72">
        <v>25</v>
      </c>
      <c r="BF164" s="72">
        <v>25</v>
      </c>
      <c r="BG164" s="72">
        <v>25</v>
      </c>
      <c r="BH164" s="72">
        <v>25</v>
      </c>
      <c r="BI164" s="72">
        <v>25</v>
      </c>
      <c r="BJ164" s="72">
        <v>25</v>
      </c>
      <c r="BK164" s="72">
        <v>25</v>
      </c>
      <c r="BL164" s="72">
        <v>25</v>
      </c>
      <c r="BM164" s="72">
        <v>25</v>
      </c>
      <c r="BN164" s="72">
        <v>25</v>
      </c>
      <c r="BO164" s="72">
        <v>25</v>
      </c>
      <c r="BP164" s="72">
        <v>25</v>
      </c>
      <c r="BQ164" s="72">
        <v>25</v>
      </c>
      <c r="BR164" s="72">
        <v>25</v>
      </c>
      <c r="BS164" s="72">
        <v>25</v>
      </c>
      <c r="BT164" s="72">
        <v>25</v>
      </c>
      <c r="BU164" s="72">
        <v>25</v>
      </c>
      <c r="BV164" s="72">
        <v>25</v>
      </c>
      <c r="BW164" s="72">
        <v>25</v>
      </c>
      <c r="BX164" s="72">
        <v>25</v>
      </c>
      <c r="BY164" s="72">
        <v>25</v>
      </c>
      <c r="BZ164" s="72">
        <v>25</v>
      </c>
      <c r="CA164" s="72">
        <v>25</v>
      </c>
      <c r="CB164" s="72">
        <v>25</v>
      </c>
      <c r="CC164" s="72">
        <v>25</v>
      </c>
      <c r="CD164" s="72">
        <v>25</v>
      </c>
      <c r="CE164" s="72">
        <v>25</v>
      </c>
      <c r="CF164" s="72">
        <v>30</v>
      </c>
      <c r="CG164" s="72">
        <v>30</v>
      </c>
      <c r="CH164" s="72">
        <v>30</v>
      </c>
      <c r="CI164" s="72">
        <v>30</v>
      </c>
      <c r="CJ164" s="72">
        <v>30</v>
      </c>
      <c r="CK164" s="72">
        <v>30</v>
      </c>
      <c r="CL164" s="72">
        <v>30</v>
      </c>
      <c r="CM164" s="72">
        <v>30</v>
      </c>
      <c r="CN164" s="72">
        <v>30</v>
      </c>
      <c r="CO164" s="72">
        <v>30</v>
      </c>
      <c r="CP164" s="72">
        <v>30</v>
      </c>
      <c r="CQ164" s="72">
        <v>30</v>
      </c>
      <c r="CR164" s="72">
        <v>30</v>
      </c>
      <c r="CS164" s="72">
        <v>30</v>
      </c>
      <c r="CT164" s="72">
        <v>30</v>
      </c>
      <c r="CU164" s="72">
        <v>30</v>
      </c>
      <c r="CV164" s="72">
        <v>30</v>
      </c>
      <c r="CW164" s="72">
        <v>30</v>
      </c>
      <c r="CX164" s="72">
        <v>30</v>
      </c>
      <c r="CY164" s="72">
        <v>30</v>
      </c>
      <c r="CZ164" s="72">
        <v>30</v>
      </c>
      <c r="DA164" s="72">
        <v>30</v>
      </c>
      <c r="DB164" s="72">
        <v>30</v>
      </c>
      <c r="DC164" s="72">
        <v>30</v>
      </c>
      <c r="DD164" s="72">
        <v>30</v>
      </c>
      <c r="DE164" s="72">
        <v>30</v>
      </c>
      <c r="DF164" s="72">
        <v>30</v>
      </c>
      <c r="DG164" s="72">
        <v>30</v>
      </c>
      <c r="DH164" s="72">
        <v>30</v>
      </c>
      <c r="DI164" s="72">
        <v>30</v>
      </c>
      <c r="DJ164" s="72">
        <v>30</v>
      </c>
      <c r="DK164" s="72">
        <v>30</v>
      </c>
      <c r="DL164" s="72">
        <v>30</v>
      </c>
      <c r="DM164" s="72">
        <v>30</v>
      </c>
    </row>
    <row r="165" spans="1:117" x14ac:dyDescent="0.35">
      <c r="A165" s="7"/>
      <c r="B165" s="8" t="s">
        <v>303</v>
      </c>
      <c r="C165" s="9" t="s">
        <v>304</v>
      </c>
      <c r="D165" s="10" t="s">
        <v>92</v>
      </c>
      <c r="E165" s="8" t="s">
        <v>1209</v>
      </c>
      <c r="F165" s="10">
        <v>1101</v>
      </c>
      <c r="G165" s="10" t="s">
        <v>92</v>
      </c>
      <c r="H165" s="10" t="s">
        <v>41</v>
      </c>
      <c r="I165" s="11">
        <v>10</v>
      </c>
      <c r="J165" s="10"/>
      <c r="K165" s="10"/>
      <c r="L165" s="8"/>
      <c r="M165" s="12">
        <v>4.82796</v>
      </c>
      <c r="N165" s="12">
        <f t="shared" si="2"/>
        <v>48.279600000000002</v>
      </c>
      <c r="O165" s="11">
        <v>10</v>
      </c>
      <c r="P165" s="11">
        <v>10</v>
      </c>
      <c r="Q165" s="11">
        <v>10</v>
      </c>
      <c r="R165" s="11">
        <v>10</v>
      </c>
      <c r="S165" s="11">
        <v>10</v>
      </c>
      <c r="T165" s="11">
        <v>10</v>
      </c>
      <c r="U165" s="11">
        <v>10</v>
      </c>
      <c r="V165" s="11">
        <v>10</v>
      </c>
      <c r="W165" s="11">
        <v>10</v>
      </c>
      <c r="X165" s="11">
        <v>10</v>
      </c>
      <c r="Y165" s="11">
        <v>10</v>
      </c>
      <c r="Z165" s="11">
        <v>10</v>
      </c>
      <c r="AA165" s="11">
        <v>10</v>
      </c>
      <c r="AB165" s="11">
        <v>10</v>
      </c>
      <c r="AC165" s="11">
        <v>10</v>
      </c>
      <c r="AD165" s="11">
        <v>10</v>
      </c>
      <c r="AE165" s="11">
        <v>10</v>
      </c>
      <c r="AF165" s="11">
        <v>10</v>
      </c>
      <c r="AG165" s="11">
        <v>10</v>
      </c>
      <c r="AH165" s="11">
        <v>10</v>
      </c>
      <c r="AI165" s="11">
        <v>10</v>
      </c>
      <c r="AJ165" s="11">
        <v>10</v>
      </c>
      <c r="AK165" s="11">
        <v>10</v>
      </c>
      <c r="AL165" s="11">
        <v>10</v>
      </c>
      <c r="AM165" s="11">
        <v>10</v>
      </c>
      <c r="AN165" s="72">
        <v>10</v>
      </c>
      <c r="AO165" s="72">
        <v>10</v>
      </c>
      <c r="AP165" s="72">
        <v>10</v>
      </c>
      <c r="AQ165" s="72">
        <v>10</v>
      </c>
      <c r="AR165" s="72">
        <v>5</v>
      </c>
      <c r="AS165" s="72">
        <v>5</v>
      </c>
      <c r="AT165" s="72">
        <v>5</v>
      </c>
      <c r="AU165" s="72">
        <v>5</v>
      </c>
      <c r="AV165" s="72">
        <v>5</v>
      </c>
      <c r="AW165" s="72">
        <v>5</v>
      </c>
      <c r="AX165" s="72">
        <v>5</v>
      </c>
      <c r="AY165" s="72">
        <v>5</v>
      </c>
      <c r="AZ165" s="72">
        <v>5</v>
      </c>
      <c r="BA165" s="72">
        <v>5</v>
      </c>
      <c r="BB165" s="72">
        <v>5</v>
      </c>
      <c r="BC165" s="72">
        <v>5</v>
      </c>
      <c r="BD165" s="72">
        <v>5</v>
      </c>
      <c r="BE165" s="72">
        <v>5</v>
      </c>
      <c r="BF165" s="72">
        <v>5</v>
      </c>
      <c r="BG165" s="72">
        <v>5</v>
      </c>
      <c r="BH165" s="72">
        <v>5</v>
      </c>
      <c r="BI165" s="72">
        <v>5</v>
      </c>
      <c r="BJ165" s="72">
        <v>5</v>
      </c>
      <c r="BK165" s="72">
        <v>5</v>
      </c>
      <c r="BL165" s="72">
        <v>5</v>
      </c>
      <c r="BM165" s="72">
        <v>5</v>
      </c>
      <c r="BN165" s="72">
        <v>5</v>
      </c>
      <c r="BO165" s="72">
        <v>5</v>
      </c>
      <c r="BP165" s="72">
        <v>5</v>
      </c>
      <c r="BQ165" s="72">
        <v>5</v>
      </c>
      <c r="BR165" s="72">
        <v>5</v>
      </c>
      <c r="BS165" s="72">
        <v>5</v>
      </c>
      <c r="BT165" s="72">
        <v>5</v>
      </c>
      <c r="BU165" s="72">
        <v>5</v>
      </c>
      <c r="BV165" s="72">
        <v>5</v>
      </c>
      <c r="BW165" s="72">
        <v>5</v>
      </c>
      <c r="BX165" s="72">
        <v>5</v>
      </c>
      <c r="BY165" s="72">
        <v>5</v>
      </c>
      <c r="BZ165" s="72">
        <v>5</v>
      </c>
      <c r="CA165" s="72">
        <v>5</v>
      </c>
      <c r="CB165" s="72">
        <v>5</v>
      </c>
      <c r="CC165" s="72">
        <v>5</v>
      </c>
      <c r="CD165" s="72">
        <v>5</v>
      </c>
      <c r="CE165" s="72">
        <v>5</v>
      </c>
      <c r="CF165" s="72">
        <v>10</v>
      </c>
      <c r="CG165" s="72">
        <v>10</v>
      </c>
      <c r="CH165" s="72">
        <v>10</v>
      </c>
      <c r="CI165" s="72">
        <v>10</v>
      </c>
      <c r="CJ165" s="72">
        <v>10</v>
      </c>
      <c r="CK165" s="72">
        <v>10</v>
      </c>
      <c r="CL165" s="72">
        <v>10</v>
      </c>
      <c r="CM165" s="72">
        <v>10</v>
      </c>
      <c r="CN165" s="72">
        <v>10</v>
      </c>
      <c r="CO165" s="72">
        <v>10</v>
      </c>
      <c r="CP165" s="72">
        <v>10</v>
      </c>
      <c r="CQ165" s="72">
        <v>10</v>
      </c>
      <c r="CR165" s="72">
        <v>10</v>
      </c>
      <c r="CS165" s="72">
        <v>10</v>
      </c>
      <c r="CT165" s="72">
        <v>10</v>
      </c>
      <c r="CU165" s="72">
        <v>10</v>
      </c>
      <c r="CV165" s="72">
        <v>10</v>
      </c>
      <c r="CW165" s="72">
        <v>10</v>
      </c>
      <c r="CX165" s="72">
        <v>10</v>
      </c>
      <c r="CY165" s="72">
        <v>10</v>
      </c>
      <c r="CZ165" s="72">
        <v>10</v>
      </c>
      <c r="DA165" s="72">
        <v>10</v>
      </c>
      <c r="DB165" s="72">
        <v>10</v>
      </c>
      <c r="DC165" s="72">
        <v>10</v>
      </c>
      <c r="DD165" s="72">
        <v>10</v>
      </c>
      <c r="DE165" s="72">
        <v>10</v>
      </c>
      <c r="DF165" s="72">
        <v>10</v>
      </c>
      <c r="DG165" s="72">
        <v>10</v>
      </c>
      <c r="DH165" s="72">
        <v>10</v>
      </c>
      <c r="DI165" s="72">
        <v>10</v>
      </c>
      <c r="DJ165" s="72">
        <v>10</v>
      </c>
      <c r="DK165" s="72">
        <v>10</v>
      </c>
      <c r="DL165" s="72">
        <v>10</v>
      </c>
      <c r="DM165" s="72">
        <v>10</v>
      </c>
    </row>
    <row r="166" spans="1:117" x14ac:dyDescent="0.35">
      <c r="A166" s="7"/>
      <c r="B166" s="8" t="s">
        <v>305</v>
      </c>
      <c r="C166" s="9" t="s">
        <v>306</v>
      </c>
      <c r="D166" s="10" t="s">
        <v>92</v>
      </c>
      <c r="E166" s="8" t="s">
        <v>1209</v>
      </c>
      <c r="F166" s="10">
        <v>1101</v>
      </c>
      <c r="G166" s="10" t="s">
        <v>92</v>
      </c>
      <c r="H166" s="10" t="s">
        <v>41</v>
      </c>
      <c r="I166" s="11">
        <v>10</v>
      </c>
      <c r="J166" s="10"/>
      <c r="K166" s="10"/>
      <c r="L166" s="8"/>
      <c r="M166" s="12">
        <v>7.1093999999999999</v>
      </c>
      <c r="N166" s="12">
        <f t="shared" si="2"/>
        <v>71.093999999999994</v>
      </c>
      <c r="O166" s="11">
        <v>10</v>
      </c>
      <c r="P166" s="11">
        <v>10</v>
      </c>
      <c r="Q166" s="11">
        <v>10</v>
      </c>
      <c r="R166" s="11">
        <v>10</v>
      </c>
      <c r="S166" s="11">
        <v>10</v>
      </c>
      <c r="T166" s="11">
        <v>10</v>
      </c>
      <c r="U166" s="11">
        <v>10</v>
      </c>
      <c r="V166" s="11">
        <v>10</v>
      </c>
      <c r="W166" s="11">
        <v>10</v>
      </c>
      <c r="X166" s="11">
        <v>10</v>
      </c>
      <c r="Y166" s="11">
        <v>10</v>
      </c>
      <c r="Z166" s="11">
        <v>10</v>
      </c>
      <c r="AA166" s="11">
        <v>10</v>
      </c>
      <c r="AB166" s="11">
        <v>10</v>
      </c>
      <c r="AC166" s="11">
        <v>10</v>
      </c>
      <c r="AD166" s="11">
        <v>10</v>
      </c>
      <c r="AE166" s="11">
        <v>10</v>
      </c>
      <c r="AF166" s="11">
        <v>10</v>
      </c>
      <c r="AG166" s="11">
        <v>10</v>
      </c>
      <c r="AH166" s="11">
        <v>10</v>
      </c>
      <c r="AI166" s="11">
        <v>10</v>
      </c>
      <c r="AJ166" s="11">
        <v>10</v>
      </c>
      <c r="AK166" s="11">
        <v>10</v>
      </c>
      <c r="AL166" s="11">
        <v>10</v>
      </c>
      <c r="AM166" s="11">
        <v>10</v>
      </c>
      <c r="AN166" s="72">
        <v>10</v>
      </c>
      <c r="AO166" s="72">
        <v>10</v>
      </c>
      <c r="AP166" s="72">
        <v>10</v>
      </c>
      <c r="AQ166" s="72">
        <v>10</v>
      </c>
      <c r="AR166" s="72">
        <v>10</v>
      </c>
      <c r="AS166" s="72">
        <v>10</v>
      </c>
      <c r="AT166" s="72">
        <v>10</v>
      </c>
      <c r="AU166" s="72">
        <v>10</v>
      </c>
      <c r="AV166" s="72">
        <v>10</v>
      </c>
      <c r="AW166" s="72">
        <v>10</v>
      </c>
      <c r="AX166" s="72">
        <v>10</v>
      </c>
      <c r="AY166" s="72">
        <v>10</v>
      </c>
      <c r="AZ166" s="72">
        <v>10</v>
      </c>
      <c r="BA166" s="72">
        <v>10</v>
      </c>
      <c r="BB166" s="72">
        <v>10</v>
      </c>
      <c r="BC166" s="72">
        <v>10</v>
      </c>
      <c r="BD166" s="72">
        <v>10</v>
      </c>
      <c r="BE166" s="72">
        <v>10</v>
      </c>
      <c r="BF166" s="72">
        <v>10</v>
      </c>
      <c r="BG166" s="72">
        <v>10</v>
      </c>
      <c r="BH166" s="72">
        <v>10</v>
      </c>
      <c r="BI166" s="72">
        <v>10</v>
      </c>
      <c r="BJ166" s="72">
        <v>10</v>
      </c>
      <c r="BK166" s="72">
        <v>10</v>
      </c>
      <c r="BL166" s="72">
        <v>10</v>
      </c>
      <c r="BM166" s="72">
        <v>10</v>
      </c>
      <c r="BN166" s="72">
        <v>10</v>
      </c>
      <c r="BO166" s="72">
        <v>10</v>
      </c>
      <c r="BP166" s="72">
        <v>10</v>
      </c>
      <c r="BQ166" s="72">
        <v>10</v>
      </c>
      <c r="BR166" s="72">
        <v>10</v>
      </c>
      <c r="BS166" s="72">
        <v>10</v>
      </c>
      <c r="BT166" s="72">
        <v>10</v>
      </c>
      <c r="BU166" s="72">
        <v>10</v>
      </c>
      <c r="BV166" s="72">
        <v>10</v>
      </c>
      <c r="BW166" s="72">
        <v>10</v>
      </c>
      <c r="BX166" s="72">
        <v>10</v>
      </c>
      <c r="BY166" s="72">
        <v>10</v>
      </c>
      <c r="BZ166" s="72">
        <v>10</v>
      </c>
      <c r="CA166" s="72">
        <v>10</v>
      </c>
      <c r="CB166" s="72">
        <v>10</v>
      </c>
      <c r="CC166" s="72">
        <v>10</v>
      </c>
      <c r="CD166" s="72">
        <v>10</v>
      </c>
      <c r="CE166" s="72">
        <v>10</v>
      </c>
      <c r="CF166" s="72">
        <v>10</v>
      </c>
      <c r="CG166" s="72">
        <v>10</v>
      </c>
      <c r="CH166" s="72">
        <v>10</v>
      </c>
      <c r="CI166" s="72">
        <v>10</v>
      </c>
      <c r="CJ166" s="72">
        <v>10</v>
      </c>
      <c r="CK166" s="72">
        <v>10</v>
      </c>
      <c r="CL166" s="72">
        <v>10</v>
      </c>
      <c r="CM166" s="72">
        <v>10</v>
      </c>
      <c r="CN166" s="72">
        <v>10</v>
      </c>
      <c r="CO166" s="72">
        <v>10</v>
      </c>
      <c r="CP166" s="72">
        <v>10</v>
      </c>
      <c r="CQ166" s="72">
        <v>10</v>
      </c>
      <c r="CR166" s="72">
        <v>10</v>
      </c>
      <c r="CS166" s="72">
        <v>10</v>
      </c>
      <c r="CT166" s="72">
        <v>10</v>
      </c>
      <c r="CU166" s="72">
        <v>10</v>
      </c>
      <c r="CV166" s="72">
        <v>10</v>
      </c>
      <c r="CW166" s="72">
        <v>10</v>
      </c>
      <c r="CX166" s="72">
        <v>10</v>
      </c>
      <c r="CY166" s="72">
        <v>10</v>
      </c>
      <c r="CZ166" s="72">
        <v>10</v>
      </c>
      <c r="DA166" s="72">
        <v>10</v>
      </c>
      <c r="DB166" s="72">
        <v>10</v>
      </c>
      <c r="DC166" s="72">
        <v>10</v>
      </c>
      <c r="DD166" s="72">
        <v>10</v>
      </c>
      <c r="DE166" s="72">
        <v>10</v>
      </c>
      <c r="DF166" s="72">
        <v>10</v>
      </c>
      <c r="DG166" s="72">
        <v>10</v>
      </c>
      <c r="DH166" s="72">
        <v>10</v>
      </c>
      <c r="DI166" s="72">
        <v>10</v>
      </c>
      <c r="DJ166" s="72">
        <v>10</v>
      </c>
      <c r="DK166" s="72">
        <v>10</v>
      </c>
      <c r="DL166" s="72">
        <v>10</v>
      </c>
      <c r="DM166" s="72">
        <v>10</v>
      </c>
    </row>
    <row r="167" spans="1:117" x14ac:dyDescent="0.35">
      <c r="A167" s="7"/>
      <c r="B167" s="26" t="s">
        <v>307</v>
      </c>
      <c r="C167" s="27" t="s">
        <v>308</v>
      </c>
      <c r="D167" s="28" t="s">
        <v>92</v>
      </c>
      <c r="E167" s="26" t="s">
        <v>1209</v>
      </c>
      <c r="F167" s="10">
        <v>1101</v>
      </c>
      <c r="G167" s="28" t="s">
        <v>92</v>
      </c>
      <c r="H167" s="28" t="s">
        <v>41</v>
      </c>
      <c r="I167" s="29">
        <v>0</v>
      </c>
      <c r="J167" s="10">
        <v>1</v>
      </c>
      <c r="K167" s="10" t="s">
        <v>42</v>
      </c>
      <c r="L167" s="8" t="s">
        <v>206</v>
      </c>
      <c r="M167" s="12">
        <v>0.53878423999999969</v>
      </c>
      <c r="N167" s="12">
        <f t="shared" si="2"/>
        <v>2.1551369599999988</v>
      </c>
      <c r="O167" s="29">
        <v>0</v>
      </c>
      <c r="P167" s="29">
        <v>0</v>
      </c>
      <c r="Q167" s="29">
        <v>0</v>
      </c>
      <c r="R167" s="29">
        <v>0</v>
      </c>
      <c r="S167" s="29">
        <v>0</v>
      </c>
      <c r="T167" s="29">
        <v>0</v>
      </c>
      <c r="U167" s="29">
        <v>0</v>
      </c>
      <c r="V167" s="29">
        <v>0</v>
      </c>
      <c r="W167" s="29">
        <v>0</v>
      </c>
      <c r="X167" s="29">
        <v>0</v>
      </c>
      <c r="Y167" s="29">
        <v>0</v>
      </c>
      <c r="Z167" s="29">
        <v>0</v>
      </c>
      <c r="AA167" s="29">
        <v>0</v>
      </c>
      <c r="AB167" s="29">
        <v>0</v>
      </c>
      <c r="AC167" s="29">
        <v>0</v>
      </c>
      <c r="AD167" s="29">
        <v>0</v>
      </c>
      <c r="AE167" s="29">
        <v>0</v>
      </c>
      <c r="AF167" s="29">
        <v>0</v>
      </c>
      <c r="AG167" s="29">
        <v>0</v>
      </c>
      <c r="AH167" s="29">
        <v>0</v>
      </c>
      <c r="AI167" s="29">
        <v>0</v>
      </c>
      <c r="AJ167" s="29">
        <v>0</v>
      </c>
      <c r="AK167" s="29">
        <v>0</v>
      </c>
      <c r="AL167" s="29">
        <v>0</v>
      </c>
      <c r="AM167" s="29">
        <v>0</v>
      </c>
      <c r="AN167" s="75">
        <v>0</v>
      </c>
      <c r="AO167" s="75">
        <v>0</v>
      </c>
      <c r="AP167" s="75">
        <v>0</v>
      </c>
      <c r="AQ167" s="75">
        <v>0</v>
      </c>
      <c r="AR167" s="75">
        <v>0</v>
      </c>
      <c r="AS167" s="75">
        <v>0</v>
      </c>
      <c r="AT167" s="75">
        <v>0</v>
      </c>
      <c r="AU167" s="75">
        <v>0</v>
      </c>
      <c r="AV167" s="75">
        <v>0</v>
      </c>
      <c r="AW167" s="75">
        <v>0</v>
      </c>
      <c r="AX167" s="75">
        <v>0</v>
      </c>
      <c r="AY167" s="75">
        <v>0</v>
      </c>
      <c r="AZ167" s="75">
        <v>0</v>
      </c>
      <c r="BA167" s="75">
        <v>0</v>
      </c>
      <c r="BB167" s="75">
        <v>0</v>
      </c>
      <c r="BC167" s="75">
        <v>0</v>
      </c>
      <c r="BD167" s="75">
        <v>0</v>
      </c>
      <c r="BE167" s="75">
        <v>0</v>
      </c>
      <c r="BF167" s="75">
        <v>0</v>
      </c>
      <c r="BG167" s="75">
        <v>0</v>
      </c>
      <c r="BH167" s="75">
        <v>0</v>
      </c>
      <c r="BI167" s="75">
        <v>0</v>
      </c>
      <c r="BJ167" s="75">
        <v>0</v>
      </c>
      <c r="BK167" s="75">
        <v>0</v>
      </c>
      <c r="BL167" s="75">
        <v>0</v>
      </c>
      <c r="BM167" s="75">
        <v>0</v>
      </c>
      <c r="BN167" s="75">
        <v>0</v>
      </c>
      <c r="BO167" s="75">
        <v>0</v>
      </c>
      <c r="BP167" s="75">
        <v>0</v>
      </c>
      <c r="BQ167" s="75">
        <v>0</v>
      </c>
      <c r="BR167" s="75">
        <v>0</v>
      </c>
      <c r="BS167" s="75">
        <v>0</v>
      </c>
      <c r="BT167" s="75">
        <v>0</v>
      </c>
      <c r="BU167" s="75">
        <v>0</v>
      </c>
      <c r="BV167" s="75">
        <v>0</v>
      </c>
      <c r="BW167" s="75">
        <v>0</v>
      </c>
      <c r="BX167" s="75">
        <v>0</v>
      </c>
      <c r="BY167" s="75">
        <v>0</v>
      </c>
      <c r="BZ167" s="75">
        <v>0</v>
      </c>
      <c r="CA167" s="75">
        <v>0</v>
      </c>
      <c r="CB167" s="75">
        <v>0</v>
      </c>
      <c r="CC167" s="75">
        <v>0</v>
      </c>
      <c r="CD167" s="75">
        <v>0</v>
      </c>
      <c r="CE167" s="75">
        <v>0</v>
      </c>
      <c r="CF167" s="75">
        <v>4</v>
      </c>
      <c r="CG167" s="75">
        <v>4</v>
      </c>
      <c r="CH167" s="75">
        <v>4</v>
      </c>
      <c r="CI167" s="75">
        <v>4</v>
      </c>
      <c r="CJ167" s="75">
        <v>4</v>
      </c>
      <c r="CK167" s="75">
        <v>4</v>
      </c>
      <c r="CL167" s="75">
        <v>4</v>
      </c>
      <c r="CM167" s="75">
        <v>4</v>
      </c>
      <c r="CN167" s="75">
        <v>4</v>
      </c>
      <c r="CO167" s="75">
        <v>4</v>
      </c>
      <c r="CP167" s="75">
        <v>4</v>
      </c>
      <c r="CQ167" s="75">
        <v>4</v>
      </c>
      <c r="CR167" s="75">
        <v>4</v>
      </c>
      <c r="CS167" s="75">
        <v>4</v>
      </c>
      <c r="CT167" s="75">
        <v>4</v>
      </c>
      <c r="CU167" s="75">
        <v>4</v>
      </c>
      <c r="CV167" s="75">
        <v>4</v>
      </c>
      <c r="CW167" s="75">
        <v>4</v>
      </c>
      <c r="CX167" s="75">
        <v>4</v>
      </c>
      <c r="CY167" s="75">
        <v>4</v>
      </c>
      <c r="CZ167" s="75">
        <v>4</v>
      </c>
      <c r="DA167" s="75">
        <v>4</v>
      </c>
      <c r="DB167" s="75">
        <v>4</v>
      </c>
      <c r="DC167" s="75">
        <v>4</v>
      </c>
      <c r="DD167" s="75">
        <v>4</v>
      </c>
      <c r="DE167" s="75">
        <v>4</v>
      </c>
      <c r="DF167" s="75">
        <v>4</v>
      </c>
      <c r="DG167" s="75">
        <v>4</v>
      </c>
      <c r="DH167" s="75">
        <v>4</v>
      </c>
      <c r="DI167" s="75">
        <v>4</v>
      </c>
      <c r="DJ167" s="75">
        <v>4</v>
      </c>
      <c r="DK167" s="75">
        <v>4</v>
      </c>
      <c r="DL167" s="75">
        <v>4</v>
      </c>
      <c r="DM167" s="75">
        <v>4</v>
      </c>
    </row>
    <row r="168" spans="1:117" x14ac:dyDescent="0.35">
      <c r="A168" s="7"/>
      <c r="B168" s="26" t="s">
        <v>309</v>
      </c>
      <c r="C168" s="27" t="s">
        <v>310</v>
      </c>
      <c r="D168" s="28" t="s">
        <v>92</v>
      </c>
      <c r="E168" s="26" t="s">
        <v>1209</v>
      </c>
      <c r="F168" s="10">
        <v>1101</v>
      </c>
      <c r="G168" s="28" t="s">
        <v>92</v>
      </c>
      <c r="H168" s="28" t="s">
        <v>41</v>
      </c>
      <c r="I168" s="29">
        <v>14</v>
      </c>
      <c r="J168" s="10"/>
      <c r="K168" s="10" t="s">
        <v>42</v>
      </c>
      <c r="L168" s="8"/>
      <c r="M168" s="12">
        <v>0.67247999999999997</v>
      </c>
      <c r="N168" s="12">
        <f t="shared" si="2"/>
        <v>9.4147199999999991</v>
      </c>
      <c r="O168" s="29">
        <v>14</v>
      </c>
      <c r="P168" s="29">
        <v>14</v>
      </c>
      <c r="Q168" s="29">
        <v>14</v>
      </c>
      <c r="R168" s="29">
        <v>14</v>
      </c>
      <c r="S168" s="29">
        <v>14</v>
      </c>
      <c r="T168" s="29">
        <v>14</v>
      </c>
      <c r="U168" s="29">
        <v>14</v>
      </c>
      <c r="V168" s="29">
        <v>14</v>
      </c>
      <c r="W168" s="29">
        <v>14</v>
      </c>
      <c r="X168" s="29">
        <v>14</v>
      </c>
      <c r="Y168" s="29">
        <v>14</v>
      </c>
      <c r="Z168" s="29">
        <v>14</v>
      </c>
      <c r="AA168" s="29">
        <v>14</v>
      </c>
      <c r="AB168" s="29">
        <v>14</v>
      </c>
      <c r="AC168" s="29">
        <v>14</v>
      </c>
      <c r="AD168" s="29">
        <v>14</v>
      </c>
      <c r="AE168" s="29">
        <v>14</v>
      </c>
      <c r="AF168" s="29">
        <v>14</v>
      </c>
      <c r="AG168" s="29">
        <v>14</v>
      </c>
      <c r="AH168" s="29">
        <v>14</v>
      </c>
      <c r="AI168" s="29">
        <v>14</v>
      </c>
      <c r="AJ168" s="29">
        <v>14</v>
      </c>
      <c r="AK168" s="29">
        <v>14</v>
      </c>
      <c r="AL168" s="29">
        <v>14</v>
      </c>
      <c r="AM168" s="29">
        <v>14</v>
      </c>
      <c r="AN168" s="75">
        <v>14</v>
      </c>
      <c r="AO168" s="75">
        <v>14</v>
      </c>
      <c r="AP168" s="75">
        <v>14</v>
      </c>
      <c r="AQ168" s="75">
        <v>14</v>
      </c>
      <c r="AR168" s="75">
        <v>14</v>
      </c>
      <c r="AS168" s="75">
        <v>14</v>
      </c>
      <c r="AT168" s="75">
        <v>14</v>
      </c>
      <c r="AU168" s="75">
        <v>14</v>
      </c>
      <c r="AV168" s="75">
        <v>14</v>
      </c>
      <c r="AW168" s="75">
        <v>14</v>
      </c>
      <c r="AX168" s="75">
        <v>14</v>
      </c>
      <c r="AY168" s="75">
        <v>14</v>
      </c>
      <c r="AZ168" s="75">
        <v>14</v>
      </c>
      <c r="BA168" s="75">
        <v>14</v>
      </c>
      <c r="BB168" s="75">
        <v>14</v>
      </c>
      <c r="BC168" s="75">
        <v>14</v>
      </c>
      <c r="BD168" s="75">
        <v>14</v>
      </c>
      <c r="BE168" s="75">
        <v>14</v>
      </c>
      <c r="BF168" s="75">
        <v>14</v>
      </c>
      <c r="BG168" s="75">
        <v>14</v>
      </c>
      <c r="BH168" s="75">
        <v>14</v>
      </c>
      <c r="BI168" s="75">
        <v>14</v>
      </c>
      <c r="BJ168" s="75">
        <v>14</v>
      </c>
      <c r="BK168" s="75">
        <v>14</v>
      </c>
      <c r="BL168" s="75">
        <v>14</v>
      </c>
      <c r="BM168" s="75">
        <v>14</v>
      </c>
      <c r="BN168" s="75">
        <v>14</v>
      </c>
      <c r="BO168" s="75">
        <v>14</v>
      </c>
      <c r="BP168" s="75">
        <v>14</v>
      </c>
      <c r="BQ168" s="75">
        <v>14</v>
      </c>
      <c r="BR168" s="75">
        <v>14</v>
      </c>
      <c r="BS168" s="75">
        <v>14</v>
      </c>
      <c r="BT168" s="75">
        <v>14</v>
      </c>
      <c r="BU168" s="75">
        <v>14</v>
      </c>
      <c r="BV168" s="75">
        <v>14</v>
      </c>
      <c r="BW168" s="75">
        <v>14</v>
      </c>
      <c r="BX168" s="75">
        <v>14</v>
      </c>
      <c r="BY168" s="75">
        <v>14</v>
      </c>
      <c r="BZ168" s="75">
        <v>14</v>
      </c>
      <c r="CA168" s="75">
        <v>14</v>
      </c>
      <c r="CB168" s="75">
        <v>14</v>
      </c>
      <c r="CC168" s="75">
        <v>14</v>
      </c>
      <c r="CD168" s="75">
        <v>14</v>
      </c>
      <c r="CE168" s="75">
        <v>14</v>
      </c>
      <c r="CF168" s="75">
        <v>14</v>
      </c>
      <c r="CG168" s="75">
        <v>14</v>
      </c>
      <c r="CH168" s="75">
        <v>14</v>
      </c>
      <c r="CI168" s="75">
        <v>14</v>
      </c>
      <c r="CJ168" s="75">
        <v>14</v>
      </c>
      <c r="CK168" s="75">
        <v>14</v>
      </c>
      <c r="CL168" s="75">
        <v>14</v>
      </c>
      <c r="CM168" s="75">
        <v>14</v>
      </c>
      <c r="CN168" s="75">
        <v>14</v>
      </c>
      <c r="CO168" s="75">
        <v>14</v>
      </c>
      <c r="CP168" s="75">
        <v>14</v>
      </c>
      <c r="CQ168" s="75">
        <v>14</v>
      </c>
      <c r="CR168" s="75">
        <v>14</v>
      </c>
      <c r="CS168" s="75">
        <v>14</v>
      </c>
      <c r="CT168" s="75">
        <v>14</v>
      </c>
      <c r="CU168" s="75">
        <v>14</v>
      </c>
      <c r="CV168" s="75">
        <v>14</v>
      </c>
      <c r="CW168" s="75">
        <v>14</v>
      </c>
      <c r="CX168" s="75">
        <v>14</v>
      </c>
      <c r="CY168" s="75">
        <v>14</v>
      </c>
      <c r="CZ168" s="75">
        <v>14</v>
      </c>
      <c r="DA168" s="75">
        <v>14</v>
      </c>
      <c r="DB168" s="75">
        <v>14</v>
      </c>
      <c r="DC168" s="75">
        <v>14</v>
      </c>
      <c r="DD168" s="75">
        <v>14</v>
      </c>
      <c r="DE168" s="75">
        <v>14</v>
      </c>
      <c r="DF168" s="75">
        <v>14</v>
      </c>
      <c r="DG168" s="75">
        <v>14</v>
      </c>
      <c r="DH168" s="75">
        <v>14</v>
      </c>
      <c r="DI168" s="75">
        <v>14</v>
      </c>
      <c r="DJ168" s="75">
        <v>14</v>
      </c>
      <c r="DK168" s="75">
        <v>14</v>
      </c>
      <c r="DL168" s="75">
        <v>14</v>
      </c>
      <c r="DM168" s="75">
        <v>14</v>
      </c>
    </row>
    <row r="169" spans="1:117" x14ac:dyDescent="0.35">
      <c r="A169" s="7"/>
      <c r="B169" s="8" t="s">
        <v>311</v>
      </c>
      <c r="C169" s="9" t="s">
        <v>312</v>
      </c>
      <c r="D169" s="10" t="s">
        <v>92</v>
      </c>
      <c r="E169" s="8" t="s">
        <v>1209</v>
      </c>
      <c r="F169" s="10">
        <v>1101</v>
      </c>
      <c r="G169" s="10" t="s">
        <v>92</v>
      </c>
      <c r="H169" s="10" t="s">
        <v>41</v>
      </c>
      <c r="I169" s="11">
        <v>568</v>
      </c>
      <c r="J169" s="10">
        <v>1</v>
      </c>
      <c r="K169" s="10" t="s">
        <v>42</v>
      </c>
      <c r="L169" s="8" t="s">
        <v>206</v>
      </c>
      <c r="M169" s="12">
        <v>0.82379999999999998</v>
      </c>
      <c r="N169" s="12">
        <f t="shared" si="2"/>
        <v>404.48579999999998</v>
      </c>
      <c r="O169" s="11">
        <v>569</v>
      </c>
      <c r="P169" s="11">
        <v>569</v>
      </c>
      <c r="Q169" s="11">
        <v>569</v>
      </c>
      <c r="R169" s="11">
        <v>568</v>
      </c>
      <c r="S169" s="11">
        <v>568</v>
      </c>
      <c r="T169" s="11">
        <v>568</v>
      </c>
      <c r="U169" s="11">
        <v>568</v>
      </c>
      <c r="V169" s="11">
        <v>568</v>
      </c>
      <c r="W169" s="11">
        <v>568</v>
      </c>
      <c r="X169" s="11">
        <v>568</v>
      </c>
      <c r="Y169" s="11">
        <v>568</v>
      </c>
      <c r="Z169" s="11">
        <v>568</v>
      </c>
      <c r="AA169" s="11">
        <v>568</v>
      </c>
      <c r="AB169" s="11">
        <v>568</v>
      </c>
      <c r="AC169" s="11">
        <v>568</v>
      </c>
      <c r="AD169" s="11">
        <v>568</v>
      </c>
      <c r="AE169" s="11">
        <v>568</v>
      </c>
      <c r="AF169" s="11">
        <v>568</v>
      </c>
      <c r="AG169" s="11">
        <v>568</v>
      </c>
      <c r="AH169" s="11">
        <v>568</v>
      </c>
      <c r="AI169" s="11">
        <v>568</v>
      </c>
      <c r="AJ169" s="11">
        <v>568</v>
      </c>
      <c r="AK169" s="11">
        <v>568</v>
      </c>
      <c r="AL169" s="11">
        <v>568</v>
      </c>
      <c r="AM169" s="11">
        <v>568</v>
      </c>
      <c r="AN169" s="72">
        <v>568</v>
      </c>
      <c r="AO169" s="72">
        <v>568</v>
      </c>
      <c r="AP169" s="72">
        <v>568</v>
      </c>
      <c r="AQ169" s="72">
        <v>568</v>
      </c>
      <c r="AR169" s="72">
        <v>568</v>
      </c>
      <c r="AS169" s="72">
        <v>568</v>
      </c>
      <c r="AT169" s="72">
        <v>568</v>
      </c>
      <c r="AU169" s="72">
        <v>568</v>
      </c>
      <c r="AV169" s="72">
        <v>568</v>
      </c>
      <c r="AW169" s="72">
        <v>528</v>
      </c>
      <c r="AX169" s="72">
        <v>528</v>
      </c>
      <c r="AY169" s="72">
        <v>528</v>
      </c>
      <c r="AZ169" s="72">
        <v>528</v>
      </c>
      <c r="BA169" s="72">
        <v>528</v>
      </c>
      <c r="BB169" s="72">
        <v>528</v>
      </c>
      <c r="BC169" s="72">
        <v>528</v>
      </c>
      <c r="BD169" s="72">
        <v>528</v>
      </c>
      <c r="BE169" s="72">
        <v>528</v>
      </c>
      <c r="BF169" s="72">
        <v>528</v>
      </c>
      <c r="BG169" s="72">
        <v>528</v>
      </c>
      <c r="BH169" s="72">
        <v>528</v>
      </c>
      <c r="BI169" s="72">
        <v>528</v>
      </c>
      <c r="BJ169" s="72">
        <v>528</v>
      </c>
      <c r="BK169" s="72">
        <v>528</v>
      </c>
      <c r="BL169" s="72">
        <v>528</v>
      </c>
      <c r="BM169" s="72">
        <v>528</v>
      </c>
      <c r="BN169" s="72">
        <v>528</v>
      </c>
      <c r="BO169" s="72">
        <v>528</v>
      </c>
      <c r="BP169" s="72">
        <v>528</v>
      </c>
      <c r="BQ169" s="72">
        <v>528</v>
      </c>
      <c r="BR169" s="72">
        <v>528</v>
      </c>
      <c r="BS169" s="72">
        <v>528</v>
      </c>
      <c r="BT169" s="72">
        <v>528</v>
      </c>
      <c r="BU169" s="72">
        <v>528</v>
      </c>
      <c r="BV169" s="72">
        <v>528</v>
      </c>
      <c r="BW169" s="72">
        <v>528</v>
      </c>
      <c r="BX169" s="72">
        <v>528</v>
      </c>
      <c r="BY169" s="72">
        <v>526</v>
      </c>
      <c r="BZ169" s="72">
        <v>526</v>
      </c>
      <c r="CA169" s="72">
        <v>526</v>
      </c>
      <c r="CB169" s="72">
        <v>526</v>
      </c>
      <c r="CC169" s="72">
        <v>526</v>
      </c>
      <c r="CD169" s="72">
        <v>526</v>
      </c>
      <c r="CE169" s="72">
        <v>526</v>
      </c>
      <c r="CF169" s="72">
        <v>513</v>
      </c>
      <c r="CG169" s="72">
        <v>463</v>
      </c>
      <c r="CH169" s="72">
        <v>491</v>
      </c>
      <c r="CI169" s="72">
        <v>491</v>
      </c>
      <c r="CJ169" s="72">
        <v>491</v>
      </c>
      <c r="CK169" s="72">
        <v>491</v>
      </c>
      <c r="CL169" s="72">
        <v>491</v>
      </c>
      <c r="CM169" s="72">
        <v>491</v>
      </c>
      <c r="CN169" s="72">
        <v>491</v>
      </c>
      <c r="CO169" s="72">
        <v>491</v>
      </c>
      <c r="CP169" s="72">
        <v>491</v>
      </c>
      <c r="CQ169" s="72">
        <v>491</v>
      </c>
      <c r="CR169" s="72">
        <v>491</v>
      </c>
      <c r="CS169" s="72">
        <v>491</v>
      </c>
      <c r="CT169" s="72">
        <v>491</v>
      </c>
      <c r="CU169" s="72">
        <v>491</v>
      </c>
      <c r="CV169" s="72">
        <v>491</v>
      </c>
      <c r="CW169" s="72">
        <v>491</v>
      </c>
      <c r="CX169" s="72">
        <v>491</v>
      </c>
      <c r="CY169" s="72">
        <v>491</v>
      </c>
      <c r="CZ169" s="72">
        <v>491</v>
      </c>
      <c r="DA169" s="72">
        <v>491</v>
      </c>
      <c r="DB169" s="72">
        <v>491</v>
      </c>
      <c r="DC169" s="72">
        <v>491</v>
      </c>
      <c r="DD169" s="72">
        <v>491</v>
      </c>
      <c r="DE169" s="72">
        <v>491</v>
      </c>
      <c r="DF169" s="72">
        <v>491</v>
      </c>
      <c r="DG169" s="72">
        <v>491</v>
      </c>
      <c r="DH169" s="72">
        <v>491</v>
      </c>
      <c r="DI169" s="72">
        <v>491</v>
      </c>
      <c r="DJ169" s="72">
        <v>491</v>
      </c>
      <c r="DK169" s="72">
        <v>491</v>
      </c>
      <c r="DL169" s="72">
        <v>491</v>
      </c>
      <c r="DM169" s="72">
        <v>491</v>
      </c>
    </row>
    <row r="170" spans="1:117" x14ac:dyDescent="0.35">
      <c r="A170" s="7"/>
      <c r="B170" s="8" t="s">
        <v>313</v>
      </c>
      <c r="C170" s="9" t="s">
        <v>314</v>
      </c>
      <c r="D170" s="10" t="s">
        <v>92</v>
      </c>
      <c r="E170" s="8" t="s">
        <v>1209</v>
      </c>
      <c r="F170" s="10">
        <v>1101</v>
      </c>
      <c r="G170" s="10" t="s">
        <v>92</v>
      </c>
      <c r="H170" s="10" t="s">
        <v>41</v>
      </c>
      <c r="I170" s="11">
        <v>167</v>
      </c>
      <c r="J170" s="10">
        <v>1</v>
      </c>
      <c r="K170" s="10" t="s">
        <v>42</v>
      </c>
      <c r="L170" s="8" t="s">
        <v>206</v>
      </c>
      <c r="M170" s="12">
        <v>1.2661199999999999</v>
      </c>
      <c r="N170" s="12">
        <f t="shared" si="2"/>
        <v>88.628399999999999</v>
      </c>
      <c r="O170" s="11">
        <v>168</v>
      </c>
      <c r="P170" s="11">
        <v>168</v>
      </c>
      <c r="Q170" s="11">
        <v>168</v>
      </c>
      <c r="R170" s="11">
        <v>167</v>
      </c>
      <c r="S170" s="11">
        <v>167</v>
      </c>
      <c r="T170" s="11">
        <v>167</v>
      </c>
      <c r="U170" s="11">
        <v>167</v>
      </c>
      <c r="V170" s="11">
        <v>167</v>
      </c>
      <c r="W170" s="11">
        <v>167</v>
      </c>
      <c r="X170" s="11">
        <v>167</v>
      </c>
      <c r="Y170" s="11">
        <v>167</v>
      </c>
      <c r="Z170" s="11">
        <v>167</v>
      </c>
      <c r="AA170" s="11">
        <v>167</v>
      </c>
      <c r="AB170" s="11">
        <v>167</v>
      </c>
      <c r="AC170" s="11">
        <v>167</v>
      </c>
      <c r="AD170" s="11">
        <v>167</v>
      </c>
      <c r="AE170" s="11">
        <v>167</v>
      </c>
      <c r="AF170" s="11">
        <v>167</v>
      </c>
      <c r="AG170" s="11">
        <v>167</v>
      </c>
      <c r="AH170" s="11">
        <v>167</v>
      </c>
      <c r="AI170" s="11">
        <v>167</v>
      </c>
      <c r="AJ170" s="11">
        <v>167</v>
      </c>
      <c r="AK170" s="11">
        <v>167</v>
      </c>
      <c r="AL170" s="11">
        <v>167</v>
      </c>
      <c r="AM170" s="11">
        <v>167</v>
      </c>
      <c r="AN170" s="72">
        <v>167</v>
      </c>
      <c r="AO170" s="72">
        <v>167</v>
      </c>
      <c r="AP170" s="72">
        <v>167</v>
      </c>
      <c r="AQ170" s="72">
        <v>167</v>
      </c>
      <c r="AR170" s="72">
        <v>167</v>
      </c>
      <c r="AS170" s="72">
        <v>167</v>
      </c>
      <c r="AT170" s="72">
        <v>167</v>
      </c>
      <c r="AU170" s="72">
        <v>167</v>
      </c>
      <c r="AV170" s="72">
        <v>167</v>
      </c>
      <c r="AW170" s="72">
        <v>167</v>
      </c>
      <c r="AX170" s="72">
        <v>167</v>
      </c>
      <c r="AY170" s="72">
        <v>167</v>
      </c>
      <c r="AZ170" s="72">
        <v>167</v>
      </c>
      <c r="BA170" s="72">
        <v>167</v>
      </c>
      <c r="BB170" s="72">
        <v>167</v>
      </c>
      <c r="BC170" s="72">
        <v>167</v>
      </c>
      <c r="BD170" s="72">
        <v>167</v>
      </c>
      <c r="BE170" s="72">
        <v>167</v>
      </c>
      <c r="BF170" s="72">
        <v>167</v>
      </c>
      <c r="BG170" s="72">
        <v>167</v>
      </c>
      <c r="BH170" s="72">
        <v>167</v>
      </c>
      <c r="BI170" s="72">
        <v>167</v>
      </c>
      <c r="BJ170" s="72">
        <v>167</v>
      </c>
      <c r="BK170" s="72">
        <v>167</v>
      </c>
      <c r="BL170" s="72">
        <v>167</v>
      </c>
      <c r="BM170" s="72">
        <v>167</v>
      </c>
      <c r="BN170" s="72">
        <v>167</v>
      </c>
      <c r="BO170" s="72">
        <v>167</v>
      </c>
      <c r="BP170" s="72">
        <v>167</v>
      </c>
      <c r="BQ170" s="72">
        <v>167</v>
      </c>
      <c r="BR170" s="72">
        <v>167</v>
      </c>
      <c r="BS170" s="72">
        <v>167</v>
      </c>
      <c r="BT170" s="72">
        <v>167</v>
      </c>
      <c r="BU170" s="72">
        <v>167</v>
      </c>
      <c r="BV170" s="72">
        <v>117</v>
      </c>
      <c r="BW170" s="72">
        <v>117</v>
      </c>
      <c r="BX170" s="72">
        <v>75</v>
      </c>
      <c r="BY170" s="72">
        <v>75</v>
      </c>
      <c r="BZ170" s="72">
        <v>75</v>
      </c>
      <c r="CA170" s="72">
        <v>75</v>
      </c>
      <c r="CB170" s="72">
        <v>75</v>
      </c>
      <c r="CC170" s="72">
        <v>75</v>
      </c>
      <c r="CD170" s="72">
        <v>75</v>
      </c>
      <c r="CE170" s="72">
        <v>75</v>
      </c>
      <c r="CF170" s="72">
        <v>70</v>
      </c>
      <c r="CG170" s="72">
        <v>70</v>
      </c>
      <c r="CH170" s="72">
        <v>70</v>
      </c>
      <c r="CI170" s="72">
        <v>70</v>
      </c>
      <c r="CJ170" s="72">
        <v>70</v>
      </c>
      <c r="CK170" s="72">
        <v>70</v>
      </c>
      <c r="CL170" s="72">
        <v>70</v>
      </c>
      <c r="CM170" s="72">
        <v>70</v>
      </c>
      <c r="CN170" s="72">
        <v>70</v>
      </c>
      <c r="CO170" s="72">
        <v>70</v>
      </c>
      <c r="CP170" s="72">
        <v>70</v>
      </c>
      <c r="CQ170" s="72">
        <v>70</v>
      </c>
      <c r="CR170" s="72">
        <v>70</v>
      </c>
      <c r="CS170" s="72">
        <v>70</v>
      </c>
      <c r="CT170" s="72">
        <v>70</v>
      </c>
      <c r="CU170" s="72">
        <v>70</v>
      </c>
      <c r="CV170" s="72">
        <v>70</v>
      </c>
      <c r="CW170" s="72">
        <v>70</v>
      </c>
      <c r="CX170" s="72">
        <v>70</v>
      </c>
      <c r="CY170" s="72">
        <v>70</v>
      </c>
      <c r="CZ170" s="72">
        <v>70</v>
      </c>
      <c r="DA170" s="72">
        <v>70</v>
      </c>
      <c r="DB170" s="72">
        <v>70</v>
      </c>
      <c r="DC170" s="72">
        <v>70</v>
      </c>
      <c r="DD170" s="72">
        <v>70</v>
      </c>
      <c r="DE170" s="72">
        <v>70</v>
      </c>
      <c r="DF170" s="72">
        <v>70</v>
      </c>
      <c r="DG170" s="72">
        <v>70</v>
      </c>
      <c r="DH170" s="72">
        <v>70</v>
      </c>
      <c r="DI170" s="72">
        <v>70</v>
      </c>
      <c r="DJ170" s="72">
        <v>70</v>
      </c>
      <c r="DK170" s="72">
        <v>70</v>
      </c>
      <c r="DL170" s="72">
        <v>70</v>
      </c>
      <c r="DM170" s="72">
        <v>70</v>
      </c>
    </row>
    <row r="171" spans="1:117" x14ac:dyDescent="0.35">
      <c r="A171" s="7"/>
      <c r="B171" s="8" t="s">
        <v>315</v>
      </c>
      <c r="C171" s="9" t="s">
        <v>316</v>
      </c>
      <c r="D171" s="10" t="s">
        <v>92</v>
      </c>
      <c r="E171" s="8" t="s">
        <v>1209</v>
      </c>
      <c r="F171" s="10">
        <v>1101</v>
      </c>
      <c r="G171" s="10" t="s">
        <v>92</v>
      </c>
      <c r="H171" s="10" t="s">
        <v>41</v>
      </c>
      <c r="I171" s="11">
        <v>150</v>
      </c>
      <c r="J171" s="10">
        <v>1</v>
      </c>
      <c r="K171" s="10" t="s">
        <v>42</v>
      </c>
      <c r="L171" s="8" t="s">
        <v>206</v>
      </c>
      <c r="M171" s="12">
        <v>1.6967999999999999</v>
      </c>
      <c r="N171" s="12">
        <f t="shared" si="2"/>
        <v>251.12639999999999</v>
      </c>
      <c r="O171" s="11">
        <v>152</v>
      </c>
      <c r="P171" s="11">
        <v>152</v>
      </c>
      <c r="Q171" s="11">
        <v>152</v>
      </c>
      <c r="R171" s="11">
        <v>151</v>
      </c>
      <c r="S171" s="11">
        <v>151</v>
      </c>
      <c r="T171" s="11">
        <v>151</v>
      </c>
      <c r="U171" s="11">
        <v>151</v>
      </c>
      <c r="V171" s="11">
        <v>151</v>
      </c>
      <c r="W171" s="11">
        <v>151</v>
      </c>
      <c r="X171" s="11">
        <v>150</v>
      </c>
      <c r="Y171" s="11">
        <v>150</v>
      </c>
      <c r="Z171" s="11">
        <v>150</v>
      </c>
      <c r="AA171" s="11">
        <v>150</v>
      </c>
      <c r="AB171" s="11">
        <v>150</v>
      </c>
      <c r="AC171" s="11">
        <v>150</v>
      </c>
      <c r="AD171" s="11">
        <v>150</v>
      </c>
      <c r="AE171" s="11">
        <v>150</v>
      </c>
      <c r="AF171" s="11">
        <v>150</v>
      </c>
      <c r="AG171" s="11">
        <v>150</v>
      </c>
      <c r="AH171" s="11">
        <v>150</v>
      </c>
      <c r="AI171" s="11">
        <v>150</v>
      </c>
      <c r="AJ171" s="11">
        <v>150</v>
      </c>
      <c r="AK171" s="11">
        <v>150</v>
      </c>
      <c r="AL171" s="11">
        <v>150</v>
      </c>
      <c r="AM171" s="11">
        <v>150</v>
      </c>
      <c r="AN171" s="72">
        <v>150</v>
      </c>
      <c r="AO171" s="72">
        <v>150</v>
      </c>
      <c r="AP171" s="72">
        <v>150</v>
      </c>
      <c r="AQ171" s="72">
        <v>150</v>
      </c>
      <c r="AR171" s="72">
        <v>150</v>
      </c>
      <c r="AS171" s="72">
        <v>150</v>
      </c>
      <c r="AT171" s="72">
        <v>150</v>
      </c>
      <c r="AU171" s="72">
        <v>150</v>
      </c>
      <c r="AV171" s="72">
        <v>150</v>
      </c>
      <c r="AW171" s="72">
        <v>150</v>
      </c>
      <c r="AX171" s="72">
        <v>150</v>
      </c>
      <c r="AY171" s="72">
        <v>150</v>
      </c>
      <c r="AZ171" s="72">
        <v>150</v>
      </c>
      <c r="BA171" s="72">
        <v>150</v>
      </c>
      <c r="BB171" s="72">
        <v>150</v>
      </c>
      <c r="BC171" s="72">
        <v>150</v>
      </c>
      <c r="BD171" s="72">
        <v>150</v>
      </c>
      <c r="BE171" s="72">
        <v>150</v>
      </c>
      <c r="BF171" s="72">
        <v>150</v>
      </c>
      <c r="BG171" s="72">
        <v>150</v>
      </c>
      <c r="BH171" s="72">
        <v>150</v>
      </c>
      <c r="BI171" s="72">
        <v>150</v>
      </c>
      <c r="BJ171" s="72">
        <v>150</v>
      </c>
      <c r="BK171" s="72">
        <v>150</v>
      </c>
      <c r="BL171" s="72">
        <v>150</v>
      </c>
      <c r="BM171" s="72">
        <v>150</v>
      </c>
      <c r="BN171" s="72">
        <v>150</v>
      </c>
      <c r="BO171" s="72">
        <v>150</v>
      </c>
      <c r="BP171" s="72">
        <v>150</v>
      </c>
      <c r="BQ171" s="72">
        <v>150</v>
      </c>
      <c r="BR171" s="72">
        <v>150</v>
      </c>
      <c r="BS171" s="72">
        <v>150</v>
      </c>
      <c r="BT171" s="72">
        <v>150</v>
      </c>
      <c r="BU171" s="72">
        <v>150</v>
      </c>
      <c r="BV171" s="72">
        <v>150</v>
      </c>
      <c r="BW171" s="72">
        <v>150</v>
      </c>
      <c r="BX171" s="72">
        <v>150</v>
      </c>
      <c r="BY171" s="72">
        <v>150</v>
      </c>
      <c r="BZ171" s="72">
        <v>150</v>
      </c>
      <c r="CA171" s="72">
        <v>150</v>
      </c>
      <c r="CB171" s="72">
        <v>150</v>
      </c>
      <c r="CC171" s="72">
        <v>150</v>
      </c>
      <c r="CD171" s="72">
        <v>150</v>
      </c>
      <c r="CE171" s="72">
        <v>150</v>
      </c>
      <c r="CF171" s="72">
        <v>148</v>
      </c>
      <c r="CG171" s="72">
        <v>148</v>
      </c>
      <c r="CH171" s="72">
        <v>148</v>
      </c>
      <c r="CI171" s="72">
        <v>148</v>
      </c>
      <c r="CJ171" s="72">
        <v>148</v>
      </c>
      <c r="CK171" s="72">
        <v>148</v>
      </c>
      <c r="CL171" s="72">
        <v>148</v>
      </c>
      <c r="CM171" s="72">
        <v>148</v>
      </c>
      <c r="CN171" s="72">
        <v>148</v>
      </c>
      <c r="CO171" s="72">
        <v>148</v>
      </c>
      <c r="CP171" s="72">
        <v>148</v>
      </c>
      <c r="CQ171" s="72">
        <v>148</v>
      </c>
      <c r="CR171" s="72">
        <v>148</v>
      </c>
      <c r="CS171" s="72">
        <v>148</v>
      </c>
      <c r="CT171" s="72">
        <v>148</v>
      </c>
      <c r="CU171" s="72">
        <v>148</v>
      </c>
      <c r="CV171" s="72">
        <v>148</v>
      </c>
      <c r="CW171" s="72">
        <v>148</v>
      </c>
      <c r="CX171" s="72">
        <v>148</v>
      </c>
      <c r="CY171" s="72">
        <v>148</v>
      </c>
      <c r="CZ171" s="72">
        <v>148</v>
      </c>
      <c r="DA171" s="72">
        <v>148</v>
      </c>
      <c r="DB171" s="72">
        <v>148</v>
      </c>
      <c r="DC171" s="72">
        <v>148</v>
      </c>
      <c r="DD171" s="72">
        <v>148</v>
      </c>
      <c r="DE171" s="72">
        <v>148</v>
      </c>
      <c r="DF171" s="72">
        <v>148</v>
      </c>
      <c r="DG171" s="72">
        <v>148</v>
      </c>
      <c r="DH171" s="72">
        <v>148</v>
      </c>
      <c r="DI171" s="72">
        <v>148</v>
      </c>
      <c r="DJ171" s="72">
        <v>148</v>
      </c>
      <c r="DK171" s="72">
        <v>148</v>
      </c>
      <c r="DL171" s="72">
        <v>148</v>
      </c>
      <c r="DM171" s="72">
        <v>148</v>
      </c>
    </row>
    <row r="172" spans="1:117" ht="26.55" x14ac:dyDescent="0.35">
      <c r="A172" s="7"/>
      <c r="B172" s="8" t="s">
        <v>317</v>
      </c>
      <c r="C172" s="9" t="s">
        <v>318</v>
      </c>
      <c r="D172" s="10" t="s">
        <v>92</v>
      </c>
      <c r="E172" s="8" t="s">
        <v>183</v>
      </c>
      <c r="F172" s="10">
        <v>1101</v>
      </c>
      <c r="G172" s="10" t="s">
        <v>92</v>
      </c>
      <c r="H172" s="10" t="s">
        <v>41</v>
      </c>
      <c r="I172" s="11">
        <v>3120</v>
      </c>
      <c r="J172" s="10">
        <v>4</v>
      </c>
      <c r="K172" s="10" t="s">
        <v>42</v>
      </c>
      <c r="L172" s="14" t="s">
        <v>319</v>
      </c>
      <c r="M172" s="12">
        <v>0.54</v>
      </c>
      <c r="N172" s="12">
        <f t="shared" si="2"/>
        <v>1680.48</v>
      </c>
      <c r="O172" s="11">
        <v>3124</v>
      </c>
      <c r="P172" s="11">
        <v>3124</v>
      </c>
      <c r="Q172" s="11">
        <v>3124</v>
      </c>
      <c r="R172" s="11">
        <v>3120</v>
      </c>
      <c r="S172" s="11">
        <v>3120</v>
      </c>
      <c r="T172" s="11">
        <v>3120</v>
      </c>
      <c r="U172" s="11">
        <v>3120</v>
      </c>
      <c r="V172" s="11">
        <v>3120</v>
      </c>
      <c r="W172" s="11">
        <v>3120</v>
      </c>
      <c r="X172" s="11">
        <v>3120</v>
      </c>
      <c r="Y172" s="11">
        <v>3120</v>
      </c>
      <c r="Z172" s="11">
        <v>3120</v>
      </c>
      <c r="AA172" s="11">
        <v>3120</v>
      </c>
      <c r="AB172" s="11">
        <v>3120</v>
      </c>
      <c r="AC172" s="11">
        <v>3120</v>
      </c>
      <c r="AD172" s="11">
        <v>3120</v>
      </c>
      <c r="AE172" s="11">
        <v>3120</v>
      </c>
      <c r="AF172" s="11">
        <v>3120</v>
      </c>
      <c r="AG172" s="11">
        <v>3120</v>
      </c>
      <c r="AH172" s="11">
        <v>3120</v>
      </c>
      <c r="AI172" s="11">
        <v>3120</v>
      </c>
      <c r="AJ172" s="11">
        <v>3120</v>
      </c>
      <c r="AK172" s="11">
        <v>3120</v>
      </c>
      <c r="AL172" s="11">
        <v>3119</v>
      </c>
      <c r="AM172" s="11">
        <v>3119</v>
      </c>
      <c r="AN172" s="72">
        <v>3119</v>
      </c>
      <c r="AO172" s="72">
        <v>3119</v>
      </c>
      <c r="AP172" s="72">
        <v>3119</v>
      </c>
      <c r="AQ172" s="72">
        <v>3119</v>
      </c>
      <c r="AR172" s="72">
        <v>3119</v>
      </c>
      <c r="AS172" s="72">
        <v>3119</v>
      </c>
      <c r="AT172" s="72">
        <v>3119</v>
      </c>
      <c r="AU172" s="72">
        <v>3119</v>
      </c>
      <c r="AV172" s="72">
        <v>3119</v>
      </c>
      <c r="AW172" s="72">
        <v>3119</v>
      </c>
      <c r="AX172" s="72">
        <v>3119</v>
      </c>
      <c r="AY172" s="72">
        <v>3119</v>
      </c>
      <c r="AZ172" s="72">
        <v>3119</v>
      </c>
      <c r="BA172" s="72">
        <v>3119</v>
      </c>
      <c r="BB172" s="72">
        <v>3119</v>
      </c>
      <c r="BC172" s="72">
        <v>3119</v>
      </c>
      <c r="BD172" s="72">
        <v>3119</v>
      </c>
      <c r="BE172" s="72">
        <v>3119</v>
      </c>
      <c r="BF172" s="72">
        <v>3119</v>
      </c>
      <c r="BG172" s="72">
        <v>3119</v>
      </c>
      <c r="BH172" s="72">
        <v>3119</v>
      </c>
      <c r="BI172" s="72">
        <v>3119</v>
      </c>
      <c r="BJ172" s="72">
        <v>3119</v>
      </c>
      <c r="BK172" s="72">
        <v>3119</v>
      </c>
      <c r="BL172" s="72">
        <v>3119</v>
      </c>
      <c r="BM172" s="72">
        <v>3119</v>
      </c>
      <c r="BN172" s="72">
        <v>3119</v>
      </c>
      <c r="BO172" s="72">
        <v>3119</v>
      </c>
      <c r="BP172" s="72">
        <v>3119</v>
      </c>
      <c r="BQ172" s="72">
        <v>3119</v>
      </c>
      <c r="BR172" s="72">
        <v>3119</v>
      </c>
      <c r="BS172" s="72">
        <v>3119</v>
      </c>
      <c r="BT172" s="72">
        <v>3119</v>
      </c>
      <c r="BU172" s="72">
        <v>3119</v>
      </c>
      <c r="BV172" s="72">
        <v>3113</v>
      </c>
      <c r="BW172" s="72">
        <v>3113</v>
      </c>
      <c r="BX172" s="72">
        <v>3113</v>
      </c>
      <c r="BY172" s="72">
        <v>3113</v>
      </c>
      <c r="BZ172" s="72">
        <v>3113</v>
      </c>
      <c r="CA172" s="72">
        <v>3113</v>
      </c>
      <c r="CB172" s="72">
        <v>3113</v>
      </c>
      <c r="CC172" s="72">
        <v>3113</v>
      </c>
      <c r="CD172" s="72">
        <v>3113</v>
      </c>
      <c r="CE172" s="72">
        <v>3113</v>
      </c>
      <c r="CF172" s="72">
        <v>3113</v>
      </c>
      <c r="CG172" s="72">
        <v>3113</v>
      </c>
      <c r="CH172" s="72">
        <v>3113</v>
      </c>
      <c r="CI172" s="72">
        <v>3113</v>
      </c>
      <c r="CJ172" s="72">
        <v>3113</v>
      </c>
      <c r="CK172" s="72">
        <v>3112</v>
      </c>
      <c r="CL172" s="72">
        <v>3112</v>
      </c>
      <c r="CM172" s="72">
        <v>3112</v>
      </c>
      <c r="CN172" s="72">
        <v>3112</v>
      </c>
      <c r="CO172" s="72">
        <v>3112</v>
      </c>
      <c r="CP172" s="72">
        <v>3112</v>
      </c>
      <c r="CQ172" s="72">
        <v>3112</v>
      </c>
      <c r="CR172" s="72">
        <v>3112</v>
      </c>
      <c r="CS172" s="72">
        <v>3112</v>
      </c>
      <c r="CT172" s="72">
        <v>3112</v>
      </c>
      <c r="CU172" s="72">
        <v>3112</v>
      </c>
      <c r="CV172" s="72">
        <v>3112</v>
      </c>
      <c r="CW172" s="72">
        <v>3112</v>
      </c>
      <c r="CX172" s="72">
        <v>3112</v>
      </c>
      <c r="CY172" s="72">
        <v>3112</v>
      </c>
      <c r="CZ172" s="72">
        <v>3112</v>
      </c>
      <c r="DA172" s="72">
        <v>3112</v>
      </c>
      <c r="DB172" s="72">
        <v>3112</v>
      </c>
      <c r="DC172" s="72">
        <v>3112</v>
      </c>
      <c r="DD172" s="72">
        <v>3112</v>
      </c>
      <c r="DE172" s="72">
        <v>3112</v>
      </c>
      <c r="DF172" s="72">
        <v>3112</v>
      </c>
      <c r="DG172" s="72">
        <v>3112</v>
      </c>
      <c r="DH172" s="72">
        <v>3112</v>
      </c>
      <c r="DI172" s="72">
        <v>3112</v>
      </c>
      <c r="DJ172" s="72">
        <v>3112</v>
      </c>
      <c r="DK172" s="72">
        <v>3112</v>
      </c>
      <c r="DL172" s="72">
        <v>3112</v>
      </c>
      <c r="DM172" s="72">
        <v>3112</v>
      </c>
    </row>
    <row r="173" spans="1:117" ht="26.55" x14ac:dyDescent="0.35">
      <c r="A173" s="7"/>
      <c r="B173" s="8" t="s">
        <v>320</v>
      </c>
      <c r="C173" s="9" t="s">
        <v>321</v>
      </c>
      <c r="D173" s="10" t="s">
        <v>92</v>
      </c>
      <c r="E173" s="8" t="s">
        <v>183</v>
      </c>
      <c r="F173" s="10">
        <v>1101</v>
      </c>
      <c r="G173" s="10" t="s">
        <v>92</v>
      </c>
      <c r="H173" s="10" t="s">
        <v>41</v>
      </c>
      <c r="I173" s="11">
        <v>3988</v>
      </c>
      <c r="J173" s="10">
        <v>4</v>
      </c>
      <c r="K173" s="10" t="s">
        <v>42</v>
      </c>
      <c r="L173" s="14" t="s">
        <v>322</v>
      </c>
      <c r="M173" s="12">
        <v>0.70799999999999996</v>
      </c>
      <c r="N173" s="12">
        <f t="shared" si="2"/>
        <v>2504.904</v>
      </c>
      <c r="O173" s="11">
        <v>4640</v>
      </c>
      <c r="P173" s="11">
        <v>4640</v>
      </c>
      <c r="Q173" s="11">
        <v>4640</v>
      </c>
      <c r="R173" s="11">
        <v>4640</v>
      </c>
      <c r="S173" s="11">
        <v>4640</v>
      </c>
      <c r="T173" s="11">
        <v>4640</v>
      </c>
      <c r="U173" s="11">
        <v>4640</v>
      </c>
      <c r="V173" s="11">
        <v>4640</v>
      </c>
      <c r="W173" s="11">
        <v>4640</v>
      </c>
      <c r="X173" s="11">
        <v>4640</v>
      </c>
      <c r="Y173" s="11">
        <v>4640</v>
      </c>
      <c r="Z173" s="11">
        <v>4640</v>
      </c>
      <c r="AA173" s="11">
        <v>4640</v>
      </c>
      <c r="AB173" s="11">
        <v>4076</v>
      </c>
      <c r="AC173" s="11">
        <v>3988</v>
      </c>
      <c r="AD173" s="11">
        <v>3988</v>
      </c>
      <c r="AE173" s="11">
        <v>3988</v>
      </c>
      <c r="AF173" s="11">
        <v>3988</v>
      </c>
      <c r="AG173" s="11">
        <v>3988</v>
      </c>
      <c r="AH173" s="11">
        <v>3988</v>
      </c>
      <c r="AI173" s="11">
        <v>3988</v>
      </c>
      <c r="AJ173" s="11">
        <v>3988</v>
      </c>
      <c r="AK173" s="11">
        <v>3988</v>
      </c>
      <c r="AL173" s="11">
        <v>3987</v>
      </c>
      <c r="AM173" s="11">
        <v>3987</v>
      </c>
      <c r="AN173" s="72">
        <v>3987</v>
      </c>
      <c r="AO173" s="72">
        <v>3987</v>
      </c>
      <c r="AP173" s="72">
        <v>3987</v>
      </c>
      <c r="AQ173" s="72">
        <v>3987</v>
      </c>
      <c r="AR173" s="72">
        <v>3987</v>
      </c>
      <c r="AS173" s="72">
        <v>3987</v>
      </c>
      <c r="AT173" s="72">
        <v>3987</v>
      </c>
      <c r="AU173" s="72">
        <v>3987</v>
      </c>
      <c r="AV173" s="72">
        <v>3987</v>
      </c>
      <c r="AW173" s="72">
        <v>3987</v>
      </c>
      <c r="AX173" s="72">
        <v>3987</v>
      </c>
      <c r="AY173" s="72">
        <v>3987</v>
      </c>
      <c r="AZ173" s="72">
        <v>3987</v>
      </c>
      <c r="BA173" s="72">
        <v>3987</v>
      </c>
      <c r="BB173" s="72">
        <v>3987</v>
      </c>
      <c r="BC173" s="72">
        <v>3987</v>
      </c>
      <c r="BD173" s="72">
        <v>3987</v>
      </c>
      <c r="BE173" s="72">
        <v>3987</v>
      </c>
      <c r="BF173" s="72">
        <v>3987</v>
      </c>
      <c r="BG173" s="72">
        <v>3987</v>
      </c>
      <c r="BH173" s="72">
        <v>3987</v>
      </c>
      <c r="BI173" s="72">
        <v>3915</v>
      </c>
      <c r="BJ173" s="72">
        <v>3915</v>
      </c>
      <c r="BK173" s="72">
        <v>3815</v>
      </c>
      <c r="BL173" s="72">
        <v>3815</v>
      </c>
      <c r="BM173" s="72">
        <v>3815</v>
      </c>
      <c r="BN173" s="72">
        <v>3815</v>
      </c>
      <c r="BO173" s="72">
        <v>3816</v>
      </c>
      <c r="BP173" s="72">
        <v>3816</v>
      </c>
      <c r="BQ173" s="72">
        <v>3841</v>
      </c>
      <c r="BR173" s="72">
        <v>3841</v>
      </c>
      <c r="BS173" s="72">
        <v>3841</v>
      </c>
      <c r="BT173" s="72">
        <v>3841</v>
      </c>
      <c r="BU173" s="72">
        <v>3841</v>
      </c>
      <c r="BV173" s="72">
        <v>3841</v>
      </c>
      <c r="BW173" s="72">
        <v>3841</v>
      </c>
      <c r="BX173" s="72">
        <v>3841</v>
      </c>
      <c r="BY173" s="72">
        <v>3841</v>
      </c>
      <c r="BZ173" s="72">
        <v>3841</v>
      </c>
      <c r="CA173" s="72">
        <v>3841</v>
      </c>
      <c r="CB173" s="72">
        <v>3841</v>
      </c>
      <c r="CC173" s="72">
        <v>3841</v>
      </c>
      <c r="CD173" s="72">
        <v>3841</v>
      </c>
      <c r="CE173" s="72">
        <v>3841</v>
      </c>
      <c r="CF173" s="72">
        <v>3539</v>
      </c>
      <c r="CG173" s="72">
        <v>3539</v>
      </c>
      <c r="CH173" s="72">
        <v>3539</v>
      </c>
      <c r="CI173" s="72">
        <v>3539</v>
      </c>
      <c r="CJ173" s="72">
        <v>3539</v>
      </c>
      <c r="CK173" s="72">
        <v>3538</v>
      </c>
      <c r="CL173" s="72">
        <v>3538</v>
      </c>
      <c r="CM173" s="72">
        <v>3538</v>
      </c>
      <c r="CN173" s="72">
        <v>3538</v>
      </c>
      <c r="CO173" s="72">
        <v>3538</v>
      </c>
      <c r="CP173" s="72">
        <v>3538</v>
      </c>
      <c r="CQ173" s="72">
        <v>3538</v>
      </c>
      <c r="CR173" s="72">
        <v>3538</v>
      </c>
      <c r="CS173" s="72">
        <v>3538</v>
      </c>
      <c r="CT173" s="72">
        <v>3538</v>
      </c>
      <c r="CU173" s="72">
        <v>3538</v>
      </c>
      <c r="CV173" s="72">
        <v>3538</v>
      </c>
      <c r="CW173" s="72">
        <v>3538</v>
      </c>
      <c r="CX173" s="72">
        <v>3538</v>
      </c>
      <c r="CY173" s="72">
        <v>3538</v>
      </c>
      <c r="CZ173" s="72">
        <v>3538</v>
      </c>
      <c r="DA173" s="72">
        <v>3538</v>
      </c>
      <c r="DB173" s="72">
        <v>3538</v>
      </c>
      <c r="DC173" s="72">
        <v>3538</v>
      </c>
      <c r="DD173" s="72">
        <v>3538</v>
      </c>
      <c r="DE173" s="72">
        <v>3538</v>
      </c>
      <c r="DF173" s="72">
        <v>3538</v>
      </c>
      <c r="DG173" s="72">
        <v>3538</v>
      </c>
      <c r="DH173" s="72">
        <v>3538</v>
      </c>
      <c r="DI173" s="72">
        <v>3538</v>
      </c>
      <c r="DJ173" s="72">
        <v>3538</v>
      </c>
      <c r="DK173" s="72">
        <v>3538</v>
      </c>
      <c r="DL173" s="72">
        <v>3538</v>
      </c>
      <c r="DM173" s="72">
        <v>3538</v>
      </c>
    </row>
    <row r="174" spans="1:117" ht="26.55" x14ac:dyDescent="0.35">
      <c r="A174" s="7"/>
      <c r="B174" s="26" t="s">
        <v>323</v>
      </c>
      <c r="C174" s="27" t="s">
        <v>324</v>
      </c>
      <c r="D174" s="28" t="s">
        <v>92</v>
      </c>
      <c r="E174" s="26" t="s">
        <v>183</v>
      </c>
      <c r="F174" s="10">
        <v>1101</v>
      </c>
      <c r="G174" s="28" t="s">
        <v>92</v>
      </c>
      <c r="H174" s="28" t="s">
        <v>41</v>
      </c>
      <c r="I174" s="29">
        <v>124</v>
      </c>
      <c r="J174" s="10">
        <v>34</v>
      </c>
      <c r="K174" s="10" t="s">
        <v>42</v>
      </c>
      <c r="L174" s="14" t="s">
        <v>325</v>
      </c>
      <c r="M174" s="12">
        <v>0.51600000000000001</v>
      </c>
      <c r="N174" s="12">
        <f t="shared" si="2"/>
        <v>516</v>
      </c>
      <c r="O174" s="29">
        <v>199</v>
      </c>
      <c r="P174" s="29">
        <v>199</v>
      </c>
      <c r="Q174" s="29">
        <v>199</v>
      </c>
      <c r="R174" s="29">
        <v>199</v>
      </c>
      <c r="S174" s="29">
        <v>149</v>
      </c>
      <c r="T174" s="29">
        <v>120</v>
      </c>
      <c r="U174" s="29">
        <v>120</v>
      </c>
      <c r="V174" s="29">
        <v>136</v>
      </c>
      <c r="W174" s="29">
        <v>136</v>
      </c>
      <c r="X174" s="29">
        <v>136</v>
      </c>
      <c r="Y174" s="29">
        <v>136</v>
      </c>
      <c r="Z174" s="29">
        <v>136</v>
      </c>
      <c r="AA174" s="29">
        <v>136</v>
      </c>
      <c r="AB174" s="29">
        <v>136</v>
      </c>
      <c r="AC174" s="29">
        <v>136</v>
      </c>
      <c r="AD174" s="29">
        <v>136</v>
      </c>
      <c r="AE174" s="29">
        <v>136</v>
      </c>
      <c r="AF174" s="29">
        <v>124</v>
      </c>
      <c r="AG174" s="29">
        <v>124</v>
      </c>
      <c r="AH174" s="29">
        <v>124</v>
      </c>
      <c r="AI174" s="29">
        <v>124</v>
      </c>
      <c r="AJ174" s="29">
        <v>124</v>
      </c>
      <c r="AK174" s="29">
        <v>124</v>
      </c>
      <c r="AL174" s="29">
        <v>123</v>
      </c>
      <c r="AM174" s="29">
        <v>23</v>
      </c>
      <c r="AN174" s="75">
        <v>23</v>
      </c>
      <c r="AO174" s="75">
        <v>23</v>
      </c>
      <c r="AP174" s="75">
        <v>23</v>
      </c>
      <c r="AQ174" s="75">
        <v>23</v>
      </c>
      <c r="AR174" s="75">
        <v>23</v>
      </c>
      <c r="AS174" s="75">
        <v>23</v>
      </c>
      <c r="AT174" s="75">
        <v>23</v>
      </c>
      <c r="AU174" s="75">
        <v>23</v>
      </c>
      <c r="AV174" s="75">
        <v>23</v>
      </c>
      <c r="AW174" s="75">
        <v>23</v>
      </c>
      <c r="AX174" s="75">
        <v>23</v>
      </c>
      <c r="AY174" s="75">
        <v>23</v>
      </c>
      <c r="AZ174" s="75">
        <v>23</v>
      </c>
      <c r="BA174" s="75">
        <v>23</v>
      </c>
      <c r="BB174" s="75">
        <v>23</v>
      </c>
      <c r="BC174" s="75">
        <v>23</v>
      </c>
      <c r="BD174" s="75">
        <v>23</v>
      </c>
      <c r="BE174" s="75">
        <v>23</v>
      </c>
      <c r="BF174" s="75">
        <v>23</v>
      </c>
      <c r="BG174" s="75">
        <v>23</v>
      </c>
      <c r="BH174" s="75">
        <v>23</v>
      </c>
      <c r="BI174" s="75">
        <v>23</v>
      </c>
      <c r="BJ174" s="75">
        <v>23</v>
      </c>
      <c r="BK174" s="75">
        <v>23</v>
      </c>
      <c r="BL174" s="75">
        <v>23</v>
      </c>
      <c r="BM174" s="75">
        <v>23</v>
      </c>
      <c r="BN174" s="75">
        <v>23</v>
      </c>
      <c r="BO174" s="75">
        <v>23</v>
      </c>
      <c r="BP174" s="75">
        <v>23</v>
      </c>
      <c r="BQ174" s="75">
        <v>23</v>
      </c>
      <c r="BR174" s="75">
        <v>23</v>
      </c>
      <c r="BS174" s="75">
        <v>23</v>
      </c>
      <c r="BT174" s="75">
        <v>23</v>
      </c>
      <c r="BU174" s="75">
        <v>23</v>
      </c>
      <c r="BV174" s="75">
        <v>23</v>
      </c>
      <c r="BW174" s="75">
        <v>23</v>
      </c>
      <c r="BX174" s="75">
        <v>23</v>
      </c>
      <c r="BY174" s="75">
        <v>23</v>
      </c>
      <c r="BZ174" s="75">
        <v>23</v>
      </c>
      <c r="CA174" s="75">
        <v>23</v>
      </c>
      <c r="CB174" s="75">
        <v>23</v>
      </c>
      <c r="CC174" s="75">
        <v>23</v>
      </c>
      <c r="CD174" s="75">
        <v>23</v>
      </c>
      <c r="CE174" s="75">
        <v>23</v>
      </c>
      <c r="CF174" s="75">
        <v>0</v>
      </c>
      <c r="CG174" s="75">
        <v>0</v>
      </c>
      <c r="CH174" s="75">
        <v>0</v>
      </c>
      <c r="CI174" s="75">
        <v>1000</v>
      </c>
      <c r="CJ174" s="75">
        <v>1000</v>
      </c>
      <c r="CK174" s="75">
        <v>1000</v>
      </c>
      <c r="CL174" s="75">
        <v>1000</v>
      </c>
      <c r="CM174" s="75">
        <v>1000</v>
      </c>
      <c r="CN174" s="75">
        <v>1000</v>
      </c>
      <c r="CO174" s="75">
        <v>1000</v>
      </c>
      <c r="CP174" s="75">
        <v>1000</v>
      </c>
      <c r="CQ174" s="75">
        <v>1000</v>
      </c>
      <c r="CR174" s="75">
        <v>1000</v>
      </c>
      <c r="CS174" s="75">
        <v>1000</v>
      </c>
      <c r="CT174" s="75">
        <v>1000</v>
      </c>
      <c r="CU174" s="75">
        <v>1000</v>
      </c>
      <c r="CV174" s="75">
        <v>1000</v>
      </c>
      <c r="CW174" s="75">
        <v>1000</v>
      </c>
      <c r="CX174" s="75">
        <v>1000</v>
      </c>
      <c r="CY174" s="75">
        <v>1000</v>
      </c>
      <c r="CZ174" s="75">
        <v>1000</v>
      </c>
      <c r="DA174" s="75">
        <v>1000</v>
      </c>
      <c r="DB174" s="75">
        <v>1000</v>
      </c>
      <c r="DC174" s="75">
        <v>1000</v>
      </c>
      <c r="DD174" s="75">
        <v>1000</v>
      </c>
      <c r="DE174" s="75">
        <v>1000</v>
      </c>
      <c r="DF174" s="75">
        <v>1000</v>
      </c>
      <c r="DG174" s="75">
        <v>1000</v>
      </c>
      <c r="DH174" s="75">
        <v>1000</v>
      </c>
      <c r="DI174" s="75">
        <v>1000</v>
      </c>
      <c r="DJ174" s="75">
        <v>1000</v>
      </c>
      <c r="DK174" s="75">
        <v>1000</v>
      </c>
      <c r="DL174" s="75">
        <v>1000</v>
      </c>
      <c r="DM174" s="75">
        <v>1000</v>
      </c>
    </row>
    <row r="175" spans="1:117" x14ac:dyDescent="0.35">
      <c r="A175" s="7"/>
      <c r="B175" s="26" t="s">
        <v>1398</v>
      </c>
      <c r="C175" s="27" t="s">
        <v>324</v>
      </c>
      <c r="D175" s="28" t="s">
        <v>92</v>
      </c>
      <c r="E175" s="26" t="s">
        <v>183</v>
      </c>
      <c r="F175" s="10"/>
      <c r="G175" s="28"/>
      <c r="H175" s="28" t="s">
        <v>41</v>
      </c>
      <c r="I175" s="29"/>
      <c r="J175" s="10"/>
      <c r="K175" s="10"/>
      <c r="L175" s="14"/>
      <c r="M175" s="12">
        <v>0.51600000000000001</v>
      </c>
      <c r="N175" s="12">
        <f t="shared" si="2"/>
        <v>4.1280000000000001</v>
      </c>
      <c r="O175" s="29"/>
      <c r="P175" s="29"/>
      <c r="Q175" s="29"/>
      <c r="R175" s="29"/>
      <c r="S175" s="29"/>
      <c r="T175" s="29"/>
      <c r="U175" s="29"/>
      <c r="V175" s="29"/>
      <c r="W175" s="29"/>
      <c r="X175" s="29"/>
      <c r="Y175" s="29"/>
      <c r="Z175" s="29"/>
      <c r="AA175" s="29"/>
      <c r="AB175" s="29"/>
      <c r="AC175" s="29"/>
      <c r="AD175" s="29"/>
      <c r="AE175" s="29"/>
      <c r="AF175" s="29"/>
      <c r="AG175" s="29"/>
      <c r="AH175" s="29"/>
      <c r="AI175" s="29"/>
      <c r="AJ175" s="29"/>
      <c r="AK175" s="29"/>
      <c r="AL175" s="29"/>
      <c r="AM175" s="29"/>
      <c r="AN175" s="75"/>
      <c r="AO175" s="75"/>
      <c r="AP175" s="75"/>
      <c r="AQ175" s="75"/>
      <c r="AR175" s="75"/>
      <c r="AS175" s="75"/>
      <c r="AT175" s="75"/>
      <c r="AU175" s="75"/>
      <c r="AV175" s="75"/>
      <c r="AW175" s="75"/>
      <c r="AX175" s="75"/>
      <c r="AY175" s="75"/>
      <c r="AZ175" s="75"/>
      <c r="BA175" s="75"/>
      <c r="BB175" s="75"/>
      <c r="BC175" s="75"/>
      <c r="BD175" s="75"/>
      <c r="BE175" s="75"/>
      <c r="BF175" s="75"/>
      <c r="BG175" s="75"/>
      <c r="BH175" s="75"/>
      <c r="BI175" s="75"/>
      <c r="BJ175" s="75"/>
      <c r="BK175" s="75"/>
      <c r="BL175" s="75"/>
      <c r="BM175" s="75"/>
      <c r="BN175" s="75"/>
      <c r="BO175" s="75"/>
      <c r="BP175" s="75"/>
      <c r="BQ175" s="75"/>
      <c r="BR175" s="75"/>
      <c r="BS175" s="75"/>
      <c r="BT175" s="75"/>
      <c r="BU175" s="75"/>
      <c r="BV175" s="75"/>
      <c r="BW175" s="75"/>
      <c r="BX175" s="75">
        <v>8</v>
      </c>
      <c r="BY175" s="75">
        <v>0</v>
      </c>
      <c r="BZ175" s="75">
        <v>0</v>
      </c>
      <c r="CA175" s="75">
        <v>0</v>
      </c>
      <c r="CB175" s="75">
        <v>0</v>
      </c>
      <c r="CC175" s="75">
        <v>8</v>
      </c>
      <c r="CD175" s="75">
        <v>8</v>
      </c>
      <c r="CE175" s="75">
        <v>8</v>
      </c>
      <c r="CF175" s="75">
        <v>8</v>
      </c>
      <c r="CG175" s="75">
        <v>8</v>
      </c>
      <c r="CH175" s="75">
        <v>8</v>
      </c>
      <c r="CI175" s="75">
        <v>8</v>
      </c>
      <c r="CJ175" s="75">
        <v>8</v>
      </c>
      <c r="CK175" s="75">
        <v>8</v>
      </c>
      <c r="CL175" s="75">
        <v>8</v>
      </c>
      <c r="CM175" s="75">
        <v>8</v>
      </c>
      <c r="CN175" s="75">
        <v>8</v>
      </c>
      <c r="CO175" s="75">
        <v>8</v>
      </c>
      <c r="CP175" s="75">
        <v>8</v>
      </c>
      <c r="CQ175" s="75">
        <v>8</v>
      </c>
      <c r="CR175" s="75">
        <v>8</v>
      </c>
      <c r="CS175" s="75">
        <v>8</v>
      </c>
      <c r="CT175" s="75">
        <v>8</v>
      </c>
      <c r="CU175" s="75">
        <v>8</v>
      </c>
      <c r="CV175" s="75">
        <v>8</v>
      </c>
      <c r="CW175" s="75">
        <v>8</v>
      </c>
      <c r="CX175" s="75">
        <v>8</v>
      </c>
      <c r="CY175" s="75">
        <v>8</v>
      </c>
      <c r="CZ175" s="75">
        <v>8</v>
      </c>
      <c r="DA175" s="75">
        <v>8</v>
      </c>
      <c r="DB175" s="75">
        <v>8</v>
      </c>
      <c r="DC175" s="75">
        <v>8</v>
      </c>
      <c r="DD175" s="75">
        <v>8</v>
      </c>
      <c r="DE175" s="75">
        <v>8</v>
      </c>
      <c r="DF175" s="75">
        <v>8</v>
      </c>
      <c r="DG175" s="75">
        <v>8</v>
      </c>
      <c r="DH175" s="75">
        <v>8</v>
      </c>
      <c r="DI175" s="75">
        <v>8</v>
      </c>
      <c r="DJ175" s="75">
        <v>8</v>
      </c>
      <c r="DK175" s="75">
        <v>8</v>
      </c>
      <c r="DL175" s="75">
        <v>8</v>
      </c>
      <c r="DM175" s="75">
        <v>8</v>
      </c>
    </row>
    <row r="176" spans="1:117" x14ac:dyDescent="0.35">
      <c r="A176" s="7"/>
      <c r="B176" s="26" t="s">
        <v>326</v>
      </c>
      <c r="C176" s="27" t="s">
        <v>327</v>
      </c>
      <c r="D176" s="28" t="s">
        <v>92</v>
      </c>
      <c r="E176" s="26" t="s">
        <v>183</v>
      </c>
      <c r="F176" s="10">
        <v>1101</v>
      </c>
      <c r="G176" s="28" t="s">
        <v>92</v>
      </c>
      <c r="H176" s="28" t="s">
        <v>41</v>
      </c>
      <c r="I176" s="29">
        <v>39</v>
      </c>
      <c r="J176" s="10">
        <v>4</v>
      </c>
      <c r="K176" s="10" t="s">
        <v>42</v>
      </c>
      <c r="L176" s="30" t="s">
        <v>206</v>
      </c>
      <c r="M176" s="12">
        <v>0.51600000000000001</v>
      </c>
      <c r="N176" s="12">
        <f t="shared" si="2"/>
        <v>6.1920000000000002</v>
      </c>
      <c r="O176" s="29">
        <v>1447</v>
      </c>
      <c r="P176" s="29">
        <v>1447</v>
      </c>
      <c r="Q176" s="29">
        <v>1447</v>
      </c>
      <c r="R176" s="29">
        <v>943</v>
      </c>
      <c r="S176" s="29">
        <v>943</v>
      </c>
      <c r="T176" s="29">
        <v>845</v>
      </c>
      <c r="U176" s="29">
        <v>737</v>
      </c>
      <c r="V176" s="29">
        <v>737</v>
      </c>
      <c r="W176" s="29">
        <v>737</v>
      </c>
      <c r="X176" s="29">
        <v>739</v>
      </c>
      <c r="Y176" s="29">
        <v>39</v>
      </c>
      <c r="Z176" s="29">
        <v>39</v>
      </c>
      <c r="AA176" s="29">
        <v>39</v>
      </c>
      <c r="AB176" s="29">
        <v>39</v>
      </c>
      <c r="AC176" s="29">
        <v>39</v>
      </c>
      <c r="AD176" s="29">
        <v>39</v>
      </c>
      <c r="AE176" s="29">
        <v>39</v>
      </c>
      <c r="AF176" s="29">
        <v>39</v>
      </c>
      <c r="AG176" s="29">
        <v>39</v>
      </c>
      <c r="AH176" s="29">
        <v>39</v>
      </c>
      <c r="AI176" s="29">
        <v>39</v>
      </c>
      <c r="AJ176" s="29">
        <v>39</v>
      </c>
      <c r="AK176" s="29">
        <v>39</v>
      </c>
      <c r="AL176" s="29">
        <v>38</v>
      </c>
      <c r="AM176" s="29">
        <v>38</v>
      </c>
      <c r="AN176" s="75">
        <v>38</v>
      </c>
      <c r="AO176" s="75">
        <v>38</v>
      </c>
      <c r="AP176" s="75">
        <v>38</v>
      </c>
      <c r="AQ176" s="75">
        <v>38</v>
      </c>
      <c r="AR176" s="75">
        <v>38</v>
      </c>
      <c r="AS176" s="75">
        <v>38</v>
      </c>
      <c r="AT176" s="75">
        <v>38</v>
      </c>
      <c r="AU176" s="75">
        <v>38</v>
      </c>
      <c r="AV176" s="75">
        <v>38</v>
      </c>
      <c r="AW176" s="75">
        <v>38</v>
      </c>
      <c r="AX176" s="75">
        <v>38</v>
      </c>
      <c r="AY176" s="75">
        <v>38</v>
      </c>
      <c r="AZ176" s="75">
        <v>38</v>
      </c>
      <c r="BA176" s="75">
        <v>19</v>
      </c>
      <c r="BB176" s="75">
        <v>19</v>
      </c>
      <c r="BC176" s="75">
        <v>19</v>
      </c>
      <c r="BD176" s="75">
        <v>19</v>
      </c>
      <c r="BE176" s="75">
        <v>19</v>
      </c>
      <c r="BF176" s="75">
        <v>19</v>
      </c>
      <c r="BG176" s="75">
        <v>19</v>
      </c>
      <c r="BH176" s="75">
        <v>19</v>
      </c>
      <c r="BI176" s="75">
        <v>19</v>
      </c>
      <c r="BJ176" s="75">
        <v>19</v>
      </c>
      <c r="BK176" s="75">
        <v>19</v>
      </c>
      <c r="BL176" s="75">
        <v>19</v>
      </c>
      <c r="BM176" s="75">
        <v>19</v>
      </c>
      <c r="BN176" s="75">
        <v>19</v>
      </c>
      <c r="BO176" s="75">
        <v>19</v>
      </c>
      <c r="BP176" s="75">
        <v>19</v>
      </c>
      <c r="BQ176" s="75">
        <v>19</v>
      </c>
      <c r="BR176" s="75">
        <v>19</v>
      </c>
      <c r="BS176" s="75">
        <v>19</v>
      </c>
      <c r="BT176" s="75">
        <v>19</v>
      </c>
      <c r="BU176" s="75">
        <v>19</v>
      </c>
      <c r="BV176" s="75">
        <v>19</v>
      </c>
      <c r="BW176" s="75">
        <v>19</v>
      </c>
      <c r="BX176" s="75">
        <v>19</v>
      </c>
      <c r="BY176" s="75">
        <v>0</v>
      </c>
      <c r="BZ176" s="75">
        <v>0</v>
      </c>
      <c r="CA176" s="75">
        <v>0</v>
      </c>
      <c r="CB176" s="75">
        <v>0</v>
      </c>
      <c r="CC176" s="75">
        <v>13</v>
      </c>
      <c r="CD176" s="75">
        <v>13</v>
      </c>
      <c r="CE176" s="75">
        <v>13</v>
      </c>
      <c r="CF176" s="75">
        <v>13</v>
      </c>
      <c r="CG176" s="75">
        <v>13</v>
      </c>
      <c r="CH176" s="75">
        <v>13</v>
      </c>
      <c r="CI176" s="75">
        <v>13</v>
      </c>
      <c r="CJ176" s="75">
        <v>13</v>
      </c>
      <c r="CK176" s="75">
        <v>12</v>
      </c>
      <c r="CL176" s="75">
        <v>12</v>
      </c>
      <c r="CM176" s="75">
        <v>12</v>
      </c>
      <c r="CN176" s="75">
        <v>12</v>
      </c>
      <c r="CO176" s="75">
        <v>12</v>
      </c>
      <c r="CP176" s="75">
        <v>12</v>
      </c>
      <c r="CQ176" s="75">
        <v>12</v>
      </c>
      <c r="CR176" s="75">
        <v>12</v>
      </c>
      <c r="CS176" s="75">
        <v>12</v>
      </c>
      <c r="CT176" s="75">
        <v>12</v>
      </c>
      <c r="CU176" s="75">
        <v>12</v>
      </c>
      <c r="CV176" s="75">
        <v>12</v>
      </c>
      <c r="CW176" s="75">
        <v>12</v>
      </c>
      <c r="CX176" s="75">
        <v>12</v>
      </c>
      <c r="CY176" s="75">
        <v>12</v>
      </c>
      <c r="CZ176" s="75">
        <v>12</v>
      </c>
      <c r="DA176" s="75">
        <v>12</v>
      </c>
      <c r="DB176" s="75">
        <v>12</v>
      </c>
      <c r="DC176" s="75">
        <v>12</v>
      </c>
      <c r="DD176" s="75">
        <v>12</v>
      </c>
      <c r="DE176" s="75">
        <v>12</v>
      </c>
      <c r="DF176" s="75">
        <v>12</v>
      </c>
      <c r="DG176" s="75">
        <v>12</v>
      </c>
      <c r="DH176" s="75">
        <v>12</v>
      </c>
      <c r="DI176" s="75">
        <v>12</v>
      </c>
      <c r="DJ176" s="75">
        <v>12</v>
      </c>
      <c r="DK176" s="75">
        <v>12</v>
      </c>
      <c r="DL176" s="75">
        <v>12</v>
      </c>
      <c r="DM176" s="75">
        <v>12</v>
      </c>
    </row>
    <row r="177" spans="1:117" x14ac:dyDescent="0.35">
      <c r="A177" s="7"/>
      <c r="B177" s="8" t="s">
        <v>328</v>
      </c>
      <c r="C177" s="9" t="s">
        <v>327</v>
      </c>
      <c r="D177" s="10" t="s">
        <v>92</v>
      </c>
      <c r="E177" s="8" t="s">
        <v>183</v>
      </c>
      <c r="F177" s="10">
        <v>1101</v>
      </c>
      <c r="G177" s="10" t="s">
        <v>92</v>
      </c>
      <c r="H177" s="10" t="s">
        <v>41</v>
      </c>
      <c r="I177" s="11">
        <v>3819</v>
      </c>
      <c r="J177" s="10"/>
      <c r="K177" s="10" t="s">
        <v>42</v>
      </c>
      <c r="L177" s="31"/>
      <c r="M177" s="12">
        <v>0.432</v>
      </c>
      <c r="N177" s="12">
        <f t="shared" si="2"/>
        <v>184.464</v>
      </c>
      <c r="O177" s="11">
        <v>4827</v>
      </c>
      <c r="P177" s="11">
        <v>4827</v>
      </c>
      <c r="Q177" s="11">
        <v>4827</v>
      </c>
      <c r="R177" s="11">
        <v>4827</v>
      </c>
      <c r="S177" s="11">
        <v>4827</v>
      </c>
      <c r="T177" s="11">
        <v>4827</v>
      </c>
      <c r="U177" s="11">
        <v>4827</v>
      </c>
      <c r="V177" s="11">
        <v>4701</v>
      </c>
      <c r="W177" s="11">
        <v>4701</v>
      </c>
      <c r="X177" s="11">
        <v>4701</v>
      </c>
      <c r="Y177" s="11">
        <v>4701</v>
      </c>
      <c r="Z177" s="11">
        <v>4673</v>
      </c>
      <c r="AA177" s="11">
        <v>4673</v>
      </c>
      <c r="AB177" s="11">
        <v>4673</v>
      </c>
      <c r="AC177" s="11">
        <v>4633</v>
      </c>
      <c r="AD177" s="11">
        <v>4633</v>
      </c>
      <c r="AE177" s="11">
        <v>4633</v>
      </c>
      <c r="AF177" s="11">
        <v>4633</v>
      </c>
      <c r="AG177" s="11">
        <v>4633</v>
      </c>
      <c r="AH177" s="11">
        <v>4633</v>
      </c>
      <c r="AI177" s="11">
        <v>4249</v>
      </c>
      <c r="AJ177" s="11">
        <v>3819</v>
      </c>
      <c r="AK177" s="11">
        <v>3819</v>
      </c>
      <c r="AL177" s="11">
        <v>3945</v>
      </c>
      <c r="AM177" s="11">
        <v>3945</v>
      </c>
      <c r="AN177" s="72">
        <v>3945</v>
      </c>
      <c r="AO177" s="72">
        <v>3897</v>
      </c>
      <c r="AP177" s="72">
        <v>3779</v>
      </c>
      <c r="AQ177" s="72">
        <v>3331</v>
      </c>
      <c r="AR177" s="72">
        <v>3129</v>
      </c>
      <c r="AS177" s="72">
        <v>2791</v>
      </c>
      <c r="AT177" s="72">
        <v>2791</v>
      </c>
      <c r="AU177" s="72">
        <v>2791</v>
      </c>
      <c r="AV177" s="72">
        <v>2791</v>
      </c>
      <c r="AW177" s="72">
        <v>2791</v>
      </c>
      <c r="AX177" s="72">
        <v>2791</v>
      </c>
      <c r="AY177" s="72">
        <v>2791</v>
      </c>
      <c r="AZ177" s="72">
        <v>2791</v>
      </c>
      <c r="BA177" s="72">
        <v>2741</v>
      </c>
      <c r="BB177" s="72">
        <v>2673</v>
      </c>
      <c r="BC177" s="72">
        <v>2673</v>
      </c>
      <c r="BD177" s="72">
        <v>2663</v>
      </c>
      <c r="BE177" s="72">
        <v>2663</v>
      </c>
      <c r="BF177" s="72">
        <v>2663</v>
      </c>
      <c r="BG177" s="72">
        <v>2663</v>
      </c>
      <c r="BH177" s="72">
        <v>2563</v>
      </c>
      <c r="BI177" s="72">
        <v>2107</v>
      </c>
      <c r="BJ177" s="72">
        <v>2107</v>
      </c>
      <c r="BK177" s="72">
        <v>2107</v>
      </c>
      <c r="BL177" s="72">
        <v>2107</v>
      </c>
      <c r="BM177" s="72">
        <v>2007</v>
      </c>
      <c r="BN177" s="72">
        <v>1939</v>
      </c>
      <c r="BO177" s="72">
        <v>1889</v>
      </c>
      <c r="BP177" s="72">
        <v>750</v>
      </c>
      <c r="BQ177" s="72">
        <v>808</v>
      </c>
      <c r="BR177" s="72">
        <v>779</v>
      </c>
      <c r="BS177" s="72">
        <v>649</v>
      </c>
      <c r="BT177" s="72">
        <v>649</v>
      </c>
      <c r="BU177" s="72">
        <v>649</v>
      </c>
      <c r="BV177" s="72">
        <v>643</v>
      </c>
      <c r="BW177" s="72">
        <v>643</v>
      </c>
      <c r="BX177" s="72">
        <v>643</v>
      </c>
      <c r="BY177" s="72">
        <v>642</v>
      </c>
      <c r="BZ177" s="72">
        <v>642</v>
      </c>
      <c r="CA177" s="72">
        <v>66</v>
      </c>
      <c r="CB177" s="72">
        <v>66</v>
      </c>
      <c r="CC177" s="72">
        <v>67</v>
      </c>
      <c r="CD177" s="72">
        <v>67</v>
      </c>
      <c r="CE177" s="72">
        <v>67</v>
      </c>
      <c r="CF177" s="72">
        <v>277</v>
      </c>
      <c r="CG177" s="72">
        <v>277</v>
      </c>
      <c r="CH177" s="72">
        <v>277</v>
      </c>
      <c r="CI177" s="72">
        <v>277</v>
      </c>
      <c r="CJ177" s="72">
        <v>277</v>
      </c>
      <c r="CK177" s="72">
        <v>277</v>
      </c>
      <c r="CL177" s="72">
        <v>277</v>
      </c>
      <c r="CM177" s="72">
        <v>277</v>
      </c>
      <c r="CN177" s="72">
        <v>427</v>
      </c>
      <c r="CO177" s="72">
        <v>427</v>
      </c>
      <c r="CP177" s="72">
        <v>427</v>
      </c>
      <c r="CQ177" s="72">
        <v>427</v>
      </c>
      <c r="CR177" s="72">
        <v>427</v>
      </c>
      <c r="CS177" s="72">
        <v>427</v>
      </c>
      <c r="CT177" s="72">
        <v>427</v>
      </c>
      <c r="CU177" s="72">
        <v>427</v>
      </c>
      <c r="CV177" s="72">
        <v>427</v>
      </c>
      <c r="CW177" s="72">
        <v>427</v>
      </c>
      <c r="CX177" s="72">
        <v>427</v>
      </c>
      <c r="CY177" s="72">
        <v>427</v>
      </c>
      <c r="CZ177" s="72">
        <v>427</v>
      </c>
      <c r="DA177" s="72">
        <v>427</v>
      </c>
      <c r="DB177" s="72">
        <v>427</v>
      </c>
      <c r="DC177" s="72">
        <v>427</v>
      </c>
      <c r="DD177" s="72">
        <v>427</v>
      </c>
      <c r="DE177" s="72">
        <v>427</v>
      </c>
      <c r="DF177" s="72">
        <v>427</v>
      </c>
      <c r="DG177" s="72">
        <v>427</v>
      </c>
      <c r="DH177" s="72">
        <v>427</v>
      </c>
      <c r="DI177" s="72">
        <v>427</v>
      </c>
      <c r="DJ177" s="72">
        <v>427</v>
      </c>
      <c r="DK177" s="72">
        <v>427</v>
      </c>
      <c r="DL177" s="72">
        <v>427</v>
      </c>
      <c r="DM177" s="72">
        <v>427</v>
      </c>
    </row>
    <row r="178" spans="1:117" x14ac:dyDescent="0.35">
      <c r="A178" s="7"/>
      <c r="B178" s="26" t="s">
        <v>329</v>
      </c>
      <c r="C178" s="27" t="s">
        <v>330</v>
      </c>
      <c r="D178" s="28" t="s">
        <v>92</v>
      </c>
      <c r="E178" s="26" t="s">
        <v>183</v>
      </c>
      <c r="F178" s="10">
        <v>1101</v>
      </c>
      <c r="G178" s="28" t="s">
        <v>92</v>
      </c>
      <c r="H178" s="28" t="s">
        <v>41</v>
      </c>
      <c r="I178" s="29">
        <v>0</v>
      </c>
      <c r="J178" s="10"/>
      <c r="K178" s="10" t="s">
        <v>42</v>
      </c>
      <c r="L178" s="8"/>
      <c r="M178" s="12"/>
      <c r="N178" s="12">
        <f t="shared" si="2"/>
        <v>0</v>
      </c>
      <c r="O178" s="29">
        <v>0</v>
      </c>
      <c r="P178" s="29">
        <v>0</v>
      </c>
      <c r="Q178" s="29">
        <v>0</v>
      </c>
      <c r="R178" s="29">
        <v>0</v>
      </c>
      <c r="S178" s="29">
        <v>0</v>
      </c>
      <c r="T178" s="29">
        <v>0</v>
      </c>
      <c r="U178" s="29">
        <v>0</v>
      </c>
      <c r="V178" s="29">
        <v>0</v>
      </c>
      <c r="W178" s="29">
        <v>0</v>
      </c>
      <c r="X178" s="29">
        <v>0</v>
      </c>
      <c r="Y178" s="29">
        <v>0</v>
      </c>
      <c r="Z178" s="29">
        <v>0</v>
      </c>
      <c r="AA178" s="29">
        <v>0</v>
      </c>
      <c r="AB178" s="29">
        <v>0</v>
      </c>
      <c r="AC178" s="29">
        <v>0</v>
      </c>
      <c r="AD178" s="29">
        <v>0</v>
      </c>
      <c r="AE178" s="29">
        <v>0</v>
      </c>
      <c r="AF178" s="29">
        <v>0</v>
      </c>
      <c r="AG178" s="29">
        <v>0</v>
      </c>
      <c r="AH178" s="29">
        <v>0</v>
      </c>
      <c r="AI178" s="29">
        <v>0</v>
      </c>
      <c r="AJ178" s="29">
        <v>0</v>
      </c>
      <c r="AK178" s="29">
        <v>0</v>
      </c>
      <c r="AL178" s="29">
        <v>0</v>
      </c>
      <c r="AM178" s="29">
        <v>0</v>
      </c>
      <c r="AN178" s="75">
        <v>0</v>
      </c>
      <c r="AO178" s="75">
        <v>0</v>
      </c>
      <c r="AP178" s="75">
        <v>0</v>
      </c>
      <c r="AQ178" s="75">
        <v>0</v>
      </c>
      <c r="AR178" s="75">
        <v>0</v>
      </c>
      <c r="AS178" s="75">
        <v>0</v>
      </c>
      <c r="AT178" s="75">
        <v>0</v>
      </c>
      <c r="AU178" s="75">
        <v>0</v>
      </c>
      <c r="AV178" s="75">
        <v>0</v>
      </c>
      <c r="AW178" s="75">
        <v>0</v>
      </c>
      <c r="AX178" s="75">
        <v>0</v>
      </c>
      <c r="AY178" s="75">
        <v>0</v>
      </c>
      <c r="AZ178" s="75">
        <v>0</v>
      </c>
      <c r="BA178" s="75">
        <v>0</v>
      </c>
      <c r="BB178" s="75">
        <v>0</v>
      </c>
      <c r="BC178" s="75">
        <v>0</v>
      </c>
      <c r="BD178" s="75">
        <v>0</v>
      </c>
      <c r="BE178" s="75">
        <v>0</v>
      </c>
      <c r="BF178" s="75">
        <v>0</v>
      </c>
      <c r="BG178" s="75">
        <v>0</v>
      </c>
      <c r="BH178" s="75">
        <v>0</v>
      </c>
      <c r="BI178" s="75">
        <v>0</v>
      </c>
      <c r="BJ178" s="75">
        <v>0</v>
      </c>
      <c r="BK178" s="75">
        <v>0</v>
      </c>
      <c r="BL178" s="75">
        <v>0</v>
      </c>
      <c r="BM178" s="75">
        <v>0</v>
      </c>
      <c r="BN178" s="75">
        <v>0</v>
      </c>
      <c r="BO178" s="75">
        <v>0</v>
      </c>
      <c r="BP178" s="75">
        <v>0</v>
      </c>
      <c r="BQ178" s="75">
        <v>0</v>
      </c>
      <c r="BR178" s="75">
        <v>0</v>
      </c>
      <c r="BS178" s="75">
        <v>0</v>
      </c>
      <c r="BT178" s="75">
        <v>0</v>
      </c>
      <c r="BU178" s="75">
        <v>0</v>
      </c>
      <c r="BV178" s="75">
        <v>0</v>
      </c>
      <c r="BW178" s="75">
        <v>0</v>
      </c>
      <c r="BX178" s="75">
        <v>0</v>
      </c>
      <c r="BY178" s="75">
        <v>0</v>
      </c>
      <c r="BZ178" s="75">
        <v>0</v>
      </c>
      <c r="CA178" s="75">
        <v>0</v>
      </c>
      <c r="CB178" s="75">
        <v>0</v>
      </c>
      <c r="CC178" s="75">
        <v>0</v>
      </c>
      <c r="CD178" s="75">
        <v>0</v>
      </c>
      <c r="CE178" s="75">
        <v>0</v>
      </c>
      <c r="CF178" s="75">
        <v>0</v>
      </c>
      <c r="CG178" s="75">
        <v>0</v>
      </c>
      <c r="CH178" s="75">
        <v>0</v>
      </c>
      <c r="CI178" s="75">
        <v>0</v>
      </c>
      <c r="CJ178" s="75">
        <v>0</v>
      </c>
      <c r="CK178" s="75">
        <v>0</v>
      </c>
      <c r="CL178" s="75">
        <v>0</v>
      </c>
      <c r="CM178" s="75">
        <v>0</v>
      </c>
      <c r="CN178" s="75">
        <v>0</v>
      </c>
      <c r="CO178" s="75">
        <v>0</v>
      </c>
      <c r="CP178" s="75">
        <v>0</v>
      </c>
      <c r="CQ178" s="75">
        <v>0</v>
      </c>
      <c r="CR178" s="75">
        <v>0</v>
      </c>
      <c r="CS178" s="75">
        <v>0</v>
      </c>
      <c r="CT178" s="75">
        <v>0</v>
      </c>
      <c r="CU178" s="75">
        <v>0</v>
      </c>
      <c r="CV178" s="75">
        <v>0</v>
      </c>
      <c r="CW178" s="75">
        <v>0</v>
      </c>
      <c r="CX178" s="75">
        <v>0</v>
      </c>
      <c r="CY178" s="75">
        <v>0</v>
      </c>
      <c r="CZ178" s="75">
        <v>0</v>
      </c>
      <c r="DA178" s="75">
        <v>0</v>
      </c>
      <c r="DB178" s="75">
        <v>0</v>
      </c>
      <c r="DC178" s="75">
        <v>0</v>
      </c>
      <c r="DD178" s="75">
        <v>0</v>
      </c>
      <c r="DE178" s="75">
        <v>0</v>
      </c>
      <c r="DF178" s="75">
        <v>0</v>
      </c>
      <c r="DG178" s="75">
        <v>0</v>
      </c>
      <c r="DH178" s="75">
        <v>0</v>
      </c>
      <c r="DI178" s="75">
        <v>0</v>
      </c>
      <c r="DJ178" s="75">
        <v>0</v>
      </c>
      <c r="DK178" s="75">
        <v>0</v>
      </c>
      <c r="DL178" s="75">
        <v>0</v>
      </c>
      <c r="DM178" s="75">
        <v>0</v>
      </c>
    </row>
    <row r="179" spans="1:117" x14ac:dyDescent="0.35">
      <c r="A179" s="7"/>
      <c r="B179" s="26" t="s">
        <v>331</v>
      </c>
      <c r="C179" s="27" t="s">
        <v>332</v>
      </c>
      <c r="D179" s="28" t="s">
        <v>92</v>
      </c>
      <c r="E179" s="26" t="s">
        <v>183</v>
      </c>
      <c r="F179" s="10">
        <v>1101</v>
      </c>
      <c r="G179" s="28" t="s">
        <v>92</v>
      </c>
      <c r="H179" s="28" t="s">
        <v>41</v>
      </c>
      <c r="I179" s="29">
        <v>0</v>
      </c>
      <c r="J179" s="10"/>
      <c r="K179" s="10" t="s">
        <v>42</v>
      </c>
      <c r="L179" s="8"/>
      <c r="M179" s="12"/>
      <c r="N179" s="12">
        <f t="shared" si="2"/>
        <v>0</v>
      </c>
      <c r="O179" s="29">
        <v>0</v>
      </c>
      <c r="P179" s="29">
        <v>0</v>
      </c>
      <c r="Q179" s="29">
        <v>0</v>
      </c>
      <c r="R179" s="29">
        <v>0</v>
      </c>
      <c r="S179" s="29">
        <v>0</v>
      </c>
      <c r="T179" s="29">
        <v>0</v>
      </c>
      <c r="U179" s="29">
        <v>0</v>
      </c>
      <c r="V179" s="29">
        <v>0</v>
      </c>
      <c r="W179" s="29">
        <v>0</v>
      </c>
      <c r="X179" s="29">
        <v>0</v>
      </c>
      <c r="Y179" s="29">
        <v>0</v>
      </c>
      <c r="Z179" s="29">
        <v>0</v>
      </c>
      <c r="AA179" s="29">
        <v>0</v>
      </c>
      <c r="AB179" s="29">
        <v>0</v>
      </c>
      <c r="AC179" s="29">
        <v>0</v>
      </c>
      <c r="AD179" s="29">
        <v>0</v>
      </c>
      <c r="AE179" s="29">
        <v>0</v>
      </c>
      <c r="AF179" s="29">
        <v>0</v>
      </c>
      <c r="AG179" s="29">
        <v>0</v>
      </c>
      <c r="AH179" s="29">
        <v>0</v>
      </c>
      <c r="AI179" s="29">
        <v>0</v>
      </c>
      <c r="AJ179" s="29">
        <v>0</v>
      </c>
      <c r="AK179" s="29">
        <v>0</v>
      </c>
      <c r="AL179" s="29">
        <v>0</v>
      </c>
      <c r="AM179" s="29">
        <v>0</v>
      </c>
      <c r="AN179" s="75">
        <v>0</v>
      </c>
      <c r="AO179" s="75">
        <v>0</v>
      </c>
      <c r="AP179" s="75">
        <v>0</v>
      </c>
      <c r="AQ179" s="75">
        <v>0</v>
      </c>
      <c r="AR179" s="75">
        <v>0</v>
      </c>
      <c r="AS179" s="75">
        <v>0</v>
      </c>
      <c r="AT179" s="75">
        <v>0</v>
      </c>
      <c r="AU179" s="75">
        <v>0</v>
      </c>
      <c r="AV179" s="75">
        <v>0</v>
      </c>
      <c r="AW179" s="75">
        <v>0</v>
      </c>
      <c r="AX179" s="75">
        <v>0</v>
      </c>
      <c r="AY179" s="75">
        <v>0</v>
      </c>
      <c r="AZ179" s="75">
        <v>0</v>
      </c>
      <c r="BA179" s="75">
        <v>0</v>
      </c>
      <c r="BB179" s="75">
        <v>0</v>
      </c>
      <c r="BC179" s="75">
        <v>0</v>
      </c>
      <c r="BD179" s="75">
        <v>0</v>
      </c>
      <c r="BE179" s="75">
        <v>0</v>
      </c>
      <c r="BF179" s="75">
        <v>0</v>
      </c>
      <c r="BG179" s="75">
        <v>0</v>
      </c>
      <c r="BH179" s="75">
        <v>0</v>
      </c>
      <c r="BI179" s="75">
        <v>0</v>
      </c>
      <c r="BJ179" s="75">
        <v>0</v>
      </c>
      <c r="BK179" s="75">
        <v>0</v>
      </c>
      <c r="BL179" s="75">
        <v>0</v>
      </c>
      <c r="BM179" s="75">
        <v>0</v>
      </c>
      <c r="BN179" s="75">
        <v>0</v>
      </c>
      <c r="BO179" s="75">
        <v>0</v>
      </c>
      <c r="BP179" s="75">
        <v>0</v>
      </c>
      <c r="BQ179" s="75">
        <v>0</v>
      </c>
      <c r="BR179" s="75">
        <v>0</v>
      </c>
      <c r="BS179" s="75">
        <v>0</v>
      </c>
      <c r="BT179" s="75">
        <v>0</v>
      </c>
      <c r="BU179" s="75">
        <v>0</v>
      </c>
      <c r="BV179" s="75">
        <v>0</v>
      </c>
      <c r="BW179" s="75">
        <v>0</v>
      </c>
      <c r="BX179" s="75">
        <v>0</v>
      </c>
      <c r="BY179" s="75">
        <v>0</v>
      </c>
      <c r="BZ179" s="75">
        <v>0</v>
      </c>
      <c r="CA179" s="75">
        <v>0</v>
      </c>
      <c r="CB179" s="75">
        <v>0</v>
      </c>
      <c r="CC179" s="75">
        <v>0</v>
      </c>
      <c r="CD179" s="75">
        <v>0</v>
      </c>
      <c r="CE179" s="75">
        <v>0</v>
      </c>
      <c r="CF179" s="75">
        <v>0</v>
      </c>
      <c r="CG179" s="75">
        <v>0</v>
      </c>
      <c r="CH179" s="75">
        <v>0</v>
      </c>
      <c r="CI179" s="75">
        <v>0</v>
      </c>
      <c r="CJ179" s="75">
        <v>0</v>
      </c>
      <c r="CK179" s="75">
        <v>0</v>
      </c>
      <c r="CL179" s="75">
        <v>0</v>
      </c>
      <c r="CM179" s="75">
        <v>0</v>
      </c>
      <c r="CN179" s="75">
        <v>0</v>
      </c>
      <c r="CO179" s="75">
        <v>0</v>
      </c>
      <c r="CP179" s="75">
        <v>0</v>
      </c>
      <c r="CQ179" s="75">
        <v>0</v>
      </c>
      <c r="CR179" s="75">
        <v>0</v>
      </c>
      <c r="CS179" s="75">
        <v>0</v>
      </c>
      <c r="CT179" s="75">
        <v>0</v>
      </c>
      <c r="CU179" s="75">
        <v>0</v>
      </c>
      <c r="CV179" s="75">
        <v>0</v>
      </c>
      <c r="CW179" s="75">
        <v>0</v>
      </c>
      <c r="CX179" s="75">
        <v>0</v>
      </c>
      <c r="CY179" s="75">
        <v>0</v>
      </c>
      <c r="CZ179" s="75">
        <v>0</v>
      </c>
      <c r="DA179" s="75">
        <v>0</v>
      </c>
      <c r="DB179" s="75">
        <v>0</v>
      </c>
      <c r="DC179" s="75">
        <v>0</v>
      </c>
      <c r="DD179" s="75">
        <v>0</v>
      </c>
      <c r="DE179" s="75">
        <v>0</v>
      </c>
      <c r="DF179" s="75">
        <v>0</v>
      </c>
      <c r="DG179" s="75">
        <v>0</v>
      </c>
      <c r="DH179" s="75">
        <v>0</v>
      </c>
      <c r="DI179" s="75">
        <v>0</v>
      </c>
      <c r="DJ179" s="75">
        <v>0</v>
      </c>
      <c r="DK179" s="75">
        <v>0</v>
      </c>
      <c r="DL179" s="75">
        <v>0</v>
      </c>
      <c r="DM179" s="75">
        <v>0</v>
      </c>
    </row>
    <row r="180" spans="1:117" x14ac:dyDescent="0.35">
      <c r="A180" s="7"/>
      <c r="B180" s="8" t="s">
        <v>333</v>
      </c>
      <c r="C180" s="9" t="s">
        <v>334</v>
      </c>
      <c r="D180" s="10" t="s">
        <v>92</v>
      </c>
      <c r="E180" s="8" t="s">
        <v>183</v>
      </c>
      <c r="F180" s="10">
        <v>1101</v>
      </c>
      <c r="G180" s="10" t="s">
        <v>92</v>
      </c>
      <c r="H180" s="10" t="s">
        <v>41</v>
      </c>
      <c r="I180" s="11">
        <v>632</v>
      </c>
      <c r="J180" s="10">
        <v>4</v>
      </c>
      <c r="K180" s="10" t="s">
        <v>42</v>
      </c>
      <c r="L180" s="8" t="s">
        <v>206</v>
      </c>
      <c r="M180" s="12">
        <v>0.72</v>
      </c>
      <c r="N180" s="12">
        <f t="shared" si="2"/>
        <v>293.03999999999996</v>
      </c>
      <c r="O180" s="11">
        <v>636</v>
      </c>
      <c r="P180" s="11">
        <v>636</v>
      </c>
      <c r="Q180" s="11">
        <v>636</v>
      </c>
      <c r="R180" s="11">
        <v>632</v>
      </c>
      <c r="S180" s="11">
        <v>632</v>
      </c>
      <c r="T180" s="11">
        <v>632</v>
      </c>
      <c r="U180" s="11">
        <v>632</v>
      </c>
      <c r="V180" s="11">
        <v>632</v>
      </c>
      <c r="W180" s="11">
        <v>632</v>
      </c>
      <c r="X180" s="11">
        <v>632</v>
      </c>
      <c r="Y180" s="11">
        <v>632</v>
      </c>
      <c r="Z180" s="11">
        <v>632</v>
      </c>
      <c r="AA180" s="11">
        <v>632</v>
      </c>
      <c r="AB180" s="11">
        <v>632</v>
      </c>
      <c r="AC180" s="11">
        <v>632</v>
      </c>
      <c r="AD180" s="11">
        <v>632</v>
      </c>
      <c r="AE180" s="11">
        <v>632</v>
      </c>
      <c r="AF180" s="11">
        <v>632</v>
      </c>
      <c r="AG180" s="11">
        <v>632</v>
      </c>
      <c r="AH180" s="11">
        <v>632</v>
      </c>
      <c r="AI180" s="11">
        <v>632</v>
      </c>
      <c r="AJ180" s="11">
        <v>632</v>
      </c>
      <c r="AK180" s="11">
        <v>632</v>
      </c>
      <c r="AL180" s="11">
        <v>631</v>
      </c>
      <c r="AM180" s="11">
        <v>631</v>
      </c>
      <c r="AN180" s="72">
        <v>631</v>
      </c>
      <c r="AO180" s="72">
        <v>631</v>
      </c>
      <c r="AP180" s="72">
        <v>631</v>
      </c>
      <c r="AQ180" s="72">
        <v>631</v>
      </c>
      <c r="AR180" s="72">
        <v>631</v>
      </c>
      <c r="AS180" s="72">
        <v>411</v>
      </c>
      <c r="AT180" s="72">
        <v>411</v>
      </c>
      <c r="AU180" s="72">
        <v>411</v>
      </c>
      <c r="AV180" s="72">
        <v>411</v>
      </c>
      <c r="AW180" s="72">
        <v>411</v>
      </c>
      <c r="AX180" s="72">
        <v>411</v>
      </c>
      <c r="AY180" s="72">
        <v>411</v>
      </c>
      <c r="AZ180" s="72">
        <v>411</v>
      </c>
      <c r="BA180" s="72">
        <v>411</v>
      </c>
      <c r="BB180" s="72">
        <v>411</v>
      </c>
      <c r="BC180" s="72">
        <v>411</v>
      </c>
      <c r="BD180" s="72">
        <v>411</v>
      </c>
      <c r="BE180" s="72">
        <v>411</v>
      </c>
      <c r="BF180" s="72">
        <v>411</v>
      </c>
      <c r="BG180" s="72">
        <v>411</v>
      </c>
      <c r="BH180" s="72">
        <v>411</v>
      </c>
      <c r="BI180" s="72">
        <v>411</v>
      </c>
      <c r="BJ180" s="72">
        <v>411</v>
      </c>
      <c r="BK180" s="72">
        <v>411</v>
      </c>
      <c r="BL180" s="72">
        <v>411</v>
      </c>
      <c r="BM180" s="72">
        <v>411</v>
      </c>
      <c r="BN180" s="72">
        <v>411</v>
      </c>
      <c r="BO180" s="72">
        <v>411</v>
      </c>
      <c r="BP180" s="72">
        <v>411</v>
      </c>
      <c r="BQ180" s="72">
        <v>411</v>
      </c>
      <c r="BR180" s="72">
        <v>411</v>
      </c>
      <c r="BS180" s="72">
        <v>411</v>
      </c>
      <c r="BT180" s="72">
        <v>411</v>
      </c>
      <c r="BU180" s="72">
        <v>411</v>
      </c>
      <c r="BV180" s="72">
        <v>405</v>
      </c>
      <c r="BW180" s="72">
        <v>405</v>
      </c>
      <c r="BX180" s="72">
        <v>405</v>
      </c>
      <c r="BY180" s="72">
        <v>405</v>
      </c>
      <c r="BZ180" s="72">
        <v>405</v>
      </c>
      <c r="CA180" s="72">
        <v>405</v>
      </c>
      <c r="CB180" s="72">
        <v>405</v>
      </c>
      <c r="CC180" s="72">
        <v>405</v>
      </c>
      <c r="CD180" s="72">
        <v>405</v>
      </c>
      <c r="CE180" s="72">
        <v>405</v>
      </c>
      <c r="CF180" s="72">
        <v>408</v>
      </c>
      <c r="CG180" s="72">
        <v>408</v>
      </c>
      <c r="CH180" s="72">
        <v>408</v>
      </c>
      <c r="CI180" s="72">
        <v>408</v>
      </c>
      <c r="CJ180" s="72">
        <v>408</v>
      </c>
      <c r="CK180" s="72">
        <v>407</v>
      </c>
      <c r="CL180" s="72">
        <v>407</v>
      </c>
      <c r="CM180" s="72">
        <v>407</v>
      </c>
      <c r="CN180" s="72">
        <v>407</v>
      </c>
      <c r="CO180" s="72">
        <v>407</v>
      </c>
      <c r="CP180" s="72">
        <v>407</v>
      </c>
      <c r="CQ180" s="72">
        <v>407</v>
      </c>
      <c r="CR180" s="72">
        <v>407</v>
      </c>
      <c r="CS180" s="72">
        <v>407</v>
      </c>
      <c r="CT180" s="72">
        <v>407</v>
      </c>
      <c r="CU180" s="72">
        <v>407</v>
      </c>
      <c r="CV180" s="72">
        <v>407</v>
      </c>
      <c r="CW180" s="72">
        <v>407</v>
      </c>
      <c r="CX180" s="72">
        <v>407</v>
      </c>
      <c r="CY180" s="72">
        <v>407</v>
      </c>
      <c r="CZ180" s="72">
        <v>407</v>
      </c>
      <c r="DA180" s="72">
        <v>407</v>
      </c>
      <c r="DB180" s="72">
        <v>407</v>
      </c>
      <c r="DC180" s="72">
        <v>407</v>
      </c>
      <c r="DD180" s="72">
        <v>407</v>
      </c>
      <c r="DE180" s="72">
        <v>407</v>
      </c>
      <c r="DF180" s="72">
        <v>407</v>
      </c>
      <c r="DG180" s="72">
        <v>407</v>
      </c>
      <c r="DH180" s="72">
        <v>407</v>
      </c>
      <c r="DI180" s="72">
        <v>407</v>
      </c>
      <c r="DJ180" s="72">
        <v>407</v>
      </c>
      <c r="DK180" s="72">
        <v>407</v>
      </c>
      <c r="DL180" s="72">
        <v>407</v>
      </c>
      <c r="DM180" s="72">
        <v>407</v>
      </c>
    </row>
    <row r="181" spans="1:117" x14ac:dyDescent="0.35">
      <c r="A181" s="7"/>
      <c r="B181" s="26" t="s">
        <v>335</v>
      </c>
      <c r="C181" s="27" t="s">
        <v>336</v>
      </c>
      <c r="D181" s="28" t="s">
        <v>92</v>
      </c>
      <c r="E181" s="26" t="s">
        <v>183</v>
      </c>
      <c r="F181" s="10">
        <v>1101</v>
      </c>
      <c r="G181" s="28" t="s">
        <v>92</v>
      </c>
      <c r="H181" s="28" t="s">
        <v>41</v>
      </c>
      <c r="I181" s="29">
        <v>0</v>
      </c>
      <c r="J181" s="10"/>
      <c r="K181" s="10" t="s">
        <v>42</v>
      </c>
      <c r="L181" s="8"/>
      <c r="M181" s="12">
        <v>0.72</v>
      </c>
      <c r="N181" s="12">
        <f t="shared" si="2"/>
        <v>0</v>
      </c>
      <c r="O181" s="29">
        <v>0</v>
      </c>
      <c r="P181" s="29">
        <v>0</v>
      </c>
      <c r="Q181" s="29">
        <v>0</v>
      </c>
      <c r="R181" s="29">
        <v>0</v>
      </c>
      <c r="S181" s="29">
        <v>0</v>
      </c>
      <c r="T181" s="29">
        <v>0</v>
      </c>
      <c r="U181" s="29">
        <v>0</v>
      </c>
      <c r="V181" s="29">
        <v>0</v>
      </c>
      <c r="W181" s="29">
        <v>0</v>
      </c>
      <c r="X181" s="29">
        <v>0</v>
      </c>
      <c r="Y181" s="29">
        <v>0</v>
      </c>
      <c r="Z181" s="29">
        <v>0</v>
      </c>
      <c r="AA181" s="29">
        <v>0</v>
      </c>
      <c r="AB181" s="29">
        <v>0</v>
      </c>
      <c r="AC181" s="29">
        <v>0</v>
      </c>
      <c r="AD181" s="29">
        <v>0</v>
      </c>
      <c r="AE181" s="29">
        <v>0</v>
      </c>
      <c r="AF181" s="29">
        <v>0</v>
      </c>
      <c r="AG181" s="29">
        <v>0</v>
      </c>
      <c r="AH181" s="29">
        <v>0</v>
      </c>
      <c r="AI181" s="29">
        <v>0</v>
      </c>
      <c r="AJ181" s="29">
        <v>0</v>
      </c>
      <c r="AK181" s="29">
        <v>0</v>
      </c>
      <c r="AL181" s="29">
        <v>0</v>
      </c>
      <c r="AM181" s="29">
        <v>0</v>
      </c>
      <c r="AN181" s="75">
        <v>0</v>
      </c>
      <c r="AO181" s="75">
        <v>0</v>
      </c>
      <c r="AP181" s="75">
        <v>0</v>
      </c>
      <c r="AQ181" s="75">
        <v>0</v>
      </c>
      <c r="AR181" s="75">
        <v>0</v>
      </c>
      <c r="AS181" s="75">
        <v>0</v>
      </c>
      <c r="AT181" s="75">
        <v>0</v>
      </c>
      <c r="AU181" s="75">
        <v>0</v>
      </c>
      <c r="AV181" s="75">
        <v>0</v>
      </c>
      <c r="AW181" s="75">
        <v>0</v>
      </c>
      <c r="AX181" s="75">
        <v>0</v>
      </c>
      <c r="AY181" s="75">
        <v>0</v>
      </c>
      <c r="AZ181" s="75">
        <v>0</v>
      </c>
      <c r="BA181" s="75">
        <v>0</v>
      </c>
      <c r="BB181" s="75">
        <v>0</v>
      </c>
      <c r="BC181" s="75">
        <v>0</v>
      </c>
      <c r="BD181" s="75">
        <v>0</v>
      </c>
      <c r="BE181" s="75">
        <v>0</v>
      </c>
      <c r="BF181" s="75">
        <v>0</v>
      </c>
      <c r="BG181" s="75">
        <v>0</v>
      </c>
      <c r="BH181" s="75">
        <v>0</v>
      </c>
      <c r="BI181" s="75">
        <v>0</v>
      </c>
      <c r="BJ181" s="75">
        <v>0</v>
      </c>
      <c r="BK181" s="75">
        <v>0</v>
      </c>
      <c r="BL181" s="75">
        <v>0</v>
      </c>
      <c r="BM181" s="75">
        <v>0</v>
      </c>
      <c r="BN181" s="75">
        <v>0</v>
      </c>
      <c r="BO181" s="75">
        <v>0</v>
      </c>
      <c r="BP181" s="75">
        <v>0</v>
      </c>
      <c r="BQ181" s="75">
        <v>0</v>
      </c>
      <c r="BR181" s="75">
        <v>0</v>
      </c>
      <c r="BS181" s="75">
        <v>0</v>
      </c>
      <c r="BT181" s="75">
        <v>0</v>
      </c>
      <c r="BU181" s="75">
        <v>0</v>
      </c>
      <c r="BV181" s="75">
        <v>0</v>
      </c>
      <c r="BW181" s="75">
        <v>0</v>
      </c>
      <c r="BX181" s="75">
        <v>0</v>
      </c>
      <c r="BY181" s="75">
        <v>0</v>
      </c>
      <c r="BZ181" s="75">
        <v>0</v>
      </c>
      <c r="CA181" s="75">
        <v>0</v>
      </c>
      <c r="CB181" s="75">
        <v>0</v>
      </c>
      <c r="CC181" s="75">
        <v>0</v>
      </c>
      <c r="CD181" s="75">
        <v>0</v>
      </c>
      <c r="CE181" s="75">
        <v>0</v>
      </c>
      <c r="CF181" s="75">
        <v>0</v>
      </c>
      <c r="CG181" s="75">
        <v>0</v>
      </c>
      <c r="CH181" s="75">
        <v>0</v>
      </c>
      <c r="CI181" s="75">
        <v>0</v>
      </c>
      <c r="CJ181" s="75">
        <v>0</v>
      </c>
      <c r="CK181" s="75">
        <v>0</v>
      </c>
      <c r="CL181" s="75">
        <v>0</v>
      </c>
      <c r="CM181" s="75">
        <v>0</v>
      </c>
      <c r="CN181" s="75">
        <v>0</v>
      </c>
      <c r="CO181" s="75">
        <v>0</v>
      </c>
      <c r="CP181" s="75">
        <v>0</v>
      </c>
      <c r="CQ181" s="75">
        <v>0</v>
      </c>
      <c r="CR181" s="75">
        <v>0</v>
      </c>
      <c r="CS181" s="75">
        <v>0</v>
      </c>
      <c r="CT181" s="75">
        <v>0</v>
      </c>
      <c r="CU181" s="75">
        <v>0</v>
      </c>
      <c r="CV181" s="75">
        <v>0</v>
      </c>
      <c r="CW181" s="75">
        <v>0</v>
      </c>
      <c r="CX181" s="75">
        <v>0</v>
      </c>
      <c r="CY181" s="75">
        <v>0</v>
      </c>
      <c r="CZ181" s="75">
        <v>0</v>
      </c>
      <c r="DA181" s="75">
        <v>0</v>
      </c>
      <c r="DB181" s="75">
        <v>0</v>
      </c>
      <c r="DC181" s="75">
        <v>0</v>
      </c>
      <c r="DD181" s="75">
        <v>0</v>
      </c>
      <c r="DE181" s="75">
        <v>0</v>
      </c>
      <c r="DF181" s="75">
        <v>0</v>
      </c>
      <c r="DG181" s="75">
        <v>0</v>
      </c>
      <c r="DH181" s="75">
        <v>0</v>
      </c>
      <c r="DI181" s="75">
        <v>0</v>
      </c>
      <c r="DJ181" s="75">
        <v>0</v>
      </c>
      <c r="DK181" s="75">
        <v>0</v>
      </c>
      <c r="DL181" s="75">
        <v>0</v>
      </c>
      <c r="DM181" s="75">
        <v>0</v>
      </c>
    </row>
    <row r="182" spans="1:117" x14ac:dyDescent="0.35">
      <c r="A182" s="7"/>
      <c r="B182" s="26" t="s">
        <v>337</v>
      </c>
      <c r="C182" s="27" t="s">
        <v>338</v>
      </c>
      <c r="D182" s="28" t="s">
        <v>92</v>
      </c>
      <c r="E182" s="26" t="s">
        <v>183</v>
      </c>
      <c r="F182" s="10">
        <v>1101</v>
      </c>
      <c r="G182" s="28" t="s">
        <v>92</v>
      </c>
      <c r="H182" s="28" t="s">
        <v>41</v>
      </c>
      <c r="I182" s="29">
        <v>54</v>
      </c>
      <c r="J182" s="10">
        <v>4</v>
      </c>
      <c r="K182" s="10" t="s">
        <v>42</v>
      </c>
      <c r="L182" s="8" t="s">
        <v>206</v>
      </c>
      <c r="M182" s="12">
        <v>1.26</v>
      </c>
      <c r="N182" s="12">
        <f t="shared" si="2"/>
        <v>37.799999999999997</v>
      </c>
      <c r="O182" s="29">
        <v>178</v>
      </c>
      <c r="P182" s="29">
        <v>178</v>
      </c>
      <c r="Q182" s="29">
        <v>178</v>
      </c>
      <c r="R182" s="29">
        <v>26</v>
      </c>
      <c r="S182" s="29">
        <v>54</v>
      </c>
      <c r="T182" s="29">
        <v>54</v>
      </c>
      <c r="U182" s="29">
        <v>54</v>
      </c>
      <c r="V182" s="29">
        <v>54</v>
      </c>
      <c r="W182" s="29">
        <v>54</v>
      </c>
      <c r="X182" s="29">
        <v>54</v>
      </c>
      <c r="Y182" s="29">
        <v>54</v>
      </c>
      <c r="Z182" s="29">
        <v>54</v>
      </c>
      <c r="AA182" s="29">
        <v>54</v>
      </c>
      <c r="AB182" s="29">
        <v>54</v>
      </c>
      <c r="AC182" s="29">
        <v>54</v>
      </c>
      <c r="AD182" s="29">
        <v>54</v>
      </c>
      <c r="AE182" s="29">
        <v>54</v>
      </c>
      <c r="AF182" s="29">
        <v>54</v>
      </c>
      <c r="AG182" s="29">
        <v>54</v>
      </c>
      <c r="AH182" s="29">
        <v>54</v>
      </c>
      <c r="AI182" s="29">
        <v>54</v>
      </c>
      <c r="AJ182" s="29">
        <v>54</v>
      </c>
      <c r="AK182" s="29">
        <v>54</v>
      </c>
      <c r="AL182" s="29">
        <v>53</v>
      </c>
      <c r="AM182" s="29">
        <v>53</v>
      </c>
      <c r="AN182" s="75">
        <v>53</v>
      </c>
      <c r="AO182" s="75">
        <v>53</v>
      </c>
      <c r="AP182" s="75">
        <v>53</v>
      </c>
      <c r="AQ182" s="75">
        <v>53</v>
      </c>
      <c r="AR182" s="75">
        <v>53</v>
      </c>
      <c r="AS182" s="75">
        <v>53</v>
      </c>
      <c r="AT182" s="75">
        <v>53</v>
      </c>
      <c r="AU182" s="75">
        <v>53</v>
      </c>
      <c r="AV182" s="75">
        <v>53</v>
      </c>
      <c r="AW182" s="75">
        <v>53</v>
      </c>
      <c r="AX182" s="75">
        <v>53</v>
      </c>
      <c r="AY182" s="75">
        <v>53</v>
      </c>
      <c r="AZ182" s="75">
        <v>53</v>
      </c>
      <c r="BA182" s="75">
        <v>53</v>
      </c>
      <c r="BB182" s="75">
        <v>53</v>
      </c>
      <c r="BC182" s="75">
        <v>53</v>
      </c>
      <c r="BD182" s="75">
        <v>53</v>
      </c>
      <c r="BE182" s="75">
        <v>53</v>
      </c>
      <c r="BF182" s="75">
        <v>53</v>
      </c>
      <c r="BG182" s="75">
        <v>53</v>
      </c>
      <c r="BH182" s="75">
        <v>53</v>
      </c>
      <c r="BI182" s="75">
        <v>53</v>
      </c>
      <c r="BJ182" s="75">
        <v>53</v>
      </c>
      <c r="BK182" s="75">
        <v>53</v>
      </c>
      <c r="BL182" s="75">
        <v>53</v>
      </c>
      <c r="BM182" s="75">
        <v>53</v>
      </c>
      <c r="BN182" s="75">
        <v>53</v>
      </c>
      <c r="BO182" s="75">
        <v>53</v>
      </c>
      <c r="BP182" s="75">
        <v>53</v>
      </c>
      <c r="BQ182" s="75">
        <v>53</v>
      </c>
      <c r="BR182" s="75">
        <v>53</v>
      </c>
      <c r="BS182" s="75">
        <v>53</v>
      </c>
      <c r="BT182" s="75">
        <v>53</v>
      </c>
      <c r="BU182" s="75">
        <v>53</v>
      </c>
      <c r="BV182" s="75">
        <v>47</v>
      </c>
      <c r="BW182" s="75">
        <v>27</v>
      </c>
      <c r="BX182" s="75">
        <v>27</v>
      </c>
      <c r="BY182" s="75">
        <v>27</v>
      </c>
      <c r="BZ182" s="75">
        <v>27</v>
      </c>
      <c r="CA182" s="75">
        <v>27</v>
      </c>
      <c r="CB182" s="75">
        <v>27</v>
      </c>
      <c r="CC182" s="75">
        <v>27</v>
      </c>
      <c r="CD182" s="75">
        <v>27</v>
      </c>
      <c r="CE182" s="75">
        <v>27</v>
      </c>
      <c r="CF182" s="75">
        <v>31</v>
      </c>
      <c r="CG182" s="75">
        <v>31</v>
      </c>
      <c r="CH182" s="75">
        <v>31</v>
      </c>
      <c r="CI182" s="75">
        <v>31</v>
      </c>
      <c r="CJ182" s="75">
        <v>31</v>
      </c>
      <c r="CK182" s="75">
        <v>30</v>
      </c>
      <c r="CL182" s="75">
        <v>30</v>
      </c>
      <c r="CM182" s="75">
        <v>30</v>
      </c>
      <c r="CN182" s="75">
        <v>30</v>
      </c>
      <c r="CO182" s="75">
        <v>30</v>
      </c>
      <c r="CP182" s="75">
        <v>30</v>
      </c>
      <c r="CQ182" s="75">
        <v>30</v>
      </c>
      <c r="CR182" s="75">
        <v>30</v>
      </c>
      <c r="CS182" s="75">
        <v>30</v>
      </c>
      <c r="CT182" s="75">
        <v>30</v>
      </c>
      <c r="CU182" s="75">
        <v>30</v>
      </c>
      <c r="CV182" s="75">
        <v>30</v>
      </c>
      <c r="CW182" s="75">
        <v>30</v>
      </c>
      <c r="CX182" s="75">
        <v>30</v>
      </c>
      <c r="CY182" s="75">
        <v>30</v>
      </c>
      <c r="CZ182" s="75">
        <v>30</v>
      </c>
      <c r="DA182" s="75">
        <v>30</v>
      </c>
      <c r="DB182" s="75">
        <v>30</v>
      </c>
      <c r="DC182" s="75">
        <v>30</v>
      </c>
      <c r="DD182" s="75">
        <v>30</v>
      </c>
      <c r="DE182" s="75">
        <v>30</v>
      </c>
      <c r="DF182" s="75">
        <v>30</v>
      </c>
      <c r="DG182" s="75">
        <v>30</v>
      </c>
      <c r="DH182" s="75">
        <v>30</v>
      </c>
      <c r="DI182" s="75">
        <v>30</v>
      </c>
      <c r="DJ182" s="75">
        <v>30</v>
      </c>
      <c r="DK182" s="75">
        <v>30</v>
      </c>
      <c r="DL182" s="75">
        <v>30</v>
      </c>
      <c r="DM182" s="75">
        <v>30</v>
      </c>
    </row>
    <row r="183" spans="1:117" x14ac:dyDescent="0.35">
      <c r="A183" s="7"/>
      <c r="B183" s="8" t="s">
        <v>339</v>
      </c>
      <c r="C183" s="9" t="s">
        <v>340</v>
      </c>
      <c r="D183" s="10" t="s">
        <v>92</v>
      </c>
      <c r="E183" s="8" t="s">
        <v>183</v>
      </c>
      <c r="F183" s="10">
        <v>1101</v>
      </c>
      <c r="G183" s="10" t="s">
        <v>92</v>
      </c>
      <c r="H183" s="10" t="s">
        <v>41</v>
      </c>
      <c r="I183" s="11">
        <v>0</v>
      </c>
      <c r="J183" s="10"/>
      <c r="K183" s="10" t="s">
        <v>42</v>
      </c>
      <c r="L183" s="8"/>
      <c r="M183" s="12"/>
      <c r="N183" s="12">
        <f t="shared" si="2"/>
        <v>0</v>
      </c>
      <c r="O183" s="11">
        <v>0</v>
      </c>
      <c r="P183" s="11">
        <v>0</v>
      </c>
      <c r="Q183" s="11">
        <v>0</v>
      </c>
      <c r="R183" s="11">
        <v>0</v>
      </c>
      <c r="S183" s="11">
        <v>0</v>
      </c>
      <c r="T183" s="11">
        <v>0</v>
      </c>
      <c r="U183" s="11">
        <v>0</v>
      </c>
      <c r="V183" s="11">
        <v>0</v>
      </c>
      <c r="W183" s="11">
        <v>0</v>
      </c>
      <c r="X183" s="11">
        <v>0</v>
      </c>
      <c r="Y183" s="11">
        <v>0</v>
      </c>
      <c r="Z183" s="11">
        <v>0</v>
      </c>
      <c r="AA183" s="11">
        <v>0</v>
      </c>
      <c r="AB183" s="11">
        <v>0</v>
      </c>
      <c r="AC183" s="11">
        <v>0</v>
      </c>
      <c r="AD183" s="11">
        <v>0</v>
      </c>
      <c r="AE183" s="11">
        <v>0</v>
      </c>
      <c r="AF183" s="11">
        <v>0</v>
      </c>
      <c r="AG183" s="11">
        <v>0</v>
      </c>
      <c r="AH183" s="11">
        <v>0</v>
      </c>
      <c r="AI183" s="11">
        <v>0</v>
      </c>
      <c r="AJ183" s="11">
        <v>0</v>
      </c>
      <c r="AK183" s="11">
        <v>0</v>
      </c>
      <c r="AL183" s="11">
        <v>0</v>
      </c>
      <c r="AM183" s="11">
        <v>0</v>
      </c>
      <c r="AN183" s="72">
        <v>0</v>
      </c>
      <c r="AO183" s="72">
        <v>0</v>
      </c>
      <c r="AP183" s="72">
        <v>0</v>
      </c>
      <c r="AQ183" s="72">
        <v>0</v>
      </c>
      <c r="AR183" s="72">
        <v>0</v>
      </c>
      <c r="AS183" s="72">
        <v>0</v>
      </c>
      <c r="AT183" s="72">
        <v>0</v>
      </c>
      <c r="AU183" s="72">
        <v>0</v>
      </c>
      <c r="AV183" s="72">
        <v>0</v>
      </c>
      <c r="AW183" s="72">
        <v>0</v>
      </c>
      <c r="AX183" s="72">
        <v>0</v>
      </c>
      <c r="AY183" s="72">
        <v>0</v>
      </c>
      <c r="AZ183" s="72">
        <v>0</v>
      </c>
      <c r="BA183" s="72">
        <v>0</v>
      </c>
      <c r="BB183" s="72">
        <v>0</v>
      </c>
      <c r="BC183" s="72">
        <v>0</v>
      </c>
      <c r="BD183" s="72">
        <v>0</v>
      </c>
      <c r="BE183" s="72">
        <v>0</v>
      </c>
      <c r="BF183" s="72">
        <v>0</v>
      </c>
      <c r="BG183" s="72">
        <v>0</v>
      </c>
      <c r="BH183" s="72">
        <v>0</v>
      </c>
      <c r="BI183" s="72">
        <v>0</v>
      </c>
      <c r="BJ183" s="72">
        <v>0</v>
      </c>
      <c r="BK183" s="72">
        <v>0</v>
      </c>
      <c r="BL183" s="72">
        <v>0</v>
      </c>
      <c r="BM183" s="72">
        <v>0</v>
      </c>
      <c r="BN183" s="72">
        <v>0</v>
      </c>
      <c r="BO183" s="72">
        <v>0</v>
      </c>
      <c r="BP183" s="72">
        <v>0</v>
      </c>
      <c r="BQ183" s="72">
        <v>0</v>
      </c>
      <c r="BR183" s="72">
        <v>0</v>
      </c>
      <c r="BS183" s="72">
        <v>0</v>
      </c>
      <c r="BT183" s="72">
        <v>0</v>
      </c>
      <c r="BU183" s="72">
        <v>0</v>
      </c>
      <c r="BV183" s="72">
        <v>0</v>
      </c>
      <c r="BW183" s="72">
        <v>0</v>
      </c>
      <c r="BX183" s="72">
        <v>0</v>
      </c>
      <c r="BY183" s="72">
        <v>0</v>
      </c>
      <c r="BZ183" s="72">
        <v>0</v>
      </c>
      <c r="CA183" s="72">
        <v>0</v>
      </c>
      <c r="CB183" s="72">
        <v>0</v>
      </c>
      <c r="CC183" s="72">
        <v>0</v>
      </c>
      <c r="CD183" s="72">
        <v>0</v>
      </c>
      <c r="CE183" s="72">
        <v>0</v>
      </c>
      <c r="CF183" s="72">
        <v>0</v>
      </c>
      <c r="CG183" s="72">
        <v>0</v>
      </c>
      <c r="CH183" s="72">
        <v>0</v>
      </c>
      <c r="CI183" s="72">
        <v>0</v>
      </c>
      <c r="CJ183" s="72">
        <v>0</v>
      </c>
      <c r="CK183" s="72">
        <v>0</v>
      </c>
      <c r="CL183" s="72">
        <v>0</v>
      </c>
      <c r="CM183" s="72">
        <v>0</v>
      </c>
      <c r="CN183" s="72">
        <v>0</v>
      </c>
      <c r="CO183" s="72">
        <v>0</v>
      </c>
      <c r="CP183" s="72">
        <v>0</v>
      </c>
      <c r="CQ183" s="72">
        <v>0</v>
      </c>
      <c r="CR183" s="72">
        <v>0</v>
      </c>
      <c r="CS183" s="72">
        <v>0</v>
      </c>
      <c r="CT183" s="72">
        <v>0</v>
      </c>
      <c r="CU183" s="72">
        <v>0</v>
      </c>
      <c r="CV183" s="72">
        <v>0</v>
      </c>
      <c r="CW183" s="72">
        <v>0</v>
      </c>
      <c r="CX183" s="72">
        <v>0</v>
      </c>
      <c r="CY183" s="72">
        <v>0</v>
      </c>
      <c r="CZ183" s="72">
        <v>0</v>
      </c>
      <c r="DA183" s="72">
        <v>0</v>
      </c>
      <c r="DB183" s="72">
        <v>0</v>
      </c>
      <c r="DC183" s="72">
        <v>0</v>
      </c>
      <c r="DD183" s="72">
        <v>0</v>
      </c>
      <c r="DE183" s="72">
        <v>0</v>
      </c>
      <c r="DF183" s="72">
        <v>0</v>
      </c>
      <c r="DG183" s="72">
        <v>0</v>
      </c>
      <c r="DH183" s="72">
        <v>0</v>
      </c>
      <c r="DI183" s="72">
        <v>0</v>
      </c>
      <c r="DJ183" s="72">
        <v>0</v>
      </c>
      <c r="DK183" s="72">
        <v>0</v>
      </c>
      <c r="DL183" s="72">
        <v>0</v>
      </c>
      <c r="DM183" s="72">
        <v>0</v>
      </c>
    </row>
    <row r="184" spans="1:117" x14ac:dyDescent="0.35">
      <c r="A184" s="7"/>
      <c r="B184" s="26" t="s">
        <v>341</v>
      </c>
      <c r="C184" s="27" t="s">
        <v>342</v>
      </c>
      <c r="D184" s="28" t="s">
        <v>92</v>
      </c>
      <c r="E184" s="26" t="s">
        <v>1205</v>
      </c>
      <c r="F184" s="10">
        <v>1101</v>
      </c>
      <c r="G184" s="28" t="s">
        <v>92</v>
      </c>
      <c r="H184" s="28" t="s">
        <v>41</v>
      </c>
      <c r="I184" s="29">
        <v>1434</v>
      </c>
      <c r="J184" s="10"/>
      <c r="K184" s="10" t="s">
        <v>42</v>
      </c>
      <c r="L184" s="8"/>
      <c r="M184" s="12">
        <v>6.3600000000000004E-2</v>
      </c>
      <c r="N184" s="12">
        <f t="shared" si="2"/>
        <v>0</v>
      </c>
      <c r="O184" s="29">
        <v>3498</v>
      </c>
      <c r="P184" s="29">
        <v>3498</v>
      </c>
      <c r="Q184" s="29">
        <v>3498</v>
      </c>
      <c r="R184" s="29">
        <v>3498</v>
      </c>
      <c r="S184" s="29">
        <v>3498</v>
      </c>
      <c r="T184" s="29">
        <v>3364</v>
      </c>
      <c r="U184" s="29">
        <v>3316</v>
      </c>
      <c r="V184" s="29">
        <v>3190</v>
      </c>
      <c r="W184" s="29">
        <v>3190</v>
      </c>
      <c r="X184" s="29">
        <v>3187</v>
      </c>
      <c r="Y184" s="29">
        <v>3187</v>
      </c>
      <c r="Z184" s="29">
        <v>3157</v>
      </c>
      <c r="AA184" s="29">
        <v>3157</v>
      </c>
      <c r="AB184" s="29">
        <v>2142</v>
      </c>
      <c r="AC184" s="29">
        <v>1142</v>
      </c>
      <c r="AD184" s="29">
        <v>1142</v>
      </c>
      <c r="AE184" s="29">
        <v>1142</v>
      </c>
      <c r="AF184" s="29">
        <v>942</v>
      </c>
      <c r="AG184" s="29">
        <v>942</v>
      </c>
      <c r="AH184" s="29">
        <v>942</v>
      </c>
      <c r="AI184" s="29">
        <v>942</v>
      </c>
      <c r="AJ184" s="29">
        <v>942</v>
      </c>
      <c r="AK184" s="29">
        <v>942</v>
      </c>
      <c r="AL184" s="29">
        <v>871</v>
      </c>
      <c r="AM184" s="29">
        <v>871</v>
      </c>
      <c r="AN184" s="29">
        <v>871</v>
      </c>
      <c r="AO184" s="29">
        <v>871</v>
      </c>
      <c r="AP184" s="75">
        <v>844</v>
      </c>
      <c r="AQ184" s="75">
        <v>844</v>
      </c>
      <c r="AR184" s="75">
        <v>744</v>
      </c>
      <c r="AS184" s="75">
        <v>744</v>
      </c>
      <c r="AT184" s="75">
        <v>744</v>
      </c>
      <c r="AU184" s="75">
        <v>229</v>
      </c>
      <c r="AV184" s="75">
        <v>229</v>
      </c>
      <c r="AW184" s="75">
        <v>213</v>
      </c>
      <c r="AX184" s="75">
        <v>163</v>
      </c>
      <c r="AY184" s="75">
        <v>163</v>
      </c>
      <c r="AZ184" s="75">
        <v>163</v>
      </c>
      <c r="BA184" s="75">
        <v>163</v>
      </c>
      <c r="BB184" s="75">
        <v>139</v>
      </c>
      <c r="BC184" s="75">
        <v>139</v>
      </c>
      <c r="BD184" s="75">
        <v>139</v>
      </c>
      <c r="BE184" s="75">
        <v>139</v>
      </c>
      <c r="BF184" s="75">
        <v>139</v>
      </c>
      <c r="BG184" s="75">
        <v>139</v>
      </c>
      <c r="BH184" s="75">
        <v>139</v>
      </c>
      <c r="BI184" s="75">
        <v>139</v>
      </c>
      <c r="BJ184" s="75">
        <v>139</v>
      </c>
      <c r="BK184" s="75">
        <v>139</v>
      </c>
      <c r="BL184" s="75">
        <v>139</v>
      </c>
      <c r="BM184" s="75">
        <v>267</v>
      </c>
      <c r="BN184" s="75">
        <v>267</v>
      </c>
      <c r="BO184" s="75">
        <v>267</v>
      </c>
      <c r="BP184" s="75">
        <v>237</v>
      </c>
      <c r="BQ184" s="75">
        <v>137</v>
      </c>
      <c r="BR184" s="75">
        <v>100</v>
      </c>
      <c r="BS184" s="75">
        <v>30</v>
      </c>
      <c r="BT184" s="75">
        <v>30</v>
      </c>
      <c r="BU184" s="75">
        <v>30</v>
      </c>
      <c r="BV184" s="75">
        <v>30</v>
      </c>
      <c r="BW184" s="75">
        <v>30</v>
      </c>
      <c r="BX184" s="75">
        <v>30</v>
      </c>
      <c r="BY184" s="75">
        <v>30</v>
      </c>
      <c r="BZ184" s="75">
        <v>30</v>
      </c>
      <c r="CA184" s="75">
        <v>30</v>
      </c>
      <c r="CB184" s="75">
        <v>30</v>
      </c>
      <c r="CC184" s="75">
        <v>30</v>
      </c>
      <c r="CD184" s="75">
        <v>30</v>
      </c>
      <c r="CE184" s="75">
        <v>30</v>
      </c>
      <c r="CF184" s="75">
        <v>30</v>
      </c>
      <c r="CG184" s="75">
        <v>30</v>
      </c>
      <c r="CH184" s="75">
        <v>0</v>
      </c>
      <c r="CI184" s="75">
        <v>0</v>
      </c>
      <c r="CJ184" s="75">
        <v>0</v>
      </c>
      <c r="CK184" s="75">
        <v>0</v>
      </c>
      <c r="CL184" s="75">
        <v>0</v>
      </c>
      <c r="CM184" s="75">
        <v>0</v>
      </c>
      <c r="CN184" s="75">
        <v>0</v>
      </c>
      <c r="CO184" s="75">
        <v>0</v>
      </c>
      <c r="CP184" s="75">
        <v>0</v>
      </c>
      <c r="CQ184" s="75">
        <v>0</v>
      </c>
      <c r="CR184" s="75">
        <v>0</v>
      </c>
      <c r="CS184" s="75">
        <v>0</v>
      </c>
      <c r="CT184" s="75">
        <v>0</v>
      </c>
      <c r="CU184" s="75">
        <v>0</v>
      </c>
      <c r="CV184" s="75">
        <v>0</v>
      </c>
      <c r="CW184" s="75">
        <v>0</v>
      </c>
      <c r="CX184" s="75">
        <v>0</v>
      </c>
      <c r="CY184" s="75">
        <v>0</v>
      </c>
      <c r="CZ184" s="75">
        <v>0</v>
      </c>
      <c r="DA184" s="75">
        <v>0</v>
      </c>
      <c r="DB184" s="75">
        <v>0</v>
      </c>
      <c r="DC184" s="75">
        <v>0</v>
      </c>
      <c r="DD184" s="75">
        <v>0</v>
      </c>
      <c r="DE184" s="75">
        <v>0</v>
      </c>
      <c r="DF184" s="75">
        <v>0</v>
      </c>
      <c r="DG184" s="75">
        <v>0</v>
      </c>
      <c r="DH184" s="75">
        <v>0</v>
      </c>
      <c r="DI184" s="75">
        <v>0</v>
      </c>
      <c r="DJ184" s="75">
        <v>0</v>
      </c>
      <c r="DK184" s="75">
        <v>0</v>
      </c>
      <c r="DL184" s="75">
        <v>0</v>
      </c>
      <c r="DM184" s="75">
        <v>0</v>
      </c>
    </row>
    <row r="185" spans="1:117" x14ac:dyDescent="0.35">
      <c r="A185" s="7"/>
      <c r="B185" s="8" t="s">
        <v>343</v>
      </c>
      <c r="C185" s="9" t="s">
        <v>344</v>
      </c>
      <c r="D185" s="10" t="s">
        <v>92</v>
      </c>
      <c r="E185" s="8" t="s">
        <v>1205</v>
      </c>
      <c r="F185" s="10">
        <v>1101</v>
      </c>
      <c r="G185" s="10" t="s">
        <v>92</v>
      </c>
      <c r="H185" s="10" t="s">
        <v>41</v>
      </c>
      <c r="I185" s="11">
        <v>2966</v>
      </c>
      <c r="J185" s="10"/>
      <c r="K185" s="10" t="s">
        <v>42</v>
      </c>
      <c r="L185" s="8"/>
      <c r="M185" s="12">
        <v>0.3</v>
      </c>
      <c r="N185" s="12">
        <f t="shared" si="2"/>
        <v>575.4</v>
      </c>
      <c r="O185" s="11">
        <v>3966</v>
      </c>
      <c r="P185" s="11">
        <v>3966</v>
      </c>
      <c r="Q185" s="11">
        <v>3966</v>
      </c>
      <c r="R185" s="11">
        <v>3966</v>
      </c>
      <c r="S185" s="11">
        <v>3966</v>
      </c>
      <c r="T185" s="11">
        <v>3966</v>
      </c>
      <c r="U185" s="11">
        <v>3966</v>
      </c>
      <c r="V185" s="11">
        <v>3966</v>
      </c>
      <c r="W185" s="11">
        <v>3966</v>
      </c>
      <c r="X185" s="11">
        <v>3966</v>
      </c>
      <c r="Y185" s="11">
        <v>3966</v>
      </c>
      <c r="Z185" s="11">
        <v>3966</v>
      </c>
      <c r="AA185" s="11">
        <v>3966</v>
      </c>
      <c r="AB185" s="11">
        <v>3966</v>
      </c>
      <c r="AC185" s="11">
        <v>3966</v>
      </c>
      <c r="AD185" s="11">
        <v>3966</v>
      </c>
      <c r="AE185" s="11">
        <v>3966</v>
      </c>
      <c r="AF185" s="11">
        <v>3966</v>
      </c>
      <c r="AG185" s="11">
        <v>3966</v>
      </c>
      <c r="AH185" s="11">
        <v>3966</v>
      </c>
      <c r="AI185" s="11">
        <v>3966</v>
      </c>
      <c r="AJ185" s="11">
        <v>2966</v>
      </c>
      <c r="AK185" s="11">
        <v>2966</v>
      </c>
      <c r="AL185" s="11">
        <v>2965</v>
      </c>
      <c r="AM185" s="11">
        <v>2965</v>
      </c>
      <c r="AN185" s="72">
        <v>2965</v>
      </c>
      <c r="AO185" s="72">
        <v>2965</v>
      </c>
      <c r="AP185" s="72">
        <v>2965</v>
      </c>
      <c r="AQ185" s="72">
        <v>2965</v>
      </c>
      <c r="AR185" s="72">
        <v>1965</v>
      </c>
      <c r="AS185" s="72">
        <v>1965</v>
      </c>
      <c r="AT185" s="72">
        <v>1965</v>
      </c>
      <c r="AU185" s="72">
        <v>1965</v>
      </c>
      <c r="AV185" s="72">
        <v>1965</v>
      </c>
      <c r="AW185" s="72">
        <v>1965</v>
      </c>
      <c r="AX185" s="72">
        <v>1965</v>
      </c>
      <c r="AY185" s="72">
        <v>1965</v>
      </c>
      <c r="AZ185" s="72">
        <v>1965</v>
      </c>
      <c r="BA185" s="72">
        <v>1965</v>
      </c>
      <c r="BB185" s="72">
        <v>1965</v>
      </c>
      <c r="BC185" s="72">
        <v>1965</v>
      </c>
      <c r="BD185" s="72">
        <v>1965</v>
      </c>
      <c r="BE185" s="72">
        <v>1965</v>
      </c>
      <c r="BF185" s="72">
        <v>1965</v>
      </c>
      <c r="BG185" s="72">
        <v>1965</v>
      </c>
      <c r="BH185" s="72">
        <v>1965</v>
      </c>
      <c r="BI185" s="72">
        <v>1965</v>
      </c>
      <c r="BJ185" s="72">
        <v>1965</v>
      </c>
      <c r="BK185" s="72">
        <v>1965</v>
      </c>
      <c r="BL185" s="72">
        <v>1965</v>
      </c>
      <c r="BM185" s="72">
        <v>1965</v>
      </c>
      <c r="BN185" s="72">
        <v>1965</v>
      </c>
      <c r="BO185" s="72">
        <v>1965</v>
      </c>
      <c r="BP185" s="72">
        <v>1965</v>
      </c>
      <c r="BQ185" s="72">
        <v>1965</v>
      </c>
      <c r="BR185" s="72">
        <v>1965</v>
      </c>
      <c r="BS185" s="72">
        <v>1965</v>
      </c>
      <c r="BT185" s="72">
        <v>1965</v>
      </c>
      <c r="BU185" s="72">
        <v>1965</v>
      </c>
      <c r="BV185" s="72">
        <v>1965</v>
      </c>
      <c r="BW185" s="72">
        <v>1965</v>
      </c>
      <c r="BX185" s="72">
        <v>1965</v>
      </c>
      <c r="BY185" s="72">
        <v>1965</v>
      </c>
      <c r="BZ185" s="72">
        <v>1965</v>
      </c>
      <c r="CA185" s="72">
        <v>1865</v>
      </c>
      <c r="CB185" s="72">
        <v>1865</v>
      </c>
      <c r="CC185" s="72">
        <v>1865</v>
      </c>
      <c r="CD185" s="72">
        <v>1865</v>
      </c>
      <c r="CE185" s="72">
        <v>1865</v>
      </c>
      <c r="CF185" s="72">
        <v>1865</v>
      </c>
      <c r="CG185" s="72">
        <v>1865</v>
      </c>
      <c r="CH185" s="72">
        <v>1865</v>
      </c>
      <c r="CI185" s="72">
        <v>1865</v>
      </c>
      <c r="CJ185" s="72">
        <v>1865</v>
      </c>
      <c r="CK185" s="72">
        <v>1865</v>
      </c>
      <c r="CL185" s="72">
        <v>1865</v>
      </c>
      <c r="CM185" s="72">
        <v>1865</v>
      </c>
      <c r="CN185" s="72">
        <v>1958</v>
      </c>
      <c r="CO185" s="72">
        <v>1958</v>
      </c>
      <c r="CP185" s="72">
        <v>1958</v>
      </c>
      <c r="CQ185" s="72">
        <v>1958</v>
      </c>
      <c r="CR185" s="72">
        <v>1958</v>
      </c>
      <c r="CS185" s="72">
        <v>1958</v>
      </c>
      <c r="CT185" s="72">
        <v>1958</v>
      </c>
      <c r="CU185" s="72">
        <v>1958</v>
      </c>
      <c r="CV185" s="72">
        <v>1958</v>
      </c>
      <c r="CW185" s="72">
        <v>1958</v>
      </c>
      <c r="CX185" s="72">
        <v>1958</v>
      </c>
      <c r="CY185" s="72">
        <v>1958</v>
      </c>
      <c r="CZ185" s="72">
        <v>1958</v>
      </c>
      <c r="DA185" s="72">
        <v>1958</v>
      </c>
      <c r="DB185" s="72">
        <v>1958</v>
      </c>
      <c r="DC185" s="72">
        <v>1958</v>
      </c>
      <c r="DD185" s="72">
        <v>1928</v>
      </c>
      <c r="DE185" s="72">
        <v>1928</v>
      </c>
      <c r="DF185" s="72">
        <v>1928</v>
      </c>
      <c r="DG185" s="72">
        <v>1928</v>
      </c>
      <c r="DH185" s="72">
        <v>1918</v>
      </c>
      <c r="DI185" s="72">
        <v>1918</v>
      </c>
      <c r="DJ185" s="72">
        <v>1918</v>
      </c>
      <c r="DK185" s="72">
        <v>1918</v>
      </c>
      <c r="DL185" s="72">
        <v>1918</v>
      </c>
      <c r="DM185" s="72">
        <v>1918</v>
      </c>
    </row>
    <row r="186" spans="1:117" x14ac:dyDescent="0.35">
      <c r="A186" s="7"/>
      <c r="B186" s="8" t="s">
        <v>345</v>
      </c>
      <c r="C186" s="9" t="s">
        <v>346</v>
      </c>
      <c r="D186" s="10" t="s">
        <v>92</v>
      </c>
      <c r="E186" s="8" t="s">
        <v>1205</v>
      </c>
      <c r="F186" s="10">
        <v>1104</v>
      </c>
      <c r="G186" s="10" t="s">
        <v>92</v>
      </c>
      <c r="H186" s="10" t="s">
        <v>41</v>
      </c>
      <c r="I186" s="11">
        <v>8042</v>
      </c>
      <c r="J186" s="10"/>
      <c r="K186" s="10" t="s">
        <v>42</v>
      </c>
      <c r="L186" s="8"/>
      <c r="M186" s="12">
        <v>0.3</v>
      </c>
      <c r="N186" s="12">
        <f t="shared" si="2"/>
        <v>2170.7999999999997</v>
      </c>
      <c r="O186" s="11">
        <v>8389</v>
      </c>
      <c r="P186" s="11">
        <v>8389</v>
      </c>
      <c r="Q186" s="11">
        <v>8389</v>
      </c>
      <c r="R186" s="11">
        <v>8089</v>
      </c>
      <c r="S186" s="11">
        <v>8089</v>
      </c>
      <c r="T186" s="11">
        <v>8089</v>
      </c>
      <c r="U186" s="11">
        <v>8081</v>
      </c>
      <c r="V186" s="11">
        <v>8081</v>
      </c>
      <c r="W186" s="11">
        <v>8081</v>
      </c>
      <c r="X186" s="11">
        <v>8081</v>
      </c>
      <c r="Y186" s="11">
        <v>8081</v>
      </c>
      <c r="Z186" s="11">
        <v>8081</v>
      </c>
      <c r="AA186" s="11">
        <v>8081</v>
      </c>
      <c r="AB186" s="11">
        <v>8081</v>
      </c>
      <c r="AC186" s="11">
        <v>8042</v>
      </c>
      <c r="AD186" s="11">
        <v>8042</v>
      </c>
      <c r="AE186" s="11">
        <v>8042</v>
      </c>
      <c r="AF186" s="11">
        <v>8042</v>
      </c>
      <c r="AG186" s="11">
        <v>8042</v>
      </c>
      <c r="AH186" s="11">
        <v>8042</v>
      </c>
      <c r="AI186" s="11">
        <v>8042</v>
      </c>
      <c r="AJ186" s="11">
        <v>8042</v>
      </c>
      <c r="AK186" s="11">
        <v>8042</v>
      </c>
      <c r="AL186" s="11">
        <v>8041</v>
      </c>
      <c r="AM186" s="11">
        <v>8041</v>
      </c>
      <c r="AN186" s="72">
        <v>8041</v>
      </c>
      <c r="AO186" s="72">
        <v>8041</v>
      </c>
      <c r="AP186" s="72">
        <v>8041</v>
      </c>
      <c r="AQ186" s="72">
        <v>8041</v>
      </c>
      <c r="AR186" s="72">
        <v>8041</v>
      </c>
      <c r="AS186" s="72">
        <v>8041</v>
      </c>
      <c r="AT186" s="72">
        <v>8041</v>
      </c>
      <c r="AU186" s="72">
        <v>8741</v>
      </c>
      <c r="AV186" s="72">
        <v>8741</v>
      </c>
      <c r="AW186" s="72">
        <v>8741</v>
      </c>
      <c r="AX186" s="72">
        <v>8741</v>
      </c>
      <c r="AY186" s="72">
        <v>8741</v>
      </c>
      <c r="AZ186" s="72">
        <v>8741</v>
      </c>
      <c r="BA186" s="72">
        <v>8741</v>
      </c>
      <c r="BB186" s="72">
        <v>8741</v>
      </c>
      <c r="BC186" s="72">
        <v>8741</v>
      </c>
      <c r="BD186" s="72">
        <v>8741</v>
      </c>
      <c r="BE186" s="72">
        <v>8741</v>
      </c>
      <c r="BF186" s="72">
        <v>8741</v>
      </c>
      <c r="BG186" s="72">
        <v>8741</v>
      </c>
      <c r="BH186" s="72">
        <v>8641</v>
      </c>
      <c r="BI186" s="72">
        <v>8641</v>
      </c>
      <c r="BJ186" s="72">
        <v>8641</v>
      </c>
      <c r="BK186" s="72">
        <v>8633</v>
      </c>
      <c r="BL186" s="72">
        <v>8633</v>
      </c>
      <c r="BM186" s="72">
        <v>8633</v>
      </c>
      <c r="BN186" s="72">
        <v>8633</v>
      </c>
      <c r="BO186" s="72">
        <v>8513</v>
      </c>
      <c r="BP186" s="72">
        <v>8410</v>
      </c>
      <c r="BQ186" s="72">
        <v>8453</v>
      </c>
      <c r="BR186" s="72">
        <v>8503</v>
      </c>
      <c r="BS186" s="72">
        <v>8503</v>
      </c>
      <c r="BT186" s="72">
        <v>8503</v>
      </c>
      <c r="BU186" s="72">
        <v>8503</v>
      </c>
      <c r="BV186" s="72">
        <v>8503</v>
      </c>
      <c r="BW186" s="72">
        <v>8503</v>
      </c>
      <c r="BX186" s="72">
        <v>8523</v>
      </c>
      <c r="BY186" s="72">
        <v>8523</v>
      </c>
      <c r="BZ186" s="72">
        <v>8523</v>
      </c>
      <c r="CA186" s="72">
        <v>8523</v>
      </c>
      <c r="CB186" s="72">
        <v>8523</v>
      </c>
      <c r="CC186" s="72">
        <v>8523</v>
      </c>
      <c r="CD186" s="72">
        <v>8523</v>
      </c>
      <c r="CE186" s="72">
        <v>8523</v>
      </c>
      <c r="CF186" s="72">
        <v>8523</v>
      </c>
      <c r="CG186" s="72">
        <v>8323</v>
      </c>
      <c r="CH186" s="72">
        <v>8323</v>
      </c>
      <c r="CI186" s="72">
        <v>7323</v>
      </c>
      <c r="CJ186" s="72">
        <v>7323</v>
      </c>
      <c r="CK186" s="72">
        <v>7322</v>
      </c>
      <c r="CL186" s="72">
        <v>7322</v>
      </c>
      <c r="CM186" s="72">
        <v>7322</v>
      </c>
      <c r="CN186" s="72">
        <v>7322</v>
      </c>
      <c r="CO186" s="72">
        <v>7322</v>
      </c>
      <c r="CP186" s="72">
        <v>7322</v>
      </c>
      <c r="CQ186" s="72">
        <v>7322</v>
      </c>
      <c r="CR186" s="72">
        <v>7322</v>
      </c>
      <c r="CS186" s="72">
        <v>7322</v>
      </c>
      <c r="CT186" s="72">
        <v>7322</v>
      </c>
      <c r="CU186" s="72">
        <v>7322</v>
      </c>
      <c r="CV186" s="72">
        <v>7316</v>
      </c>
      <c r="CW186" s="72">
        <v>7316</v>
      </c>
      <c r="CX186" s="72">
        <v>7316</v>
      </c>
      <c r="CY186" s="72">
        <v>7316</v>
      </c>
      <c r="CZ186" s="72">
        <v>7316</v>
      </c>
      <c r="DA186" s="72">
        <v>7316</v>
      </c>
      <c r="DB186" s="72">
        <v>7316</v>
      </c>
      <c r="DC186" s="72">
        <v>7316</v>
      </c>
      <c r="DD186" s="72">
        <v>7316</v>
      </c>
      <c r="DE186" s="72">
        <v>7316</v>
      </c>
      <c r="DF186" s="72">
        <v>7316</v>
      </c>
      <c r="DG186" s="72">
        <v>7316</v>
      </c>
      <c r="DH186" s="72">
        <v>7316</v>
      </c>
      <c r="DI186" s="72">
        <v>7316</v>
      </c>
      <c r="DJ186" s="72">
        <v>7316</v>
      </c>
      <c r="DK186" s="72">
        <v>7316</v>
      </c>
      <c r="DL186" s="72">
        <v>7316</v>
      </c>
      <c r="DM186" s="72">
        <v>7236</v>
      </c>
    </row>
    <row r="187" spans="1:117" x14ac:dyDescent="0.35">
      <c r="A187" s="7"/>
      <c r="B187" s="8" t="s">
        <v>347</v>
      </c>
      <c r="C187" s="9" t="s">
        <v>348</v>
      </c>
      <c r="D187" s="10" t="s">
        <v>92</v>
      </c>
      <c r="E187" s="8" t="s">
        <v>1205</v>
      </c>
      <c r="F187" s="10">
        <v>1104</v>
      </c>
      <c r="G187" s="10" t="s">
        <v>92</v>
      </c>
      <c r="H187" s="10" t="s">
        <v>41</v>
      </c>
      <c r="I187" s="11">
        <v>89</v>
      </c>
      <c r="J187" s="10"/>
      <c r="K187" s="10" t="s">
        <v>42</v>
      </c>
      <c r="L187" s="31"/>
      <c r="M187" s="12">
        <v>3</v>
      </c>
      <c r="N187" s="12">
        <f t="shared" si="2"/>
        <v>261</v>
      </c>
      <c r="O187" s="11">
        <v>89</v>
      </c>
      <c r="P187" s="11">
        <v>89</v>
      </c>
      <c r="Q187" s="11">
        <v>89</v>
      </c>
      <c r="R187" s="11">
        <v>89</v>
      </c>
      <c r="S187" s="11">
        <v>89</v>
      </c>
      <c r="T187" s="11">
        <v>89</v>
      </c>
      <c r="U187" s="11">
        <v>89</v>
      </c>
      <c r="V187" s="11">
        <v>89</v>
      </c>
      <c r="W187" s="11">
        <v>89</v>
      </c>
      <c r="X187" s="11">
        <v>89</v>
      </c>
      <c r="Y187" s="11">
        <v>89</v>
      </c>
      <c r="Z187" s="11">
        <v>89</v>
      </c>
      <c r="AA187" s="11">
        <v>89</v>
      </c>
      <c r="AB187" s="11">
        <v>89</v>
      </c>
      <c r="AC187" s="11">
        <v>89</v>
      </c>
      <c r="AD187" s="11">
        <v>89</v>
      </c>
      <c r="AE187" s="11">
        <v>89</v>
      </c>
      <c r="AF187" s="11">
        <v>89</v>
      </c>
      <c r="AG187" s="11">
        <v>89</v>
      </c>
      <c r="AH187" s="11">
        <v>89</v>
      </c>
      <c r="AI187" s="11">
        <v>89</v>
      </c>
      <c r="AJ187" s="11">
        <v>89</v>
      </c>
      <c r="AK187" s="11">
        <v>89</v>
      </c>
      <c r="AL187" s="11">
        <v>88</v>
      </c>
      <c r="AM187" s="11">
        <v>88</v>
      </c>
      <c r="AN187" s="72">
        <v>88</v>
      </c>
      <c r="AO187" s="72">
        <v>88</v>
      </c>
      <c r="AP187" s="72">
        <v>88</v>
      </c>
      <c r="AQ187" s="72">
        <v>88</v>
      </c>
      <c r="AR187" s="72">
        <v>88</v>
      </c>
      <c r="AS187" s="72">
        <v>88</v>
      </c>
      <c r="AT187" s="72">
        <v>88</v>
      </c>
      <c r="AU187" s="72">
        <v>88</v>
      </c>
      <c r="AV187" s="72">
        <v>88</v>
      </c>
      <c r="AW187" s="72">
        <v>88</v>
      </c>
      <c r="AX187" s="72">
        <v>88</v>
      </c>
      <c r="AY187" s="72">
        <v>88</v>
      </c>
      <c r="AZ187" s="72">
        <v>88</v>
      </c>
      <c r="BA187" s="72">
        <v>88</v>
      </c>
      <c r="BB187" s="72">
        <v>88</v>
      </c>
      <c r="BC187" s="72">
        <v>88</v>
      </c>
      <c r="BD187" s="72">
        <v>88</v>
      </c>
      <c r="BE187" s="72">
        <v>88</v>
      </c>
      <c r="BF187" s="72">
        <v>88</v>
      </c>
      <c r="BG187" s="72">
        <v>88</v>
      </c>
      <c r="BH187" s="72">
        <v>88</v>
      </c>
      <c r="BI187" s="72">
        <v>88</v>
      </c>
      <c r="BJ187" s="72">
        <v>88</v>
      </c>
      <c r="BK187" s="72">
        <v>88</v>
      </c>
      <c r="BL187" s="72">
        <v>88</v>
      </c>
      <c r="BM187" s="72">
        <v>88</v>
      </c>
      <c r="BN187" s="72">
        <v>88</v>
      </c>
      <c r="BO187" s="72">
        <v>88</v>
      </c>
      <c r="BP187" s="72">
        <v>88</v>
      </c>
      <c r="BQ187" s="72">
        <v>88</v>
      </c>
      <c r="BR187" s="72">
        <v>88</v>
      </c>
      <c r="BS187" s="72">
        <v>88</v>
      </c>
      <c r="BT187" s="72">
        <v>88</v>
      </c>
      <c r="BU187" s="72">
        <v>88</v>
      </c>
      <c r="BV187" s="72">
        <v>88</v>
      </c>
      <c r="BW187" s="72">
        <v>88</v>
      </c>
      <c r="BX187" s="72">
        <v>88</v>
      </c>
      <c r="BY187" s="72">
        <v>88</v>
      </c>
      <c r="BZ187" s="72">
        <v>88</v>
      </c>
      <c r="CA187" s="72">
        <v>88</v>
      </c>
      <c r="CB187" s="72">
        <v>88</v>
      </c>
      <c r="CC187" s="72">
        <v>88</v>
      </c>
      <c r="CD187" s="72">
        <v>88</v>
      </c>
      <c r="CE187" s="72">
        <v>88</v>
      </c>
      <c r="CF187" s="72">
        <v>88</v>
      </c>
      <c r="CG187" s="72">
        <v>88</v>
      </c>
      <c r="CH187" s="72">
        <v>88</v>
      </c>
      <c r="CI187" s="72">
        <v>88</v>
      </c>
      <c r="CJ187" s="72">
        <v>88</v>
      </c>
      <c r="CK187" s="72">
        <v>87</v>
      </c>
      <c r="CL187" s="72">
        <v>87</v>
      </c>
      <c r="CM187" s="72">
        <v>87</v>
      </c>
      <c r="CN187" s="72">
        <v>87</v>
      </c>
      <c r="CO187" s="72">
        <v>87</v>
      </c>
      <c r="CP187" s="72">
        <v>87</v>
      </c>
      <c r="CQ187" s="72">
        <v>87</v>
      </c>
      <c r="CR187" s="72">
        <v>87</v>
      </c>
      <c r="CS187" s="72">
        <v>87</v>
      </c>
      <c r="CT187" s="72">
        <v>87</v>
      </c>
      <c r="CU187" s="72">
        <v>87</v>
      </c>
      <c r="CV187" s="72">
        <v>87</v>
      </c>
      <c r="CW187" s="72">
        <v>87</v>
      </c>
      <c r="CX187" s="72">
        <v>87</v>
      </c>
      <c r="CY187" s="72">
        <v>87</v>
      </c>
      <c r="CZ187" s="72">
        <v>87</v>
      </c>
      <c r="DA187" s="72">
        <v>87</v>
      </c>
      <c r="DB187" s="72">
        <v>87</v>
      </c>
      <c r="DC187" s="72">
        <v>87</v>
      </c>
      <c r="DD187" s="72">
        <v>87</v>
      </c>
      <c r="DE187" s="72">
        <v>87</v>
      </c>
      <c r="DF187" s="72">
        <v>87</v>
      </c>
      <c r="DG187" s="72">
        <v>87</v>
      </c>
      <c r="DH187" s="72">
        <v>87</v>
      </c>
      <c r="DI187" s="72">
        <v>87</v>
      </c>
      <c r="DJ187" s="72">
        <v>87</v>
      </c>
      <c r="DK187" s="72">
        <v>87</v>
      </c>
      <c r="DL187" s="72">
        <v>87</v>
      </c>
      <c r="DM187" s="72">
        <v>87</v>
      </c>
    </row>
    <row r="188" spans="1:117" x14ac:dyDescent="0.35">
      <c r="A188" s="7"/>
      <c r="B188" s="8" t="s">
        <v>349</v>
      </c>
      <c r="C188" s="9" t="s">
        <v>350</v>
      </c>
      <c r="D188" s="10" t="s">
        <v>92</v>
      </c>
      <c r="E188" s="8" t="s">
        <v>1205</v>
      </c>
      <c r="F188" s="10">
        <v>1104</v>
      </c>
      <c r="G188" s="10" t="s">
        <v>92</v>
      </c>
      <c r="H188" s="10" t="s">
        <v>41</v>
      </c>
      <c r="I188" s="11">
        <v>10</v>
      </c>
      <c r="J188" s="10"/>
      <c r="K188" s="10" t="s">
        <v>42</v>
      </c>
      <c r="L188" s="8"/>
      <c r="M188" s="12">
        <v>31.8</v>
      </c>
      <c r="N188" s="12">
        <f t="shared" si="2"/>
        <v>318</v>
      </c>
      <c r="O188" s="11">
        <v>10</v>
      </c>
      <c r="P188" s="11">
        <v>10</v>
      </c>
      <c r="Q188" s="11">
        <v>10</v>
      </c>
      <c r="R188" s="11">
        <v>10</v>
      </c>
      <c r="S188" s="11">
        <v>10</v>
      </c>
      <c r="T188" s="11">
        <v>10</v>
      </c>
      <c r="U188" s="11">
        <v>10</v>
      </c>
      <c r="V188" s="11">
        <v>10</v>
      </c>
      <c r="W188" s="11">
        <v>10</v>
      </c>
      <c r="X188" s="11">
        <v>10</v>
      </c>
      <c r="Y188" s="11">
        <v>10</v>
      </c>
      <c r="Z188" s="11">
        <v>10</v>
      </c>
      <c r="AA188" s="11">
        <v>10</v>
      </c>
      <c r="AB188" s="11">
        <v>10</v>
      </c>
      <c r="AC188" s="11">
        <v>10</v>
      </c>
      <c r="AD188" s="11">
        <v>10</v>
      </c>
      <c r="AE188" s="11">
        <v>10</v>
      </c>
      <c r="AF188" s="11">
        <v>10</v>
      </c>
      <c r="AG188" s="11">
        <v>10</v>
      </c>
      <c r="AH188" s="11">
        <v>10</v>
      </c>
      <c r="AI188" s="11">
        <v>10</v>
      </c>
      <c r="AJ188" s="11">
        <v>10</v>
      </c>
      <c r="AK188" s="11">
        <v>10</v>
      </c>
      <c r="AL188" s="11">
        <v>10</v>
      </c>
      <c r="AM188" s="11">
        <v>10</v>
      </c>
      <c r="AN188" s="72">
        <v>10</v>
      </c>
      <c r="AO188" s="72">
        <v>10</v>
      </c>
      <c r="AP188" s="72">
        <v>10</v>
      </c>
      <c r="AQ188" s="72">
        <v>10</v>
      </c>
      <c r="AR188" s="72">
        <v>10</v>
      </c>
      <c r="AS188" s="72">
        <v>10</v>
      </c>
      <c r="AT188" s="72">
        <v>10</v>
      </c>
      <c r="AU188" s="72">
        <v>10</v>
      </c>
      <c r="AV188" s="72">
        <v>10</v>
      </c>
      <c r="AW188" s="72">
        <v>10</v>
      </c>
      <c r="AX188" s="72">
        <v>10</v>
      </c>
      <c r="AY188" s="72">
        <v>10</v>
      </c>
      <c r="AZ188" s="72">
        <v>10</v>
      </c>
      <c r="BA188" s="72">
        <v>10</v>
      </c>
      <c r="BB188" s="72">
        <v>10</v>
      </c>
      <c r="BC188" s="72">
        <v>10</v>
      </c>
      <c r="BD188" s="72">
        <v>10</v>
      </c>
      <c r="BE188" s="72">
        <v>10</v>
      </c>
      <c r="BF188" s="72">
        <v>10</v>
      </c>
      <c r="BG188" s="72">
        <v>10</v>
      </c>
      <c r="BH188" s="72">
        <v>10</v>
      </c>
      <c r="BI188" s="72">
        <v>10</v>
      </c>
      <c r="BJ188" s="72">
        <v>10</v>
      </c>
      <c r="BK188" s="72">
        <v>10</v>
      </c>
      <c r="BL188" s="72">
        <v>10</v>
      </c>
      <c r="BM188" s="72">
        <v>10</v>
      </c>
      <c r="BN188" s="72">
        <v>10</v>
      </c>
      <c r="BO188" s="72">
        <v>10</v>
      </c>
      <c r="BP188" s="72">
        <v>10</v>
      </c>
      <c r="BQ188" s="72">
        <v>10</v>
      </c>
      <c r="BR188" s="72">
        <v>10</v>
      </c>
      <c r="BS188" s="72">
        <v>10</v>
      </c>
      <c r="BT188" s="72">
        <v>10</v>
      </c>
      <c r="BU188" s="72">
        <v>10</v>
      </c>
      <c r="BV188" s="72">
        <v>10</v>
      </c>
      <c r="BW188" s="72">
        <v>10</v>
      </c>
      <c r="BX188" s="72">
        <v>10</v>
      </c>
      <c r="BY188" s="72">
        <v>10</v>
      </c>
      <c r="BZ188" s="72">
        <v>10</v>
      </c>
      <c r="CA188" s="72">
        <v>10</v>
      </c>
      <c r="CB188" s="72">
        <v>10</v>
      </c>
      <c r="CC188" s="72">
        <v>10</v>
      </c>
      <c r="CD188" s="72">
        <v>10</v>
      </c>
      <c r="CE188" s="72">
        <v>10</v>
      </c>
      <c r="CF188" s="72">
        <v>10</v>
      </c>
      <c r="CG188" s="72">
        <v>10</v>
      </c>
      <c r="CH188" s="72">
        <v>10</v>
      </c>
      <c r="CI188" s="72">
        <v>10</v>
      </c>
      <c r="CJ188" s="72">
        <v>10</v>
      </c>
      <c r="CK188" s="72">
        <v>10</v>
      </c>
      <c r="CL188" s="72">
        <v>10</v>
      </c>
      <c r="CM188" s="72">
        <v>10</v>
      </c>
      <c r="CN188" s="72">
        <v>10</v>
      </c>
      <c r="CO188" s="72">
        <v>10</v>
      </c>
      <c r="CP188" s="72">
        <v>10</v>
      </c>
      <c r="CQ188" s="72">
        <v>10</v>
      </c>
      <c r="CR188" s="72">
        <v>10</v>
      </c>
      <c r="CS188" s="72">
        <v>10</v>
      </c>
      <c r="CT188" s="72">
        <v>10</v>
      </c>
      <c r="CU188" s="72">
        <v>10</v>
      </c>
      <c r="CV188" s="72">
        <v>10</v>
      </c>
      <c r="CW188" s="72">
        <v>10</v>
      </c>
      <c r="CX188" s="72">
        <v>10</v>
      </c>
      <c r="CY188" s="72">
        <v>10</v>
      </c>
      <c r="CZ188" s="72">
        <v>10</v>
      </c>
      <c r="DA188" s="72">
        <v>10</v>
      </c>
      <c r="DB188" s="72">
        <v>10</v>
      </c>
      <c r="DC188" s="72">
        <v>10</v>
      </c>
      <c r="DD188" s="72">
        <v>10</v>
      </c>
      <c r="DE188" s="72">
        <v>10</v>
      </c>
      <c r="DF188" s="72">
        <v>10</v>
      </c>
      <c r="DG188" s="72">
        <v>10</v>
      </c>
      <c r="DH188" s="72">
        <v>10</v>
      </c>
      <c r="DI188" s="72">
        <v>10</v>
      </c>
      <c r="DJ188" s="72">
        <v>10</v>
      </c>
      <c r="DK188" s="72">
        <v>10</v>
      </c>
      <c r="DL188" s="72">
        <v>10</v>
      </c>
      <c r="DM188" s="72">
        <v>10</v>
      </c>
    </row>
    <row r="189" spans="1:117" x14ac:dyDescent="0.35">
      <c r="A189" s="7"/>
      <c r="B189" s="8" t="s">
        <v>351</v>
      </c>
      <c r="C189" s="9" t="s">
        <v>352</v>
      </c>
      <c r="D189" s="10" t="s">
        <v>92</v>
      </c>
      <c r="E189" s="8" t="s">
        <v>1218</v>
      </c>
      <c r="F189" s="10">
        <v>1102</v>
      </c>
      <c r="G189" s="10" t="s">
        <v>92</v>
      </c>
      <c r="H189" s="10" t="s">
        <v>41</v>
      </c>
      <c r="I189" s="11">
        <v>39</v>
      </c>
      <c r="J189" s="10">
        <v>2</v>
      </c>
      <c r="K189" s="10" t="s">
        <v>42</v>
      </c>
      <c r="L189" s="8" t="s">
        <v>206</v>
      </c>
      <c r="M189" s="12">
        <v>22.2</v>
      </c>
      <c r="N189" s="12">
        <f t="shared" si="2"/>
        <v>0</v>
      </c>
      <c r="O189" s="11">
        <v>94</v>
      </c>
      <c r="P189" s="11">
        <v>94</v>
      </c>
      <c r="Q189" s="11">
        <v>94</v>
      </c>
      <c r="R189" s="11">
        <v>86</v>
      </c>
      <c r="S189" s="11">
        <v>86</v>
      </c>
      <c r="T189" s="11">
        <v>86</v>
      </c>
      <c r="U189" s="11">
        <v>82</v>
      </c>
      <c r="V189" s="11">
        <v>82</v>
      </c>
      <c r="W189" s="11">
        <v>82</v>
      </c>
      <c r="X189" s="11">
        <v>82</v>
      </c>
      <c r="Y189" s="11">
        <v>82</v>
      </c>
      <c r="Z189" s="11">
        <v>82</v>
      </c>
      <c r="AA189" s="11">
        <v>82</v>
      </c>
      <c r="AB189" s="11">
        <v>82</v>
      </c>
      <c r="AC189" s="11">
        <v>82</v>
      </c>
      <c r="AD189" s="11">
        <v>82</v>
      </c>
      <c r="AE189" s="11">
        <v>82</v>
      </c>
      <c r="AF189" s="11">
        <v>82</v>
      </c>
      <c r="AG189" s="11">
        <v>82</v>
      </c>
      <c r="AH189" s="11">
        <v>82</v>
      </c>
      <c r="AI189" s="11">
        <v>81</v>
      </c>
      <c r="AJ189" s="11">
        <v>39</v>
      </c>
      <c r="AK189" s="11">
        <v>38</v>
      </c>
      <c r="AL189" s="11">
        <v>37</v>
      </c>
      <c r="AM189" s="11">
        <v>37</v>
      </c>
      <c r="AN189" s="72">
        <v>37</v>
      </c>
      <c r="AO189" s="72">
        <v>27</v>
      </c>
      <c r="AP189" s="72">
        <v>29</v>
      </c>
      <c r="AQ189" s="72">
        <v>29</v>
      </c>
      <c r="AR189" s="72">
        <v>25</v>
      </c>
      <c r="AS189" s="72">
        <v>11</v>
      </c>
      <c r="AT189" s="72">
        <v>9</v>
      </c>
      <c r="AU189" s="72">
        <v>34</v>
      </c>
      <c r="AV189" s="72">
        <v>30</v>
      </c>
      <c r="AW189" s="72">
        <v>28</v>
      </c>
      <c r="AX189" s="72">
        <v>28</v>
      </c>
      <c r="AY189" s="72">
        <v>28</v>
      </c>
      <c r="AZ189" s="72">
        <v>28</v>
      </c>
      <c r="BA189" s="72">
        <v>24</v>
      </c>
      <c r="BB189" s="72">
        <v>22</v>
      </c>
      <c r="BC189" s="72">
        <v>22</v>
      </c>
      <c r="BD189" s="72">
        <v>23</v>
      </c>
      <c r="BE189" s="72">
        <v>23</v>
      </c>
      <c r="BF189" s="72">
        <v>23</v>
      </c>
      <c r="BG189" s="72">
        <v>23</v>
      </c>
      <c r="BH189" s="72">
        <v>11</v>
      </c>
      <c r="BI189" s="72">
        <v>8</v>
      </c>
      <c r="BJ189" s="72">
        <v>8</v>
      </c>
      <c r="BK189" s="72">
        <v>8</v>
      </c>
      <c r="BL189" s="72">
        <v>8</v>
      </c>
      <c r="BM189" s="72">
        <v>8</v>
      </c>
      <c r="BN189" s="72">
        <v>8</v>
      </c>
      <c r="BO189" s="72">
        <v>8</v>
      </c>
      <c r="BP189" s="72">
        <v>8</v>
      </c>
      <c r="BQ189" s="72">
        <v>7</v>
      </c>
      <c r="BR189" s="72">
        <v>0</v>
      </c>
      <c r="BS189" s="72">
        <v>0</v>
      </c>
      <c r="BT189" s="72">
        <v>0</v>
      </c>
      <c r="BU189" s="72">
        <v>0</v>
      </c>
      <c r="BV189" s="72">
        <v>0</v>
      </c>
      <c r="BW189" s="72">
        <v>0</v>
      </c>
      <c r="BX189" s="72">
        <v>0</v>
      </c>
      <c r="BY189" s="72">
        <v>0</v>
      </c>
      <c r="BZ189" s="72">
        <v>0</v>
      </c>
      <c r="CA189" s="72">
        <v>0</v>
      </c>
      <c r="CB189" s="72">
        <v>0</v>
      </c>
      <c r="CC189" s="72">
        <v>0</v>
      </c>
      <c r="CD189" s="72">
        <v>0</v>
      </c>
      <c r="CE189" s="72">
        <v>0</v>
      </c>
      <c r="CF189" s="72">
        <v>0</v>
      </c>
      <c r="CG189" s="72">
        <v>0</v>
      </c>
      <c r="CH189" s="72">
        <v>0</v>
      </c>
      <c r="CI189" s="72">
        <v>0</v>
      </c>
      <c r="CJ189" s="72">
        <v>0</v>
      </c>
      <c r="CK189" s="72">
        <v>0</v>
      </c>
      <c r="CL189" s="72">
        <v>0</v>
      </c>
      <c r="CM189" s="72">
        <v>0</v>
      </c>
      <c r="CN189" s="72">
        <v>0</v>
      </c>
      <c r="CO189" s="72">
        <v>0</v>
      </c>
      <c r="CP189" s="72">
        <v>0</v>
      </c>
      <c r="CQ189" s="72">
        <v>0</v>
      </c>
      <c r="CR189" s="72">
        <v>0</v>
      </c>
      <c r="CS189" s="72">
        <v>0</v>
      </c>
      <c r="CT189" s="72">
        <v>0</v>
      </c>
      <c r="CU189" s="72">
        <v>0</v>
      </c>
      <c r="CV189" s="72">
        <v>0</v>
      </c>
      <c r="CW189" s="72">
        <v>0</v>
      </c>
      <c r="CX189" s="72">
        <v>0</v>
      </c>
      <c r="CY189" s="72">
        <v>0</v>
      </c>
      <c r="CZ189" s="72">
        <v>0</v>
      </c>
      <c r="DA189" s="72">
        <v>0</v>
      </c>
      <c r="DB189" s="72">
        <v>0</v>
      </c>
      <c r="DC189" s="72">
        <v>0</v>
      </c>
      <c r="DD189" s="72">
        <v>0</v>
      </c>
      <c r="DE189" s="72">
        <v>0</v>
      </c>
      <c r="DF189" s="72">
        <v>0</v>
      </c>
      <c r="DG189" s="72">
        <v>0</v>
      </c>
      <c r="DH189" s="72">
        <v>0</v>
      </c>
      <c r="DI189" s="72">
        <v>0</v>
      </c>
      <c r="DJ189" s="72">
        <v>0</v>
      </c>
      <c r="DK189" s="72">
        <v>0</v>
      </c>
      <c r="DL189" s="72">
        <v>0</v>
      </c>
      <c r="DM189" s="72">
        <v>0</v>
      </c>
    </row>
    <row r="190" spans="1:117" x14ac:dyDescent="0.35">
      <c r="A190" s="7"/>
      <c r="B190" s="26" t="s">
        <v>353</v>
      </c>
      <c r="C190" s="27" t="s">
        <v>354</v>
      </c>
      <c r="D190" s="28" t="s">
        <v>92</v>
      </c>
      <c r="E190" s="26" t="s">
        <v>1218</v>
      </c>
      <c r="F190" s="10">
        <v>1102</v>
      </c>
      <c r="G190" s="28" t="s">
        <v>92</v>
      </c>
      <c r="H190" s="28" t="s">
        <v>41</v>
      </c>
      <c r="I190" s="29">
        <v>12</v>
      </c>
      <c r="J190" s="10">
        <v>2</v>
      </c>
      <c r="K190" s="10" t="s">
        <v>42</v>
      </c>
      <c r="L190" s="8" t="s">
        <v>206</v>
      </c>
      <c r="M190" s="12">
        <v>22.2</v>
      </c>
      <c r="N190" s="12">
        <f t="shared" si="2"/>
        <v>0</v>
      </c>
      <c r="O190" s="29">
        <v>40</v>
      </c>
      <c r="P190" s="29">
        <v>40</v>
      </c>
      <c r="Q190" s="29">
        <v>40</v>
      </c>
      <c r="R190" s="29">
        <v>38</v>
      </c>
      <c r="S190" s="29">
        <v>38</v>
      </c>
      <c r="T190" s="29">
        <v>38</v>
      </c>
      <c r="U190" s="29">
        <v>38</v>
      </c>
      <c r="V190" s="29">
        <v>38</v>
      </c>
      <c r="W190" s="29">
        <v>38</v>
      </c>
      <c r="X190" s="29">
        <v>38</v>
      </c>
      <c r="Y190" s="29">
        <v>20</v>
      </c>
      <c r="Z190" s="29">
        <v>20</v>
      </c>
      <c r="AA190" s="29">
        <v>20</v>
      </c>
      <c r="AB190" s="29">
        <v>20</v>
      </c>
      <c r="AC190" s="29">
        <v>20</v>
      </c>
      <c r="AD190" s="29">
        <v>20</v>
      </c>
      <c r="AE190" s="29">
        <v>20</v>
      </c>
      <c r="AF190" s="29">
        <v>20</v>
      </c>
      <c r="AG190" s="29">
        <v>20</v>
      </c>
      <c r="AH190" s="29">
        <v>20</v>
      </c>
      <c r="AI190" s="29">
        <v>20</v>
      </c>
      <c r="AJ190" s="29">
        <v>12</v>
      </c>
      <c r="AK190" s="29">
        <v>12</v>
      </c>
      <c r="AL190" s="29">
        <v>6</v>
      </c>
      <c r="AM190" s="29">
        <v>6</v>
      </c>
      <c r="AN190" s="75">
        <v>6</v>
      </c>
      <c r="AO190" s="75">
        <v>6</v>
      </c>
      <c r="AP190" s="75">
        <v>0</v>
      </c>
      <c r="AQ190" s="75">
        <v>0</v>
      </c>
      <c r="AR190" s="75">
        <v>0</v>
      </c>
      <c r="AS190" s="75">
        <v>0</v>
      </c>
      <c r="AT190" s="75">
        <v>0</v>
      </c>
      <c r="AU190" s="75">
        <v>0</v>
      </c>
      <c r="AV190" s="75">
        <v>0</v>
      </c>
      <c r="AW190" s="75">
        <v>0</v>
      </c>
      <c r="AX190" s="75">
        <v>0</v>
      </c>
      <c r="AY190" s="75">
        <v>0</v>
      </c>
      <c r="AZ190" s="75">
        <v>0</v>
      </c>
      <c r="BA190" s="75">
        <v>0</v>
      </c>
      <c r="BB190" s="75">
        <v>0</v>
      </c>
      <c r="BC190" s="75">
        <v>0</v>
      </c>
      <c r="BD190" s="75">
        <v>0</v>
      </c>
      <c r="BE190" s="75">
        <v>0</v>
      </c>
      <c r="BF190" s="75">
        <v>0</v>
      </c>
      <c r="BG190" s="75">
        <v>0</v>
      </c>
      <c r="BH190" s="75">
        <v>0</v>
      </c>
      <c r="BI190" s="75">
        <v>0</v>
      </c>
      <c r="BJ190" s="75">
        <v>0</v>
      </c>
      <c r="BK190" s="75">
        <v>0</v>
      </c>
      <c r="BL190" s="75">
        <v>0</v>
      </c>
      <c r="BM190" s="75">
        <v>0</v>
      </c>
      <c r="BN190" s="75">
        <v>0</v>
      </c>
      <c r="BO190" s="75">
        <v>0</v>
      </c>
      <c r="BP190" s="75">
        <v>0</v>
      </c>
      <c r="BQ190" s="75">
        <v>0</v>
      </c>
      <c r="BR190" s="75">
        <v>0</v>
      </c>
      <c r="BS190" s="75">
        <v>0</v>
      </c>
      <c r="BT190" s="75">
        <v>0</v>
      </c>
      <c r="BU190" s="75">
        <v>0</v>
      </c>
      <c r="BV190" s="75">
        <v>0</v>
      </c>
      <c r="BW190" s="75">
        <v>0</v>
      </c>
      <c r="BX190" s="75">
        <v>0</v>
      </c>
      <c r="BY190" s="75">
        <v>0</v>
      </c>
      <c r="BZ190" s="75">
        <v>0</v>
      </c>
      <c r="CA190" s="75">
        <v>0</v>
      </c>
      <c r="CB190" s="75">
        <v>0</v>
      </c>
      <c r="CC190" s="75">
        <v>0</v>
      </c>
      <c r="CD190" s="75">
        <v>0</v>
      </c>
      <c r="CE190" s="75">
        <v>0</v>
      </c>
      <c r="CF190" s="75">
        <v>0</v>
      </c>
      <c r="CG190" s="75">
        <v>0</v>
      </c>
      <c r="CH190" s="75">
        <v>0</v>
      </c>
      <c r="CI190" s="75">
        <v>0</v>
      </c>
      <c r="CJ190" s="75">
        <v>0</v>
      </c>
      <c r="CK190" s="75">
        <v>0</v>
      </c>
      <c r="CL190" s="75">
        <v>0</v>
      </c>
      <c r="CM190" s="75">
        <v>0</v>
      </c>
      <c r="CN190" s="75">
        <v>0</v>
      </c>
      <c r="CO190" s="75">
        <v>0</v>
      </c>
      <c r="CP190" s="75">
        <v>0</v>
      </c>
      <c r="CQ190" s="75">
        <v>0</v>
      </c>
      <c r="CR190" s="75">
        <v>0</v>
      </c>
      <c r="CS190" s="75">
        <v>0</v>
      </c>
      <c r="CT190" s="75">
        <v>0</v>
      </c>
      <c r="CU190" s="75">
        <v>0</v>
      </c>
      <c r="CV190" s="75">
        <v>0</v>
      </c>
      <c r="CW190" s="75">
        <v>0</v>
      </c>
      <c r="CX190" s="75">
        <v>0</v>
      </c>
      <c r="CY190" s="75">
        <v>0</v>
      </c>
      <c r="CZ190" s="75">
        <v>0</v>
      </c>
      <c r="DA190" s="75">
        <v>0</v>
      </c>
      <c r="DB190" s="75">
        <v>0</v>
      </c>
      <c r="DC190" s="75">
        <v>0</v>
      </c>
      <c r="DD190" s="75">
        <v>0</v>
      </c>
      <c r="DE190" s="75">
        <v>0</v>
      </c>
      <c r="DF190" s="75">
        <v>0</v>
      </c>
      <c r="DG190" s="75">
        <v>0</v>
      </c>
      <c r="DH190" s="75">
        <v>0</v>
      </c>
      <c r="DI190" s="75">
        <v>0</v>
      </c>
      <c r="DJ190" s="75">
        <v>0</v>
      </c>
      <c r="DK190" s="75">
        <v>0</v>
      </c>
      <c r="DL190" s="75">
        <v>0</v>
      </c>
      <c r="DM190" s="75">
        <v>0</v>
      </c>
    </row>
    <row r="191" spans="1:117" x14ac:dyDescent="0.35">
      <c r="A191" s="7"/>
      <c r="B191" s="26" t="s">
        <v>355</v>
      </c>
      <c r="C191" s="27" t="s">
        <v>356</v>
      </c>
      <c r="D191" s="28" t="s">
        <v>92</v>
      </c>
      <c r="E191" s="26" t="s">
        <v>1208</v>
      </c>
      <c r="F191" s="10">
        <v>1102</v>
      </c>
      <c r="G191" s="28" t="s">
        <v>92</v>
      </c>
      <c r="H191" s="28" t="s">
        <v>41</v>
      </c>
      <c r="I191" s="29">
        <v>238</v>
      </c>
      <c r="J191" s="10">
        <v>2</v>
      </c>
      <c r="K191" s="10" t="s">
        <v>42</v>
      </c>
      <c r="L191" s="8" t="s">
        <v>206</v>
      </c>
      <c r="M191" s="12">
        <v>1.9296000000000002</v>
      </c>
      <c r="N191" s="12">
        <f t="shared" si="2"/>
        <v>1.9296000000000002</v>
      </c>
      <c r="O191" s="29">
        <v>718</v>
      </c>
      <c r="P191" s="29">
        <v>720</v>
      </c>
      <c r="Q191" s="29">
        <v>720</v>
      </c>
      <c r="R191" s="29">
        <v>698</v>
      </c>
      <c r="S191" s="29">
        <v>697</v>
      </c>
      <c r="T191" s="29">
        <v>697</v>
      </c>
      <c r="U191" s="29">
        <v>695</v>
      </c>
      <c r="V191" s="29">
        <v>695</v>
      </c>
      <c r="W191" s="29">
        <v>685</v>
      </c>
      <c r="X191" s="29">
        <v>685</v>
      </c>
      <c r="Y191" s="29">
        <v>675</v>
      </c>
      <c r="Z191" s="29">
        <v>675</v>
      </c>
      <c r="AA191" s="29">
        <v>675</v>
      </c>
      <c r="AB191" s="29">
        <v>429</v>
      </c>
      <c r="AC191" s="29">
        <v>429</v>
      </c>
      <c r="AD191" s="29">
        <v>329</v>
      </c>
      <c r="AE191" s="29">
        <v>329</v>
      </c>
      <c r="AF191" s="29">
        <v>329</v>
      </c>
      <c r="AG191" s="29">
        <v>329</v>
      </c>
      <c r="AH191" s="29">
        <v>329</v>
      </c>
      <c r="AI191" s="29">
        <v>329</v>
      </c>
      <c r="AJ191" s="29">
        <v>238</v>
      </c>
      <c r="AK191" s="29">
        <v>238</v>
      </c>
      <c r="AL191" s="29">
        <v>236</v>
      </c>
      <c r="AM191" s="29">
        <v>236</v>
      </c>
      <c r="AN191" s="75">
        <v>230</v>
      </c>
      <c r="AO191" s="75">
        <v>230</v>
      </c>
      <c r="AP191" s="75">
        <v>230</v>
      </c>
      <c r="AQ191" s="75">
        <v>230</v>
      </c>
      <c r="AR191" s="75">
        <v>145</v>
      </c>
      <c r="AS191" s="75">
        <v>81</v>
      </c>
      <c r="AT191" s="75">
        <v>77</v>
      </c>
      <c r="AU191" s="75">
        <v>57</v>
      </c>
      <c r="AV191" s="75">
        <v>57</v>
      </c>
      <c r="AW191" s="75">
        <v>61</v>
      </c>
      <c r="AX191" s="75">
        <v>61</v>
      </c>
      <c r="AY191" s="75">
        <v>61</v>
      </c>
      <c r="AZ191" s="75">
        <v>61</v>
      </c>
      <c r="BA191" s="75">
        <v>61</v>
      </c>
      <c r="BB191" s="75">
        <v>57</v>
      </c>
      <c r="BC191" s="75">
        <v>57</v>
      </c>
      <c r="BD191" s="75">
        <v>57</v>
      </c>
      <c r="BE191" s="75">
        <v>57</v>
      </c>
      <c r="BF191" s="75">
        <v>57</v>
      </c>
      <c r="BG191" s="75">
        <v>57</v>
      </c>
      <c r="BH191" s="75">
        <v>57</v>
      </c>
      <c r="BI191" s="75">
        <v>57</v>
      </c>
      <c r="BJ191" s="75">
        <v>57</v>
      </c>
      <c r="BK191" s="75">
        <v>57</v>
      </c>
      <c r="BL191" s="75">
        <v>57</v>
      </c>
      <c r="BM191" s="75">
        <v>57</v>
      </c>
      <c r="BN191" s="75">
        <v>44</v>
      </c>
      <c r="BO191" s="75">
        <v>34</v>
      </c>
      <c r="BP191" s="75">
        <v>34</v>
      </c>
      <c r="BQ191" s="75">
        <v>17</v>
      </c>
      <c r="BR191" s="75">
        <v>9</v>
      </c>
      <c r="BS191" s="72">
        <f>9-19+21+2</f>
        <v>13</v>
      </c>
      <c r="BT191" s="72">
        <v>11</v>
      </c>
      <c r="BU191" s="72">
        <v>13</v>
      </c>
      <c r="BV191" s="72">
        <v>13</v>
      </c>
      <c r="BW191" s="72">
        <v>0</v>
      </c>
      <c r="BX191" s="72">
        <v>0</v>
      </c>
      <c r="BY191" s="72">
        <v>0</v>
      </c>
      <c r="BZ191" s="72">
        <v>0</v>
      </c>
      <c r="CA191" s="72">
        <v>0</v>
      </c>
      <c r="CB191" s="72">
        <v>0</v>
      </c>
      <c r="CC191" s="72">
        <v>0</v>
      </c>
      <c r="CD191" s="72">
        <v>0</v>
      </c>
      <c r="CE191" s="72">
        <v>0</v>
      </c>
      <c r="CF191" s="72">
        <v>0</v>
      </c>
      <c r="CG191" s="72">
        <v>0</v>
      </c>
      <c r="CH191" s="72">
        <v>0</v>
      </c>
      <c r="CI191" s="72">
        <v>0</v>
      </c>
      <c r="CJ191" s="72">
        <v>0</v>
      </c>
      <c r="CK191" s="72">
        <v>0</v>
      </c>
      <c r="CL191" s="72">
        <v>0</v>
      </c>
      <c r="CM191" s="72">
        <v>0</v>
      </c>
      <c r="CN191" s="72">
        <v>0</v>
      </c>
      <c r="CO191" s="72">
        <v>0</v>
      </c>
      <c r="CP191" s="72">
        <v>0</v>
      </c>
      <c r="CQ191" s="72">
        <v>0</v>
      </c>
      <c r="CR191" s="72">
        <v>0</v>
      </c>
      <c r="CS191" s="72">
        <v>0</v>
      </c>
      <c r="CT191" s="72">
        <v>0</v>
      </c>
      <c r="CU191" s="72">
        <v>0</v>
      </c>
      <c r="CV191" s="72">
        <v>0</v>
      </c>
      <c r="CW191" s="72">
        <v>0</v>
      </c>
      <c r="CX191" s="72">
        <v>0</v>
      </c>
      <c r="CY191" s="72">
        <v>0</v>
      </c>
      <c r="CZ191" s="72">
        <v>0</v>
      </c>
      <c r="DA191" s="72">
        <v>0</v>
      </c>
      <c r="DB191" s="72">
        <v>0</v>
      </c>
      <c r="DC191" s="72">
        <v>0</v>
      </c>
      <c r="DD191" s="72">
        <v>1</v>
      </c>
      <c r="DE191" s="72">
        <v>1</v>
      </c>
      <c r="DF191" s="72">
        <v>1</v>
      </c>
      <c r="DG191" s="72">
        <v>1</v>
      </c>
      <c r="DH191" s="72">
        <v>1</v>
      </c>
      <c r="DI191" s="72">
        <v>1</v>
      </c>
      <c r="DJ191" s="72">
        <v>1</v>
      </c>
      <c r="DK191" s="72">
        <v>1</v>
      </c>
      <c r="DL191" s="72">
        <v>1</v>
      </c>
      <c r="DM191" s="72">
        <v>1</v>
      </c>
    </row>
    <row r="192" spans="1:117" x14ac:dyDescent="0.35">
      <c r="A192" s="7"/>
      <c r="B192" s="8" t="s">
        <v>357</v>
      </c>
      <c r="C192" s="9" t="s">
        <v>358</v>
      </c>
      <c r="D192" s="10" t="s">
        <v>92</v>
      </c>
      <c r="E192" s="8" t="s">
        <v>1208</v>
      </c>
      <c r="F192" s="10">
        <v>1102</v>
      </c>
      <c r="G192" s="10" t="s">
        <v>92</v>
      </c>
      <c r="H192" s="10" t="s">
        <v>41</v>
      </c>
      <c r="I192" s="11">
        <v>492</v>
      </c>
      <c r="J192" s="10"/>
      <c r="K192" s="10"/>
      <c r="L192" s="8"/>
      <c r="M192" s="12">
        <v>2.0227200000000001</v>
      </c>
      <c r="N192" s="12">
        <f t="shared" si="2"/>
        <v>6.0681600000000007</v>
      </c>
      <c r="O192" s="11">
        <v>500</v>
      </c>
      <c r="P192" s="11">
        <v>500</v>
      </c>
      <c r="Q192" s="11">
        <v>500</v>
      </c>
      <c r="R192" s="11">
        <v>500</v>
      </c>
      <c r="S192" s="11">
        <v>500</v>
      </c>
      <c r="T192" s="11">
        <v>492</v>
      </c>
      <c r="U192" s="11">
        <v>492</v>
      </c>
      <c r="V192" s="11">
        <v>492</v>
      </c>
      <c r="W192" s="11">
        <v>492</v>
      </c>
      <c r="X192" s="11">
        <v>492</v>
      </c>
      <c r="Y192" s="11">
        <v>492</v>
      </c>
      <c r="Z192" s="11">
        <v>492</v>
      </c>
      <c r="AA192" s="11">
        <v>492</v>
      </c>
      <c r="AB192" s="11">
        <v>492</v>
      </c>
      <c r="AC192" s="11">
        <v>492</v>
      </c>
      <c r="AD192" s="11">
        <v>492</v>
      </c>
      <c r="AE192" s="11">
        <v>492</v>
      </c>
      <c r="AF192" s="11">
        <v>492</v>
      </c>
      <c r="AG192" s="11">
        <v>492</v>
      </c>
      <c r="AH192" s="11">
        <v>492</v>
      </c>
      <c r="AI192" s="11">
        <v>492</v>
      </c>
      <c r="AJ192" s="11">
        <v>492</v>
      </c>
      <c r="AK192" s="11">
        <v>492</v>
      </c>
      <c r="AL192" s="11">
        <v>492</v>
      </c>
      <c r="AM192" s="11">
        <v>492</v>
      </c>
      <c r="AN192" s="72">
        <v>492</v>
      </c>
      <c r="AO192" s="72">
        <v>492</v>
      </c>
      <c r="AP192" s="72">
        <v>492</v>
      </c>
      <c r="AQ192" s="72">
        <v>492</v>
      </c>
      <c r="AR192" s="72">
        <v>192</v>
      </c>
      <c r="AS192" s="72">
        <v>32</v>
      </c>
      <c r="AT192" s="72">
        <v>32</v>
      </c>
      <c r="AU192" s="72">
        <v>32</v>
      </c>
      <c r="AV192" s="72">
        <v>32</v>
      </c>
      <c r="AW192" s="72">
        <v>32</v>
      </c>
      <c r="AX192" s="72">
        <v>32</v>
      </c>
      <c r="AY192" s="72">
        <v>32</v>
      </c>
      <c r="AZ192" s="72">
        <v>32</v>
      </c>
      <c r="BA192" s="72">
        <v>32</v>
      </c>
      <c r="BB192" s="72">
        <v>32</v>
      </c>
      <c r="BC192" s="72">
        <v>32</v>
      </c>
      <c r="BD192" s="72">
        <v>32</v>
      </c>
      <c r="BE192" s="72">
        <v>32</v>
      </c>
      <c r="BF192" s="72">
        <v>32</v>
      </c>
      <c r="BG192" s="72">
        <v>32</v>
      </c>
      <c r="BH192" s="72">
        <v>32</v>
      </c>
      <c r="BI192" s="72">
        <v>32</v>
      </c>
      <c r="BJ192" s="72">
        <v>32</v>
      </c>
      <c r="BK192" s="72">
        <v>32</v>
      </c>
      <c r="BL192" s="72">
        <v>32</v>
      </c>
      <c r="BM192" s="72">
        <v>32</v>
      </c>
      <c r="BN192" s="72">
        <v>32</v>
      </c>
      <c r="BO192" s="72">
        <v>32</v>
      </c>
      <c r="BP192" s="72">
        <v>32</v>
      </c>
      <c r="BQ192" s="72">
        <v>32</v>
      </c>
      <c r="BR192" s="72">
        <v>24</v>
      </c>
      <c r="BS192" s="72">
        <v>10</v>
      </c>
      <c r="BT192" s="72">
        <v>1</v>
      </c>
      <c r="BU192" s="72">
        <v>10</v>
      </c>
      <c r="BV192" s="72">
        <v>8</v>
      </c>
      <c r="BW192" s="72">
        <v>3</v>
      </c>
      <c r="BX192" s="72">
        <v>3</v>
      </c>
      <c r="BY192" s="72">
        <v>3</v>
      </c>
      <c r="BZ192" s="72">
        <v>3</v>
      </c>
      <c r="CA192" s="72">
        <v>3</v>
      </c>
      <c r="CB192" s="72">
        <v>3</v>
      </c>
      <c r="CC192" s="72">
        <v>3</v>
      </c>
      <c r="CD192" s="72">
        <v>3</v>
      </c>
      <c r="CE192" s="72">
        <v>3</v>
      </c>
      <c r="CF192" s="72">
        <v>3</v>
      </c>
      <c r="CG192" s="72">
        <v>3</v>
      </c>
      <c r="CH192" s="72">
        <v>3</v>
      </c>
      <c r="CI192" s="72">
        <v>3</v>
      </c>
      <c r="CJ192" s="72">
        <v>3</v>
      </c>
      <c r="CK192" s="72">
        <v>3</v>
      </c>
      <c r="CL192" s="72">
        <v>3</v>
      </c>
      <c r="CM192" s="72">
        <v>3</v>
      </c>
      <c r="CN192" s="72">
        <v>3</v>
      </c>
      <c r="CO192" s="72">
        <v>0</v>
      </c>
      <c r="CP192" s="72">
        <v>0</v>
      </c>
      <c r="CQ192" s="72">
        <v>0</v>
      </c>
      <c r="CR192" s="72">
        <v>0</v>
      </c>
      <c r="CS192" s="72">
        <v>0</v>
      </c>
      <c r="CT192" s="72">
        <v>0</v>
      </c>
      <c r="CU192" s="72">
        <v>0</v>
      </c>
      <c r="CV192" s="72">
        <v>0</v>
      </c>
      <c r="CW192" s="72">
        <v>3</v>
      </c>
      <c r="CX192" s="72">
        <v>3</v>
      </c>
      <c r="CY192" s="72">
        <v>3</v>
      </c>
      <c r="CZ192" s="72">
        <v>3</v>
      </c>
      <c r="DA192" s="72">
        <v>3</v>
      </c>
      <c r="DB192" s="72">
        <v>3</v>
      </c>
      <c r="DC192" s="72">
        <v>3</v>
      </c>
      <c r="DD192" s="72">
        <v>3</v>
      </c>
      <c r="DE192" s="72">
        <v>3</v>
      </c>
      <c r="DF192" s="72">
        <v>3</v>
      </c>
      <c r="DG192" s="72">
        <v>3</v>
      </c>
      <c r="DH192" s="72">
        <v>3</v>
      </c>
      <c r="DI192" s="72">
        <v>3</v>
      </c>
      <c r="DJ192" s="72">
        <v>3</v>
      </c>
      <c r="DK192" s="72">
        <v>3</v>
      </c>
      <c r="DL192" s="72">
        <v>3</v>
      </c>
      <c r="DM192" s="72">
        <v>3</v>
      </c>
    </row>
    <row r="193" spans="1:117" x14ac:dyDescent="0.35">
      <c r="A193" s="7"/>
      <c r="B193" s="8" t="s">
        <v>359</v>
      </c>
      <c r="C193" s="9" t="s">
        <v>360</v>
      </c>
      <c r="D193" s="10" t="s">
        <v>92</v>
      </c>
      <c r="E193" s="8" t="s">
        <v>1208</v>
      </c>
      <c r="F193" s="10">
        <v>1102</v>
      </c>
      <c r="G193" s="10" t="s">
        <v>92</v>
      </c>
      <c r="H193" s="10" t="s">
        <v>41</v>
      </c>
      <c r="I193" s="11">
        <v>300</v>
      </c>
      <c r="J193" s="10"/>
      <c r="K193" s="10"/>
      <c r="L193" s="8"/>
      <c r="M193" s="12">
        <v>2.2089600000000003</v>
      </c>
      <c r="N193" s="12">
        <f t="shared" si="2"/>
        <v>583.1654400000001</v>
      </c>
      <c r="O193" s="11">
        <v>300</v>
      </c>
      <c r="P193" s="11">
        <v>300</v>
      </c>
      <c r="Q193" s="11">
        <v>300</v>
      </c>
      <c r="R193" s="11">
        <v>300</v>
      </c>
      <c r="S193" s="11">
        <v>300</v>
      </c>
      <c r="T193" s="11">
        <v>300</v>
      </c>
      <c r="U193" s="11">
        <v>300</v>
      </c>
      <c r="V193" s="11">
        <v>300</v>
      </c>
      <c r="W193" s="11">
        <v>300</v>
      </c>
      <c r="X193" s="11">
        <v>300</v>
      </c>
      <c r="Y193" s="11">
        <v>300</v>
      </c>
      <c r="Z193" s="11">
        <v>300</v>
      </c>
      <c r="AA193" s="11">
        <v>300</v>
      </c>
      <c r="AB193" s="11">
        <v>300</v>
      </c>
      <c r="AC193" s="11">
        <v>300</v>
      </c>
      <c r="AD193" s="11">
        <v>300</v>
      </c>
      <c r="AE193" s="11">
        <v>300</v>
      </c>
      <c r="AF193" s="11">
        <v>300</v>
      </c>
      <c r="AG193" s="11">
        <v>300</v>
      </c>
      <c r="AH193" s="11">
        <v>300</v>
      </c>
      <c r="AI193" s="11">
        <v>300</v>
      </c>
      <c r="AJ193" s="11">
        <v>300</v>
      </c>
      <c r="AK193" s="11">
        <v>300</v>
      </c>
      <c r="AL193" s="11">
        <v>300</v>
      </c>
      <c r="AM193" s="11">
        <v>300</v>
      </c>
      <c r="AN193" s="72">
        <v>300</v>
      </c>
      <c r="AO193" s="72">
        <v>300</v>
      </c>
      <c r="AP193" s="72">
        <v>300</v>
      </c>
      <c r="AQ193" s="72">
        <v>300</v>
      </c>
      <c r="AR193" s="72">
        <v>300</v>
      </c>
      <c r="AS193" s="72">
        <v>300</v>
      </c>
      <c r="AT193" s="72">
        <v>300</v>
      </c>
      <c r="AU193" s="72">
        <v>300</v>
      </c>
      <c r="AV193" s="72">
        <v>300</v>
      </c>
      <c r="AW193" s="72">
        <v>300</v>
      </c>
      <c r="AX193" s="72">
        <v>300</v>
      </c>
      <c r="AY193" s="72">
        <v>300</v>
      </c>
      <c r="AZ193" s="72">
        <v>300</v>
      </c>
      <c r="BA193" s="72">
        <v>300</v>
      </c>
      <c r="BB193" s="72">
        <v>300</v>
      </c>
      <c r="BC193" s="72">
        <v>300</v>
      </c>
      <c r="BD193" s="72">
        <v>300</v>
      </c>
      <c r="BE193" s="72">
        <v>300</v>
      </c>
      <c r="BF193" s="72">
        <v>300</v>
      </c>
      <c r="BG193" s="72">
        <v>300</v>
      </c>
      <c r="BH193" s="72">
        <v>300</v>
      </c>
      <c r="BI193" s="72">
        <v>300</v>
      </c>
      <c r="BJ193" s="72">
        <v>300</v>
      </c>
      <c r="BK193" s="72">
        <v>300</v>
      </c>
      <c r="BL193" s="72">
        <v>300</v>
      </c>
      <c r="BM193" s="72">
        <v>300</v>
      </c>
      <c r="BN193" s="72">
        <v>300</v>
      </c>
      <c r="BO193" s="72">
        <v>300</v>
      </c>
      <c r="BP193" s="72">
        <v>300</v>
      </c>
      <c r="BQ193" s="72">
        <v>299</v>
      </c>
      <c r="BR193" s="72">
        <v>298</v>
      </c>
      <c r="BS193" s="72">
        <v>298</v>
      </c>
      <c r="BT193" s="72">
        <v>298</v>
      </c>
      <c r="BU193" s="72">
        <v>298</v>
      </c>
      <c r="BV193" s="72">
        <v>298</v>
      </c>
      <c r="BW193" s="72">
        <v>298</v>
      </c>
      <c r="BX193" s="72">
        <v>298</v>
      </c>
      <c r="BY193" s="72">
        <v>298</v>
      </c>
      <c r="BZ193" s="72">
        <v>298</v>
      </c>
      <c r="CA193" s="72">
        <v>298</v>
      </c>
      <c r="CB193" s="72">
        <v>298</v>
      </c>
      <c r="CC193" s="72">
        <v>298</v>
      </c>
      <c r="CD193" s="72">
        <v>298</v>
      </c>
      <c r="CE193" s="72">
        <v>298</v>
      </c>
      <c r="CF193" s="72">
        <v>298</v>
      </c>
      <c r="CG193" s="72">
        <v>298</v>
      </c>
      <c r="CH193" s="72">
        <v>298</v>
      </c>
      <c r="CI193" s="72">
        <v>298</v>
      </c>
      <c r="CJ193" s="72">
        <v>298</v>
      </c>
      <c r="CK193" s="72">
        <v>298</v>
      </c>
      <c r="CL193" s="72">
        <v>298</v>
      </c>
      <c r="CM193" s="72">
        <v>298</v>
      </c>
      <c r="CN193" s="72">
        <v>298</v>
      </c>
      <c r="CO193" s="72">
        <v>293</v>
      </c>
      <c r="CP193" s="72">
        <v>293</v>
      </c>
      <c r="CQ193" s="72">
        <v>293</v>
      </c>
      <c r="CR193" s="72">
        <v>293</v>
      </c>
      <c r="CS193" s="72">
        <v>293</v>
      </c>
      <c r="CT193" s="72">
        <v>293</v>
      </c>
      <c r="CU193" s="72">
        <v>293</v>
      </c>
      <c r="CV193" s="72">
        <v>277</v>
      </c>
      <c r="CW193" s="72">
        <v>286</v>
      </c>
      <c r="CX193" s="72">
        <v>286</v>
      </c>
      <c r="CY193" s="72">
        <v>271</v>
      </c>
      <c r="CZ193" s="72">
        <v>271</v>
      </c>
      <c r="DA193" s="72">
        <v>271</v>
      </c>
      <c r="DB193" s="72">
        <v>271</v>
      </c>
      <c r="DC193" s="72">
        <v>270</v>
      </c>
      <c r="DD193" s="72">
        <v>271</v>
      </c>
      <c r="DE193" s="72">
        <v>271</v>
      </c>
      <c r="DF193" s="72">
        <v>271</v>
      </c>
      <c r="DG193" s="72">
        <v>271</v>
      </c>
      <c r="DH193" s="72">
        <v>271</v>
      </c>
      <c r="DI193" s="72">
        <v>271</v>
      </c>
      <c r="DJ193" s="72">
        <v>271</v>
      </c>
      <c r="DK193" s="72">
        <v>271</v>
      </c>
      <c r="DL193" s="72">
        <v>246</v>
      </c>
      <c r="DM193" s="72">
        <v>264</v>
      </c>
    </row>
    <row r="194" spans="1:117" x14ac:dyDescent="0.35">
      <c r="A194" s="7"/>
      <c r="B194" s="8" t="s">
        <v>361</v>
      </c>
      <c r="C194" s="9" t="s">
        <v>362</v>
      </c>
      <c r="D194" s="10" t="s">
        <v>92</v>
      </c>
      <c r="E194" s="8" t="s">
        <v>1208</v>
      </c>
      <c r="F194" s="10">
        <v>1102</v>
      </c>
      <c r="G194" s="10" t="s">
        <v>92</v>
      </c>
      <c r="H194" s="10" t="s">
        <v>41</v>
      </c>
      <c r="I194" s="11">
        <v>100</v>
      </c>
      <c r="J194" s="10"/>
      <c r="K194" s="10"/>
      <c r="L194" s="8"/>
      <c r="M194" s="12">
        <v>2.3835600000000001</v>
      </c>
      <c r="N194" s="12">
        <f t="shared" si="2"/>
        <v>197.83548000000002</v>
      </c>
      <c r="O194" s="11">
        <v>100</v>
      </c>
      <c r="P194" s="11">
        <v>100</v>
      </c>
      <c r="Q194" s="11">
        <v>100</v>
      </c>
      <c r="R194" s="11">
        <v>100</v>
      </c>
      <c r="S194" s="11">
        <v>100</v>
      </c>
      <c r="T194" s="11">
        <v>100</v>
      </c>
      <c r="U194" s="11">
        <v>100</v>
      </c>
      <c r="V194" s="11">
        <v>100</v>
      </c>
      <c r="W194" s="11">
        <v>100</v>
      </c>
      <c r="X194" s="11">
        <v>100</v>
      </c>
      <c r="Y194" s="11">
        <v>100</v>
      </c>
      <c r="Z194" s="11">
        <v>100</v>
      </c>
      <c r="AA194" s="11">
        <v>100</v>
      </c>
      <c r="AB194" s="11">
        <v>100</v>
      </c>
      <c r="AC194" s="11">
        <v>100</v>
      </c>
      <c r="AD194" s="11">
        <v>100</v>
      </c>
      <c r="AE194" s="11">
        <v>100</v>
      </c>
      <c r="AF194" s="11">
        <v>100</v>
      </c>
      <c r="AG194" s="11">
        <v>100</v>
      </c>
      <c r="AH194" s="11">
        <v>100</v>
      </c>
      <c r="AI194" s="11">
        <v>100</v>
      </c>
      <c r="AJ194" s="11">
        <v>100</v>
      </c>
      <c r="AK194" s="11">
        <v>100</v>
      </c>
      <c r="AL194" s="11">
        <v>100</v>
      </c>
      <c r="AM194" s="11">
        <v>100</v>
      </c>
      <c r="AN194" s="72">
        <v>100</v>
      </c>
      <c r="AO194" s="72">
        <v>100</v>
      </c>
      <c r="AP194" s="72">
        <v>100</v>
      </c>
      <c r="AQ194" s="72">
        <v>100</v>
      </c>
      <c r="AR194" s="72">
        <v>100</v>
      </c>
      <c r="AS194" s="72">
        <v>100</v>
      </c>
      <c r="AT194" s="72">
        <v>100</v>
      </c>
      <c r="AU194" s="72">
        <v>100</v>
      </c>
      <c r="AV194" s="72">
        <v>100</v>
      </c>
      <c r="AW194" s="72">
        <v>100</v>
      </c>
      <c r="AX194" s="72">
        <v>100</v>
      </c>
      <c r="AY194" s="72">
        <v>100</v>
      </c>
      <c r="AZ194" s="72">
        <v>100</v>
      </c>
      <c r="BA194" s="72">
        <v>100</v>
      </c>
      <c r="BB194" s="72">
        <v>100</v>
      </c>
      <c r="BC194" s="72">
        <v>100</v>
      </c>
      <c r="BD194" s="72">
        <v>100</v>
      </c>
      <c r="BE194" s="72">
        <v>100</v>
      </c>
      <c r="BF194" s="72">
        <v>100</v>
      </c>
      <c r="BG194" s="72">
        <v>100</v>
      </c>
      <c r="BH194" s="72">
        <v>100</v>
      </c>
      <c r="BI194" s="72">
        <v>100</v>
      </c>
      <c r="BJ194" s="72">
        <v>100</v>
      </c>
      <c r="BK194" s="72">
        <v>100</v>
      </c>
      <c r="BL194" s="72">
        <v>100</v>
      </c>
      <c r="BM194" s="72">
        <v>100</v>
      </c>
      <c r="BN194" s="72">
        <v>100</v>
      </c>
      <c r="BO194" s="72">
        <v>100</v>
      </c>
      <c r="BP194" s="72">
        <v>100</v>
      </c>
      <c r="BQ194" s="72">
        <v>97</v>
      </c>
      <c r="BR194" s="72">
        <v>95</v>
      </c>
      <c r="BS194" s="72">
        <v>100</v>
      </c>
      <c r="BT194" s="72">
        <v>95</v>
      </c>
      <c r="BU194" s="72">
        <v>100</v>
      </c>
      <c r="BV194" s="72">
        <v>100</v>
      </c>
      <c r="BW194" s="72">
        <v>100</v>
      </c>
      <c r="BX194" s="72">
        <v>100</v>
      </c>
      <c r="BY194" s="72">
        <v>100</v>
      </c>
      <c r="BZ194" s="72">
        <v>100</v>
      </c>
      <c r="CA194" s="72">
        <v>100</v>
      </c>
      <c r="CB194" s="72">
        <v>100</v>
      </c>
      <c r="CC194" s="72">
        <v>100</v>
      </c>
      <c r="CD194" s="72">
        <v>100</v>
      </c>
      <c r="CE194" s="72">
        <v>100</v>
      </c>
      <c r="CF194" s="72">
        <v>100</v>
      </c>
      <c r="CG194" s="72">
        <v>100</v>
      </c>
      <c r="CH194" s="72">
        <v>100</v>
      </c>
      <c r="CI194" s="72">
        <v>100</v>
      </c>
      <c r="CJ194" s="72">
        <v>100</v>
      </c>
      <c r="CK194" s="72">
        <v>100</v>
      </c>
      <c r="CL194" s="72">
        <v>100</v>
      </c>
      <c r="CM194" s="72">
        <v>100</v>
      </c>
      <c r="CN194" s="72">
        <v>100</v>
      </c>
      <c r="CO194" s="72">
        <v>100</v>
      </c>
      <c r="CP194" s="72">
        <v>100</v>
      </c>
      <c r="CQ194" s="72">
        <v>100</v>
      </c>
      <c r="CR194" s="72">
        <v>100</v>
      </c>
      <c r="CS194" s="72">
        <v>100</v>
      </c>
      <c r="CT194" s="72">
        <v>100</v>
      </c>
      <c r="CU194" s="72">
        <v>100</v>
      </c>
      <c r="CV194" s="72">
        <v>100</v>
      </c>
      <c r="CW194" s="72">
        <v>100</v>
      </c>
      <c r="CX194" s="72">
        <v>85</v>
      </c>
      <c r="CY194" s="72">
        <v>85</v>
      </c>
      <c r="CZ194" s="72">
        <v>85</v>
      </c>
      <c r="DA194" s="72">
        <v>85</v>
      </c>
      <c r="DB194" s="72">
        <v>85</v>
      </c>
      <c r="DC194" s="72">
        <v>85</v>
      </c>
      <c r="DD194" s="72">
        <v>85</v>
      </c>
      <c r="DE194" s="72">
        <v>85</v>
      </c>
      <c r="DF194" s="72">
        <v>85</v>
      </c>
      <c r="DG194" s="72">
        <v>85</v>
      </c>
      <c r="DH194" s="72">
        <v>85</v>
      </c>
      <c r="DI194" s="72">
        <v>85</v>
      </c>
      <c r="DJ194" s="72">
        <v>85</v>
      </c>
      <c r="DK194" s="72">
        <v>85</v>
      </c>
      <c r="DL194" s="72">
        <v>80</v>
      </c>
      <c r="DM194" s="72">
        <v>83</v>
      </c>
    </row>
    <row r="195" spans="1:117" x14ac:dyDescent="0.35">
      <c r="A195" s="7"/>
      <c r="B195" s="8" t="s">
        <v>363</v>
      </c>
      <c r="C195" s="9" t="s">
        <v>364</v>
      </c>
      <c r="D195" s="10" t="s">
        <v>92</v>
      </c>
      <c r="E195" s="8" t="s">
        <v>1208</v>
      </c>
      <c r="F195" s="10">
        <v>1102</v>
      </c>
      <c r="G195" s="10" t="s">
        <v>92</v>
      </c>
      <c r="H195" s="10" t="s">
        <v>41</v>
      </c>
      <c r="I195" s="11">
        <v>816</v>
      </c>
      <c r="J195" s="10">
        <v>2</v>
      </c>
      <c r="K195" s="10" t="s">
        <v>42</v>
      </c>
      <c r="L195" s="8" t="s">
        <v>206</v>
      </c>
      <c r="M195" s="12">
        <v>2.0809199999999999</v>
      </c>
      <c r="N195" s="12">
        <f t="shared" ref="N195:N258" si="5">M195*DM195</f>
        <v>1587.7419599999998</v>
      </c>
      <c r="O195" s="11">
        <v>932</v>
      </c>
      <c r="P195" s="11">
        <v>932</v>
      </c>
      <c r="Q195" s="11">
        <v>932</v>
      </c>
      <c r="R195" s="11">
        <v>930</v>
      </c>
      <c r="S195" s="11">
        <v>930</v>
      </c>
      <c r="T195" s="11">
        <v>930</v>
      </c>
      <c r="U195" s="11">
        <v>930</v>
      </c>
      <c r="V195" s="11">
        <v>930</v>
      </c>
      <c r="W195" s="11">
        <v>930</v>
      </c>
      <c r="X195" s="11">
        <v>930</v>
      </c>
      <c r="Y195" s="11">
        <v>930</v>
      </c>
      <c r="Z195" s="11">
        <v>930</v>
      </c>
      <c r="AA195" s="11">
        <v>930</v>
      </c>
      <c r="AB195" s="11">
        <v>930</v>
      </c>
      <c r="AC195" s="11">
        <v>930</v>
      </c>
      <c r="AD195" s="11">
        <v>930</v>
      </c>
      <c r="AE195" s="11">
        <v>878</v>
      </c>
      <c r="AF195" s="11">
        <v>878</v>
      </c>
      <c r="AG195" s="11">
        <v>878</v>
      </c>
      <c r="AH195" s="11">
        <v>878</v>
      </c>
      <c r="AI195" s="11">
        <v>854</v>
      </c>
      <c r="AJ195" s="11">
        <v>816</v>
      </c>
      <c r="AK195" s="11">
        <v>816</v>
      </c>
      <c r="AL195" s="11">
        <v>832</v>
      </c>
      <c r="AM195" s="11">
        <v>832</v>
      </c>
      <c r="AN195" s="72">
        <v>832</v>
      </c>
      <c r="AO195" s="72">
        <v>832</v>
      </c>
      <c r="AP195" s="72">
        <v>832</v>
      </c>
      <c r="AQ195" s="72">
        <v>832</v>
      </c>
      <c r="AR195" s="72">
        <v>832</v>
      </c>
      <c r="AS195" s="72">
        <v>832</v>
      </c>
      <c r="AT195" s="72">
        <v>832</v>
      </c>
      <c r="AU195" s="72">
        <v>824</v>
      </c>
      <c r="AV195" s="72">
        <v>811</v>
      </c>
      <c r="AW195" s="72">
        <v>803</v>
      </c>
      <c r="AX195" s="72">
        <v>803</v>
      </c>
      <c r="AY195" s="72">
        <v>803</v>
      </c>
      <c r="AZ195" s="72">
        <v>803</v>
      </c>
      <c r="BA195" s="72">
        <v>799</v>
      </c>
      <c r="BB195" s="72">
        <v>799</v>
      </c>
      <c r="BC195" s="72">
        <v>799</v>
      </c>
      <c r="BD195" s="72">
        <v>799</v>
      </c>
      <c r="BE195" s="72">
        <v>799</v>
      </c>
      <c r="BF195" s="72">
        <v>799</v>
      </c>
      <c r="BG195" s="72">
        <v>799</v>
      </c>
      <c r="BH195" s="72">
        <v>799</v>
      </c>
      <c r="BI195" s="72">
        <v>799</v>
      </c>
      <c r="BJ195" s="72">
        <v>799</v>
      </c>
      <c r="BK195" s="72">
        <v>799</v>
      </c>
      <c r="BL195" s="72">
        <v>799</v>
      </c>
      <c r="BM195" s="72">
        <v>799</v>
      </c>
      <c r="BN195" s="72">
        <v>799</v>
      </c>
      <c r="BO195" s="72">
        <v>799</v>
      </c>
      <c r="BP195" s="72">
        <v>799</v>
      </c>
      <c r="BQ195" s="72">
        <v>799</v>
      </c>
      <c r="BR195" s="72">
        <v>799</v>
      </c>
      <c r="BS195" s="72">
        <v>787</v>
      </c>
      <c r="BT195" s="72">
        <v>785</v>
      </c>
      <c r="BU195" s="72">
        <v>769</v>
      </c>
      <c r="BV195" s="72">
        <v>764</v>
      </c>
      <c r="BW195" s="72">
        <v>756</v>
      </c>
      <c r="BX195" s="72">
        <v>769</v>
      </c>
      <c r="BY195" s="72">
        <v>769</v>
      </c>
      <c r="BZ195" s="72">
        <v>769</v>
      </c>
      <c r="CA195" s="72">
        <v>769</v>
      </c>
      <c r="CB195" s="72">
        <v>769</v>
      </c>
      <c r="CC195" s="72">
        <v>769</v>
      </c>
      <c r="CD195" s="72">
        <v>769</v>
      </c>
      <c r="CE195" s="72">
        <v>769</v>
      </c>
      <c r="CF195" s="72">
        <v>769</v>
      </c>
      <c r="CG195" s="72">
        <v>769</v>
      </c>
      <c r="CH195" s="72">
        <v>769</v>
      </c>
      <c r="CI195" s="72">
        <v>769</v>
      </c>
      <c r="CJ195" s="72">
        <v>769</v>
      </c>
      <c r="CK195" s="72">
        <v>768</v>
      </c>
      <c r="CL195" s="72">
        <v>768</v>
      </c>
      <c r="CM195" s="72">
        <v>768</v>
      </c>
      <c r="CN195" s="72">
        <v>768</v>
      </c>
      <c r="CO195" s="72">
        <v>768</v>
      </c>
      <c r="CP195" s="72">
        <v>768</v>
      </c>
      <c r="CQ195" s="72">
        <v>768</v>
      </c>
      <c r="CR195" s="72">
        <v>768</v>
      </c>
      <c r="CS195" s="72">
        <v>768</v>
      </c>
      <c r="CT195" s="72">
        <v>768</v>
      </c>
      <c r="CU195" s="72">
        <v>768</v>
      </c>
      <c r="CV195" s="72">
        <v>766</v>
      </c>
      <c r="CW195" s="72">
        <v>766</v>
      </c>
      <c r="CX195" s="72">
        <v>768</v>
      </c>
      <c r="CY195" s="72">
        <v>768</v>
      </c>
      <c r="CZ195" s="72">
        <v>768</v>
      </c>
      <c r="DA195" s="72">
        <v>768</v>
      </c>
      <c r="DB195" s="72">
        <v>768</v>
      </c>
      <c r="DC195" s="72">
        <v>768</v>
      </c>
      <c r="DD195" s="72">
        <v>768</v>
      </c>
      <c r="DE195" s="72">
        <v>768</v>
      </c>
      <c r="DF195" s="72">
        <v>768</v>
      </c>
      <c r="DG195" s="72">
        <v>768</v>
      </c>
      <c r="DH195" s="72">
        <v>768</v>
      </c>
      <c r="DI195" s="72">
        <v>768</v>
      </c>
      <c r="DJ195" s="72">
        <v>768</v>
      </c>
      <c r="DK195" s="72">
        <v>763</v>
      </c>
      <c r="DL195" s="72">
        <v>763</v>
      </c>
      <c r="DM195" s="72">
        <v>763</v>
      </c>
    </row>
    <row r="196" spans="1:117" x14ac:dyDescent="0.35">
      <c r="A196" s="7"/>
      <c r="B196" s="8" t="s">
        <v>365</v>
      </c>
      <c r="C196" s="9" t="s">
        <v>366</v>
      </c>
      <c r="D196" s="10" t="s">
        <v>92</v>
      </c>
      <c r="E196" s="8" t="s">
        <v>1208</v>
      </c>
      <c r="F196" s="10">
        <v>1102</v>
      </c>
      <c r="G196" s="10" t="s">
        <v>92</v>
      </c>
      <c r="H196" s="10" t="s">
        <v>41</v>
      </c>
      <c r="I196" s="11">
        <v>492</v>
      </c>
      <c r="J196" s="10"/>
      <c r="K196" s="10"/>
      <c r="L196" s="8"/>
      <c r="M196" s="12">
        <v>2.2555199999999997</v>
      </c>
      <c r="N196" s="12">
        <f t="shared" si="5"/>
        <v>1073.6275199999998</v>
      </c>
      <c r="O196" s="11">
        <v>500</v>
      </c>
      <c r="P196" s="11">
        <v>500</v>
      </c>
      <c r="Q196" s="11">
        <v>500</v>
      </c>
      <c r="R196" s="11">
        <v>500</v>
      </c>
      <c r="S196" s="11">
        <v>500</v>
      </c>
      <c r="T196" s="11">
        <v>492</v>
      </c>
      <c r="U196" s="11">
        <v>492</v>
      </c>
      <c r="V196" s="11">
        <v>492</v>
      </c>
      <c r="W196" s="11">
        <v>492</v>
      </c>
      <c r="X196" s="11">
        <v>492</v>
      </c>
      <c r="Y196" s="11">
        <v>492</v>
      </c>
      <c r="Z196" s="11">
        <v>492</v>
      </c>
      <c r="AA196" s="11">
        <v>492</v>
      </c>
      <c r="AB196" s="11">
        <v>492</v>
      </c>
      <c r="AC196" s="11">
        <v>492</v>
      </c>
      <c r="AD196" s="11">
        <v>492</v>
      </c>
      <c r="AE196" s="11">
        <v>492</v>
      </c>
      <c r="AF196" s="11">
        <v>492</v>
      </c>
      <c r="AG196" s="11">
        <v>492</v>
      </c>
      <c r="AH196" s="11">
        <v>492</v>
      </c>
      <c r="AI196" s="11">
        <v>492</v>
      </c>
      <c r="AJ196" s="11">
        <v>492</v>
      </c>
      <c r="AK196" s="11">
        <v>492</v>
      </c>
      <c r="AL196" s="11">
        <v>492</v>
      </c>
      <c r="AM196" s="11">
        <v>492</v>
      </c>
      <c r="AN196" s="72">
        <v>492</v>
      </c>
      <c r="AO196" s="72">
        <v>492</v>
      </c>
      <c r="AP196" s="72">
        <v>492</v>
      </c>
      <c r="AQ196" s="72">
        <v>492</v>
      </c>
      <c r="AR196" s="72">
        <v>492</v>
      </c>
      <c r="AS196" s="72">
        <v>492</v>
      </c>
      <c r="AT196" s="72">
        <v>492</v>
      </c>
      <c r="AU196" s="72">
        <v>492</v>
      </c>
      <c r="AV196" s="72">
        <v>492</v>
      </c>
      <c r="AW196" s="72">
        <v>492</v>
      </c>
      <c r="AX196" s="72">
        <v>492</v>
      </c>
      <c r="AY196" s="72">
        <v>492</v>
      </c>
      <c r="AZ196" s="72">
        <v>492</v>
      </c>
      <c r="BA196" s="72">
        <v>492</v>
      </c>
      <c r="BB196" s="72">
        <v>492</v>
      </c>
      <c r="BC196" s="72">
        <v>492</v>
      </c>
      <c r="BD196" s="72">
        <v>492</v>
      </c>
      <c r="BE196" s="72">
        <v>492</v>
      </c>
      <c r="BF196" s="72">
        <v>492</v>
      </c>
      <c r="BG196" s="72">
        <v>492</v>
      </c>
      <c r="BH196" s="72">
        <v>492</v>
      </c>
      <c r="BI196" s="72">
        <v>492</v>
      </c>
      <c r="BJ196" s="72">
        <v>492</v>
      </c>
      <c r="BK196" s="72">
        <v>492</v>
      </c>
      <c r="BL196" s="72">
        <v>492</v>
      </c>
      <c r="BM196" s="72">
        <v>492</v>
      </c>
      <c r="BN196" s="72">
        <v>492</v>
      </c>
      <c r="BO196" s="72">
        <v>492</v>
      </c>
      <c r="BP196" s="72">
        <v>492</v>
      </c>
      <c r="BQ196" s="72">
        <v>486</v>
      </c>
      <c r="BR196" s="72">
        <v>486</v>
      </c>
      <c r="BS196" s="72">
        <v>486</v>
      </c>
      <c r="BT196" s="72">
        <v>486</v>
      </c>
      <c r="BU196" s="72">
        <v>486</v>
      </c>
      <c r="BV196" s="72">
        <v>486</v>
      </c>
      <c r="BW196" s="72">
        <v>486</v>
      </c>
      <c r="BX196" s="72">
        <v>486</v>
      </c>
      <c r="BY196" s="72">
        <v>486</v>
      </c>
      <c r="BZ196" s="72">
        <v>486</v>
      </c>
      <c r="CA196" s="72">
        <v>486</v>
      </c>
      <c r="CB196" s="72">
        <v>486</v>
      </c>
      <c r="CC196" s="72">
        <v>486</v>
      </c>
      <c r="CD196" s="72">
        <v>486</v>
      </c>
      <c r="CE196" s="72">
        <v>486</v>
      </c>
      <c r="CF196" s="72">
        <v>486</v>
      </c>
      <c r="CG196" s="72">
        <v>486</v>
      </c>
      <c r="CH196" s="72">
        <v>486</v>
      </c>
      <c r="CI196" s="72">
        <v>486</v>
      </c>
      <c r="CJ196" s="72">
        <v>486</v>
      </c>
      <c r="CK196" s="72">
        <v>486</v>
      </c>
      <c r="CL196" s="72">
        <v>486</v>
      </c>
      <c r="CM196" s="72">
        <v>486</v>
      </c>
      <c r="CN196" s="72">
        <v>486</v>
      </c>
      <c r="CO196" s="72">
        <v>486</v>
      </c>
      <c r="CP196" s="72">
        <v>486</v>
      </c>
      <c r="CQ196" s="72">
        <v>486</v>
      </c>
      <c r="CR196" s="72">
        <v>486</v>
      </c>
      <c r="CS196" s="72">
        <v>486</v>
      </c>
      <c r="CT196" s="72">
        <v>486</v>
      </c>
      <c r="CU196" s="72">
        <v>486</v>
      </c>
      <c r="CV196" s="72">
        <v>486</v>
      </c>
      <c r="CW196" s="72">
        <v>486</v>
      </c>
      <c r="CX196" s="72">
        <v>486</v>
      </c>
      <c r="CY196" s="72">
        <v>486</v>
      </c>
      <c r="CZ196" s="72">
        <v>486</v>
      </c>
      <c r="DA196" s="72">
        <v>486</v>
      </c>
      <c r="DB196" s="72">
        <v>486</v>
      </c>
      <c r="DC196" s="72">
        <v>484</v>
      </c>
      <c r="DD196" s="72">
        <v>486</v>
      </c>
      <c r="DE196" s="72">
        <v>486</v>
      </c>
      <c r="DF196" s="72">
        <v>486</v>
      </c>
      <c r="DG196" s="72">
        <v>486</v>
      </c>
      <c r="DH196" s="72">
        <v>486</v>
      </c>
      <c r="DI196" s="72">
        <v>486</v>
      </c>
      <c r="DJ196" s="72">
        <v>486</v>
      </c>
      <c r="DK196" s="72">
        <v>476</v>
      </c>
      <c r="DL196" s="72">
        <v>476</v>
      </c>
      <c r="DM196" s="72">
        <v>476</v>
      </c>
    </row>
    <row r="197" spans="1:117" x14ac:dyDescent="0.35">
      <c r="A197" s="7"/>
      <c r="B197" s="8" t="s">
        <v>367</v>
      </c>
      <c r="C197" s="9" t="s">
        <v>368</v>
      </c>
      <c r="D197" s="10" t="s">
        <v>92</v>
      </c>
      <c r="E197" s="8" t="s">
        <v>1208</v>
      </c>
      <c r="F197" s="10">
        <v>1102</v>
      </c>
      <c r="G197" s="10" t="s">
        <v>92</v>
      </c>
      <c r="H197" s="10" t="s">
        <v>41</v>
      </c>
      <c r="I197" s="11">
        <v>492</v>
      </c>
      <c r="J197" s="10"/>
      <c r="K197" s="10"/>
      <c r="L197" s="8"/>
      <c r="M197" s="12">
        <v>2.5930799999999996</v>
      </c>
      <c r="N197" s="12">
        <f t="shared" si="5"/>
        <v>1275.7953599999998</v>
      </c>
      <c r="O197" s="11">
        <v>300</v>
      </c>
      <c r="P197" s="11">
        <v>300</v>
      </c>
      <c r="Q197" s="11">
        <v>300</v>
      </c>
      <c r="R197" s="11">
        <v>300</v>
      </c>
      <c r="S197" s="11">
        <v>300</v>
      </c>
      <c r="T197" s="11">
        <v>300</v>
      </c>
      <c r="U197" s="11">
        <v>300</v>
      </c>
      <c r="V197" s="11">
        <v>300</v>
      </c>
      <c r="W197" s="11">
        <v>300</v>
      </c>
      <c r="X197" s="11">
        <v>300</v>
      </c>
      <c r="Y197" s="11">
        <v>300</v>
      </c>
      <c r="Z197" s="11">
        <v>300</v>
      </c>
      <c r="AA197" s="11">
        <v>300</v>
      </c>
      <c r="AB197" s="11">
        <v>300</v>
      </c>
      <c r="AC197" s="11">
        <v>300</v>
      </c>
      <c r="AD197" s="11">
        <v>300</v>
      </c>
      <c r="AE197" s="11">
        <v>300</v>
      </c>
      <c r="AF197" s="11">
        <v>300</v>
      </c>
      <c r="AG197" s="11">
        <v>300</v>
      </c>
      <c r="AH197" s="11">
        <v>300</v>
      </c>
      <c r="AI197" s="11">
        <v>300</v>
      </c>
      <c r="AJ197" s="11">
        <v>492</v>
      </c>
      <c r="AK197" s="11">
        <v>492</v>
      </c>
      <c r="AL197" s="11">
        <v>492</v>
      </c>
      <c r="AM197" s="11">
        <v>492</v>
      </c>
      <c r="AN197" s="72">
        <v>492</v>
      </c>
      <c r="AO197" s="72">
        <v>492</v>
      </c>
      <c r="AP197" s="72">
        <v>492</v>
      </c>
      <c r="AQ197" s="72">
        <v>492</v>
      </c>
      <c r="AR197" s="72">
        <v>492</v>
      </c>
      <c r="AS197" s="72">
        <v>492</v>
      </c>
      <c r="AT197" s="72">
        <v>492</v>
      </c>
      <c r="AU197" s="72">
        <v>492</v>
      </c>
      <c r="AV197" s="72">
        <v>492</v>
      </c>
      <c r="AW197" s="72">
        <v>492</v>
      </c>
      <c r="AX197" s="72">
        <v>492</v>
      </c>
      <c r="AY197" s="72">
        <v>492</v>
      </c>
      <c r="AZ197" s="72">
        <v>492</v>
      </c>
      <c r="BA197" s="72">
        <v>492</v>
      </c>
      <c r="BB197" s="72">
        <v>492</v>
      </c>
      <c r="BC197" s="72">
        <v>492</v>
      </c>
      <c r="BD197" s="72">
        <v>492</v>
      </c>
      <c r="BE197" s="72">
        <v>492</v>
      </c>
      <c r="BF197" s="72">
        <v>492</v>
      </c>
      <c r="BG197" s="72">
        <v>492</v>
      </c>
      <c r="BH197" s="72">
        <v>492</v>
      </c>
      <c r="BI197" s="72">
        <v>492</v>
      </c>
      <c r="BJ197" s="72">
        <v>492</v>
      </c>
      <c r="BK197" s="72">
        <v>492</v>
      </c>
      <c r="BL197" s="72">
        <v>492</v>
      </c>
      <c r="BM197" s="72">
        <v>492</v>
      </c>
      <c r="BN197" s="72">
        <v>492</v>
      </c>
      <c r="BO197" s="72">
        <v>492</v>
      </c>
      <c r="BP197" s="72">
        <v>492</v>
      </c>
      <c r="BQ197" s="72">
        <v>492</v>
      </c>
      <c r="BR197" s="72">
        <v>492</v>
      </c>
      <c r="BS197" s="72">
        <v>492</v>
      </c>
      <c r="BT197" s="72">
        <v>490</v>
      </c>
      <c r="BU197" s="72">
        <v>492</v>
      </c>
      <c r="BV197" s="72">
        <v>492</v>
      </c>
      <c r="BW197" s="72">
        <v>492</v>
      </c>
      <c r="BX197" s="72">
        <v>492</v>
      </c>
      <c r="BY197" s="72">
        <v>492</v>
      </c>
      <c r="BZ197" s="72">
        <v>492</v>
      </c>
      <c r="CA197" s="72">
        <v>492</v>
      </c>
      <c r="CB197" s="72">
        <v>492</v>
      </c>
      <c r="CC197" s="72">
        <v>492</v>
      </c>
      <c r="CD197" s="72">
        <v>492</v>
      </c>
      <c r="CE197" s="72">
        <v>492</v>
      </c>
      <c r="CF197" s="72">
        <v>492</v>
      </c>
      <c r="CG197" s="72">
        <v>492</v>
      </c>
      <c r="CH197" s="72">
        <v>492</v>
      </c>
      <c r="CI197" s="72">
        <v>492</v>
      </c>
      <c r="CJ197" s="72">
        <v>492</v>
      </c>
      <c r="CK197" s="72">
        <v>492</v>
      </c>
      <c r="CL197" s="72">
        <v>492</v>
      </c>
      <c r="CM197" s="72">
        <v>492</v>
      </c>
      <c r="CN197" s="72">
        <v>492</v>
      </c>
      <c r="CO197" s="72">
        <v>492</v>
      </c>
      <c r="CP197" s="72">
        <v>492</v>
      </c>
      <c r="CQ197" s="72">
        <v>492</v>
      </c>
      <c r="CR197" s="72">
        <v>492</v>
      </c>
      <c r="CS197" s="72">
        <v>492</v>
      </c>
      <c r="CT197" s="72">
        <v>492</v>
      </c>
      <c r="CU197" s="72">
        <v>492</v>
      </c>
      <c r="CV197" s="72">
        <v>492</v>
      </c>
      <c r="CW197" s="72">
        <v>492</v>
      </c>
      <c r="CX197" s="72">
        <v>492</v>
      </c>
      <c r="CY197" s="72">
        <v>492</v>
      </c>
      <c r="CZ197" s="72">
        <v>492</v>
      </c>
      <c r="DA197" s="72">
        <v>492</v>
      </c>
      <c r="DB197" s="72">
        <v>492</v>
      </c>
      <c r="DC197" s="72">
        <v>492</v>
      </c>
      <c r="DD197" s="72">
        <v>492</v>
      </c>
      <c r="DE197" s="72">
        <v>492</v>
      </c>
      <c r="DF197" s="72">
        <v>492</v>
      </c>
      <c r="DG197" s="72">
        <v>492</v>
      </c>
      <c r="DH197" s="72">
        <v>492</v>
      </c>
      <c r="DI197" s="72">
        <v>492</v>
      </c>
      <c r="DJ197" s="72">
        <v>492</v>
      </c>
      <c r="DK197" s="72">
        <v>492</v>
      </c>
      <c r="DL197" s="72">
        <v>492</v>
      </c>
      <c r="DM197" s="72">
        <v>492</v>
      </c>
    </row>
    <row r="198" spans="1:117" x14ac:dyDescent="0.35">
      <c r="A198" s="7"/>
      <c r="B198" s="8" t="s">
        <v>369</v>
      </c>
      <c r="C198" s="9" t="s">
        <v>370</v>
      </c>
      <c r="D198" s="10" t="s">
        <v>92</v>
      </c>
      <c r="E198" s="8" t="s">
        <v>1208</v>
      </c>
      <c r="F198" s="10">
        <v>1102</v>
      </c>
      <c r="G198" s="10" t="s">
        <v>92</v>
      </c>
      <c r="H198" s="10" t="s">
        <v>41</v>
      </c>
      <c r="I198" s="11">
        <v>100</v>
      </c>
      <c r="J198" s="10"/>
      <c r="K198" s="10"/>
      <c r="L198" s="8"/>
      <c r="M198" s="12">
        <v>2.9306400000000004</v>
      </c>
      <c r="N198" s="12">
        <f t="shared" si="5"/>
        <v>293.06400000000002</v>
      </c>
      <c r="O198" s="11">
        <v>100</v>
      </c>
      <c r="P198" s="11">
        <v>100</v>
      </c>
      <c r="Q198" s="11">
        <v>100</v>
      </c>
      <c r="R198" s="11">
        <v>100</v>
      </c>
      <c r="S198" s="11">
        <v>100</v>
      </c>
      <c r="T198" s="11">
        <v>100</v>
      </c>
      <c r="U198" s="11">
        <v>100</v>
      </c>
      <c r="V198" s="11">
        <v>100</v>
      </c>
      <c r="W198" s="11">
        <v>100</v>
      </c>
      <c r="X198" s="11">
        <v>100</v>
      </c>
      <c r="Y198" s="11">
        <v>100</v>
      </c>
      <c r="Z198" s="11">
        <v>100</v>
      </c>
      <c r="AA198" s="11">
        <v>100</v>
      </c>
      <c r="AB198" s="11">
        <v>100</v>
      </c>
      <c r="AC198" s="11">
        <v>100</v>
      </c>
      <c r="AD198" s="11">
        <v>100</v>
      </c>
      <c r="AE198" s="11">
        <v>100</v>
      </c>
      <c r="AF198" s="11">
        <v>100</v>
      </c>
      <c r="AG198" s="11">
        <v>100</v>
      </c>
      <c r="AH198" s="11">
        <v>100</v>
      </c>
      <c r="AI198" s="11">
        <v>100</v>
      </c>
      <c r="AJ198" s="11">
        <v>100</v>
      </c>
      <c r="AK198" s="11">
        <v>100</v>
      </c>
      <c r="AL198" s="11">
        <v>100</v>
      </c>
      <c r="AM198" s="11">
        <v>100</v>
      </c>
      <c r="AN198" s="72">
        <v>100</v>
      </c>
      <c r="AO198" s="72">
        <v>100</v>
      </c>
      <c r="AP198" s="72">
        <v>100</v>
      </c>
      <c r="AQ198" s="72">
        <v>100</v>
      </c>
      <c r="AR198" s="72">
        <v>100</v>
      </c>
      <c r="AS198" s="72">
        <v>100</v>
      </c>
      <c r="AT198" s="72">
        <v>100</v>
      </c>
      <c r="AU198" s="72">
        <v>100</v>
      </c>
      <c r="AV198" s="72">
        <v>100</v>
      </c>
      <c r="AW198" s="72">
        <v>100</v>
      </c>
      <c r="AX198" s="72">
        <v>100</v>
      </c>
      <c r="AY198" s="72">
        <v>100</v>
      </c>
      <c r="AZ198" s="72">
        <v>100</v>
      </c>
      <c r="BA198" s="72">
        <v>100</v>
      </c>
      <c r="BB198" s="72">
        <v>100</v>
      </c>
      <c r="BC198" s="72">
        <v>100</v>
      </c>
      <c r="BD198" s="72">
        <v>100</v>
      </c>
      <c r="BE198" s="72">
        <v>100</v>
      </c>
      <c r="BF198" s="72">
        <v>100</v>
      </c>
      <c r="BG198" s="72">
        <v>100</v>
      </c>
      <c r="BH198" s="72">
        <v>100</v>
      </c>
      <c r="BI198" s="72">
        <v>100</v>
      </c>
      <c r="BJ198" s="72">
        <v>100</v>
      </c>
      <c r="BK198" s="72">
        <v>100</v>
      </c>
      <c r="BL198" s="72">
        <v>100</v>
      </c>
      <c r="BM198" s="72">
        <v>100</v>
      </c>
      <c r="BN198" s="72">
        <v>100</v>
      </c>
      <c r="BO198" s="72">
        <v>100</v>
      </c>
      <c r="BP198" s="72">
        <v>100</v>
      </c>
      <c r="BQ198" s="72">
        <v>100</v>
      </c>
      <c r="BR198" s="72">
        <v>100</v>
      </c>
      <c r="BS198" s="72">
        <v>100</v>
      </c>
      <c r="BT198" s="72">
        <v>100</v>
      </c>
      <c r="BU198" s="72">
        <v>100</v>
      </c>
      <c r="BV198" s="72">
        <v>100</v>
      </c>
      <c r="BW198" s="72">
        <v>100</v>
      </c>
      <c r="BX198" s="72">
        <v>100</v>
      </c>
      <c r="BY198" s="72">
        <v>100</v>
      </c>
      <c r="BZ198" s="72">
        <v>100</v>
      </c>
      <c r="CA198" s="72">
        <v>100</v>
      </c>
      <c r="CB198" s="72">
        <v>100</v>
      </c>
      <c r="CC198" s="72">
        <v>100</v>
      </c>
      <c r="CD198" s="72">
        <v>100</v>
      </c>
      <c r="CE198" s="72">
        <v>100</v>
      </c>
      <c r="CF198" s="72">
        <v>100</v>
      </c>
      <c r="CG198" s="72">
        <v>100</v>
      </c>
      <c r="CH198" s="72">
        <v>100</v>
      </c>
      <c r="CI198" s="72">
        <v>100</v>
      </c>
      <c r="CJ198" s="72">
        <v>100</v>
      </c>
      <c r="CK198" s="72">
        <v>100</v>
      </c>
      <c r="CL198" s="72">
        <v>100</v>
      </c>
      <c r="CM198" s="72">
        <v>100</v>
      </c>
      <c r="CN198" s="72">
        <v>100</v>
      </c>
      <c r="CO198" s="72">
        <v>100</v>
      </c>
      <c r="CP198" s="72">
        <v>100</v>
      </c>
      <c r="CQ198" s="72">
        <v>100</v>
      </c>
      <c r="CR198" s="72">
        <v>100</v>
      </c>
      <c r="CS198" s="72">
        <v>100</v>
      </c>
      <c r="CT198" s="72">
        <v>100</v>
      </c>
      <c r="CU198" s="72">
        <v>100</v>
      </c>
      <c r="CV198" s="72">
        <v>100</v>
      </c>
      <c r="CW198" s="72">
        <v>100</v>
      </c>
      <c r="CX198" s="72">
        <v>100</v>
      </c>
      <c r="CY198" s="72">
        <v>100</v>
      </c>
      <c r="CZ198" s="72">
        <v>100</v>
      </c>
      <c r="DA198" s="72">
        <v>100</v>
      </c>
      <c r="DB198" s="72">
        <v>100</v>
      </c>
      <c r="DC198" s="72">
        <v>100</v>
      </c>
      <c r="DD198" s="72">
        <v>100</v>
      </c>
      <c r="DE198" s="72">
        <v>100</v>
      </c>
      <c r="DF198" s="72">
        <v>100</v>
      </c>
      <c r="DG198" s="72">
        <v>100</v>
      </c>
      <c r="DH198" s="72">
        <v>100</v>
      </c>
      <c r="DI198" s="72">
        <v>100</v>
      </c>
      <c r="DJ198" s="72">
        <v>100</v>
      </c>
      <c r="DK198" s="72">
        <v>100</v>
      </c>
      <c r="DL198" s="72">
        <v>100</v>
      </c>
      <c r="DM198" s="72">
        <v>100</v>
      </c>
    </row>
    <row r="199" spans="1:117" x14ac:dyDescent="0.35">
      <c r="A199" s="7"/>
      <c r="B199" s="8" t="s">
        <v>371</v>
      </c>
      <c r="C199" s="9" t="s">
        <v>372</v>
      </c>
      <c r="D199" s="10" t="s">
        <v>92</v>
      </c>
      <c r="E199" s="8" t="s">
        <v>1208</v>
      </c>
      <c r="F199" s="10">
        <v>1102</v>
      </c>
      <c r="G199" s="10" t="s">
        <v>92</v>
      </c>
      <c r="H199" s="10" t="s">
        <v>41</v>
      </c>
      <c r="I199" s="11">
        <v>657</v>
      </c>
      <c r="J199" s="10">
        <v>2</v>
      </c>
      <c r="K199" s="10" t="s">
        <v>42</v>
      </c>
      <c r="L199" s="8" t="s">
        <v>206</v>
      </c>
      <c r="M199" s="12">
        <v>2.4417599999999995</v>
      </c>
      <c r="N199" s="12">
        <f t="shared" si="5"/>
        <v>1191.5788799999998</v>
      </c>
      <c r="O199" s="11">
        <v>872</v>
      </c>
      <c r="P199" s="11">
        <v>872</v>
      </c>
      <c r="Q199" s="11">
        <v>862</v>
      </c>
      <c r="R199" s="11">
        <v>848</v>
      </c>
      <c r="S199" s="11">
        <v>848</v>
      </c>
      <c r="T199" s="11">
        <v>847</v>
      </c>
      <c r="U199" s="11">
        <v>827</v>
      </c>
      <c r="V199" s="11">
        <v>827</v>
      </c>
      <c r="W199" s="11">
        <v>827</v>
      </c>
      <c r="X199" s="11">
        <v>823</v>
      </c>
      <c r="Y199" s="11">
        <v>817</v>
      </c>
      <c r="Z199" s="11">
        <v>818</v>
      </c>
      <c r="AA199" s="11">
        <v>818</v>
      </c>
      <c r="AB199" s="11">
        <v>818</v>
      </c>
      <c r="AC199" s="11">
        <v>813</v>
      </c>
      <c r="AD199" s="11">
        <v>813</v>
      </c>
      <c r="AE199" s="11">
        <v>757</v>
      </c>
      <c r="AF199" s="11">
        <v>757</v>
      </c>
      <c r="AG199" s="11">
        <v>757</v>
      </c>
      <c r="AH199" s="11">
        <v>757</v>
      </c>
      <c r="AI199" s="11">
        <v>757</v>
      </c>
      <c r="AJ199" s="11">
        <v>657</v>
      </c>
      <c r="AK199" s="11">
        <v>657</v>
      </c>
      <c r="AL199" s="11">
        <v>656</v>
      </c>
      <c r="AM199" s="11">
        <v>656</v>
      </c>
      <c r="AN199" s="72">
        <v>656</v>
      </c>
      <c r="AO199" s="72">
        <v>656</v>
      </c>
      <c r="AP199" s="72">
        <v>656</v>
      </c>
      <c r="AQ199" s="72">
        <v>651</v>
      </c>
      <c r="AR199" s="72">
        <v>611</v>
      </c>
      <c r="AS199" s="72">
        <v>599</v>
      </c>
      <c r="AT199" s="72">
        <v>599</v>
      </c>
      <c r="AU199" s="72">
        <v>599</v>
      </c>
      <c r="AV199" s="72">
        <v>599</v>
      </c>
      <c r="AW199" s="72">
        <v>599</v>
      </c>
      <c r="AX199" s="72">
        <v>599</v>
      </c>
      <c r="AY199" s="72">
        <v>575</v>
      </c>
      <c r="AZ199" s="72">
        <v>575</v>
      </c>
      <c r="BA199" s="72">
        <v>523</v>
      </c>
      <c r="BB199" s="72">
        <v>493</v>
      </c>
      <c r="BC199" s="72">
        <v>493</v>
      </c>
      <c r="BD199" s="72">
        <v>494</v>
      </c>
      <c r="BE199" s="72">
        <v>494</v>
      </c>
      <c r="BF199" s="72">
        <v>494</v>
      </c>
      <c r="BG199" s="72">
        <v>494</v>
      </c>
      <c r="BH199" s="72">
        <v>488</v>
      </c>
      <c r="BI199" s="72">
        <v>488</v>
      </c>
      <c r="BJ199" s="72">
        <v>488</v>
      </c>
      <c r="BK199" s="72">
        <v>488</v>
      </c>
      <c r="BL199" s="72">
        <v>488</v>
      </c>
      <c r="BM199" s="72">
        <v>488</v>
      </c>
      <c r="BN199" s="72">
        <v>488</v>
      </c>
      <c r="BO199" s="72">
        <v>488</v>
      </c>
      <c r="BP199" s="72">
        <v>488</v>
      </c>
      <c r="BQ199" s="72">
        <v>493</v>
      </c>
      <c r="BR199" s="72">
        <v>493</v>
      </c>
      <c r="BS199" s="72">
        <v>493</v>
      </c>
      <c r="BT199" s="72">
        <v>493</v>
      </c>
      <c r="BU199" s="72">
        <v>493</v>
      </c>
      <c r="BV199" s="72">
        <v>493</v>
      </c>
      <c r="BW199" s="72">
        <v>493</v>
      </c>
      <c r="BX199" s="72">
        <v>493</v>
      </c>
      <c r="BY199" s="72">
        <v>493</v>
      </c>
      <c r="BZ199" s="72">
        <v>493</v>
      </c>
      <c r="CA199" s="72">
        <v>493</v>
      </c>
      <c r="CB199" s="72">
        <v>493</v>
      </c>
      <c r="CC199" s="72">
        <v>493</v>
      </c>
      <c r="CD199" s="72">
        <v>493</v>
      </c>
      <c r="CE199" s="72">
        <v>493</v>
      </c>
      <c r="CF199" s="72">
        <v>493</v>
      </c>
      <c r="CG199" s="72">
        <v>493</v>
      </c>
      <c r="CH199" s="72">
        <v>493</v>
      </c>
      <c r="CI199" s="72">
        <v>493</v>
      </c>
      <c r="CJ199" s="72">
        <v>493</v>
      </c>
      <c r="CK199" s="72">
        <v>493</v>
      </c>
      <c r="CL199" s="72">
        <v>493</v>
      </c>
      <c r="CM199" s="72">
        <v>493</v>
      </c>
      <c r="CN199" s="72">
        <v>493</v>
      </c>
      <c r="CO199" s="72">
        <v>493</v>
      </c>
      <c r="CP199" s="72">
        <v>493</v>
      </c>
      <c r="CQ199" s="72">
        <v>493</v>
      </c>
      <c r="CR199" s="72">
        <v>493</v>
      </c>
      <c r="CS199" s="72">
        <v>493</v>
      </c>
      <c r="CT199" s="72">
        <v>493</v>
      </c>
      <c r="CU199" s="72">
        <v>493</v>
      </c>
      <c r="CV199" s="72">
        <v>493</v>
      </c>
      <c r="CW199" s="72">
        <v>493</v>
      </c>
      <c r="CX199" s="72">
        <v>493</v>
      </c>
      <c r="CY199" s="72">
        <v>493</v>
      </c>
      <c r="CZ199" s="72">
        <v>493</v>
      </c>
      <c r="DA199" s="72">
        <v>493</v>
      </c>
      <c r="DB199" s="72">
        <v>493</v>
      </c>
      <c r="DC199" s="72">
        <v>493</v>
      </c>
      <c r="DD199" s="72">
        <v>493</v>
      </c>
      <c r="DE199" s="72">
        <v>493</v>
      </c>
      <c r="DF199" s="72">
        <v>493</v>
      </c>
      <c r="DG199" s="72">
        <v>493</v>
      </c>
      <c r="DH199" s="72">
        <v>493</v>
      </c>
      <c r="DI199" s="72">
        <v>493</v>
      </c>
      <c r="DJ199" s="72">
        <v>493</v>
      </c>
      <c r="DK199" s="72">
        <v>488</v>
      </c>
      <c r="DL199" s="72">
        <v>488</v>
      </c>
      <c r="DM199" s="72">
        <v>488</v>
      </c>
    </row>
    <row r="200" spans="1:117" x14ac:dyDescent="0.35">
      <c r="A200" s="7"/>
      <c r="B200" s="8" t="s">
        <v>373</v>
      </c>
      <c r="C200" s="9" t="s">
        <v>374</v>
      </c>
      <c r="D200" s="10" t="s">
        <v>92</v>
      </c>
      <c r="E200" s="8" t="s">
        <v>1208</v>
      </c>
      <c r="F200" s="10">
        <v>1102</v>
      </c>
      <c r="G200" s="10" t="s">
        <v>92</v>
      </c>
      <c r="H200" s="10" t="s">
        <v>41</v>
      </c>
      <c r="I200" s="11">
        <v>424</v>
      </c>
      <c r="J200" s="10"/>
      <c r="K200" s="10"/>
      <c r="L200" s="8"/>
      <c r="M200" s="12">
        <v>2.7909599999999997</v>
      </c>
      <c r="N200" s="12">
        <f t="shared" si="5"/>
        <v>842.86991999999987</v>
      </c>
      <c r="O200" s="11">
        <v>489</v>
      </c>
      <c r="P200" s="11">
        <v>483</v>
      </c>
      <c r="Q200" s="11">
        <v>483</v>
      </c>
      <c r="R200" s="11">
        <v>483</v>
      </c>
      <c r="S200" s="11">
        <v>483</v>
      </c>
      <c r="T200" s="11">
        <v>483</v>
      </c>
      <c r="U200" s="11">
        <v>483</v>
      </c>
      <c r="V200" s="11">
        <v>483</v>
      </c>
      <c r="W200" s="11">
        <v>483</v>
      </c>
      <c r="X200" s="11">
        <v>483</v>
      </c>
      <c r="Y200" s="11">
        <v>483</v>
      </c>
      <c r="Z200" s="11">
        <v>481</v>
      </c>
      <c r="AA200" s="11">
        <v>481</v>
      </c>
      <c r="AB200" s="11">
        <v>477</v>
      </c>
      <c r="AC200" s="11">
        <v>464</v>
      </c>
      <c r="AD200" s="11">
        <v>464</v>
      </c>
      <c r="AE200" s="11">
        <v>444</v>
      </c>
      <c r="AF200" s="11">
        <v>444</v>
      </c>
      <c r="AG200" s="11">
        <v>444</v>
      </c>
      <c r="AH200" s="11">
        <v>424</v>
      </c>
      <c r="AI200" s="11">
        <v>424</v>
      </c>
      <c r="AJ200" s="11">
        <v>424</v>
      </c>
      <c r="AK200" s="11">
        <v>424</v>
      </c>
      <c r="AL200" s="11">
        <v>422</v>
      </c>
      <c r="AM200" s="11">
        <v>424</v>
      </c>
      <c r="AN200" s="72">
        <v>419</v>
      </c>
      <c r="AO200" s="72">
        <v>419</v>
      </c>
      <c r="AP200" s="72">
        <v>419</v>
      </c>
      <c r="AQ200" s="72">
        <v>419</v>
      </c>
      <c r="AR200" s="72">
        <v>399</v>
      </c>
      <c r="AS200" s="72">
        <v>399</v>
      </c>
      <c r="AT200" s="72">
        <v>399</v>
      </c>
      <c r="AU200" s="72">
        <v>399</v>
      </c>
      <c r="AV200" s="72">
        <v>399</v>
      </c>
      <c r="AW200" s="72">
        <v>399</v>
      </c>
      <c r="AX200" s="72">
        <v>399</v>
      </c>
      <c r="AY200" s="72">
        <v>388</v>
      </c>
      <c r="AZ200" s="72">
        <v>388</v>
      </c>
      <c r="BA200" s="72">
        <v>388</v>
      </c>
      <c r="BB200" s="72">
        <v>358</v>
      </c>
      <c r="BC200" s="72">
        <v>358</v>
      </c>
      <c r="BD200" s="72">
        <v>377</v>
      </c>
      <c r="BE200" s="72">
        <v>377</v>
      </c>
      <c r="BF200" s="72">
        <v>377</v>
      </c>
      <c r="BG200" s="72">
        <v>377</v>
      </c>
      <c r="BH200" s="72">
        <v>377</v>
      </c>
      <c r="BI200" s="72">
        <v>374</v>
      </c>
      <c r="BJ200" s="72">
        <v>374</v>
      </c>
      <c r="BK200" s="72">
        <v>318</v>
      </c>
      <c r="BL200" s="72">
        <v>318</v>
      </c>
      <c r="BM200" s="72">
        <v>318</v>
      </c>
      <c r="BN200" s="72">
        <v>318</v>
      </c>
      <c r="BO200" s="72">
        <v>318</v>
      </c>
      <c r="BP200" s="72">
        <v>318</v>
      </c>
      <c r="BQ200" s="72">
        <v>318</v>
      </c>
      <c r="BR200" s="72">
        <v>318</v>
      </c>
      <c r="BS200" s="72">
        <v>318</v>
      </c>
      <c r="BT200" s="72">
        <v>318</v>
      </c>
      <c r="BU200" s="72">
        <v>318</v>
      </c>
      <c r="BV200" s="72">
        <v>318</v>
      </c>
      <c r="BW200" s="72">
        <v>318</v>
      </c>
      <c r="BX200" s="72">
        <v>318</v>
      </c>
      <c r="BY200" s="72">
        <v>312</v>
      </c>
      <c r="BZ200" s="72">
        <v>312</v>
      </c>
      <c r="CA200" s="72">
        <v>312</v>
      </c>
      <c r="CB200" s="72">
        <v>312</v>
      </c>
      <c r="CC200" s="72">
        <v>312</v>
      </c>
      <c r="CD200" s="72">
        <v>312</v>
      </c>
      <c r="CE200" s="72">
        <v>312</v>
      </c>
      <c r="CF200" s="72">
        <v>312</v>
      </c>
      <c r="CG200" s="72">
        <v>312</v>
      </c>
      <c r="CH200" s="72">
        <v>312</v>
      </c>
      <c r="CI200" s="72">
        <v>312</v>
      </c>
      <c r="CJ200" s="72">
        <v>312</v>
      </c>
      <c r="CK200" s="72">
        <v>312</v>
      </c>
      <c r="CL200" s="72">
        <v>312</v>
      </c>
      <c r="CM200" s="72">
        <v>312</v>
      </c>
      <c r="CN200" s="72">
        <v>312</v>
      </c>
      <c r="CO200" s="72">
        <v>312</v>
      </c>
      <c r="CP200" s="72">
        <v>312</v>
      </c>
      <c r="CQ200" s="72">
        <v>312</v>
      </c>
      <c r="CR200" s="72">
        <v>312</v>
      </c>
      <c r="CS200" s="72">
        <v>312</v>
      </c>
      <c r="CT200" s="72">
        <v>312</v>
      </c>
      <c r="CU200" s="72">
        <v>312</v>
      </c>
      <c r="CV200" s="72">
        <v>312</v>
      </c>
      <c r="CW200" s="72">
        <v>312</v>
      </c>
      <c r="CX200" s="72">
        <v>312</v>
      </c>
      <c r="CY200" s="72">
        <v>312</v>
      </c>
      <c r="CZ200" s="72">
        <v>312</v>
      </c>
      <c r="DA200" s="72">
        <v>312</v>
      </c>
      <c r="DB200" s="72">
        <v>312</v>
      </c>
      <c r="DC200" s="72">
        <v>310</v>
      </c>
      <c r="DD200" s="72">
        <v>312</v>
      </c>
      <c r="DE200" s="72">
        <v>312</v>
      </c>
      <c r="DF200" s="72">
        <v>312</v>
      </c>
      <c r="DG200" s="72">
        <v>312</v>
      </c>
      <c r="DH200" s="72">
        <v>312</v>
      </c>
      <c r="DI200" s="72">
        <v>312</v>
      </c>
      <c r="DJ200" s="72">
        <v>312</v>
      </c>
      <c r="DK200" s="72">
        <v>302</v>
      </c>
      <c r="DL200" s="72">
        <v>302</v>
      </c>
      <c r="DM200" s="72">
        <v>302</v>
      </c>
    </row>
    <row r="201" spans="1:117" x14ac:dyDescent="0.35">
      <c r="A201" s="7"/>
      <c r="B201" s="8" t="s">
        <v>375</v>
      </c>
      <c r="C201" s="9" t="s">
        <v>376</v>
      </c>
      <c r="D201" s="10" t="s">
        <v>92</v>
      </c>
      <c r="E201" s="8" t="s">
        <v>1208</v>
      </c>
      <c r="F201" s="10">
        <v>1102</v>
      </c>
      <c r="G201" s="10" t="s">
        <v>92</v>
      </c>
      <c r="H201" s="10" t="s">
        <v>41</v>
      </c>
      <c r="I201" s="11">
        <v>134</v>
      </c>
      <c r="J201" s="10"/>
      <c r="K201" s="10"/>
      <c r="L201" s="8"/>
      <c r="M201" s="12">
        <v>3.1401599999999998</v>
      </c>
      <c r="N201" s="12">
        <f t="shared" si="5"/>
        <v>320.29631999999998</v>
      </c>
      <c r="O201" s="11">
        <v>265</v>
      </c>
      <c r="P201" s="11">
        <v>256</v>
      </c>
      <c r="Q201" s="11">
        <v>256</v>
      </c>
      <c r="R201" s="11">
        <v>247</v>
      </c>
      <c r="S201" s="11">
        <v>247</v>
      </c>
      <c r="T201" s="11">
        <v>213</v>
      </c>
      <c r="U201" s="11">
        <v>213</v>
      </c>
      <c r="V201" s="11">
        <v>213</v>
      </c>
      <c r="W201" s="11">
        <v>213</v>
      </c>
      <c r="X201" s="11">
        <v>209</v>
      </c>
      <c r="Y201" s="11">
        <v>187</v>
      </c>
      <c r="Z201" s="11">
        <v>160</v>
      </c>
      <c r="AA201" s="11">
        <v>160</v>
      </c>
      <c r="AB201" s="11">
        <v>156</v>
      </c>
      <c r="AC201" s="11">
        <v>156</v>
      </c>
      <c r="AD201" s="11">
        <v>156</v>
      </c>
      <c r="AE201" s="11">
        <v>154</v>
      </c>
      <c r="AF201" s="11">
        <v>154</v>
      </c>
      <c r="AG201" s="11">
        <v>156</v>
      </c>
      <c r="AH201" s="11">
        <v>134</v>
      </c>
      <c r="AI201" s="11">
        <v>134</v>
      </c>
      <c r="AJ201" s="11">
        <v>134</v>
      </c>
      <c r="AK201" s="11">
        <v>134</v>
      </c>
      <c r="AL201" s="11">
        <v>134</v>
      </c>
      <c r="AM201" s="11">
        <v>134</v>
      </c>
      <c r="AN201" s="72">
        <v>134</v>
      </c>
      <c r="AO201" s="72">
        <v>134</v>
      </c>
      <c r="AP201" s="72">
        <v>134</v>
      </c>
      <c r="AQ201" s="72">
        <v>129</v>
      </c>
      <c r="AR201" s="72">
        <v>109</v>
      </c>
      <c r="AS201" s="72">
        <v>109</v>
      </c>
      <c r="AT201" s="72">
        <v>109</v>
      </c>
      <c r="AU201" s="72">
        <v>109</v>
      </c>
      <c r="AV201" s="72">
        <v>109</v>
      </c>
      <c r="AW201" s="72">
        <v>109</v>
      </c>
      <c r="AX201" s="72">
        <v>109</v>
      </c>
      <c r="AY201" s="72">
        <v>104</v>
      </c>
      <c r="AZ201" s="72">
        <v>104</v>
      </c>
      <c r="BA201" s="72">
        <v>104</v>
      </c>
      <c r="BB201" s="72">
        <v>84</v>
      </c>
      <c r="BC201" s="72">
        <v>84</v>
      </c>
      <c r="BD201" s="72">
        <v>104</v>
      </c>
      <c r="BE201" s="72">
        <v>104</v>
      </c>
      <c r="BF201" s="72">
        <v>102</v>
      </c>
      <c r="BG201" s="72">
        <v>102</v>
      </c>
      <c r="BH201" s="72">
        <v>104</v>
      </c>
      <c r="BI201" s="72">
        <v>104</v>
      </c>
      <c r="BJ201" s="72">
        <v>104</v>
      </c>
      <c r="BK201" s="72">
        <v>104</v>
      </c>
      <c r="BL201" s="72">
        <v>104</v>
      </c>
      <c r="BM201" s="72">
        <v>104</v>
      </c>
      <c r="BN201" s="72">
        <v>104</v>
      </c>
      <c r="BO201" s="72">
        <v>104</v>
      </c>
      <c r="BP201" s="72">
        <v>104</v>
      </c>
      <c r="BQ201" s="72">
        <v>104</v>
      </c>
      <c r="BR201" s="72">
        <v>104</v>
      </c>
      <c r="BS201" s="72">
        <v>104</v>
      </c>
      <c r="BT201" s="72">
        <v>104</v>
      </c>
      <c r="BU201" s="72">
        <v>104</v>
      </c>
      <c r="BV201" s="72">
        <v>104</v>
      </c>
      <c r="BW201" s="72">
        <v>104</v>
      </c>
      <c r="BX201" s="72">
        <v>104</v>
      </c>
      <c r="BY201" s="72">
        <v>102</v>
      </c>
      <c r="BZ201" s="72">
        <v>102</v>
      </c>
      <c r="CA201" s="72">
        <v>102</v>
      </c>
      <c r="CB201" s="72">
        <v>102</v>
      </c>
      <c r="CC201" s="72">
        <v>102</v>
      </c>
      <c r="CD201" s="72">
        <v>102</v>
      </c>
      <c r="CE201" s="72">
        <v>102</v>
      </c>
      <c r="CF201" s="72">
        <v>102</v>
      </c>
      <c r="CG201" s="72">
        <v>102</v>
      </c>
      <c r="CH201" s="72">
        <v>102</v>
      </c>
      <c r="CI201" s="72">
        <v>102</v>
      </c>
      <c r="CJ201" s="72">
        <v>102</v>
      </c>
      <c r="CK201" s="72">
        <v>102</v>
      </c>
      <c r="CL201" s="72">
        <v>102</v>
      </c>
      <c r="CM201" s="72">
        <v>102</v>
      </c>
      <c r="CN201" s="72">
        <v>102</v>
      </c>
      <c r="CO201" s="72">
        <v>102</v>
      </c>
      <c r="CP201" s="72">
        <v>102</v>
      </c>
      <c r="CQ201" s="72">
        <v>102</v>
      </c>
      <c r="CR201" s="72">
        <v>102</v>
      </c>
      <c r="CS201" s="72">
        <v>102</v>
      </c>
      <c r="CT201" s="72">
        <v>102</v>
      </c>
      <c r="CU201" s="72">
        <v>102</v>
      </c>
      <c r="CV201" s="72">
        <v>102</v>
      </c>
      <c r="CW201" s="72">
        <v>102</v>
      </c>
      <c r="CX201" s="72">
        <v>102</v>
      </c>
      <c r="CY201" s="72">
        <v>102</v>
      </c>
      <c r="CZ201" s="72">
        <v>102</v>
      </c>
      <c r="DA201" s="72">
        <v>102</v>
      </c>
      <c r="DB201" s="72">
        <v>102</v>
      </c>
      <c r="DC201" s="72">
        <v>102</v>
      </c>
      <c r="DD201" s="72">
        <v>102</v>
      </c>
      <c r="DE201" s="72">
        <v>102</v>
      </c>
      <c r="DF201" s="72">
        <v>102</v>
      </c>
      <c r="DG201" s="72">
        <v>102</v>
      </c>
      <c r="DH201" s="72">
        <v>102</v>
      </c>
      <c r="DI201" s="72">
        <v>102</v>
      </c>
      <c r="DJ201" s="72">
        <v>102</v>
      </c>
      <c r="DK201" s="72">
        <v>102</v>
      </c>
      <c r="DL201" s="72">
        <v>102</v>
      </c>
      <c r="DM201" s="72">
        <v>102</v>
      </c>
    </row>
    <row r="202" spans="1:117" x14ac:dyDescent="0.35">
      <c r="A202" s="7"/>
      <c r="B202" s="8" t="s">
        <v>377</v>
      </c>
      <c r="C202" s="9" t="s">
        <v>378</v>
      </c>
      <c r="D202" s="10" t="s">
        <v>92</v>
      </c>
      <c r="E202" s="8" t="s">
        <v>1208</v>
      </c>
      <c r="F202" s="10">
        <v>1102</v>
      </c>
      <c r="G202" s="10" t="s">
        <v>92</v>
      </c>
      <c r="H202" s="10" t="s">
        <v>41</v>
      </c>
      <c r="I202" s="11">
        <v>81</v>
      </c>
      <c r="J202" s="10"/>
      <c r="K202" s="10"/>
      <c r="L202" s="8"/>
      <c r="M202" s="12">
        <v>3.8385600000000002</v>
      </c>
      <c r="N202" s="12">
        <f t="shared" si="5"/>
        <v>291.73056000000003</v>
      </c>
      <c r="O202" s="11">
        <v>85</v>
      </c>
      <c r="P202" s="11">
        <v>85</v>
      </c>
      <c r="Q202" s="11">
        <v>85</v>
      </c>
      <c r="R202" s="11">
        <v>85</v>
      </c>
      <c r="S202" s="11">
        <v>85</v>
      </c>
      <c r="T202" s="11">
        <v>85</v>
      </c>
      <c r="U202" s="11">
        <v>85</v>
      </c>
      <c r="V202" s="11">
        <v>85</v>
      </c>
      <c r="W202" s="11">
        <v>81</v>
      </c>
      <c r="X202" s="11">
        <v>81</v>
      </c>
      <c r="Y202" s="11">
        <v>81</v>
      </c>
      <c r="Z202" s="11">
        <v>81</v>
      </c>
      <c r="AA202" s="11">
        <v>81</v>
      </c>
      <c r="AB202" s="11">
        <v>81</v>
      </c>
      <c r="AC202" s="11">
        <v>81</v>
      </c>
      <c r="AD202" s="11">
        <v>81</v>
      </c>
      <c r="AE202" s="11">
        <v>81</v>
      </c>
      <c r="AF202" s="11">
        <v>81</v>
      </c>
      <c r="AG202" s="11">
        <v>81</v>
      </c>
      <c r="AH202" s="11">
        <v>81</v>
      </c>
      <c r="AI202" s="11">
        <v>81</v>
      </c>
      <c r="AJ202" s="11">
        <v>81</v>
      </c>
      <c r="AK202" s="11">
        <v>81</v>
      </c>
      <c r="AL202" s="11">
        <v>81</v>
      </c>
      <c r="AM202" s="11">
        <v>81</v>
      </c>
      <c r="AN202" s="72">
        <v>81</v>
      </c>
      <c r="AO202" s="72">
        <v>81</v>
      </c>
      <c r="AP202" s="72">
        <v>81</v>
      </c>
      <c r="AQ202" s="72">
        <v>81</v>
      </c>
      <c r="AR202" s="72">
        <v>81</v>
      </c>
      <c r="AS202" s="72">
        <v>81</v>
      </c>
      <c r="AT202" s="72">
        <v>81</v>
      </c>
      <c r="AU202" s="72">
        <v>81</v>
      </c>
      <c r="AV202" s="72">
        <v>81</v>
      </c>
      <c r="AW202" s="72">
        <v>81</v>
      </c>
      <c r="AX202" s="72">
        <v>81</v>
      </c>
      <c r="AY202" s="72">
        <v>76</v>
      </c>
      <c r="AZ202" s="72">
        <v>76</v>
      </c>
      <c r="BA202" s="72">
        <v>76</v>
      </c>
      <c r="BB202" s="72">
        <v>76</v>
      </c>
      <c r="BC202" s="72">
        <v>76</v>
      </c>
      <c r="BD202" s="72">
        <v>76</v>
      </c>
      <c r="BE202" s="72">
        <v>76</v>
      </c>
      <c r="BF202" s="72">
        <v>76</v>
      </c>
      <c r="BG202" s="72">
        <v>76</v>
      </c>
      <c r="BH202" s="72">
        <v>76</v>
      </c>
      <c r="BI202" s="72">
        <v>76</v>
      </c>
      <c r="BJ202" s="72">
        <v>76</v>
      </c>
      <c r="BK202" s="72">
        <v>76</v>
      </c>
      <c r="BL202" s="72">
        <v>76</v>
      </c>
      <c r="BM202" s="72">
        <v>76</v>
      </c>
      <c r="BN202" s="72">
        <v>76</v>
      </c>
      <c r="BO202" s="72">
        <v>76</v>
      </c>
      <c r="BP202" s="72">
        <v>76</v>
      </c>
      <c r="BQ202" s="72">
        <v>76</v>
      </c>
      <c r="BR202" s="72">
        <v>76</v>
      </c>
      <c r="BS202" s="72">
        <v>76</v>
      </c>
      <c r="BT202" s="72">
        <v>76</v>
      </c>
      <c r="BU202" s="72">
        <v>76</v>
      </c>
      <c r="BV202" s="72">
        <v>76</v>
      </c>
      <c r="BW202" s="72">
        <v>76</v>
      </c>
      <c r="BX202" s="72">
        <v>76</v>
      </c>
      <c r="BY202" s="72">
        <v>76</v>
      </c>
      <c r="BZ202" s="72">
        <v>76</v>
      </c>
      <c r="CA202" s="72">
        <v>76</v>
      </c>
      <c r="CB202" s="72">
        <v>76</v>
      </c>
      <c r="CC202" s="72">
        <v>76</v>
      </c>
      <c r="CD202" s="72">
        <v>76</v>
      </c>
      <c r="CE202" s="72">
        <v>76</v>
      </c>
      <c r="CF202" s="72">
        <v>76</v>
      </c>
      <c r="CG202" s="72">
        <v>76</v>
      </c>
      <c r="CH202" s="72">
        <v>76</v>
      </c>
      <c r="CI202" s="72">
        <v>76</v>
      </c>
      <c r="CJ202" s="72">
        <v>76</v>
      </c>
      <c r="CK202" s="72">
        <v>76</v>
      </c>
      <c r="CL202" s="72">
        <v>76</v>
      </c>
      <c r="CM202" s="72">
        <v>76</v>
      </c>
      <c r="CN202" s="72">
        <v>76</v>
      </c>
      <c r="CO202" s="72">
        <v>76</v>
      </c>
      <c r="CP202" s="72">
        <v>76</v>
      </c>
      <c r="CQ202" s="72">
        <v>76</v>
      </c>
      <c r="CR202" s="72">
        <v>76</v>
      </c>
      <c r="CS202" s="72">
        <v>76</v>
      </c>
      <c r="CT202" s="72">
        <v>76</v>
      </c>
      <c r="CU202" s="72">
        <v>76</v>
      </c>
      <c r="CV202" s="72">
        <v>76</v>
      </c>
      <c r="CW202" s="72">
        <v>76</v>
      </c>
      <c r="CX202" s="72">
        <v>76</v>
      </c>
      <c r="CY202" s="72">
        <v>76</v>
      </c>
      <c r="CZ202" s="72">
        <v>76</v>
      </c>
      <c r="DA202" s="72">
        <v>76</v>
      </c>
      <c r="DB202" s="72">
        <v>76</v>
      </c>
      <c r="DC202" s="72">
        <v>76</v>
      </c>
      <c r="DD202" s="72">
        <v>76</v>
      </c>
      <c r="DE202" s="72">
        <v>76</v>
      </c>
      <c r="DF202" s="72">
        <v>76</v>
      </c>
      <c r="DG202" s="72">
        <v>76</v>
      </c>
      <c r="DH202" s="72">
        <v>76</v>
      </c>
      <c r="DI202" s="72">
        <v>76</v>
      </c>
      <c r="DJ202" s="72">
        <v>76</v>
      </c>
      <c r="DK202" s="72">
        <v>76</v>
      </c>
      <c r="DL202" s="72">
        <v>76</v>
      </c>
      <c r="DM202" s="72">
        <v>76</v>
      </c>
    </row>
    <row r="203" spans="1:117" x14ac:dyDescent="0.35">
      <c r="A203" s="7"/>
      <c r="B203" s="8" t="s">
        <v>379</v>
      </c>
      <c r="C203" s="9" t="s">
        <v>380</v>
      </c>
      <c r="D203" s="10" t="s">
        <v>92</v>
      </c>
      <c r="E203" s="8" t="s">
        <v>1208</v>
      </c>
      <c r="F203" s="10">
        <v>1102</v>
      </c>
      <c r="G203" s="10" t="s">
        <v>92</v>
      </c>
      <c r="H203" s="10" t="s">
        <v>41</v>
      </c>
      <c r="I203" s="11">
        <v>268</v>
      </c>
      <c r="J203" s="10">
        <v>2</v>
      </c>
      <c r="K203" s="10" t="s">
        <v>42</v>
      </c>
      <c r="L203" s="8" t="s">
        <v>381</v>
      </c>
      <c r="M203" s="12">
        <v>1.9296000000000002</v>
      </c>
      <c r="N203" s="12">
        <f t="shared" si="5"/>
        <v>0</v>
      </c>
      <c r="O203" s="11">
        <v>675</v>
      </c>
      <c r="P203" s="11">
        <v>675</v>
      </c>
      <c r="Q203" s="11">
        <v>675</v>
      </c>
      <c r="R203" s="11">
        <v>663</v>
      </c>
      <c r="S203" s="11">
        <v>673</v>
      </c>
      <c r="T203" s="11">
        <v>673</v>
      </c>
      <c r="U203" s="11">
        <v>673</v>
      </c>
      <c r="V203" s="11">
        <v>673</v>
      </c>
      <c r="W203" s="11">
        <v>663</v>
      </c>
      <c r="X203" s="11">
        <v>663</v>
      </c>
      <c r="Y203" s="11">
        <v>643</v>
      </c>
      <c r="Z203" s="11">
        <v>643</v>
      </c>
      <c r="AA203" s="11">
        <v>643</v>
      </c>
      <c r="AB203" s="11">
        <v>643</v>
      </c>
      <c r="AC203" s="11">
        <v>643</v>
      </c>
      <c r="AD203" s="11">
        <v>643</v>
      </c>
      <c r="AE203" s="11">
        <v>643</v>
      </c>
      <c r="AF203" s="11">
        <v>643</v>
      </c>
      <c r="AG203" s="11">
        <v>643</v>
      </c>
      <c r="AH203" s="11">
        <v>643</v>
      </c>
      <c r="AI203" s="11">
        <v>643</v>
      </c>
      <c r="AJ203" s="11">
        <v>268</v>
      </c>
      <c r="AK203" s="11">
        <v>268</v>
      </c>
      <c r="AL203" s="11">
        <v>267</v>
      </c>
      <c r="AM203" s="11">
        <v>247</v>
      </c>
      <c r="AN203" s="72">
        <v>247</v>
      </c>
      <c r="AO203" s="72">
        <v>243</v>
      </c>
      <c r="AP203" s="72">
        <v>243</v>
      </c>
      <c r="AQ203" s="72">
        <v>243</v>
      </c>
      <c r="AR203" s="72">
        <v>233</v>
      </c>
      <c r="AS203" s="72">
        <v>233</v>
      </c>
      <c r="AT203" s="72">
        <v>233</v>
      </c>
      <c r="AU203" s="72">
        <v>233</v>
      </c>
      <c r="AV203" s="72">
        <v>233</v>
      </c>
      <c r="AW203" s="72">
        <v>233</v>
      </c>
      <c r="AX203" s="72">
        <v>233</v>
      </c>
      <c r="AY203" s="72">
        <v>233</v>
      </c>
      <c r="AZ203" s="72">
        <v>233</v>
      </c>
      <c r="BA203" s="72">
        <v>233</v>
      </c>
      <c r="BB203" s="72">
        <v>233</v>
      </c>
      <c r="BC203" s="72">
        <v>233</v>
      </c>
      <c r="BD203" s="72">
        <v>203</v>
      </c>
      <c r="BE203" s="72">
        <v>203</v>
      </c>
      <c r="BF203" s="72">
        <v>203</v>
      </c>
      <c r="BG203" s="72">
        <v>203</v>
      </c>
      <c r="BH203" s="72">
        <v>203</v>
      </c>
      <c r="BI203" s="72">
        <v>203</v>
      </c>
      <c r="BJ203" s="72">
        <v>203</v>
      </c>
      <c r="BK203" s="72">
        <v>203</v>
      </c>
      <c r="BL203" s="72">
        <v>203</v>
      </c>
      <c r="BM203" s="72">
        <v>203</v>
      </c>
      <c r="BN203" s="72">
        <v>203</v>
      </c>
      <c r="BO203" s="72">
        <v>202</v>
      </c>
      <c r="BP203" s="72">
        <v>197</v>
      </c>
      <c r="BQ203" s="72">
        <v>193</v>
      </c>
      <c r="BR203" s="72">
        <v>193</v>
      </c>
      <c r="BS203" s="72">
        <v>177</v>
      </c>
      <c r="BT203" s="72">
        <v>175</v>
      </c>
      <c r="BU203" s="72">
        <v>177</v>
      </c>
      <c r="BV203" s="72">
        <v>173</v>
      </c>
      <c r="BW203" s="72">
        <v>173</v>
      </c>
      <c r="BX203" s="72">
        <v>173</v>
      </c>
      <c r="BY203" s="72">
        <v>173</v>
      </c>
      <c r="BZ203" s="72">
        <v>173</v>
      </c>
      <c r="CA203" s="72">
        <v>157</v>
      </c>
      <c r="CB203" s="72">
        <v>157</v>
      </c>
      <c r="CC203" s="72">
        <v>157</v>
      </c>
      <c r="CD203" s="72">
        <v>157</v>
      </c>
      <c r="CE203" s="72">
        <v>157</v>
      </c>
      <c r="CF203" s="72">
        <v>117</v>
      </c>
      <c r="CG203" s="72">
        <v>117</v>
      </c>
      <c r="CH203" s="72">
        <v>117</v>
      </c>
      <c r="CI203" s="72">
        <v>77</v>
      </c>
      <c r="CJ203" s="72">
        <v>27</v>
      </c>
      <c r="CK203" s="72">
        <v>27</v>
      </c>
      <c r="CL203" s="72">
        <v>27</v>
      </c>
      <c r="CM203" s="72">
        <v>27</v>
      </c>
      <c r="CN203" s="72">
        <v>2</v>
      </c>
      <c r="CO203" s="72">
        <v>2</v>
      </c>
      <c r="CP203" s="72">
        <v>2</v>
      </c>
      <c r="CQ203" s="72">
        <v>2</v>
      </c>
      <c r="CR203" s="72">
        <v>2</v>
      </c>
      <c r="CS203" s="72">
        <v>2</v>
      </c>
      <c r="CT203" s="72">
        <v>2</v>
      </c>
      <c r="CU203" s="72">
        <v>2</v>
      </c>
      <c r="CV203" s="72">
        <v>2</v>
      </c>
      <c r="CW203" s="72">
        <v>2</v>
      </c>
      <c r="CX203" s="72">
        <v>2</v>
      </c>
      <c r="CY203" s="72">
        <v>2</v>
      </c>
      <c r="CZ203" s="72">
        <v>2</v>
      </c>
      <c r="DA203" s="72">
        <v>2</v>
      </c>
      <c r="DB203" s="72">
        <v>2</v>
      </c>
      <c r="DC203" s="72">
        <v>2</v>
      </c>
      <c r="DD203" s="72">
        <v>2</v>
      </c>
      <c r="DE203" s="72">
        <v>2</v>
      </c>
      <c r="DF203" s="72">
        <v>2</v>
      </c>
      <c r="DG203" s="72">
        <v>2</v>
      </c>
      <c r="DH203" s="72">
        <v>2</v>
      </c>
      <c r="DI203" s="72">
        <v>0</v>
      </c>
      <c r="DJ203" s="72">
        <v>0</v>
      </c>
      <c r="DK203" s="72">
        <v>0</v>
      </c>
      <c r="DL203" s="72">
        <v>0</v>
      </c>
      <c r="DM203" s="72">
        <v>0</v>
      </c>
    </row>
    <row r="204" spans="1:117" x14ac:dyDescent="0.35">
      <c r="A204" s="7"/>
      <c r="B204" s="8" t="s">
        <v>382</v>
      </c>
      <c r="C204" s="9" t="s">
        <v>383</v>
      </c>
      <c r="D204" s="10" t="s">
        <v>92</v>
      </c>
      <c r="E204" s="8" t="s">
        <v>1208</v>
      </c>
      <c r="F204" s="10">
        <v>1102</v>
      </c>
      <c r="G204" s="10" t="s">
        <v>92</v>
      </c>
      <c r="H204" s="10" t="s">
        <v>41</v>
      </c>
      <c r="I204" s="11">
        <v>200</v>
      </c>
      <c r="J204" s="10"/>
      <c r="K204" s="10"/>
      <c r="L204" s="8"/>
      <c r="M204" s="12">
        <v>2.0227200000000001</v>
      </c>
      <c r="N204" s="12">
        <f t="shared" si="5"/>
        <v>141.59040000000002</v>
      </c>
      <c r="O204" s="11">
        <v>200</v>
      </c>
      <c r="P204" s="11">
        <v>200</v>
      </c>
      <c r="Q204" s="11">
        <v>200</v>
      </c>
      <c r="R204" s="11">
        <v>200</v>
      </c>
      <c r="S204" s="11">
        <v>200</v>
      </c>
      <c r="T204" s="11">
        <v>200</v>
      </c>
      <c r="U204" s="11">
        <v>200</v>
      </c>
      <c r="V204" s="11">
        <v>200</v>
      </c>
      <c r="W204" s="11">
        <v>200</v>
      </c>
      <c r="X204" s="11">
        <v>200</v>
      </c>
      <c r="Y204" s="11">
        <v>200</v>
      </c>
      <c r="Z204" s="11">
        <v>200</v>
      </c>
      <c r="AA204" s="11">
        <v>200</v>
      </c>
      <c r="AB204" s="11">
        <v>200</v>
      </c>
      <c r="AC204" s="11">
        <v>200</v>
      </c>
      <c r="AD204" s="11">
        <v>200</v>
      </c>
      <c r="AE204" s="11">
        <v>200</v>
      </c>
      <c r="AF204" s="11">
        <v>200</v>
      </c>
      <c r="AG204" s="11">
        <v>200</v>
      </c>
      <c r="AH204" s="11">
        <v>200</v>
      </c>
      <c r="AI204" s="11">
        <v>200</v>
      </c>
      <c r="AJ204" s="11">
        <v>200</v>
      </c>
      <c r="AK204" s="11">
        <v>200</v>
      </c>
      <c r="AL204" s="11">
        <v>200</v>
      </c>
      <c r="AM204" s="11">
        <v>200</v>
      </c>
      <c r="AN204" s="72">
        <v>200</v>
      </c>
      <c r="AO204" s="72">
        <v>200</v>
      </c>
      <c r="AP204" s="72">
        <v>200</v>
      </c>
      <c r="AQ204" s="72">
        <v>200</v>
      </c>
      <c r="AR204" s="72">
        <v>200</v>
      </c>
      <c r="AS204" s="72">
        <v>200</v>
      </c>
      <c r="AT204" s="72">
        <v>200</v>
      </c>
      <c r="AU204" s="72">
        <v>200</v>
      </c>
      <c r="AV204" s="72">
        <v>200</v>
      </c>
      <c r="AW204" s="72">
        <v>200</v>
      </c>
      <c r="AX204" s="72">
        <v>200</v>
      </c>
      <c r="AY204" s="72">
        <v>200</v>
      </c>
      <c r="AZ204" s="72">
        <v>200</v>
      </c>
      <c r="BA204" s="72">
        <v>200</v>
      </c>
      <c r="BB204" s="72">
        <v>200</v>
      </c>
      <c r="BC204" s="72">
        <v>200</v>
      </c>
      <c r="BD204" s="72">
        <v>200</v>
      </c>
      <c r="BE204" s="72">
        <v>200</v>
      </c>
      <c r="BF204" s="72">
        <v>200</v>
      </c>
      <c r="BG204" s="72">
        <v>200</v>
      </c>
      <c r="BH204" s="72">
        <v>200</v>
      </c>
      <c r="BI204" s="72">
        <v>200</v>
      </c>
      <c r="BJ204" s="72">
        <v>200</v>
      </c>
      <c r="BK204" s="72">
        <v>200</v>
      </c>
      <c r="BL204" s="72">
        <v>200</v>
      </c>
      <c r="BM204" s="72">
        <v>200</v>
      </c>
      <c r="BN204" s="72">
        <v>200</v>
      </c>
      <c r="BO204" s="72">
        <v>200</v>
      </c>
      <c r="BP204" s="72">
        <v>200</v>
      </c>
      <c r="BQ204" s="72">
        <v>190</v>
      </c>
      <c r="BR204" s="72">
        <v>190</v>
      </c>
      <c r="BS204" s="72">
        <v>208</v>
      </c>
      <c r="BT204" s="72">
        <v>208</v>
      </c>
      <c r="BU204" s="72">
        <v>208</v>
      </c>
      <c r="BV204" s="72">
        <v>206</v>
      </c>
      <c r="BW204" s="72">
        <v>206</v>
      </c>
      <c r="BX204" s="72">
        <v>206</v>
      </c>
      <c r="BY204" s="72">
        <v>206</v>
      </c>
      <c r="BZ204" s="72">
        <v>206</v>
      </c>
      <c r="CA204" s="72">
        <v>206</v>
      </c>
      <c r="CB204" s="72">
        <v>206</v>
      </c>
      <c r="CC204" s="72">
        <v>206</v>
      </c>
      <c r="CD204" s="72">
        <v>206</v>
      </c>
      <c r="CE204" s="72">
        <v>206</v>
      </c>
      <c r="CF204" s="72">
        <v>206</v>
      </c>
      <c r="CG204" s="72">
        <v>206</v>
      </c>
      <c r="CH204" s="72">
        <v>206</v>
      </c>
      <c r="CI204" s="72">
        <v>166</v>
      </c>
      <c r="CJ204" s="72">
        <v>116</v>
      </c>
      <c r="CK204" s="72">
        <v>116</v>
      </c>
      <c r="CL204" s="72">
        <v>116</v>
      </c>
      <c r="CM204" s="72">
        <v>116</v>
      </c>
      <c r="CN204" s="72">
        <v>91</v>
      </c>
      <c r="CO204" s="72">
        <v>91</v>
      </c>
      <c r="CP204" s="72">
        <v>91</v>
      </c>
      <c r="CQ204" s="72">
        <v>91</v>
      </c>
      <c r="CR204" s="72">
        <v>91</v>
      </c>
      <c r="CS204" s="72">
        <v>91</v>
      </c>
      <c r="CT204" s="72">
        <v>91</v>
      </c>
      <c r="CU204" s="72">
        <v>91</v>
      </c>
      <c r="CV204" s="72">
        <v>91</v>
      </c>
      <c r="CW204" s="72">
        <v>91</v>
      </c>
      <c r="CX204" s="72">
        <v>91</v>
      </c>
      <c r="CY204" s="72">
        <v>91</v>
      </c>
      <c r="CZ204" s="72">
        <v>91</v>
      </c>
      <c r="DA204" s="72">
        <v>71</v>
      </c>
      <c r="DB204" s="72">
        <v>71</v>
      </c>
      <c r="DC204" s="72">
        <v>71</v>
      </c>
      <c r="DD204" s="72">
        <v>71</v>
      </c>
      <c r="DE204" s="72">
        <v>71</v>
      </c>
      <c r="DF204" s="72">
        <v>71</v>
      </c>
      <c r="DG204" s="72">
        <v>71</v>
      </c>
      <c r="DH204" s="72">
        <v>71</v>
      </c>
      <c r="DI204" s="72">
        <v>71</v>
      </c>
      <c r="DJ204" s="72">
        <v>71</v>
      </c>
      <c r="DK204" s="72">
        <v>71</v>
      </c>
      <c r="DL204" s="72">
        <v>56</v>
      </c>
      <c r="DM204" s="72">
        <v>70</v>
      </c>
    </row>
    <row r="205" spans="1:117" x14ac:dyDescent="0.35">
      <c r="A205" s="7"/>
      <c r="B205" s="8" t="s">
        <v>384</v>
      </c>
      <c r="C205" s="9" t="s">
        <v>385</v>
      </c>
      <c r="D205" s="10" t="s">
        <v>92</v>
      </c>
      <c r="E205" s="8" t="s">
        <v>1208</v>
      </c>
      <c r="F205" s="10">
        <v>1102</v>
      </c>
      <c r="G205" s="10" t="s">
        <v>92</v>
      </c>
      <c r="H205" s="10" t="s">
        <v>41</v>
      </c>
      <c r="I205" s="11">
        <v>61</v>
      </c>
      <c r="J205" s="10"/>
      <c r="K205" s="10"/>
      <c r="L205" s="8"/>
      <c r="M205" s="12">
        <v>2.2089600000000003</v>
      </c>
      <c r="N205" s="12">
        <f t="shared" si="5"/>
        <v>125.91072000000001</v>
      </c>
      <c r="O205" s="11">
        <v>91</v>
      </c>
      <c r="P205" s="11">
        <v>91</v>
      </c>
      <c r="Q205" s="11">
        <v>91</v>
      </c>
      <c r="R205" s="11">
        <v>91</v>
      </c>
      <c r="S205" s="11">
        <v>91</v>
      </c>
      <c r="T205" s="11">
        <v>91</v>
      </c>
      <c r="U205" s="11">
        <v>91</v>
      </c>
      <c r="V205" s="11">
        <v>91</v>
      </c>
      <c r="W205" s="11">
        <v>91</v>
      </c>
      <c r="X205" s="11">
        <v>91</v>
      </c>
      <c r="Y205" s="11">
        <v>91</v>
      </c>
      <c r="Z205" s="11">
        <v>91</v>
      </c>
      <c r="AA205" s="11">
        <v>91</v>
      </c>
      <c r="AB205" s="11">
        <v>91</v>
      </c>
      <c r="AC205" s="11">
        <v>91</v>
      </c>
      <c r="AD205" s="11">
        <v>91</v>
      </c>
      <c r="AE205" s="11">
        <v>91</v>
      </c>
      <c r="AF205" s="11">
        <v>91</v>
      </c>
      <c r="AG205" s="11">
        <v>91</v>
      </c>
      <c r="AH205" s="11">
        <v>91</v>
      </c>
      <c r="AI205" s="11">
        <v>91</v>
      </c>
      <c r="AJ205" s="11">
        <v>61</v>
      </c>
      <c r="AK205" s="11">
        <v>61</v>
      </c>
      <c r="AL205" s="11">
        <v>61</v>
      </c>
      <c r="AM205" s="11">
        <v>61</v>
      </c>
      <c r="AN205" s="72">
        <v>61</v>
      </c>
      <c r="AO205" s="72">
        <v>61</v>
      </c>
      <c r="AP205" s="72">
        <v>61</v>
      </c>
      <c r="AQ205" s="72">
        <v>61</v>
      </c>
      <c r="AR205" s="72">
        <v>61</v>
      </c>
      <c r="AS205" s="72">
        <v>61</v>
      </c>
      <c r="AT205" s="72">
        <v>61</v>
      </c>
      <c r="AU205" s="72">
        <v>61</v>
      </c>
      <c r="AV205" s="72">
        <v>61</v>
      </c>
      <c r="AW205" s="72">
        <v>61</v>
      </c>
      <c r="AX205" s="72">
        <v>61</v>
      </c>
      <c r="AY205" s="72">
        <v>61</v>
      </c>
      <c r="AZ205" s="72">
        <v>61</v>
      </c>
      <c r="BA205" s="72">
        <v>61</v>
      </c>
      <c r="BB205" s="72">
        <v>61</v>
      </c>
      <c r="BC205" s="72">
        <v>61</v>
      </c>
      <c r="BD205" s="72">
        <v>61</v>
      </c>
      <c r="BE205" s="72">
        <v>61</v>
      </c>
      <c r="BF205" s="72">
        <v>61</v>
      </c>
      <c r="BG205" s="72">
        <v>61</v>
      </c>
      <c r="BH205" s="72">
        <v>61</v>
      </c>
      <c r="BI205" s="72">
        <v>61</v>
      </c>
      <c r="BJ205" s="72">
        <v>61</v>
      </c>
      <c r="BK205" s="72">
        <v>61</v>
      </c>
      <c r="BL205" s="72">
        <v>61</v>
      </c>
      <c r="BM205" s="72">
        <v>61</v>
      </c>
      <c r="BN205" s="72">
        <v>61</v>
      </c>
      <c r="BO205" s="72">
        <v>61</v>
      </c>
      <c r="BP205" s="72">
        <v>61</v>
      </c>
      <c r="BQ205" s="72">
        <v>61</v>
      </c>
      <c r="BR205" s="72">
        <v>57</v>
      </c>
      <c r="BS205" s="72">
        <v>57</v>
      </c>
      <c r="BT205" s="72">
        <v>55</v>
      </c>
      <c r="BU205" s="72">
        <v>57</v>
      </c>
      <c r="BV205" s="72">
        <v>57</v>
      </c>
      <c r="BW205" s="72">
        <v>57</v>
      </c>
      <c r="BX205" s="72">
        <v>57</v>
      </c>
      <c r="BY205" s="72">
        <v>57</v>
      </c>
      <c r="BZ205" s="72">
        <v>57</v>
      </c>
      <c r="CA205" s="72">
        <v>57</v>
      </c>
      <c r="CB205" s="72">
        <v>57</v>
      </c>
      <c r="CC205" s="72">
        <v>57</v>
      </c>
      <c r="CD205" s="72">
        <v>57</v>
      </c>
      <c r="CE205" s="72">
        <v>57</v>
      </c>
      <c r="CF205" s="72">
        <v>57</v>
      </c>
      <c r="CG205" s="72">
        <v>57</v>
      </c>
      <c r="CH205" s="72">
        <v>57</v>
      </c>
      <c r="CI205" s="72">
        <v>57</v>
      </c>
      <c r="CJ205" s="72">
        <v>57</v>
      </c>
      <c r="CK205" s="72">
        <v>57</v>
      </c>
      <c r="CL205" s="72">
        <v>57</v>
      </c>
      <c r="CM205" s="72">
        <v>57</v>
      </c>
      <c r="CN205" s="72">
        <v>57</v>
      </c>
      <c r="CO205" s="72">
        <v>57</v>
      </c>
      <c r="CP205" s="72">
        <v>57</v>
      </c>
      <c r="CQ205" s="72">
        <v>57</v>
      </c>
      <c r="CR205" s="72">
        <v>57</v>
      </c>
      <c r="CS205" s="72">
        <v>57</v>
      </c>
      <c r="CT205" s="72">
        <v>57</v>
      </c>
      <c r="CU205" s="72">
        <v>57</v>
      </c>
      <c r="CV205" s="72">
        <v>57</v>
      </c>
      <c r="CW205" s="72">
        <v>57</v>
      </c>
      <c r="CX205" s="72">
        <v>57</v>
      </c>
      <c r="CY205" s="72">
        <v>57</v>
      </c>
      <c r="CZ205" s="72">
        <v>57</v>
      </c>
      <c r="DA205" s="72">
        <v>57</v>
      </c>
      <c r="DB205" s="72">
        <v>57</v>
      </c>
      <c r="DC205" s="72">
        <v>57</v>
      </c>
      <c r="DD205" s="72">
        <v>57</v>
      </c>
      <c r="DE205" s="72">
        <v>57</v>
      </c>
      <c r="DF205" s="72">
        <v>57</v>
      </c>
      <c r="DG205" s="72">
        <v>57</v>
      </c>
      <c r="DH205" s="72">
        <v>57</v>
      </c>
      <c r="DI205" s="72">
        <v>57</v>
      </c>
      <c r="DJ205" s="72">
        <v>57</v>
      </c>
      <c r="DK205" s="72">
        <v>57</v>
      </c>
      <c r="DL205" s="72">
        <v>49</v>
      </c>
      <c r="DM205" s="72">
        <v>57</v>
      </c>
    </row>
    <row r="206" spans="1:117" x14ac:dyDescent="0.35">
      <c r="A206" s="7"/>
      <c r="B206" s="8" t="s">
        <v>386</v>
      </c>
      <c r="C206" s="9" t="s">
        <v>387</v>
      </c>
      <c r="D206" s="10" t="s">
        <v>92</v>
      </c>
      <c r="E206" s="8" t="s">
        <v>1208</v>
      </c>
      <c r="F206" s="10">
        <v>1102</v>
      </c>
      <c r="G206" s="10" t="s">
        <v>92</v>
      </c>
      <c r="H206" s="10" t="s">
        <v>41</v>
      </c>
      <c r="I206" s="11">
        <v>50</v>
      </c>
      <c r="J206" s="10"/>
      <c r="K206" s="10"/>
      <c r="L206" s="8"/>
      <c r="M206" s="12">
        <v>2.3835600000000001</v>
      </c>
      <c r="N206" s="12">
        <f t="shared" si="5"/>
        <v>33.369840000000003</v>
      </c>
      <c r="O206" s="11">
        <v>50</v>
      </c>
      <c r="P206" s="11">
        <v>50</v>
      </c>
      <c r="Q206" s="11">
        <v>50</v>
      </c>
      <c r="R206" s="11">
        <v>50</v>
      </c>
      <c r="S206" s="11">
        <v>50</v>
      </c>
      <c r="T206" s="11">
        <v>50</v>
      </c>
      <c r="U206" s="11">
        <v>50</v>
      </c>
      <c r="V206" s="11">
        <v>50</v>
      </c>
      <c r="W206" s="11">
        <v>50</v>
      </c>
      <c r="X206" s="11">
        <v>50</v>
      </c>
      <c r="Y206" s="11">
        <v>50</v>
      </c>
      <c r="Z206" s="11">
        <v>50</v>
      </c>
      <c r="AA206" s="11">
        <v>50</v>
      </c>
      <c r="AB206" s="11">
        <v>50</v>
      </c>
      <c r="AC206" s="11">
        <v>50</v>
      </c>
      <c r="AD206" s="11">
        <v>50</v>
      </c>
      <c r="AE206" s="11">
        <v>50</v>
      </c>
      <c r="AF206" s="11">
        <v>50</v>
      </c>
      <c r="AG206" s="11">
        <v>50</v>
      </c>
      <c r="AH206" s="11">
        <v>50</v>
      </c>
      <c r="AI206" s="11">
        <v>50</v>
      </c>
      <c r="AJ206" s="11">
        <v>50</v>
      </c>
      <c r="AK206" s="11">
        <v>50</v>
      </c>
      <c r="AL206" s="11">
        <v>50</v>
      </c>
      <c r="AM206" s="11">
        <v>50</v>
      </c>
      <c r="AN206" s="72">
        <v>50</v>
      </c>
      <c r="AO206" s="72">
        <v>50</v>
      </c>
      <c r="AP206" s="72">
        <v>50</v>
      </c>
      <c r="AQ206" s="72">
        <v>50</v>
      </c>
      <c r="AR206" s="72">
        <v>50</v>
      </c>
      <c r="AS206" s="72">
        <v>50</v>
      </c>
      <c r="AT206" s="72">
        <v>50</v>
      </c>
      <c r="AU206" s="72">
        <v>50</v>
      </c>
      <c r="AV206" s="72">
        <v>50</v>
      </c>
      <c r="AW206" s="72">
        <v>50</v>
      </c>
      <c r="AX206" s="72">
        <v>50</v>
      </c>
      <c r="AY206" s="72">
        <v>50</v>
      </c>
      <c r="AZ206" s="72">
        <v>50</v>
      </c>
      <c r="BA206" s="72">
        <v>50</v>
      </c>
      <c r="BB206" s="72">
        <v>50</v>
      </c>
      <c r="BC206" s="72">
        <v>50</v>
      </c>
      <c r="BD206" s="72">
        <v>50</v>
      </c>
      <c r="BE206" s="72">
        <v>50</v>
      </c>
      <c r="BF206" s="72">
        <v>50</v>
      </c>
      <c r="BG206" s="72">
        <v>50</v>
      </c>
      <c r="BH206" s="72">
        <v>50</v>
      </c>
      <c r="BI206" s="72">
        <v>50</v>
      </c>
      <c r="BJ206" s="72">
        <v>50</v>
      </c>
      <c r="BK206" s="72">
        <v>50</v>
      </c>
      <c r="BL206" s="72">
        <v>50</v>
      </c>
      <c r="BM206" s="72">
        <v>50</v>
      </c>
      <c r="BN206" s="72">
        <v>50</v>
      </c>
      <c r="BO206" s="72">
        <v>50</v>
      </c>
      <c r="BP206" s="72">
        <v>50</v>
      </c>
      <c r="BQ206" s="72">
        <v>50</v>
      </c>
      <c r="BR206" s="72">
        <v>50</v>
      </c>
      <c r="BS206" s="72">
        <v>14</v>
      </c>
      <c r="BT206" s="72">
        <v>14</v>
      </c>
      <c r="BU206" s="72">
        <v>14</v>
      </c>
      <c r="BV206" s="72">
        <v>14</v>
      </c>
      <c r="BW206" s="72">
        <v>14</v>
      </c>
      <c r="BX206" s="72">
        <v>14</v>
      </c>
      <c r="BY206" s="72">
        <v>14</v>
      </c>
      <c r="BZ206" s="72">
        <v>14</v>
      </c>
      <c r="CA206" s="72">
        <v>14</v>
      </c>
      <c r="CB206" s="72">
        <v>14</v>
      </c>
      <c r="CC206" s="72">
        <v>14</v>
      </c>
      <c r="CD206" s="72">
        <v>14</v>
      </c>
      <c r="CE206" s="72">
        <v>14</v>
      </c>
      <c r="CF206" s="72">
        <v>14</v>
      </c>
      <c r="CG206" s="72">
        <v>14</v>
      </c>
      <c r="CH206" s="72">
        <v>14</v>
      </c>
      <c r="CI206" s="72">
        <v>14</v>
      </c>
      <c r="CJ206" s="72">
        <v>14</v>
      </c>
      <c r="CK206" s="72">
        <v>14</v>
      </c>
      <c r="CL206" s="72">
        <v>14</v>
      </c>
      <c r="CM206" s="72">
        <v>14</v>
      </c>
      <c r="CN206" s="72">
        <v>14</v>
      </c>
      <c r="CO206" s="72">
        <v>14</v>
      </c>
      <c r="CP206" s="72">
        <v>14</v>
      </c>
      <c r="CQ206" s="72">
        <v>14</v>
      </c>
      <c r="CR206" s="72">
        <v>14</v>
      </c>
      <c r="CS206" s="72">
        <v>14</v>
      </c>
      <c r="CT206" s="72">
        <v>14</v>
      </c>
      <c r="CU206" s="72">
        <v>14</v>
      </c>
      <c r="CV206" s="72">
        <v>14</v>
      </c>
      <c r="CW206" s="72">
        <v>14</v>
      </c>
      <c r="CX206" s="72">
        <v>14</v>
      </c>
      <c r="CY206" s="72">
        <v>14</v>
      </c>
      <c r="CZ206" s="72">
        <v>14</v>
      </c>
      <c r="DA206" s="72">
        <v>14</v>
      </c>
      <c r="DB206" s="72">
        <v>14</v>
      </c>
      <c r="DC206" s="72">
        <v>14</v>
      </c>
      <c r="DD206" s="72">
        <v>14</v>
      </c>
      <c r="DE206" s="72">
        <v>14</v>
      </c>
      <c r="DF206" s="72">
        <v>14</v>
      </c>
      <c r="DG206" s="72">
        <v>14</v>
      </c>
      <c r="DH206" s="72">
        <v>14</v>
      </c>
      <c r="DI206" s="72">
        <v>14</v>
      </c>
      <c r="DJ206" s="72">
        <v>14</v>
      </c>
      <c r="DK206" s="72">
        <v>14</v>
      </c>
      <c r="DL206" s="72">
        <v>9</v>
      </c>
      <c r="DM206" s="72">
        <v>14</v>
      </c>
    </row>
    <row r="207" spans="1:117" x14ac:dyDescent="0.35">
      <c r="A207" s="7"/>
      <c r="B207" s="8" t="s">
        <v>388</v>
      </c>
      <c r="C207" s="9" t="s">
        <v>389</v>
      </c>
      <c r="D207" s="10" t="s">
        <v>92</v>
      </c>
      <c r="E207" s="8" t="s">
        <v>1208</v>
      </c>
      <c r="F207" s="10">
        <v>1102</v>
      </c>
      <c r="G207" s="10" t="s">
        <v>92</v>
      </c>
      <c r="H207" s="10" t="s">
        <v>41</v>
      </c>
      <c r="I207" s="11">
        <v>338</v>
      </c>
      <c r="J207" s="10">
        <v>2</v>
      </c>
      <c r="K207" s="10" t="s">
        <v>42</v>
      </c>
      <c r="L207" s="8" t="s">
        <v>381</v>
      </c>
      <c r="M207" s="12">
        <v>2.2320000000000002</v>
      </c>
      <c r="N207" s="12">
        <f t="shared" si="5"/>
        <v>658.44</v>
      </c>
      <c r="O207" s="11">
        <v>378</v>
      </c>
      <c r="P207" s="11">
        <v>372</v>
      </c>
      <c r="Q207" s="11">
        <v>372</v>
      </c>
      <c r="R207" s="11">
        <v>372</v>
      </c>
      <c r="S207" s="11">
        <v>372</v>
      </c>
      <c r="T207" s="11">
        <v>372</v>
      </c>
      <c r="U207" s="11">
        <v>372</v>
      </c>
      <c r="V207" s="11">
        <v>372</v>
      </c>
      <c r="W207" s="11">
        <v>340</v>
      </c>
      <c r="X207" s="11">
        <v>340</v>
      </c>
      <c r="Y207" s="11">
        <v>340</v>
      </c>
      <c r="Z207" s="11">
        <v>340</v>
      </c>
      <c r="AA207" s="11">
        <v>340</v>
      </c>
      <c r="AB207" s="11">
        <v>340</v>
      </c>
      <c r="AC207" s="11">
        <v>340</v>
      </c>
      <c r="AD207" s="11">
        <v>340</v>
      </c>
      <c r="AE207" s="11">
        <v>340</v>
      </c>
      <c r="AF207" s="11">
        <v>340</v>
      </c>
      <c r="AG207" s="11">
        <v>340</v>
      </c>
      <c r="AH207" s="11">
        <v>340</v>
      </c>
      <c r="AI207" s="11">
        <v>340</v>
      </c>
      <c r="AJ207" s="11">
        <v>338</v>
      </c>
      <c r="AK207" s="11">
        <v>338</v>
      </c>
      <c r="AL207" s="11">
        <v>315</v>
      </c>
      <c r="AM207" s="11">
        <v>313</v>
      </c>
      <c r="AN207" s="72">
        <v>313</v>
      </c>
      <c r="AO207" s="72">
        <v>313</v>
      </c>
      <c r="AP207" s="72">
        <v>313</v>
      </c>
      <c r="AQ207" s="72">
        <v>313</v>
      </c>
      <c r="AR207" s="72">
        <v>313</v>
      </c>
      <c r="AS207" s="72">
        <v>313</v>
      </c>
      <c r="AT207" s="72">
        <v>313</v>
      </c>
      <c r="AU207" s="72">
        <v>321</v>
      </c>
      <c r="AV207" s="72">
        <v>321</v>
      </c>
      <c r="AW207" s="72">
        <v>317</v>
      </c>
      <c r="AX207" s="72">
        <v>317</v>
      </c>
      <c r="AY207" s="72">
        <v>317</v>
      </c>
      <c r="AZ207" s="72">
        <v>317</v>
      </c>
      <c r="BA207" s="72">
        <v>317</v>
      </c>
      <c r="BB207" s="72">
        <v>317</v>
      </c>
      <c r="BC207" s="72">
        <v>317</v>
      </c>
      <c r="BD207" s="72">
        <v>317</v>
      </c>
      <c r="BE207" s="72">
        <v>317</v>
      </c>
      <c r="BF207" s="72">
        <v>317</v>
      </c>
      <c r="BG207" s="72">
        <v>317</v>
      </c>
      <c r="BH207" s="72">
        <v>317</v>
      </c>
      <c r="BI207" s="72">
        <v>317</v>
      </c>
      <c r="BJ207" s="72">
        <v>317</v>
      </c>
      <c r="BK207" s="72">
        <v>317</v>
      </c>
      <c r="BL207" s="72">
        <v>317</v>
      </c>
      <c r="BM207" s="72">
        <v>317</v>
      </c>
      <c r="BN207" s="72">
        <v>317</v>
      </c>
      <c r="BO207" s="72">
        <v>317</v>
      </c>
      <c r="BP207" s="72">
        <v>317</v>
      </c>
      <c r="BQ207" s="72">
        <v>317</v>
      </c>
      <c r="BR207" s="72">
        <v>317</v>
      </c>
      <c r="BS207" s="72">
        <v>315</v>
      </c>
      <c r="BT207" s="72">
        <v>311</v>
      </c>
      <c r="BU207" s="72">
        <v>315</v>
      </c>
      <c r="BV207" s="72">
        <v>296</v>
      </c>
      <c r="BW207" s="72">
        <v>296</v>
      </c>
      <c r="BX207" s="72">
        <v>296</v>
      </c>
      <c r="BY207" s="72">
        <v>296</v>
      </c>
      <c r="BZ207" s="72">
        <v>296</v>
      </c>
      <c r="CA207" s="72">
        <v>296</v>
      </c>
      <c r="CB207" s="72">
        <v>296</v>
      </c>
      <c r="CC207" s="72">
        <v>296</v>
      </c>
      <c r="CD207" s="72">
        <v>296</v>
      </c>
      <c r="CE207" s="72">
        <v>296</v>
      </c>
      <c r="CF207" s="72">
        <v>296</v>
      </c>
      <c r="CG207" s="72">
        <v>296</v>
      </c>
      <c r="CH207" s="72">
        <v>296</v>
      </c>
      <c r="CI207" s="72">
        <v>296</v>
      </c>
      <c r="CJ207" s="72">
        <v>296</v>
      </c>
      <c r="CK207" s="72">
        <v>295</v>
      </c>
      <c r="CL207" s="72">
        <v>295</v>
      </c>
      <c r="CM207" s="72">
        <v>295</v>
      </c>
      <c r="CN207" s="72">
        <v>295</v>
      </c>
      <c r="CO207" s="72">
        <v>295</v>
      </c>
      <c r="CP207" s="72">
        <v>295</v>
      </c>
      <c r="CQ207" s="72">
        <v>295</v>
      </c>
      <c r="CR207" s="72">
        <v>295</v>
      </c>
      <c r="CS207" s="72">
        <v>295</v>
      </c>
      <c r="CT207" s="72">
        <v>295</v>
      </c>
      <c r="CU207" s="72">
        <v>295</v>
      </c>
      <c r="CV207" s="72">
        <v>295</v>
      </c>
      <c r="CW207" s="72">
        <v>295</v>
      </c>
      <c r="CX207" s="72">
        <v>295</v>
      </c>
      <c r="CY207" s="72">
        <v>295</v>
      </c>
      <c r="CZ207" s="72">
        <v>295</v>
      </c>
      <c r="DA207" s="72">
        <v>295</v>
      </c>
      <c r="DB207" s="72">
        <v>295</v>
      </c>
      <c r="DC207" s="72">
        <v>295</v>
      </c>
      <c r="DD207" s="72">
        <v>295</v>
      </c>
      <c r="DE207" s="72">
        <v>295</v>
      </c>
      <c r="DF207" s="72">
        <v>295</v>
      </c>
      <c r="DG207" s="72">
        <v>295</v>
      </c>
      <c r="DH207" s="72">
        <v>295</v>
      </c>
      <c r="DI207" s="72">
        <v>295</v>
      </c>
      <c r="DJ207" s="72">
        <v>295</v>
      </c>
      <c r="DK207" s="72">
        <v>295</v>
      </c>
      <c r="DL207" s="72">
        <v>295</v>
      </c>
      <c r="DM207" s="72">
        <v>295</v>
      </c>
    </row>
    <row r="208" spans="1:117" x14ac:dyDescent="0.35">
      <c r="A208" s="7"/>
      <c r="B208" s="8" t="s">
        <v>390</v>
      </c>
      <c r="C208" s="9" t="s">
        <v>391</v>
      </c>
      <c r="D208" s="10" t="s">
        <v>92</v>
      </c>
      <c r="E208" s="8" t="s">
        <v>1208</v>
      </c>
      <c r="F208" s="10">
        <v>1102</v>
      </c>
      <c r="G208" s="10" t="s">
        <v>92</v>
      </c>
      <c r="H208" s="10" t="s">
        <v>41</v>
      </c>
      <c r="I208" s="11">
        <v>482</v>
      </c>
      <c r="J208" s="10">
        <v>2</v>
      </c>
      <c r="K208" s="10" t="s">
        <v>42</v>
      </c>
      <c r="L208" s="8" t="s">
        <v>381</v>
      </c>
      <c r="M208" s="12">
        <v>2.472</v>
      </c>
      <c r="N208" s="12">
        <f t="shared" si="5"/>
        <v>803.4</v>
      </c>
      <c r="O208" s="11">
        <v>484</v>
      </c>
      <c r="P208" s="11">
        <v>484</v>
      </c>
      <c r="Q208" s="11">
        <v>484</v>
      </c>
      <c r="R208" s="11">
        <v>482</v>
      </c>
      <c r="S208" s="11">
        <v>482</v>
      </c>
      <c r="T208" s="11">
        <v>482</v>
      </c>
      <c r="U208" s="11">
        <v>482</v>
      </c>
      <c r="V208" s="11">
        <v>482</v>
      </c>
      <c r="W208" s="11">
        <v>482</v>
      </c>
      <c r="X208" s="11">
        <v>482</v>
      </c>
      <c r="Y208" s="11">
        <v>482</v>
      </c>
      <c r="Z208" s="11">
        <v>482</v>
      </c>
      <c r="AA208" s="11">
        <v>482</v>
      </c>
      <c r="AB208" s="11">
        <v>482</v>
      </c>
      <c r="AC208" s="11">
        <v>482</v>
      </c>
      <c r="AD208" s="11">
        <v>482</v>
      </c>
      <c r="AE208" s="11">
        <v>482</v>
      </c>
      <c r="AF208" s="11">
        <v>482</v>
      </c>
      <c r="AG208" s="11">
        <v>482</v>
      </c>
      <c r="AH208" s="11">
        <v>482</v>
      </c>
      <c r="AI208" s="11">
        <v>482</v>
      </c>
      <c r="AJ208" s="11">
        <v>482</v>
      </c>
      <c r="AK208" s="11">
        <v>482</v>
      </c>
      <c r="AL208" s="11">
        <v>481</v>
      </c>
      <c r="AM208" s="11">
        <v>481</v>
      </c>
      <c r="AN208" s="72">
        <v>481</v>
      </c>
      <c r="AO208" s="72">
        <v>481</v>
      </c>
      <c r="AP208" s="72">
        <v>481</v>
      </c>
      <c r="AQ208" s="72">
        <v>481</v>
      </c>
      <c r="AR208" s="72">
        <v>481</v>
      </c>
      <c r="AS208" s="72">
        <v>481</v>
      </c>
      <c r="AT208" s="72">
        <v>481</v>
      </c>
      <c r="AU208" s="72">
        <v>481</v>
      </c>
      <c r="AV208" s="72">
        <v>481</v>
      </c>
      <c r="AW208" s="72">
        <v>341</v>
      </c>
      <c r="AX208" s="72">
        <v>341</v>
      </c>
      <c r="AY208" s="72">
        <v>341</v>
      </c>
      <c r="AZ208" s="72">
        <v>341</v>
      </c>
      <c r="BA208" s="72">
        <v>341</v>
      </c>
      <c r="BB208" s="72">
        <v>341</v>
      </c>
      <c r="BC208" s="72">
        <v>341</v>
      </c>
      <c r="BD208" s="72">
        <v>341</v>
      </c>
      <c r="BE208" s="72">
        <v>341</v>
      </c>
      <c r="BF208" s="72">
        <v>341</v>
      </c>
      <c r="BG208" s="72">
        <v>341</v>
      </c>
      <c r="BH208" s="72">
        <v>341</v>
      </c>
      <c r="BI208" s="72">
        <v>341</v>
      </c>
      <c r="BJ208" s="72">
        <v>341</v>
      </c>
      <c r="BK208" s="72">
        <v>341</v>
      </c>
      <c r="BL208" s="72">
        <v>341</v>
      </c>
      <c r="BM208" s="72">
        <v>341</v>
      </c>
      <c r="BN208" s="72">
        <v>341</v>
      </c>
      <c r="BO208" s="72">
        <v>341</v>
      </c>
      <c r="BP208" s="72">
        <v>341</v>
      </c>
      <c r="BQ208" s="72">
        <v>341</v>
      </c>
      <c r="BR208" s="72">
        <v>329</v>
      </c>
      <c r="BS208" s="72">
        <v>329</v>
      </c>
      <c r="BT208" s="72">
        <v>329</v>
      </c>
      <c r="BU208" s="72">
        <v>329</v>
      </c>
      <c r="BV208" s="72">
        <v>325</v>
      </c>
      <c r="BW208" s="72">
        <v>325</v>
      </c>
      <c r="BX208" s="72">
        <v>325</v>
      </c>
      <c r="BY208" s="72">
        <v>325</v>
      </c>
      <c r="BZ208" s="72">
        <v>325</v>
      </c>
      <c r="CA208" s="72">
        <v>325</v>
      </c>
      <c r="CB208" s="72">
        <v>325</v>
      </c>
      <c r="CC208" s="72">
        <v>325</v>
      </c>
      <c r="CD208" s="72">
        <v>325</v>
      </c>
      <c r="CE208" s="72">
        <v>325</v>
      </c>
      <c r="CF208" s="72">
        <v>325</v>
      </c>
      <c r="CG208" s="72">
        <v>325</v>
      </c>
      <c r="CH208" s="72">
        <v>325</v>
      </c>
      <c r="CI208" s="72">
        <v>325</v>
      </c>
      <c r="CJ208" s="72">
        <v>325</v>
      </c>
      <c r="CK208" s="72">
        <v>325</v>
      </c>
      <c r="CL208" s="72">
        <v>325</v>
      </c>
      <c r="CM208" s="72">
        <v>325</v>
      </c>
      <c r="CN208" s="72">
        <v>325</v>
      </c>
      <c r="CO208" s="72">
        <v>325</v>
      </c>
      <c r="CP208" s="72">
        <v>325</v>
      </c>
      <c r="CQ208" s="72">
        <v>325</v>
      </c>
      <c r="CR208" s="72">
        <v>325</v>
      </c>
      <c r="CS208" s="72">
        <v>325</v>
      </c>
      <c r="CT208" s="72">
        <v>325</v>
      </c>
      <c r="CU208" s="72">
        <v>325</v>
      </c>
      <c r="CV208" s="72">
        <v>325</v>
      </c>
      <c r="CW208" s="72">
        <v>325</v>
      </c>
      <c r="CX208" s="72">
        <v>325</v>
      </c>
      <c r="CY208" s="72">
        <v>325</v>
      </c>
      <c r="CZ208" s="72">
        <v>325</v>
      </c>
      <c r="DA208" s="72">
        <v>325</v>
      </c>
      <c r="DB208" s="72">
        <v>325</v>
      </c>
      <c r="DC208" s="72">
        <v>325</v>
      </c>
      <c r="DD208" s="72">
        <v>325</v>
      </c>
      <c r="DE208" s="72">
        <v>325</v>
      </c>
      <c r="DF208" s="72">
        <v>325</v>
      </c>
      <c r="DG208" s="72">
        <v>325</v>
      </c>
      <c r="DH208" s="72">
        <v>325</v>
      </c>
      <c r="DI208" s="72">
        <v>325</v>
      </c>
      <c r="DJ208" s="72">
        <v>325</v>
      </c>
      <c r="DK208" s="72">
        <v>325</v>
      </c>
      <c r="DL208" s="72">
        <v>325</v>
      </c>
      <c r="DM208" s="72">
        <v>325</v>
      </c>
    </row>
    <row r="209" spans="1:117" x14ac:dyDescent="0.35">
      <c r="A209" s="7"/>
      <c r="B209" s="26" t="s">
        <v>392</v>
      </c>
      <c r="C209" s="27" t="s">
        <v>393</v>
      </c>
      <c r="D209" s="28" t="s">
        <v>92</v>
      </c>
      <c r="E209" s="26" t="s">
        <v>1220</v>
      </c>
      <c r="F209" s="10">
        <v>1102</v>
      </c>
      <c r="G209" s="28" t="s">
        <v>92</v>
      </c>
      <c r="H209" s="28" t="s">
        <v>41</v>
      </c>
      <c r="I209" s="29">
        <v>837</v>
      </c>
      <c r="J209" s="10">
        <v>8</v>
      </c>
      <c r="K209" s="10" t="s">
        <v>42</v>
      </c>
      <c r="L209" s="8" t="s">
        <v>381</v>
      </c>
      <c r="M209" s="12">
        <v>0.27600000000000002</v>
      </c>
      <c r="N209" s="12">
        <f t="shared" si="5"/>
        <v>91.632000000000005</v>
      </c>
      <c r="O209" s="29">
        <v>1565</v>
      </c>
      <c r="P209" s="29">
        <v>1565</v>
      </c>
      <c r="Q209" s="29">
        <v>1565</v>
      </c>
      <c r="R209" s="29">
        <v>1485</v>
      </c>
      <c r="S209" s="29">
        <v>1485</v>
      </c>
      <c r="T209" s="29">
        <v>1485</v>
      </c>
      <c r="U209" s="29">
        <v>1451</v>
      </c>
      <c r="V209" s="29">
        <v>1451</v>
      </c>
      <c r="W209" s="29">
        <v>1451</v>
      </c>
      <c r="X209" s="29">
        <v>1451</v>
      </c>
      <c r="Y209" s="29">
        <v>1427</v>
      </c>
      <c r="Z209" s="29">
        <v>1427</v>
      </c>
      <c r="AA209" s="29">
        <v>1427</v>
      </c>
      <c r="AB209" s="29">
        <v>1277</v>
      </c>
      <c r="AC209" s="29">
        <v>1277</v>
      </c>
      <c r="AD209" s="29">
        <v>1277</v>
      </c>
      <c r="AE209" s="29">
        <v>1277</v>
      </c>
      <c r="AF209" s="29">
        <v>1277</v>
      </c>
      <c r="AG209" s="29">
        <v>1277</v>
      </c>
      <c r="AH209" s="29">
        <v>1277</v>
      </c>
      <c r="AI209" s="29">
        <v>1277</v>
      </c>
      <c r="AJ209" s="29">
        <v>837</v>
      </c>
      <c r="AK209" s="29">
        <v>837</v>
      </c>
      <c r="AL209" s="29">
        <v>832</v>
      </c>
      <c r="AM209" s="29">
        <v>832</v>
      </c>
      <c r="AN209" s="75">
        <v>832</v>
      </c>
      <c r="AO209" s="75">
        <v>832</v>
      </c>
      <c r="AP209" s="75">
        <v>832</v>
      </c>
      <c r="AQ209" s="75">
        <v>832</v>
      </c>
      <c r="AR209" s="75">
        <v>816</v>
      </c>
      <c r="AS209" s="75">
        <v>654</v>
      </c>
      <c r="AT209" s="75">
        <v>638</v>
      </c>
      <c r="AU209" s="75">
        <v>638</v>
      </c>
      <c r="AV209" s="75">
        <v>614</v>
      </c>
      <c r="AW209" s="75">
        <v>602</v>
      </c>
      <c r="AX209" s="75">
        <v>602</v>
      </c>
      <c r="AY209" s="75">
        <v>602</v>
      </c>
      <c r="AZ209" s="75">
        <v>602</v>
      </c>
      <c r="BA209" s="75">
        <v>602</v>
      </c>
      <c r="BB209" s="75">
        <v>594</v>
      </c>
      <c r="BC209" s="75">
        <v>594</v>
      </c>
      <c r="BD209" s="75">
        <v>594</v>
      </c>
      <c r="BE209" s="75">
        <v>594</v>
      </c>
      <c r="BF209" s="75">
        <v>594</v>
      </c>
      <c r="BG209" s="75">
        <v>594</v>
      </c>
      <c r="BH209" s="75">
        <v>530</v>
      </c>
      <c r="BI209" s="75">
        <v>506</v>
      </c>
      <c r="BJ209" s="75">
        <v>506</v>
      </c>
      <c r="BK209" s="75">
        <v>506</v>
      </c>
      <c r="BL209" s="75">
        <v>506</v>
      </c>
      <c r="BM209" s="75">
        <v>506</v>
      </c>
      <c r="BN209" s="75">
        <v>506</v>
      </c>
      <c r="BO209" s="75">
        <v>506</v>
      </c>
      <c r="BP209" s="75">
        <v>506</v>
      </c>
      <c r="BQ209" s="75">
        <v>498</v>
      </c>
      <c r="BR209" s="75">
        <v>408</v>
      </c>
      <c r="BS209" s="75">
        <v>372</v>
      </c>
      <c r="BT209" s="75">
        <v>372</v>
      </c>
      <c r="BU209" s="75">
        <v>372</v>
      </c>
      <c r="BV209" s="75">
        <v>372</v>
      </c>
      <c r="BW209" s="75">
        <v>372</v>
      </c>
      <c r="BX209" s="75">
        <v>372</v>
      </c>
      <c r="BY209" s="75">
        <v>372</v>
      </c>
      <c r="BZ209" s="75">
        <v>372</v>
      </c>
      <c r="CA209" s="75">
        <v>372</v>
      </c>
      <c r="CB209" s="75">
        <v>372</v>
      </c>
      <c r="CC209" s="75">
        <v>372</v>
      </c>
      <c r="CD209" s="75">
        <v>372</v>
      </c>
      <c r="CE209" s="75">
        <v>372</v>
      </c>
      <c r="CF209" s="75">
        <v>372</v>
      </c>
      <c r="CG209" s="75">
        <v>372</v>
      </c>
      <c r="CH209" s="75">
        <v>372</v>
      </c>
      <c r="CI209" s="75">
        <v>372</v>
      </c>
      <c r="CJ209" s="75">
        <v>372</v>
      </c>
      <c r="CK209" s="75">
        <v>342</v>
      </c>
      <c r="CL209" s="75">
        <v>342</v>
      </c>
      <c r="CM209" s="75">
        <v>342</v>
      </c>
      <c r="CN209" s="75">
        <v>332</v>
      </c>
      <c r="CO209" s="75">
        <v>332</v>
      </c>
      <c r="CP209" s="75">
        <v>332</v>
      </c>
      <c r="CQ209" s="75">
        <v>332</v>
      </c>
      <c r="CR209" s="75">
        <v>332</v>
      </c>
      <c r="CS209" s="75">
        <v>332</v>
      </c>
      <c r="CT209" s="75">
        <v>332</v>
      </c>
      <c r="CU209" s="75">
        <v>332</v>
      </c>
      <c r="CV209" s="75">
        <v>332</v>
      </c>
      <c r="CW209" s="75">
        <v>332</v>
      </c>
      <c r="CX209" s="75">
        <v>332</v>
      </c>
      <c r="CY209" s="75">
        <v>332</v>
      </c>
      <c r="CZ209" s="75">
        <v>332</v>
      </c>
      <c r="DA209" s="75">
        <v>332</v>
      </c>
      <c r="DB209" s="75">
        <v>332</v>
      </c>
      <c r="DC209" s="75">
        <v>332</v>
      </c>
      <c r="DD209" s="75">
        <v>332</v>
      </c>
      <c r="DE209" s="75">
        <v>332</v>
      </c>
      <c r="DF209" s="75">
        <v>332</v>
      </c>
      <c r="DG209" s="75">
        <v>332</v>
      </c>
      <c r="DH209" s="75">
        <v>332</v>
      </c>
      <c r="DI209" s="75">
        <v>332</v>
      </c>
      <c r="DJ209" s="75">
        <v>332</v>
      </c>
      <c r="DK209" s="75">
        <v>332</v>
      </c>
      <c r="DL209" s="75">
        <v>332</v>
      </c>
      <c r="DM209" s="75">
        <v>332</v>
      </c>
    </row>
    <row r="210" spans="1:117" x14ac:dyDescent="0.35">
      <c r="A210" s="7"/>
      <c r="B210" s="26" t="s">
        <v>394</v>
      </c>
      <c r="C210" s="27" t="s">
        <v>395</v>
      </c>
      <c r="D210" s="28" t="s">
        <v>92</v>
      </c>
      <c r="E210" s="26" t="s">
        <v>1220</v>
      </c>
      <c r="F210" s="10">
        <v>1102</v>
      </c>
      <c r="G210" s="28" t="s">
        <v>92</v>
      </c>
      <c r="H210" s="28" t="s">
        <v>41</v>
      </c>
      <c r="I210" s="29">
        <v>1361</v>
      </c>
      <c r="J210" s="10">
        <v>8</v>
      </c>
      <c r="K210" s="10" t="s">
        <v>42</v>
      </c>
      <c r="L210" s="8" t="s">
        <v>381</v>
      </c>
      <c r="M210" s="12">
        <v>0.28799999999999998</v>
      </c>
      <c r="N210" s="12">
        <f t="shared" si="5"/>
        <v>367.2</v>
      </c>
      <c r="O210" s="29">
        <v>1368</v>
      </c>
      <c r="P210" s="29">
        <v>1368</v>
      </c>
      <c r="Q210" s="29">
        <v>1368</v>
      </c>
      <c r="R210" s="29">
        <v>1360</v>
      </c>
      <c r="S210" s="29">
        <v>1360</v>
      </c>
      <c r="T210" s="29">
        <v>1360</v>
      </c>
      <c r="U210" s="29">
        <v>1360</v>
      </c>
      <c r="V210" s="29">
        <v>1360</v>
      </c>
      <c r="W210" s="29">
        <v>1360</v>
      </c>
      <c r="X210" s="29">
        <v>1360</v>
      </c>
      <c r="Y210" s="29">
        <v>1373</v>
      </c>
      <c r="Z210" s="29">
        <v>1373</v>
      </c>
      <c r="AA210" s="29">
        <v>1373</v>
      </c>
      <c r="AB210" s="29">
        <v>1373</v>
      </c>
      <c r="AC210" s="29">
        <v>1373</v>
      </c>
      <c r="AD210" s="29">
        <v>1373</v>
      </c>
      <c r="AE210" s="29">
        <v>1373</v>
      </c>
      <c r="AF210" s="29">
        <v>1373</v>
      </c>
      <c r="AG210" s="29">
        <v>1373</v>
      </c>
      <c r="AH210" s="29">
        <v>1373</v>
      </c>
      <c r="AI210" s="29">
        <v>1361</v>
      </c>
      <c r="AJ210" s="29">
        <v>1361</v>
      </c>
      <c r="AK210" s="29">
        <v>1357</v>
      </c>
      <c r="AL210" s="29">
        <v>1356</v>
      </c>
      <c r="AM210" s="29">
        <v>1356</v>
      </c>
      <c r="AN210" s="75">
        <v>1356</v>
      </c>
      <c r="AO210" s="75">
        <v>1356</v>
      </c>
      <c r="AP210" s="75">
        <v>1356</v>
      </c>
      <c r="AQ210" s="75">
        <v>1356</v>
      </c>
      <c r="AR210" s="75">
        <v>1356</v>
      </c>
      <c r="AS210" s="75">
        <v>1356</v>
      </c>
      <c r="AT210" s="75">
        <v>1356</v>
      </c>
      <c r="AU210" s="75">
        <v>1356</v>
      </c>
      <c r="AV210" s="75">
        <v>1356</v>
      </c>
      <c r="AW210" s="75">
        <v>1356</v>
      </c>
      <c r="AX210" s="75">
        <v>1356</v>
      </c>
      <c r="AY210" s="75">
        <v>1356</v>
      </c>
      <c r="AZ210" s="75">
        <v>1356</v>
      </c>
      <c r="BA210" s="75">
        <v>1356</v>
      </c>
      <c r="BB210" s="75">
        <v>1356</v>
      </c>
      <c r="BC210" s="75">
        <v>1356</v>
      </c>
      <c r="BD210" s="75">
        <v>1356</v>
      </c>
      <c r="BE210" s="75">
        <v>1356</v>
      </c>
      <c r="BF210" s="75">
        <v>1356</v>
      </c>
      <c r="BG210" s="75">
        <v>1356</v>
      </c>
      <c r="BH210" s="75">
        <v>1356</v>
      </c>
      <c r="BI210" s="75">
        <v>1356</v>
      </c>
      <c r="BJ210" s="75">
        <v>1356</v>
      </c>
      <c r="BK210" s="75">
        <v>1356</v>
      </c>
      <c r="BL210" s="75">
        <v>1356</v>
      </c>
      <c r="BM210" s="75">
        <v>1356</v>
      </c>
      <c r="BN210" s="75">
        <v>1356</v>
      </c>
      <c r="BO210" s="75">
        <v>1356</v>
      </c>
      <c r="BP210" s="75">
        <v>1356</v>
      </c>
      <c r="BQ210" s="75">
        <v>1356</v>
      </c>
      <c r="BR210" s="75">
        <v>1356</v>
      </c>
      <c r="BS210" s="75">
        <v>1356</v>
      </c>
      <c r="BT210" s="75">
        <v>1356</v>
      </c>
      <c r="BU210" s="75">
        <v>1356</v>
      </c>
      <c r="BV210" s="75">
        <v>1356</v>
      </c>
      <c r="BW210" s="75">
        <v>1356</v>
      </c>
      <c r="BX210" s="75">
        <v>1356</v>
      </c>
      <c r="BY210" s="75">
        <v>1356</v>
      </c>
      <c r="BZ210" s="75">
        <v>1332</v>
      </c>
      <c r="CA210" s="75">
        <v>1332</v>
      </c>
      <c r="CB210" s="75">
        <v>1332</v>
      </c>
      <c r="CC210" s="75">
        <v>1332</v>
      </c>
      <c r="CD210" s="75">
        <v>1332</v>
      </c>
      <c r="CE210" s="75">
        <v>1332</v>
      </c>
      <c r="CF210" s="75">
        <v>1332</v>
      </c>
      <c r="CG210" s="75">
        <v>1332</v>
      </c>
      <c r="CH210" s="75">
        <v>1332</v>
      </c>
      <c r="CI210" s="75">
        <v>1332</v>
      </c>
      <c r="CJ210" s="75">
        <v>1332</v>
      </c>
      <c r="CK210" s="75">
        <v>1331</v>
      </c>
      <c r="CL210" s="75">
        <v>1331</v>
      </c>
      <c r="CM210" s="75">
        <v>1331</v>
      </c>
      <c r="CN210" s="75">
        <v>1331</v>
      </c>
      <c r="CO210" s="75">
        <v>1331</v>
      </c>
      <c r="CP210" s="75">
        <v>1331</v>
      </c>
      <c r="CQ210" s="75">
        <v>1331</v>
      </c>
      <c r="CR210" s="75">
        <v>1331</v>
      </c>
      <c r="CS210" s="75">
        <v>1331</v>
      </c>
      <c r="CT210" s="75">
        <v>1331</v>
      </c>
      <c r="CU210" s="75">
        <v>1331</v>
      </c>
      <c r="CV210" s="75">
        <v>1331</v>
      </c>
      <c r="CW210" s="75">
        <v>1331</v>
      </c>
      <c r="CX210" s="75">
        <v>1331</v>
      </c>
      <c r="CY210" s="75">
        <v>1331</v>
      </c>
      <c r="CZ210" s="75">
        <v>1331</v>
      </c>
      <c r="DA210" s="75">
        <v>1331</v>
      </c>
      <c r="DB210" s="75">
        <v>1331</v>
      </c>
      <c r="DC210" s="75">
        <v>1281</v>
      </c>
      <c r="DD210" s="75">
        <v>1281</v>
      </c>
      <c r="DE210" s="75">
        <v>1281</v>
      </c>
      <c r="DF210" s="75">
        <v>1281</v>
      </c>
      <c r="DG210" s="75">
        <v>1281</v>
      </c>
      <c r="DH210" s="75">
        <v>1281</v>
      </c>
      <c r="DI210" s="75">
        <v>1281</v>
      </c>
      <c r="DJ210" s="75">
        <v>1281</v>
      </c>
      <c r="DK210" s="75">
        <v>1281</v>
      </c>
      <c r="DL210" s="75">
        <v>1275</v>
      </c>
      <c r="DM210" s="75">
        <v>1275</v>
      </c>
    </row>
    <row r="211" spans="1:117" x14ac:dyDescent="0.35">
      <c r="A211" s="7"/>
      <c r="B211" s="26" t="s">
        <v>396</v>
      </c>
      <c r="C211" s="27" t="s">
        <v>397</v>
      </c>
      <c r="D211" s="28" t="s">
        <v>92</v>
      </c>
      <c r="E211" s="26" t="s">
        <v>1220</v>
      </c>
      <c r="F211" s="10">
        <v>1102</v>
      </c>
      <c r="G211" s="28" t="s">
        <v>92</v>
      </c>
      <c r="H211" s="28" t="s">
        <v>41</v>
      </c>
      <c r="I211" s="29">
        <v>915</v>
      </c>
      <c r="J211" s="10">
        <v>8</v>
      </c>
      <c r="K211" s="10" t="s">
        <v>42</v>
      </c>
      <c r="L211" s="8" t="s">
        <v>381</v>
      </c>
      <c r="M211" s="12">
        <v>0.312</v>
      </c>
      <c r="N211" s="12">
        <f t="shared" si="5"/>
        <v>275.80799999999999</v>
      </c>
      <c r="O211" s="29">
        <v>923</v>
      </c>
      <c r="P211" s="29">
        <v>923</v>
      </c>
      <c r="Q211" s="29">
        <v>923</v>
      </c>
      <c r="R211" s="29">
        <v>915</v>
      </c>
      <c r="S211" s="29">
        <v>915</v>
      </c>
      <c r="T211" s="29">
        <v>915</v>
      </c>
      <c r="U211" s="29">
        <v>915</v>
      </c>
      <c r="V211" s="29">
        <v>915</v>
      </c>
      <c r="W211" s="29">
        <v>915</v>
      </c>
      <c r="X211" s="29">
        <v>915</v>
      </c>
      <c r="Y211" s="29">
        <v>915</v>
      </c>
      <c r="Z211" s="29">
        <v>915</v>
      </c>
      <c r="AA211" s="29">
        <v>915</v>
      </c>
      <c r="AB211" s="29">
        <v>915</v>
      </c>
      <c r="AC211" s="29">
        <v>915</v>
      </c>
      <c r="AD211" s="29">
        <v>915</v>
      </c>
      <c r="AE211" s="29">
        <v>915</v>
      </c>
      <c r="AF211" s="29">
        <v>915</v>
      </c>
      <c r="AG211" s="29">
        <v>915</v>
      </c>
      <c r="AH211" s="29">
        <v>915</v>
      </c>
      <c r="AI211" s="29">
        <v>915</v>
      </c>
      <c r="AJ211" s="29">
        <v>915</v>
      </c>
      <c r="AK211" s="29">
        <v>915</v>
      </c>
      <c r="AL211" s="29">
        <v>914</v>
      </c>
      <c r="AM211" s="29">
        <v>914</v>
      </c>
      <c r="AN211" s="75">
        <v>914</v>
      </c>
      <c r="AO211" s="75">
        <v>914</v>
      </c>
      <c r="AP211" s="75">
        <v>914</v>
      </c>
      <c r="AQ211" s="75">
        <v>914</v>
      </c>
      <c r="AR211" s="75">
        <v>914</v>
      </c>
      <c r="AS211" s="75">
        <v>908</v>
      </c>
      <c r="AT211" s="75">
        <v>908</v>
      </c>
      <c r="AU211" s="75">
        <v>908</v>
      </c>
      <c r="AV211" s="75">
        <v>908</v>
      </c>
      <c r="AW211" s="75">
        <v>908</v>
      </c>
      <c r="AX211" s="75">
        <v>908</v>
      </c>
      <c r="AY211" s="75">
        <v>908</v>
      </c>
      <c r="AZ211" s="75">
        <v>908</v>
      </c>
      <c r="BA211" s="75">
        <v>884</v>
      </c>
      <c r="BB211" s="75">
        <v>884</v>
      </c>
      <c r="BC211" s="75">
        <v>884</v>
      </c>
      <c r="BD211" s="75">
        <v>884</v>
      </c>
      <c r="BE211" s="75">
        <v>884</v>
      </c>
      <c r="BF211" s="75">
        <v>884</v>
      </c>
      <c r="BG211" s="75">
        <v>884</v>
      </c>
      <c r="BH211" s="75">
        <v>884</v>
      </c>
      <c r="BI211" s="75">
        <v>884</v>
      </c>
      <c r="BJ211" s="75">
        <v>884</v>
      </c>
      <c r="BK211" s="75">
        <v>884</v>
      </c>
      <c r="BL211" s="75">
        <v>884</v>
      </c>
      <c r="BM211" s="75">
        <v>884</v>
      </c>
      <c r="BN211" s="75">
        <v>884</v>
      </c>
      <c r="BO211" s="75">
        <v>884</v>
      </c>
      <c r="BP211" s="75">
        <v>884</v>
      </c>
      <c r="BQ211" s="75">
        <v>884</v>
      </c>
      <c r="BR211" s="75">
        <v>884</v>
      </c>
      <c r="BS211" s="75">
        <v>884</v>
      </c>
      <c r="BT211" s="75">
        <v>884</v>
      </c>
      <c r="BU211" s="75">
        <v>884</v>
      </c>
      <c r="BV211" s="75">
        <v>884</v>
      </c>
      <c r="BW211" s="75">
        <v>884</v>
      </c>
      <c r="BX211" s="75">
        <v>884</v>
      </c>
      <c r="BY211" s="75">
        <v>884</v>
      </c>
      <c r="BZ211" s="75">
        <v>884</v>
      </c>
      <c r="CA211" s="75">
        <v>884</v>
      </c>
      <c r="CB211" s="75">
        <v>884</v>
      </c>
      <c r="CC211" s="75">
        <v>884</v>
      </c>
      <c r="CD211" s="75">
        <v>884</v>
      </c>
      <c r="CE211" s="75">
        <v>884</v>
      </c>
      <c r="CF211" s="75">
        <v>884</v>
      </c>
      <c r="CG211" s="75">
        <v>884</v>
      </c>
      <c r="CH211" s="75">
        <v>884</v>
      </c>
      <c r="CI211" s="75">
        <v>884</v>
      </c>
      <c r="CJ211" s="75">
        <v>884</v>
      </c>
      <c r="CK211" s="75">
        <v>884</v>
      </c>
      <c r="CL211" s="75">
        <v>884</v>
      </c>
      <c r="CM211" s="75">
        <v>884</v>
      </c>
      <c r="CN211" s="75">
        <v>884</v>
      </c>
      <c r="CO211" s="75">
        <v>884</v>
      </c>
      <c r="CP211" s="75">
        <v>884</v>
      </c>
      <c r="CQ211" s="75">
        <v>884</v>
      </c>
      <c r="CR211" s="75">
        <v>884</v>
      </c>
      <c r="CS211" s="75">
        <v>884</v>
      </c>
      <c r="CT211" s="75">
        <v>884</v>
      </c>
      <c r="CU211" s="75">
        <v>884</v>
      </c>
      <c r="CV211" s="75">
        <v>884</v>
      </c>
      <c r="CW211" s="75">
        <v>884</v>
      </c>
      <c r="CX211" s="75">
        <v>884</v>
      </c>
      <c r="CY211" s="75">
        <v>884</v>
      </c>
      <c r="CZ211" s="75">
        <v>884</v>
      </c>
      <c r="DA211" s="75">
        <v>884</v>
      </c>
      <c r="DB211" s="75">
        <v>884</v>
      </c>
      <c r="DC211" s="75">
        <v>884</v>
      </c>
      <c r="DD211" s="75">
        <v>884</v>
      </c>
      <c r="DE211" s="75">
        <v>884</v>
      </c>
      <c r="DF211" s="75">
        <v>884</v>
      </c>
      <c r="DG211" s="75">
        <v>884</v>
      </c>
      <c r="DH211" s="75">
        <v>884</v>
      </c>
      <c r="DI211" s="75">
        <v>884</v>
      </c>
      <c r="DJ211" s="75">
        <v>884</v>
      </c>
      <c r="DK211" s="75">
        <v>884</v>
      </c>
      <c r="DL211" s="75">
        <v>884</v>
      </c>
      <c r="DM211" s="75">
        <v>884</v>
      </c>
    </row>
    <row r="212" spans="1:117" x14ac:dyDescent="0.35">
      <c r="A212" s="7"/>
      <c r="B212" s="26" t="s">
        <v>398</v>
      </c>
      <c r="C212" s="27" t="s">
        <v>399</v>
      </c>
      <c r="D212" s="28" t="s">
        <v>92</v>
      </c>
      <c r="E212" s="26" t="s">
        <v>1220</v>
      </c>
      <c r="F212" s="10">
        <v>1102</v>
      </c>
      <c r="G212" s="28" t="s">
        <v>92</v>
      </c>
      <c r="H212" s="28" t="s">
        <v>41</v>
      </c>
      <c r="I212" s="29">
        <v>286</v>
      </c>
      <c r="J212" s="10">
        <v>8</v>
      </c>
      <c r="K212" s="10" t="s">
        <v>42</v>
      </c>
      <c r="L212" s="8" t="s">
        <v>381</v>
      </c>
      <c r="M212" s="12">
        <v>0.14399999999999999</v>
      </c>
      <c r="N212" s="12">
        <f t="shared" si="5"/>
        <v>23.471999999999998</v>
      </c>
      <c r="O212" s="29">
        <v>666</v>
      </c>
      <c r="P212" s="29">
        <v>666</v>
      </c>
      <c r="Q212" s="29">
        <v>666</v>
      </c>
      <c r="R212" s="29">
        <v>658</v>
      </c>
      <c r="S212" s="29">
        <v>658</v>
      </c>
      <c r="T212" s="29">
        <v>658</v>
      </c>
      <c r="U212" s="29">
        <v>658</v>
      </c>
      <c r="V212" s="29">
        <v>658</v>
      </c>
      <c r="W212" s="29">
        <v>658</v>
      </c>
      <c r="X212" s="29">
        <v>658</v>
      </c>
      <c r="Y212" s="29">
        <v>586</v>
      </c>
      <c r="Z212" s="29">
        <v>586</v>
      </c>
      <c r="AA212" s="29">
        <v>586</v>
      </c>
      <c r="AB212" s="29">
        <v>586</v>
      </c>
      <c r="AC212" s="29">
        <v>586</v>
      </c>
      <c r="AD212" s="29">
        <v>586</v>
      </c>
      <c r="AE212" s="29">
        <v>586</v>
      </c>
      <c r="AF212" s="29">
        <v>586</v>
      </c>
      <c r="AG212" s="29">
        <v>586</v>
      </c>
      <c r="AH212" s="29">
        <v>586</v>
      </c>
      <c r="AI212" s="29">
        <v>586</v>
      </c>
      <c r="AJ212" s="29">
        <v>286</v>
      </c>
      <c r="AK212" s="29">
        <v>286</v>
      </c>
      <c r="AL212" s="29">
        <v>285</v>
      </c>
      <c r="AM212" s="29">
        <v>285</v>
      </c>
      <c r="AN212" s="75">
        <v>285</v>
      </c>
      <c r="AO212" s="75">
        <v>285</v>
      </c>
      <c r="AP212" s="75">
        <v>285</v>
      </c>
      <c r="AQ212" s="75">
        <v>285</v>
      </c>
      <c r="AR212" s="75">
        <v>285</v>
      </c>
      <c r="AS212" s="75">
        <v>285</v>
      </c>
      <c r="AT212" s="75">
        <v>285</v>
      </c>
      <c r="AU212" s="75">
        <v>285</v>
      </c>
      <c r="AV212" s="75">
        <v>285</v>
      </c>
      <c r="AW212" s="75">
        <v>285</v>
      </c>
      <c r="AX212" s="75">
        <v>285</v>
      </c>
      <c r="AY212" s="75">
        <v>285</v>
      </c>
      <c r="AZ212" s="75">
        <v>285</v>
      </c>
      <c r="BA212" s="75">
        <v>285</v>
      </c>
      <c r="BB212" s="75">
        <v>285</v>
      </c>
      <c r="BC212" s="75">
        <v>285</v>
      </c>
      <c r="BD212" s="75">
        <v>235</v>
      </c>
      <c r="BE212" s="75">
        <v>235</v>
      </c>
      <c r="BF212" s="75">
        <v>235</v>
      </c>
      <c r="BG212" s="75">
        <v>235</v>
      </c>
      <c r="BH212" s="75">
        <v>235</v>
      </c>
      <c r="BI212" s="75">
        <v>235</v>
      </c>
      <c r="BJ212" s="75">
        <v>235</v>
      </c>
      <c r="BK212" s="75">
        <v>235</v>
      </c>
      <c r="BL212" s="75">
        <v>235</v>
      </c>
      <c r="BM212" s="75">
        <v>235</v>
      </c>
      <c r="BN212" s="75">
        <v>235</v>
      </c>
      <c r="BO212" s="75">
        <v>235</v>
      </c>
      <c r="BP212" s="75">
        <v>235</v>
      </c>
      <c r="BQ212" s="75">
        <v>235</v>
      </c>
      <c r="BR212" s="75">
        <v>235</v>
      </c>
      <c r="BS212" s="75">
        <v>235</v>
      </c>
      <c r="BT212" s="75">
        <v>235</v>
      </c>
      <c r="BU212" s="75">
        <v>235</v>
      </c>
      <c r="BV212" s="75">
        <v>231</v>
      </c>
      <c r="BW212" s="75">
        <v>231</v>
      </c>
      <c r="BX212" s="75">
        <v>231</v>
      </c>
      <c r="BY212" s="75">
        <v>231</v>
      </c>
      <c r="BZ212" s="75">
        <v>231</v>
      </c>
      <c r="CA212" s="75">
        <v>231</v>
      </c>
      <c r="CB212" s="75">
        <v>231</v>
      </c>
      <c r="CC212" s="75">
        <v>231</v>
      </c>
      <c r="CD212" s="75">
        <v>231</v>
      </c>
      <c r="CE212" s="75">
        <v>231</v>
      </c>
      <c r="CF212" s="75">
        <v>231</v>
      </c>
      <c r="CG212" s="75">
        <v>231</v>
      </c>
      <c r="CH212" s="75">
        <v>231</v>
      </c>
      <c r="CI212" s="75">
        <v>231</v>
      </c>
      <c r="CJ212" s="75">
        <v>231</v>
      </c>
      <c r="CK212" s="75">
        <v>231</v>
      </c>
      <c r="CL212" s="75">
        <v>231</v>
      </c>
      <c r="CM212" s="75">
        <v>231</v>
      </c>
      <c r="CN212" s="75">
        <v>231</v>
      </c>
      <c r="CO212" s="75">
        <v>231</v>
      </c>
      <c r="CP212" s="75">
        <v>231</v>
      </c>
      <c r="CQ212" s="75">
        <v>231</v>
      </c>
      <c r="CR212" s="75">
        <v>231</v>
      </c>
      <c r="CS212" s="75">
        <v>231</v>
      </c>
      <c r="CT212" s="75">
        <v>231</v>
      </c>
      <c r="CU212" s="75">
        <v>231</v>
      </c>
      <c r="CV212" s="75">
        <v>231</v>
      </c>
      <c r="CW212" s="75">
        <v>231</v>
      </c>
      <c r="CX212" s="75">
        <v>231</v>
      </c>
      <c r="CY212" s="75">
        <v>231</v>
      </c>
      <c r="CZ212" s="75">
        <v>231</v>
      </c>
      <c r="DA212" s="75">
        <v>231</v>
      </c>
      <c r="DB212" s="75">
        <v>231</v>
      </c>
      <c r="DC212" s="75">
        <v>231</v>
      </c>
      <c r="DD212" s="75">
        <v>231</v>
      </c>
      <c r="DE212" s="75">
        <v>231</v>
      </c>
      <c r="DF212" s="75">
        <v>231</v>
      </c>
      <c r="DG212" s="75">
        <v>231</v>
      </c>
      <c r="DH212" s="75">
        <v>231</v>
      </c>
      <c r="DI212" s="75">
        <v>231</v>
      </c>
      <c r="DJ212" s="75">
        <v>231</v>
      </c>
      <c r="DK212" s="75">
        <v>231</v>
      </c>
      <c r="DL212" s="75">
        <v>231</v>
      </c>
      <c r="DM212" s="75">
        <v>163</v>
      </c>
    </row>
    <row r="213" spans="1:117" x14ac:dyDescent="0.35">
      <c r="A213" s="7"/>
      <c r="B213" s="26" t="s">
        <v>400</v>
      </c>
      <c r="C213" s="27" t="s">
        <v>401</v>
      </c>
      <c r="D213" s="28" t="s">
        <v>92</v>
      </c>
      <c r="E213" s="26" t="s">
        <v>1220</v>
      </c>
      <c r="F213" s="10">
        <v>1102</v>
      </c>
      <c r="G213" s="28" t="s">
        <v>92</v>
      </c>
      <c r="H213" s="28" t="s">
        <v>41</v>
      </c>
      <c r="I213" s="29">
        <v>892</v>
      </c>
      <c r="J213" s="10">
        <v>8</v>
      </c>
      <c r="K213" s="10" t="s">
        <v>42</v>
      </c>
      <c r="L213" s="8" t="s">
        <v>381</v>
      </c>
      <c r="M213" s="12">
        <v>0.156</v>
      </c>
      <c r="N213" s="12">
        <f t="shared" si="5"/>
        <v>125.42400000000001</v>
      </c>
      <c r="O213" s="29">
        <v>900</v>
      </c>
      <c r="P213" s="29">
        <v>900</v>
      </c>
      <c r="Q213" s="29">
        <v>900</v>
      </c>
      <c r="R213" s="29">
        <v>892</v>
      </c>
      <c r="S213" s="29">
        <v>892</v>
      </c>
      <c r="T213" s="29">
        <v>892</v>
      </c>
      <c r="U213" s="29">
        <v>892</v>
      </c>
      <c r="V213" s="29">
        <v>892</v>
      </c>
      <c r="W213" s="29">
        <v>892</v>
      </c>
      <c r="X213" s="29">
        <v>892</v>
      </c>
      <c r="Y213" s="29">
        <v>892</v>
      </c>
      <c r="Z213" s="29">
        <v>892</v>
      </c>
      <c r="AA213" s="29">
        <v>892</v>
      </c>
      <c r="AB213" s="29">
        <v>892</v>
      </c>
      <c r="AC213" s="29">
        <v>892</v>
      </c>
      <c r="AD213" s="29">
        <v>892</v>
      </c>
      <c r="AE213" s="29">
        <v>892</v>
      </c>
      <c r="AF213" s="29">
        <v>892</v>
      </c>
      <c r="AG213" s="29">
        <v>892</v>
      </c>
      <c r="AH213" s="29">
        <v>892</v>
      </c>
      <c r="AI213" s="29">
        <v>892</v>
      </c>
      <c r="AJ213" s="29">
        <v>892</v>
      </c>
      <c r="AK213" s="29">
        <v>892</v>
      </c>
      <c r="AL213" s="29">
        <v>859</v>
      </c>
      <c r="AM213" s="29">
        <v>859</v>
      </c>
      <c r="AN213" s="75">
        <v>859</v>
      </c>
      <c r="AO213" s="75">
        <v>859</v>
      </c>
      <c r="AP213" s="75">
        <v>859</v>
      </c>
      <c r="AQ213" s="75">
        <v>859</v>
      </c>
      <c r="AR213" s="75">
        <v>859</v>
      </c>
      <c r="AS213" s="75">
        <v>859</v>
      </c>
      <c r="AT213" s="75">
        <v>859</v>
      </c>
      <c r="AU213" s="75">
        <v>859</v>
      </c>
      <c r="AV213" s="75">
        <v>859</v>
      </c>
      <c r="AW213" s="75">
        <v>859</v>
      </c>
      <c r="AX213" s="75">
        <v>859</v>
      </c>
      <c r="AY213" s="75">
        <v>859</v>
      </c>
      <c r="AZ213" s="75">
        <v>859</v>
      </c>
      <c r="BA213" s="75">
        <v>859</v>
      </c>
      <c r="BB213" s="75">
        <v>859</v>
      </c>
      <c r="BC213" s="75">
        <v>859</v>
      </c>
      <c r="BD213" s="75">
        <v>859</v>
      </c>
      <c r="BE213" s="75">
        <v>859</v>
      </c>
      <c r="BF213" s="75">
        <v>859</v>
      </c>
      <c r="BG213" s="75">
        <v>859</v>
      </c>
      <c r="BH213" s="75">
        <v>859</v>
      </c>
      <c r="BI213" s="75">
        <v>859</v>
      </c>
      <c r="BJ213" s="75">
        <v>859</v>
      </c>
      <c r="BK213" s="75">
        <v>859</v>
      </c>
      <c r="BL213" s="75">
        <v>859</v>
      </c>
      <c r="BM213" s="75">
        <v>859</v>
      </c>
      <c r="BN213" s="75">
        <v>859</v>
      </c>
      <c r="BO213" s="75">
        <v>859</v>
      </c>
      <c r="BP213" s="75">
        <v>859</v>
      </c>
      <c r="BQ213" s="75">
        <v>859</v>
      </c>
      <c r="BR213" s="75">
        <v>859</v>
      </c>
      <c r="BS213" s="75">
        <v>859</v>
      </c>
      <c r="BT213" s="75">
        <v>859</v>
      </c>
      <c r="BU213" s="75">
        <v>859</v>
      </c>
      <c r="BV213" s="75">
        <v>855</v>
      </c>
      <c r="BW213" s="75">
        <v>855</v>
      </c>
      <c r="BX213" s="75">
        <v>855</v>
      </c>
      <c r="BY213" s="75">
        <v>855</v>
      </c>
      <c r="BZ213" s="75">
        <v>855</v>
      </c>
      <c r="CA213" s="75">
        <v>855</v>
      </c>
      <c r="CB213" s="75">
        <v>855</v>
      </c>
      <c r="CC213" s="75">
        <v>855</v>
      </c>
      <c r="CD213" s="75">
        <v>855</v>
      </c>
      <c r="CE213" s="75">
        <v>855</v>
      </c>
      <c r="CF213" s="75">
        <v>855</v>
      </c>
      <c r="CG213" s="75">
        <v>855</v>
      </c>
      <c r="CH213" s="75">
        <v>855</v>
      </c>
      <c r="CI213" s="75">
        <v>855</v>
      </c>
      <c r="CJ213" s="75">
        <v>855</v>
      </c>
      <c r="CK213" s="75">
        <v>854</v>
      </c>
      <c r="CL213" s="75">
        <v>854</v>
      </c>
      <c r="CM213" s="75">
        <v>854</v>
      </c>
      <c r="CN213" s="75">
        <v>854</v>
      </c>
      <c r="CO213" s="75">
        <v>854</v>
      </c>
      <c r="CP213" s="75">
        <v>854</v>
      </c>
      <c r="CQ213" s="75">
        <v>854</v>
      </c>
      <c r="CR213" s="75">
        <v>854</v>
      </c>
      <c r="CS213" s="75">
        <v>854</v>
      </c>
      <c r="CT213" s="75">
        <v>854</v>
      </c>
      <c r="CU213" s="75">
        <v>854</v>
      </c>
      <c r="CV213" s="75">
        <v>854</v>
      </c>
      <c r="CW213" s="75">
        <v>854</v>
      </c>
      <c r="CX213" s="75">
        <v>854</v>
      </c>
      <c r="CY213" s="75">
        <v>854</v>
      </c>
      <c r="CZ213" s="75">
        <v>854</v>
      </c>
      <c r="DA213" s="75">
        <v>854</v>
      </c>
      <c r="DB213" s="75">
        <v>854</v>
      </c>
      <c r="DC213" s="75">
        <v>804</v>
      </c>
      <c r="DD213" s="75">
        <v>804</v>
      </c>
      <c r="DE213" s="75">
        <v>804</v>
      </c>
      <c r="DF213" s="75">
        <v>804</v>
      </c>
      <c r="DG213" s="75">
        <v>804</v>
      </c>
      <c r="DH213" s="75">
        <v>804</v>
      </c>
      <c r="DI213" s="75">
        <v>804</v>
      </c>
      <c r="DJ213" s="75">
        <v>804</v>
      </c>
      <c r="DK213" s="75">
        <v>804</v>
      </c>
      <c r="DL213" s="75">
        <v>804</v>
      </c>
      <c r="DM213" s="75">
        <v>804</v>
      </c>
    </row>
    <row r="214" spans="1:117" x14ac:dyDescent="0.35">
      <c r="A214" s="7"/>
      <c r="B214" s="26" t="s">
        <v>402</v>
      </c>
      <c r="C214" s="27" t="s">
        <v>403</v>
      </c>
      <c r="D214" s="28" t="s">
        <v>92</v>
      </c>
      <c r="E214" s="26" t="s">
        <v>1220</v>
      </c>
      <c r="F214" s="10">
        <v>1102</v>
      </c>
      <c r="G214" s="28" t="s">
        <v>92</v>
      </c>
      <c r="H214" s="28" t="s">
        <v>41</v>
      </c>
      <c r="I214" s="29">
        <v>972</v>
      </c>
      <c r="J214" s="10">
        <v>8</v>
      </c>
      <c r="K214" s="10" t="s">
        <v>42</v>
      </c>
      <c r="L214" s="8" t="s">
        <v>381</v>
      </c>
      <c r="M214" s="12">
        <v>0.18</v>
      </c>
      <c r="N214" s="12">
        <f t="shared" si="5"/>
        <v>174.42</v>
      </c>
      <c r="O214" s="29">
        <v>980</v>
      </c>
      <c r="P214" s="29">
        <v>980</v>
      </c>
      <c r="Q214" s="29">
        <v>980</v>
      </c>
      <c r="R214" s="29">
        <v>972</v>
      </c>
      <c r="S214" s="29">
        <v>972</v>
      </c>
      <c r="T214" s="29">
        <v>972</v>
      </c>
      <c r="U214" s="29">
        <v>972</v>
      </c>
      <c r="V214" s="29">
        <v>972</v>
      </c>
      <c r="W214" s="29">
        <v>972</v>
      </c>
      <c r="X214" s="29">
        <v>972</v>
      </c>
      <c r="Y214" s="29">
        <v>972</v>
      </c>
      <c r="Z214" s="29">
        <v>972</v>
      </c>
      <c r="AA214" s="29">
        <v>972</v>
      </c>
      <c r="AB214" s="29">
        <v>972</v>
      </c>
      <c r="AC214" s="29">
        <v>972</v>
      </c>
      <c r="AD214" s="29">
        <v>972</v>
      </c>
      <c r="AE214" s="29">
        <v>972</v>
      </c>
      <c r="AF214" s="29">
        <v>972</v>
      </c>
      <c r="AG214" s="29">
        <v>972</v>
      </c>
      <c r="AH214" s="29">
        <v>972</v>
      </c>
      <c r="AI214" s="29">
        <v>972</v>
      </c>
      <c r="AJ214" s="29">
        <v>972</v>
      </c>
      <c r="AK214" s="29">
        <v>972</v>
      </c>
      <c r="AL214" s="29">
        <v>971</v>
      </c>
      <c r="AM214" s="29">
        <v>971</v>
      </c>
      <c r="AN214" s="75">
        <v>971</v>
      </c>
      <c r="AO214" s="75">
        <v>971</v>
      </c>
      <c r="AP214" s="75">
        <v>971</v>
      </c>
      <c r="AQ214" s="75">
        <v>971</v>
      </c>
      <c r="AR214" s="75">
        <v>971</v>
      </c>
      <c r="AS214" s="75">
        <v>971</v>
      </c>
      <c r="AT214" s="75">
        <v>971</v>
      </c>
      <c r="AU214" s="75">
        <v>971</v>
      </c>
      <c r="AV214" s="75">
        <v>971</v>
      </c>
      <c r="AW214" s="75">
        <v>971</v>
      </c>
      <c r="AX214" s="75">
        <v>971</v>
      </c>
      <c r="AY214" s="75">
        <v>971</v>
      </c>
      <c r="AZ214" s="75">
        <v>971</v>
      </c>
      <c r="BA214" s="75">
        <v>971</v>
      </c>
      <c r="BB214" s="75">
        <v>971</v>
      </c>
      <c r="BC214" s="75">
        <v>971</v>
      </c>
      <c r="BD214" s="75">
        <v>971</v>
      </c>
      <c r="BE214" s="75">
        <v>971</v>
      </c>
      <c r="BF214" s="75">
        <v>971</v>
      </c>
      <c r="BG214" s="75">
        <v>971</v>
      </c>
      <c r="BH214" s="75">
        <v>971</v>
      </c>
      <c r="BI214" s="75">
        <v>971</v>
      </c>
      <c r="BJ214" s="75">
        <v>971</v>
      </c>
      <c r="BK214" s="75">
        <v>971</v>
      </c>
      <c r="BL214" s="75">
        <v>971</v>
      </c>
      <c r="BM214" s="75">
        <v>971</v>
      </c>
      <c r="BN214" s="75">
        <v>971</v>
      </c>
      <c r="BO214" s="75">
        <v>971</v>
      </c>
      <c r="BP214" s="75">
        <v>971</v>
      </c>
      <c r="BQ214" s="75">
        <v>971</v>
      </c>
      <c r="BR214" s="75">
        <v>971</v>
      </c>
      <c r="BS214" s="75">
        <v>971</v>
      </c>
      <c r="BT214" s="75">
        <v>971</v>
      </c>
      <c r="BU214" s="75">
        <v>971</v>
      </c>
      <c r="BV214" s="75">
        <v>969</v>
      </c>
      <c r="BW214" s="75">
        <v>969</v>
      </c>
      <c r="BX214" s="75">
        <v>969</v>
      </c>
      <c r="BY214" s="75">
        <v>969</v>
      </c>
      <c r="BZ214" s="75">
        <v>969</v>
      </c>
      <c r="CA214" s="75">
        <v>969</v>
      </c>
      <c r="CB214" s="75">
        <v>969</v>
      </c>
      <c r="CC214" s="75">
        <v>969</v>
      </c>
      <c r="CD214" s="75">
        <v>969</v>
      </c>
      <c r="CE214" s="75">
        <v>969</v>
      </c>
      <c r="CF214" s="75">
        <v>969</v>
      </c>
      <c r="CG214" s="75">
        <v>969</v>
      </c>
      <c r="CH214" s="75">
        <v>969</v>
      </c>
      <c r="CI214" s="75">
        <v>969</v>
      </c>
      <c r="CJ214" s="75">
        <v>969</v>
      </c>
      <c r="CK214" s="75">
        <v>969</v>
      </c>
      <c r="CL214" s="75">
        <v>969</v>
      </c>
      <c r="CM214" s="75">
        <v>969</v>
      </c>
      <c r="CN214" s="75">
        <v>969</v>
      </c>
      <c r="CO214" s="75">
        <v>969</v>
      </c>
      <c r="CP214" s="75">
        <v>969</v>
      </c>
      <c r="CQ214" s="75">
        <v>969</v>
      </c>
      <c r="CR214" s="75">
        <v>969</v>
      </c>
      <c r="CS214" s="75">
        <v>969</v>
      </c>
      <c r="CT214" s="75">
        <v>969</v>
      </c>
      <c r="CU214" s="75">
        <v>969</v>
      </c>
      <c r="CV214" s="75">
        <v>969</v>
      </c>
      <c r="CW214" s="75">
        <v>969</v>
      </c>
      <c r="CX214" s="75">
        <v>969</v>
      </c>
      <c r="CY214" s="75">
        <v>969</v>
      </c>
      <c r="CZ214" s="75">
        <v>969</v>
      </c>
      <c r="DA214" s="75">
        <v>969</v>
      </c>
      <c r="DB214" s="75">
        <v>969</v>
      </c>
      <c r="DC214" s="75">
        <v>969</v>
      </c>
      <c r="DD214" s="75">
        <v>969</v>
      </c>
      <c r="DE214" s="75">
        <v>969</v>
      </c>
      <c r="DF214" s="75">
        <v>969</v>
      </c>
      <c r="DG214" s="75">
        <v>969</v>
      </c>
      <c r="DH214" s="75">
        <v>969</v>
      </c>
      <c r="DI214" s="75">
        <v>969</v>
      </c>
      <c r="DJ214" s="75">
        <v>969</v>
      </c>
      <c r="DK214" s="75">
        <v>969</v>
      </c>
      <c r="DL214" s="75">
        <v>969</v>
      </c>
      <c r="DM214" s="75">
        <v>969</v>
      </c>
    </row>
    <row r="215" spans="1:117" x14ac:dyDescent="0.35">
      <c r="A215" s="7"/>
      <c r="B215" s="26" t="s">
        <v>404</v>
      </c>
      <c r="C215" s="27" t="s">
        <v>405</v>
      </c>
      <c r="D215" s="28" t="s">
        <v>92</v>
      </c>
      <c r="E215" s="26" t="s">
        <v>1219</v>
      </c>
      <c r="F215" s="10">
        <v>1102</v>
      </c>
      <c r="G215" s="28" t="s">
        <v>92</v>
      </c>
      <c r="H215" s="28" t="s">
        <v>41</v>
      </c>
      <c r="I215" s="29">
        <v>1186</v>
      </c>
      <c r="J215" s="10">
        <v>16</v>
      </c>
      <c r="K215" s="10" t="s">
        <v>42</v>
      </c>
      <c r="L215" s="8" t="s">
        <v>381</v>
      </c>
      <c r="M215" s="12">
        <v>0.49199999999999999</v>
      </c>
      <c r="N215" s="12">
        <f t="shared" si="5"/>
        <v>7.8719999999999999</v>
      </c>
      <c r="O215" s="29">
        <v>2546</v>
      </c>
      <c r="P215" s="29">
        <v>2546</v>
      </c>
      <c r="Q215" s="29">
        <v>2546</v>
      </c>
      <c r="R215" s="29">
        <v>2382</v>
      </c>
      <c r="S215" s="29">
        <v>2386</v>
      </c>
      <c r="T215" s="29">
        <v>2386</v>
      </c>
      <c r="U215" s="29">
        <v>2318</v>
      </c>
      <c r="V215" s="29">
        <v>2318</v>
      </c>
      <c r="W215" s="29">
        <v>2318</v>
      </c>
      <c r="X215" s="29">
        <v>2318</v>
      </c>
      <c r="Y215" s="29">
        <v>2318</v>
      </c>
      <c r="Z215" s="29">
        <v>2318</v>
      </c>
      <c r="AA215" s="29">
        <v>2318</v>
      </c>
      <c r="AB215" s="29">
        <v>2018</v>
      </c>
      <c r="AC215" s="29">
        <v>2018</v>
      </c>
      <c r="AD215" s="29">
        <v>2018</v>
      </c>
      <c r="AE215" s="29">
        <v>2018</v>
      </c>
      <c r="AF215" s="29">
        <v>2018</v>
      </c>
      <c r="AG215" s="29">
        <v>2018</v>
      </c>
      <c r="AH215" s="29">
        <v>2018</v>
      </c>
      <c r="AI215" s="29">
        <v>2018</v>
      </c>
      <c r="AJ215" s="29">
        <v>1186</v>
      </c>
      <c r="AK215" s="29">
        <v>1186</v>
      </c>
      <c r="AL215" s="29">
        <v>1177</v>
      </c>
      <c r="AM215" s="29">
        <v>1177</v>
      </c>
      <c r="AN215" s="75">
        <v>1177</v>
      </c>
      <c r="AO215" s="75">
        <v>1093</v>
      </c>
      <c r="AP215" s="75">
        <v>1093</v>
      </c>
      <c r="AQ215" s="75">
        <v>1093</v>
      </c>
      <c r="AR215" s="75">
        <v>961</v>
      </c>
      <c r="AS215" s="75">
        <v>637</v>
      </c>
      <c r="AT215" s="75">
        <v>413</v>
      </c>
      <c r="AU215" s="75">
        <v>413</v>
      </c>
      <c r="AV215" s="75">
        <v>95</v>
      </c>
      <c r="AW215" s="75">
        <v>71</v>
      </c>
      <c r="AX215" s="75">
        <v>71</v>
      </c>
      <c r="AY215" s="75">
        <v>71</v>
      </c>
      <c r="AZ215" s="75">
        <v>71</v>
      </c>
      <c r="BA215" s="75">
        <v>71</v>
      </c>
      <c r="BB215" s="75">
        <v>55</v>
      </c>
      <c r="BC215" s="75">
        <v>55</v>
      </c>
      <c r="BD215" s="75">
        <v>132</v>
      </c>
      <c r="BE215" s="75">
        <v>132</v>
      </c>
      <c r="BF215" s="75">
        <v>132</v>
      </c>
      <c r="BG215" s="75">
        <v>132</v>
      </c>
      <c r="BH215" s="75">
        <v>4</v>
      </c>
      <c r="BI215" s="75">
        <v>4</v>
      </c>
      <c r="BJ215" s="75">
        <v>4</v>
      </c>
      <c r="BK215" s="75">
        <v>4</v>
      </c>
      <c r="BL215" s="75">
        <v>4</v>
      </c>
      <c r="BM215" s="75">
        <v>4</v>
      </c>
      <c r="BN215" s="75">
        <v>1</v>
      </c>
      <c r="BO215" s="75">
        <v>1</v>
      </c>
      <c r="BP215" s="75">
        <v>1</v>
      </c>
      <c r="BQ215" s="75">
        <v>0</v>
      </c>
      <c r="BR215" s="75">
        <v>12</v>
      </c>
      <c r="BS215" s="75">
        <v>16</v>
      </c>
      <c r="BT215" s="75">
        <v>16</v>
      </c>
      <c r="BU215" s="75">
        <v>16</v>
      </c>
      <c r="BV215" s="75">
        <v>16</v>
      </c>
      <c r="BW215" s="75">
        <v>16</v>
      </c>
      <c r="BX215" s="75">
        <v>16</v>
      </c>
      <c r="BY215" s="75">
        <v>16</v>
      </c>
      <c r="BZ215" s="75">
        <v>16</v>
      </c>
      <c r="CA215" s="75">
        <v>16</v>
      </c>
      <c r="CB215" s="75">
        <v>16</v>
      </c>
      <c r="CC215" s="75">
        <v>16</v>
      </c>
      <c r="CD215" s="75">
        <v>16</v>
      </c>
      <c r="CE215" s="75">
        <v>16</v>
      </c>
      <c r="CF215" s="75">
        <v>16</v>
      </c>
      <c r="CG215" s="75">
        <v>16</v>
      </c>
      <c r="CH215" s="75">
        <v>16</v>
      </c>
      <c r="CI215" s="75">
        <v>16</v>
      </c>
      <c r="CJ215" s="75">
        <v>16</v>
      </c>
      <c r="CK215" s="75">
        <v>16</v>
      </c>
      <c r="CL215" s="75">
        <v>16</v>
      </c>
      <c r="CM215" s="75">
        <v>16</v>
      </c>
      <c r="CN215" s="75">
        <v>16</v>
      </c>
      <c r="CO215" s="75">
        <v>16</v>
      </c>
      <c r="CP215" s="75">
        <v>16</v>
      </c>
      <c r="CQ215" s="75">
        <v>16</v>
      </c>
      <c r="CR215" s="75">
        <v>16</v>
      </c>
      <c r="CS215" s="75">
        <v>16</v>
      </c>
      <c r="CT215" s="75">
        <v>16</v>
      </c>
      <c r="CU215" s="75">
        <v>16</v>
      </c>
      <c r="CV215" s="75">
        <v>16</v>
      </c>
      <c r="CW215" s="75">
        <v>16</v>
      </c>
      <c r="CX215" s="75">
        <v>16</v>
      </c>
      <c r="CY215" s="75">
        <v>16</v>
      </c>
      <c r="CZ215" s="75">
        <v>16</v>
      </c>
      <c r="DA215" s="75">
        <v>16</v>
      </c>
      <c r="DB215" s="75">
        <v>16</v>
      </c>
      <c r="DC215" s="75">
        <v>16</v>
      </c>
      <c r="DD215" s="75">
        <v>16</v>
      </c>
      <c r="DE215" s="75">
        <v>16</v>
      </c>
      <c r="DF215" s="75">
        <v>16</v>
      </c>
      <c r="DG215" s="75">
        <v>16</v>
      </c>
      <c r="DH215" s="75">
        <v>16</v>
      </c>
      <c r="DI215" s="75">
        <v>16</v>
      </c>
      <c r="DJ215" s="75">
        <v>16</v>
      </c>
      <c r="DK215" s="75">
        <v>16</v>
      </c>
      <c r="DL215" s="75">
        <v>16</v>
      </c>
      <c r="DM215" s="75">
        <v>16</v>
      </c>
    </row>
    <row r="216" spans="1:117" x14ac:dyDescent="0.35">
      <c r="A216" s="7"/>
      <c r="B216" s="26" t="s">
        <v>406</v>
      </c>
      <c r="C216" s="27" t="s">
        <v>407</v>
      </c>
      <c r="D216" s="28" t="s">
        <v>92</v>
      </c>
      <c r="E216" s="26" t="s">
        <v>1219</v>
      </c>
      <c r="F216" s="10">
        <v>1102</v>
      </c>
      <c r="G216" s="28" t="s">
        <v>92</v>
      </c>
      <c r="H216" s="28" t="s">
        <v>41</v>
      </c>
      <c r="I216" s="29">
        <v>1774</v>
      </c>
      <c r="J216" s="10">
        <v>16</v>
      </c>
      <c r="K216" s="10" t="s">
        <v>42</v>
      </c>
      <c r="L216" s="8" t="s">
        <v>381</v>
      </c>
      <c r="M216" s="12">
        <v>0.58799999999999997</v>
      </c>
      <c r="N216" s="12">
        <f t="shared" si="5"/>
        <v>876.12</v>
      </c>
      <c r="O216" s="29">
        <v>1814</v>
      </c>
      <c r="P216" s="29">
        <v>1814</v>
      </c>
      <c r="Q216" s="29">
        <v>1814</v>
      </c>
      <c r="R216" s="29">
        <v>1798</v>
      </c>
      <c r="S216" s="29">
        <v>1798</v>
      </c>
      <c r="T216" s="29">
        <v>1798</v>
      </c>
      <c r="U216" s="29">
        <v>1798</v>
      </c>
      <c r="V216" s="29">
        <v>1798</v>
      </c>
      <c r="W216" s="29">
        <v>1798</v>
      </c>
      <c r="X216" s="29">
        <v>1798</v>
      </c>
      <c r="Y216" s="29">
        <v>1798</v>
      </c>
      <c r="Z216" s="29">
        <v>1798</v>
      </c>
      <c r="AA216" s="29">
        <v>1798</v>
      </c>
      <c r="AB216" s="29">
        <v>1798</v>
      </c>
      <c r="AC216" s="29">
        <v>1798</v>
      </c>
      <c r="AD216" s="29">
        <v>1798</v>
      </c>
      <c r="AE216" s="29">
        <v>1798</v>
      </c>
      <c r="AF216" s="29">
        <v>1798</v>
      </c>
      <c r="AG216" s="29">
        <v>1798</v>
      </c>
      <c r="AH216" s="29">
        <v>1798</v>
      </c>
      <c r="AI216" s="29">
        <v>1774</v>
      </c>
      <c r="AJ216" s="29">
        <v>1774</v>
      </c>
      <c r="AK216" s="29">
        <v>1766</v>
      </c>
      <c r="AL216" s="29">
        <v>1765</v>
      </c>
      <c r="AM216" s="29">
        <v>1765</v>
      </c>
      <c r="AN216" s="75">
        <v>1765</v>
      </c>
      <c r="AO216" s="75">
        <v>1765</v>
      </c>
      <c r="AP216" s="75">
        <v>1765</v>
      </c>
      <c r="AQ216" s="75">
        <v>1765</v>
      </c>
      <c r="AR216" s="75">
        <v>1765</v>
      </c>
      <c r="AS216" s="75">
        <v>1765</v>
      </c>
      <c r="AT216" s="75">
        <v>1765</v>
      </c>
      <c r="AU216" s="75">
        <v>1765</v>
      </c>
      <c r="AV216" s="75">
        <v>1765</v>
      </c>
      <c r="AW216" s="75">
        <v>1765</v>
      </c>
      <c r="AX216" s="75">
        <v>1765</v>
      </c>
      <c r="AY216" s="75">
        <v>1765</v>
      </c>
      <c r="AZ216" s="75">
        <v>1765</v>
      </c>
      <c r="BA216" s="75">
        <v>1765</v>
      </c>
      <c r="BB216" s="75">
        <v>1765</v>
      </c>
      <c r="BC216" s="75">
        <v>1765</v>
      </c>
      <c r="BD216" s="75">
        <v>1765</v>
      </c>
      <c r="BE216" s="75">
        <v>1765</v>
      </c>
      <c r="BF216" s="75">
        <v>1765</v>
      </c>
      <c r="BG216" s="75">
        <v>1765</v>
      </c>
      <c r="BH216" s="75">
        <v>1765</v>
      </c>
      <c r="BI216" s="75">
        <v>1765</v>
      </c>
      <c r="BJ216" s="75">
        <v>1765</v>
      </c>
      <c r="BK216" s="75">
        <v>1765</v>
      </c>
      <c r="BL216" s="75">
        <v>1765</v>
      </c>
      <c r="BM216" s="75">
        <v>1765</v>
      </c>
      <c r="BN216" s="75">
        <v>1765</v>
      </c>
      <c r="BO216" s="75">
        <v>1765</v>
      </c>
      <c r="BP216" s="75">
        <v>1515</v>
      </c>
      <c r="BQ216" s="75">
        <v>1515</v>
      </c>
      <c r="BR216" s="75">
        <v>1515</v>
      </c>
      <c r="BS216" s="75">
        <v>1515</v>
      </c>
      <c r="BT216" s="75">
        <v>1515</v>
      </c>
      <c r="BU216" s="75">
        <v>1515</v>
      </c>
      <c r="BV216" s="75">
        <v>1515</v>
      </c>
      <c r="BW216" s="75">
        <v>1515</v>
      </c>
      <c r="BX216" s="75">
        <v>1515</v>
      </c>
      <c r="BY216" s="75">
        <v>1515</v>
      </c>
      <c r="BZ216" s="75">
        <v>1491</v>
      </c>
      <c r="CA216" s="75">
        <v>1491</v>
      </c>
      <c r="CB216" s="75">
        <v>1491</v>
      </c>
      <c r="CC216" s="75">
        <v>1491</v>
      </c>
      <c r="CD216" s="75">
        <v>1491</v>
      </c>
      <c r="CE216" s="75">
        <v>1491</v>
      </c>
      <c r="CF216" s="75">
        <v>1491</v>
      </c>
      <c r="CG216" s="75">
        <v>1491</v>
      </c>
      <c r="CH216" s="75">
        <v>1491</v>
      </c>
      <c r="CI216" s="75">
        <v>1491</v>
      </c>
      <c r="CJ216" s="75">
        <v>1491</v>
      </c>
      <c r="CK216" s="75">
        <v>1490</v>
      </c>
      <c r="CL216" s="75">
        <v>1490</v>
      </c>
      <c r="CM216" s="75">
        <v>1490</v>
      </c>
      <c r="CN216" s="75">
        <v>1490</v>
      </c>
      <c r="CO216" s="75">
        <v>1490</v>
      </c>
      <c r="CP216" s="75">
        <v>1490</v>
      </c>
      <c r="CQ216" s="75">
        <v>1490</v>
      </c>
      <c r="CR216" s="75">
        <v>1490</v>
      </c>
      <c r="CS216" s="75">
        <v>1490</v>
      </c>
      <c r="CT216" s="75">
        <v>1490</v>
      </c>
      <c r="CU216" s="75">
        <v>1490</v>
      </c>
      <c r="CV216" s="75">
        <v>1490</v>
      </c>
      <c r="CW216" s="75">
        <v>1490</v>
      </c>
      <c r="CX216" s="75">
        <v>1490</v>
      </c>
      <c r="CY216" s="75">
        <v>1490</v>
      </c>
      <c r="CZ216" s="75">
        <v>1490</v>
      </c>
      <c r="DA216" s="75">
        <v>1490</v>
      </c>
      <c r="DB216" s="75">
        <v>1490</v>
      </c>
      <c r="DC216" s="75">
        <v>1490</v>
      </c>
      <c r="DD216" s="75">
        <v>1490</v>
      </c>
      <c r="DE216" s="75">
        <v>1490</v>
      </c>
      <c r="DF216" s="75">
        <v>1490</v>
      </c>
      <c r="DG216" s="75">
        <v>1490</v>
      </c>
      <c r="DH216" s="75">
        <v>1490</v>
      </c>
      <c r="DI216" s="75">
        <v>1490</v>
      </c>
      <c r="DJ216" s="75">
        <v>1490</v>
      </c>
      <c r="DK216" s="75">
        <v>1490</v>
      </c>
      <c r="DL216" s="75">
        <v>1490</v>
      </c>
      <c r="DM216" s="75">
        <v>1490</v>
      </c>
    </row>
    <row r="217" spans="1:117" x14ac:dyDescent="0.35">
      <c r="A217" s="7"/>
      <c r="B217" s="26" t="s">
        <v>408</v>
      </c>
      <c r="C217" s="27" t="s">
        <v>409</v>
      </c>
      <c r="D217" s="28" t="s">
        <v>92</v>
      </c>
      <c r="E217" s="26" t="s">
        <v>1219</v>
      </c>
      <c r="F217" s="10">
        <v>1102</v>
      </c>
      <c r="G217" s="28" t="s">
        <v>92</v>
      </c>
      <c r="H217" s="28" t="s">
        <v>41</v>
      </c>
      <c r="I217" s="29">
        <v>1332</v>
      </c>
      <c r="J217" s="10">
        <v>16</v>
      </c>
      <c r="K217" s="10" t="s">
        <v>42</v>
      </c>
      <c r="L217" s="8" t="s">
        <v>381</v>
      </c>
      <c r="M217" s="12">
        <v>0.63600000000000001</v>
      </c>
      <c r="N217" s="12">
        <f t="shared" si="5"/>
        <v>777.82799999999997</v>
      </c>
      <c r="O217" s="29">
        <v>1348</v>
      </c>
      <c r="P217" s="29">
        <v>1348</v>
      </c>
      <c r="Q217" s="29">
        <v>1348</v>
      </c>
      <c r="R217" s="29">
        <v>1332</v>
      </c>
      <c r="S217" s="29">
        <v>1332</v>
      </c>
      <c r="T217" s="29">
        <v>1332</v>
      </c>
      <c r="U217" s="29">
        <v>1332</v>
      </c>
      <c r="V217" s="29">
        <v>1332</v>
      </c>
      <c r="W217" s="29">
        <v>1332</v>
      </c>
      <c r="X217" s="29">
        <v>1332</v>
      </c>
      <c r="Y217" s="29">
        <v>1332</v>
      </c>
      <c r="Z217" s="29">
        <v>1332</v>
      </c>
      <c r="AA217" s="29">
        <v>1332</v>
      </c>
      <c r="AB217" s="29">
        <v>1332</v>
      </c>
      <c r="AC217" s="29">
        <v>1332</v>
      </c>
      <c r="AD217" s="29">
        <v>1332</v>
      </c>
      <c r="AE217" s="29">
        <v>1332</v>
      </c>
      <c r="AF217" s="29">
        <v>1332</v>
      </c>
      <c r="AG217" s="29">
        <v>1332</v>
      </c>
      <c r="AH217" s="29">
        <v>1332</v>
      </c>
      <c r="AI217" s="29">
        <v>1332</v>
      </c>
      <c r="AJ217" s="29">
        <v>1332</v>
      </c>
      <c r="AK217" s="29">
        <v>1332</v>
      </c>
      <c r="AL217" s="29">
        <v>1331</v>
      </c>
      <c r="AM217" s="29">
        <v>1331</v>
      </c>
      <c r="AN217" s="75">
        <v>1331</v>
      </c>
      <c r="AO217" s="75">
        <v>1331</v>
      </c>
      <c r="AP217" s="75">
        <v>1331</v>
      </c>
      <c r="AQ217" s="75">
        <v>1331</v>
      </c>
      <c r="AR217" s="75">
        <v>1331</v>
      </c>
      <c r="AS217" s="75">
        <v>1319</v>
      </c>
      <c r="AT217" s="75">
        <v>1319</v>
      </c>
      <c r="AU217" s="75">
        <v>1319</v>
      </c>
      <c r="AV217" s="75">
        <v>1319</v>
      </c>
      <c r="AW217" s="75">
        <v>1319</v>
      </c>
      <c r="AX217" s="75">
        <v>1319</v>
      </c>
      <c r="AY217" s="75">
        <v>1319</v>
      </c>
      <c r="AZ217" s="75">
        <v>1319</v>
      </c>
      <c r="BA217" s="75">
        <v>1223</v>
      </c>
      <c r="BB217" s="75">
        <v>1223</v>
      </c>
      <c r="BC217" s="75">
        <v>1223</v>
      </c>
      <c r="BD217" s="75">
        <v>1223</v>
      </c>
      <c r="BE217" s="75">
        <v>1223</v>
      </c>
      <c r="BF217" s="75">
        <v>1223</v>
      </c>
      <c r="BG217" s="75">
        <v>1223</v>
      </c>
      <c r="BH217" s="75">
        <v>1223</v>
      </c>
      <c r="BI217" s="75">
        <v>1223</v>
      </c>
      <c r="BJ217" s="75">
        <v>1223</v>
      </c>
      <c r="BK217" s="75">
        <v>1223</v>
      </c>
      <c r="BL217" s="75">
        <v>1223</v>
      </c>
      <c r="BM217" s="75">
        <v>1223</v>
      </c>
      <c r="BN217" s="75">
        <v>1223</v>
      </c>
      <c r="BO217" s="75">
        <v>1223</v>
      </c>
      <c r="BP217" s="75">
        <v>1223</v>
      </c>
      <c r="BQ217" s="75">
        <v>1223</v>
      </c>
      <c r="BR217" s="75">
        <v>1223</v>
      </c>
      <c r="BS217" s="75">
        <v>1223</v>
      </c>
      <c r="BT217" s="75">
        <v>1223</v>
      </c>
      <c r="BU217" s="75">
        <v>1223</v>
      </c>
      <c r="BV217" s="75">
        <v>1223</v>
      </c>
      <c r="BW217" s="75">
        <v>1223</v>
      </c>
      <c r="BX217" s="75">
        <v>1223</v>
      </c>
      <c r="BY217" s="75">
        <v>1223</v>
      </c>
      <c r="BZ217" s="75">
        <v>1223</v>
      </c>
      <c r="CA217" s="75">
        <v>1223</v>
      </c>
      <c r="CB217" s="75">
        <v>1223</v>
      </c>
      <c r="CC217" s="75">
        <v>1223</v>
      </c>
      <c r="CD217" s="75">
        <v>1223</v>
      </c>
      <c r="CE217" s="75">
        <v>1223</v>
      </c>
      <c r="CF217" s="75">
        <v>1223</v>
      </c>
      <c r="CG217" s="75">
        <v>1223</v>
      </c>
      <c r="CH217" s="75">
        <v>1223</v>
      </c>
      <c r="CI217" s="75">
        <v>1223</v>
      </c>
      <c r="CJ217" s="75">
        <v>1223</v>
      </c>
      <c r="CK217" s="75">
        <v>1223</v>
      </c>
      <c r="CL217" s="75">
        <v>1223</v>
      </c>
      <c r="CM217" s="75">
        <v>1223</v>
      </c>
      <c r="CN217" s="75">
        <v>1223</v>
      </c>
      <c r="CO217" s="75">
        <v>1223</v>
      </c>
      <c r="CP217" s="75">
        <v>1223</v>
      </c>
      <c r="CQ217" s="75">
        <v>1223</v>
      </c>
      <c r="CR217" s="75">
        <v>1223</v>
      </c>
      <c r="CS217" s="75">
        <v>1223</v>
      </c>
      <c r="CT217" s="75">
        <v>1223</v>
      </c>
      <c r="CU217" s="75">
        <v>1223</v>
      </c>
      <c r="CV217" s="75">
        <v>1223</v>
      </c>
      <c r="CW217" s="75">
        <v>1223</v>
      </c>
      <c r="CX217" s="75">
        <v>1223</v>
      </c>
      <c r="CY217" s="75">
        <v>1223</v>
      </c>
      <c r="CZ217" s="75">
        <v>1223</v>
      </c>
      <c r="DA217" s="75">
        <v>1223</v>
      </c>
      <c r="DB217" s="75">
        <v>1223</v>
      </c>
      <c r="DC217" s="75">
        <v>1223</v>
      </c>
      <c r="DD217" s="75">
        <v>1223</v>
      </c>
      <c r="DE217" s="75">
        <v>1223</v>
      </c>
      <c r="DF217" s="75">
        <v>1223</v>
      </c>
      <c r="DG217" s="75">
        <v>1223</v>
      </c>
      <c r="DH217" s="75">
        <v>1223</v>
      </c>
      <c r="DI217" s="75">
        <v>1223</v>
      </c>
      <c r="DJ217" s="75">
        <v>1223</v>
      </c>
      <c r="DK217" s="75">
        <v>1223</v>
      </c>
      <c r="DL217" s="75">
        <v>1223</v>
      </c>
      <c r="DM217" s="75">
        <v>1223</v>
      </c>
    </row>
    <row r="218" spans="1:117" x14ac:dyDescent="0.35">
      <c r="A218" s="7"/>
      <c r="B218" s="26" t="s">
        <v>410</v>
      </c>
      <c r="C218" s="27" t="s">
        <v>411</v>
      </c>
      <c r="D218" s="28" t="s">
        <v>92</v>
      </c>
      <c r="E218" s="26" t="s">
        <v>1219</v>
      </c>
      <c r="F218" s="10">
        <v>1102</v>
      </c>
      <c r="G218" s="28" t="s">
        <v>92</v>
      </c>
      <c r="H218" s="28" t="s">
        <v>41</v>
      </c>
      <c r="I218" s="29" t="s">
        <v>412</v>
      </c>
      <c r="J218" s="10">
        <v>16</v>
      </c>
      <c r="K218" s="10" t="s">
        <v>42</v>
      </c>
      <c r="L218" s="8" t="s">
        <v>413</v>
      </c>
      <c r="M218" s="12">
        <v>0.49199999999999999</v>
      </c>
      <c r="N218" s="12">
        <f t="shared" si="5"/>
        <v>0</v>
      </c>
      <c r="O218" s="29">
        <v>609</v>
      </c>
      <c r="P218" s="29">
        <v>609</v>
      </c>
      <c r="Q218" s="29">
        <v>609</v>
      </c>
      <c r="R218" s="29">
        <v>593</v>
      </c>
      <c r="S218" s="29">
        <v>593</v>
      </c>
      <c r="T218" s="29">
        <v>593</v>
      </c>
      <c r="U218" s="29">
        <v>593</v>
      </c>
      <c r="V218" s="29">
        <v>593</v>
      </c>
      <c r="W218" s="29">
        <v>593</v>
      </c>
      <c r="X218" s="29">
        <v>593</v>
      </c>
      <c r="Y218" s="29">
        <v>443</v>
      </c>
      <c r="Z218" s="29">
        <v>443</v>
      </c>
      <c r="AA218" s="29">
        <v>443</v>
      </c>
      <c r="AB218" s="29">
        <v>443</v>
      </c>
      <c r="AC218" s="29">
        <v>443</v>
      </c>
      <c r="AD218" s="29">
        <v>443</v>
      </c>
      <c r="AE218" s="29">
        <v>443</v>
      </c>
      <c r="AF218" s="29">
        <v>443</v>
      </c>
      <c r="AG218" s="29">
        <v>443</v>
      </c>
      <c r="AH218" s="29">
        <v>443</v>
      </c>
      <c r="AI218" s="29">
        <v>443</v>
      </c>
      <c r="AJ218" s="29" t="s">
        <v>412</v>
      </c>
      <c r="AK218" s="29">
        <v>103</v>
      </c>
      <c r="AL218" s="29">
        <v>102</v>
      </c>
      <c r="AM218" s="29">
        <v>102</v>
      </c>
      <c r="AN218" s="75">
        <v>102</v>
      </c>
      <c r="AO218" s="75">
        <v>102</v>
      </c>
      <c r="AP218" s="75">
        <v>102</v>
      </c>
      <c r="AQ218" s="75">
        <v>102</v>
      </c>
      <c r="AR218" s="75">
        <v>102</v>
      </c>
      <c r="AS218" s="75">
        <v>102</v>
      </c>
      <c r="AT218" s="75">
        <v>102</v>
      </c>
      <c r="AU218" s="75">
        <v>102</v>
      </c>
      <c r="AV218" s="75">
        <v>102</v>
      </c>
      <c r="AW218" s="75">
        <v>102</v>
      </c>
      <c r="AX218" s="75">
        <v>102</v>
      </c>
      <c r="AY218" s="75">
        <v>102</v>
      </c>
      <c r="AZ218" s="75">
        <v>102</v>
      </c>
      <c r="BA218" s="75">
        <v>102</v>
      </c>
      <c r="BB218" s="75">
        <v>102</v>
      </c>
      <c r="BC218" s="75">
        <v>102</v>
      </c>
      <c r="BD218" s="75">
        <v>2</v>
      </c>
      <c r="BE218" s="75">
        <v>2</v>
      </c>
      <c r="BF218" s="75">
        <v>2</v>
      </c>
      <c r="BG218" s="75">
        <v>2</v>
      </c>
      <c r="BH218" s="75">
        <v>2</v>
      </c>
      <c r="BI218" s="75">
        <v>2</v>
      </c>
      <c r="BJ218" s="75">
        <v>2</v>
      </c>
      <c r="BK218" s="75">
        <v>2</v>
      </c>
      <c r="BL218" s="75">
        <v>2</v>
      </c>
      <c r="BM218" s="75">
        <v>2</v>
      </c>
      <c r="BN218" s="75">
        <v>2</v>
      </c>
      <c r="BO218" s="75">
        <v>2</v>
      </c>
      <c r="BP218" s="75">
        <v>2</v>
      </c>
      <c r="BQ218" s="75">
        <v>2</v>
      </c>
      <c r="BR218" s="75">
        <v>2</v>
      </c>
      <c r="BS218" s="75">
        <v>2</v>
      </c>
      <c r="BT218" s="75">
        <v>2</v>
      </c>
      <c r="BU218" s="75">
        <v>2</v>
      </c>
      <c r="BV218" s="75">
        <v>0</v>
      </c>
      <c r="BW218" s="75">
        <v>0</v>
      </c>
      <c r="BX218" s="75">
        <v>0</v>
      </c>
      <c r="BY218" s="75">
        <v>0</v>
      </c>
      <c r="BZ218" s="75">
        <v>0</v>
      </c>
      <c r="CA218" s="75">
        <v>0</v>
      </c>
      <c r="CB218" s="75">
        <v>0</v>
      </c>
      <c r="CC218" s="75">
        <v>0</v>
      </c>
      <c r="CD218" s="75">
        <v>0</v>
      </c>
      <c r="CE218" s="75">
        <v>0</v>
      </c>
      <c r="CF218" s="75">
        <v>0</v>
      </c>
      <c r="CG218" s="75">
        <v>0</v>
      </c>
      <c r="CH218" s="75">
        <v>0</v>
      </c>
      <c r="CI218" s="75">
        <v>0</v>
      </c>
      <c r="CJ218" s="75">
        <v>0</v>
      </c>
      <c r="CK218" s="75">
        <v>0</v>
      </c>
      <c r="CL218" s="75">
        <v>0</v>
      </c>
      <c r="CM218" s="75">
        <v>0</v>
      </c>
      <c r="CN218" s="75">
        <v>0</v>
      </c>
      <c r="CO218" s="75">
        <v>0</v>
      </c>
      <c r="CP218" s="75">
        <v>0</v>
      </c>
      <c r="CQ218" s="75">
        <v>0</v>
      </c>
      <c r="CR218" s="75">
        <v>0</v>
      </c>
      <c r="CS218" s="75">
        <v>0</v>
      </c>
      <c r="CT218" s="75">
        <v>0</v>
      </c>
      <c r="CU218" s="75">
        <v>0</v>
      </c>
      <c r="CV218" s="75">
        <v>0</v>
      </c>
      <c r="CW218" s="75">
        <v>0</v>
      </c>
      <c r="CX218" s="75">
        <v>0</v>
      </c>
      <c r="CY218" s="75">
        <v>0</v>
      </c>
      <c r="CZ218" s="75">
        <v>0</v>
      </c>
      <c r="DA218" s="75">
        <v>0</v>
      </c>
      <c r="DB218" s="75">
        <v>0</v>
      </c>
      <c r="DC218" s="75">
        <v>0</v>
      </c>
      <c r="DD218" s="75">
        <v>0</v>
      </c>
      <c r="DE218" s="75">
        <v>0</v>
      </c>
      <c r="DF218" s="75">
        <v>0</v>
      </c>
      <c r="DG218" s="75">
        <v>0</v>
      </c>
      <c r="DH218" s="75">
        <v>0</v>
      </c>
      <c r="DI218" s="75">
        <v>0</v>
      </c>
      <c r="DJ218" s="75">
        <v>0</v>
      </c>
      <c r="DK218" s="75">
        <v>0</v>
      </c>
      <c r="DL218" s="75">
        <v>0</v>
      </c>
      <c r="DM218" s="75">
        <v>0</v>
      </c>
    </row>
    <row r="219" spans="1:117" x14ac:dyDescent="0.35">
      <c r="A219" s="7"/>
      <c r="B219" s="8" t="s">
        <v>414</v>
      </c>
      <c r="C219" s="9" t="s">
        <v>415</v>
      </c>
      <c r="D219" s="10" t="s">
        <v>92</v>
      </c>
      <c r="E219" s="8" t="s">
        <v>1219</v>
      </c>
      <c r="F219" s="10">
        <v>1102</v>
      </c>
      <c r="G219" s="10" t="s">
        <v>92</v>
      </c>
      <c r="H219" s="10" t="s">
        <v>41</v>
      </c>
      <c r="I219" s="11">
        <v>1228</v>
      </c>
      <c r="J219" s="10">
        <v>16</v>
      </c>
      <c r="K219" s="10" t="s">
        <v>42</v>
      </c>
      <c r="L219" s="8" t="s">
        <v>381</v>
      </c>
      <c r="M219" s="12">
        <v>0.54</v>
      </c>
      <c r="N219" s="12">
        <f t="shared" si="5"/>
        <v>623.16000000000008</v>
      </c>
      <c r="O219" s="11">
        <v>1256</v>
      </c>
      <c r="P219" s="11">
        <v>1244</v>
      </c>
      <c r="Q219" s="11">
        <v>1244</v>
      </c>
      <c r="R219" s="11">
        <v>1228</v>
      </c>
      <c r="S219" s="11">
        <v>1228</v>
      </c>
      <c r="T219" s="11">
        <v>1228</v>
      </c>
      <c r="U219" s="11">
        <v>1228</v>
      </c>
      <c r="V219" s="11">
        <v>1228</v>
      </c>
      <c r="W219" s="11">
        <v>1228</v>
      </c>
      <c r="X219" s="11">
        <v>1228</v>
      </c>
      <c r="Y219" s="11">
        <v>1228</v>
      </c>
      <c r="Z219" s="11">
        <v>1228</v>
      </c>
      <c r="AA219" s="11">
        <v>1228</v>
      </c>
      <c r="AB219" s="11">
        <v>1228</v>
      </c>
      <c r="AC219" s="11">
        <v>1228</v>
      </c>
      <c r="AD219" s="11">
        <v>1228</v>
      </c>
      <c r="AE219" s="11">
        <v>1228</v>
      </c>
      <c r="AF219" s="11">
        <v>1228</v>
      </c>
      <c r="AG219" s="11">
        <v>1228</v>
      </c>
      <c r="AH219" s="11">
        <v>1228</v>
      </c>
      <c r="AI219" s="11">
        <v>1228</v>
      </c>
      <c r="AJ219" s="11">
        <v>1228</v>
      </c>
      <c r="AK219" s="11">
        <v>1228</v>
      </c>
      <c r="AL219" s="11">
        <v>1163</v>
      </c>
      <c r="AM219" s="11">
        <v>1163</v>
      </c>
      <c r="AN219" s="72">
        <v>1163</v>
      </c>
      <c r="AO219" s="72">
        <v>1163</v>
      </c>
      <c r="AP219" s="72">
        <v>1163</v>
      </c>
      <c r="AQ219" s="72">
        <v>1163</v>
      </c>
      <c r="AR219" s="72">
        <v>1163</v>
      </c>
      <c r="AS219" s="72">
        <v>1163</v>
      </c>
      <c r="AT219" s="72">
        <v>1163</v>
      </c>
      <c r="AU219" s="72">
        <v>1163</v>
      </c>
      <c r="AV219" s="72">
        <v>1163</v>
      </c>
      <c r="AW219" s="72">
        <v>1163</v>
      </c>
      <c r="AX219" s="72">
        <v>1163</v>
      </c>
      <c r="AY219" s="72">
        <v>1163</v>
      </c>
      <c r="AZ219" s="72">
        <v>1163</v>
      </c>
      <c r="BA219" s="72">
        <v>1163</v>
      </c>
      <c r="BB219" s="72">
        <v>1163</v>
      </c>
      <c r="BC219" s="72">
        <v>1163</v>
      </c>
      <c r="BD219" s="72">
        <v>1163</v>
      </c>
      <c r="BE219" s="72">
        <v>1163</v>
      </c>
      <c r="BF219" s="72">
        <v>1163</v>
      </c>
      <c r="BG219" s="72">
        <v>1163</v>
      </c>
      <c r="BH219" s="72">
        <v>1163</v>
      </c>
      <c r="BI219" s="72">
        <v>1163</v>
      </c>
      <c r="BJ219" s="72">
        <v>1163</v>
      </c>
      <c r="BK219" s="72">
        <v>1163</v>
      </c>
      <c r="BL219" s="72">
        <v>1163</v>
      </c>
      <c r="BM219" s="72">
        <v>1163</v>
      </c>
      <c r="BN219" s="72">
        <v>1163</v>
      </c>
      <c r="BO219" s="72">
        <v>1163</v>
      </c>
      <c r="BP219" s="72">
        <v>1163</v>
      </c>
      <c r="BQ219" s="72">
        <v>1163</v>
      </c>
      <c r="BR219" s="72">
        <v>1163</v>
      </c>
      <c r="BS219" s="72">
        <v>1163</v>
      </c>
      <c r="BT219" s="72">
        <v>1163</v>
      </c>
      <c r="BU219" s="72">
        <v>1163</v>
      </c>
      <c r="BV219" s="72">
        <v>1155</v>
      </c>
      <c r="BW219" s="72">
        <v>1155</v>
      </c>
      <c r="BX219" s="72">
        <v>1155</v>
      </c>
      <c r="BY219" s="72">
        <v>1155</v>
      </c>
      <c r="BZ219" s="72">
        <v>1155</v>
      </c>
      <c r="CA219" s="72">
        <v>1155</v>
      </c>
      <c r="CB219" s="72">
        <v>1155</v>
      </c>
      <c r="CC219" s="72">
        <v>1155</v>
      </c>
      <c r="CD219" s="72">
        <v>1155</v>
      </c>
      <c r="CE219" s="72">
        <v>1155</v>
      </c>
      <c r="CF219" s="72">
        <v>1155</v>
      </c>
      <c r="CG219" s="72">
        <v>1155</v>
      </c>
      <c r="CH219" s="72">
        <v>1155</v>
      </c>
      <c r="CI219" s="72">
        <v>1155</v>
      </c>
      <c r="CJ219" s="72">
        <v>1155</v>
      </c>
      <c r="CK219" s="72">
        <v>1154</v>
      </c>
      <c r="CL219" s="72">
        <v>1154</v>
      </c>
      <c r="CM219" s="72">
        <v>1154</v>
      </c>
      <c r="CN219" s="72">
        <v>1154</v>
      </c>
      <c r="CO219" s="72">
        <v>1154</v>
      </c>
      <c r="CP219" s="72">
        <v>1154</v>
      </c>
      <c r="CQ219" s="72">
        <v>1154</v>
      </c>
      <c r="CR219" s="72">
        <v>1154</v>
      </c>
      <c r="CS219" s="72">
        <v>1154</v>
      </c>
      <c r="CT219" s="72">
        <v>1154</v>
      </c>
      <c r="CU219" s="72">
        <v>1154</v>
      </c>
      <c r="CV219" s="72">
        <v>1154</v>
      </c>
      <c r="CW219" s="72">
        <v>1154</v>
      </c>
      <c r="CX219" s="72">
        <v>1154</v>
      </c>
      <c r="CY219" s="72">
        <v>1154</v>
      </c>
      <c r="CZ219" s="72">
        <v>1154</v>
      </c>
      <c r="DA219" s="72">
        <v>1154</v>
      </c>
      <c r="DB219" s="72">
        <v>1154</v>
      </c>
      <c r="DC219" s="72">
        <v>1154</v>
      </c>
      <c r="DD219" s="72">
        <v>1154</v>
      </c>
      <c r="DE219" s="72">
        <v>1154</v>
      </c>
      <c r="DF219" s="72">
        <v>1154</v>
      </c>
      <c r="DG219" s="72">
        <v>1154</v>
      </c>
      <c r="DH219" s="72">
        <v>1154</v>
      </c>
      <c r="DI219" s="72">
        <v>1154</v>
      </c>
      <c r="DJ219" s="72">
        <v>1154</v>
      </c>
      <c r="DK219" s="72">
        <v>1154</v>
      </c>
      <c r="DL219" s="72">
        <v>1154</v>
      </c>
      <c r="DM219" s="72">
        <v>1154</v>
      </c>
    </row>
    <row r="220" spans="1:117" x14ac:dyDescent="0.35">
      <c r="A220" s="7"/>
      <c r="B220" s="8" t="s">
        <v>416</v>
      </c>
      <c r="C220" s="9" t="s">
        <v>417</v>
      </c>
      <c r="D220" s="10" t="s">
        <v>92</v>
      </c>
      <c r="E220" s="8" t="s">
        <v>1219</v>
      </c>
      <c r="F220" s="10">
        <v>1102</v>
      </c>
      <c r="G220" s="10" t="s">
        <v>92</v>
      </c>
      <c r="H220" s="10" t="s">
        <v>41</v>
      </c>
      <c r="I220" s="11">
        <v>1427</v>
      </c>
      <c r="J220" s="10">
        <v>16</v>
      </c>
      <c r="K220" s="10" t="s">
        <v>42</v>
      </c>
      <c r="L220" s="8" t="s">
        <v>381</v>
      </c>
      <c r="M220" s="12">
        <v>0.63600000000000001</v>
      </c>
      <c r="N220" s="12">
        <f t="shared" si="5"/>
        <v>840.79200000000003</v>
      </c>
      <c r="O220" s="11">
        <v>1443</v>
      </c>
      <c r="P220" s="11">
        <v>1443</v>
      </c>
      <c r="Q220" s="11">
        <v>1443</v>
      </c>
      <c r="R220" s="11">
        <v>1427</v>
      </c>
      <c r="S220" s="11">
        <v>1427</v>
      </c>
      <c r="T220" s="11">
        <v>1427</v>
      </c>
      <c r="U220" s="11">
        <v>1427</v>
      </c>
      <c r="V220" s="11">
        <v>1427</v>
      </c>
      <c r="W220" s="11">
        <v>1427</v>
      </c>
      <c r="X220" s="11">
        <v>1427</v>
      </c>
      <c r="Y220" s="11">
        <v>1427</v>
      </c>
      <c r="Z220" s="11">
        <v>1427</v>
      </c>
      <c r="AA220" s="11">
        <v>1427</v>
      </c>
      <c r="AB220" s="11">
        <v>1427</v>
      </c>
      <c r="AC220" s="11">
        <v>1427</v>
      </c>
      <c r="AD220" s="11">
        <v>1427</v>
      </c>
      <c r="AE220" s="11">
        <v>1427</v>
      </c>
      <c r="AF220" s="11">
        <v>1427</v>
      </c>
      <c r="AG220" s="11">
        <v>1427</v>
      </c>
      <c r="AH220" s="11">
        <v>1427</v>
      </c>
      <c r="AI220" s="11">
        <v>1427</v>
      </c>
      <c r="AJ220" s="11">
        <v>1427</v>
      </c>
      <c r="AK220" s="11">
        <v>1427</v>
      </c>
      <c r="AL220" s="11">
        <v>1426</v>
      </c>
      <c r="AM220" s="11">
        <v>1426</v>
      </c>
      <c r="AN220" s="72">
        <v>1426</v>
      </c>
      <c r="AO220" s="72">
        <v>1426</v>
      </c>
      <c r="AP220" s="72">
        <v>1426</v>
      </c>
      <c r="AQ220" s="72">
        <v>1426</v>
      </c>
      <c r="AR220" s="72">
        <v>1426</v>
      </c>
      <c r="AS220" s="72">
        <v>1426</v>
      </c>
      <c r="AT220" s="72">
        <v>1426</v>
      </c>
      <c r="AU220" s="72">
        <v>1426</v>
      </c>
      <c r="AV220" s="72">
        <v>1426</v>
      </c>
      <c r="AW220" s="72">
        <v>1426</v>
      </c>
      <c r="AX220" s="72">
        <v>1426</v>
      </c>
      <c r="AY220" s="72">
        <v>1426</v>
      </c>
      <c r="AZ220" s="72">
        <v>1426</v>
      </c>
      <c r="BA220" s="72">
        <v>1330</v>
      </c>
      <c r="BB220" s="72">
        <v>1330</v>
      </c>
      <c r="BC220" s="72">
        <v>1330</v>
      </c>
      <c r="BD220" s="72">
        <v>1330</v>
      </c>
      <c r="BE220" s="72">
        <v>1330</v>
      </c>
      <c r="BF220" s="72">
        <v>1330</v>
      </c>
      <c r="BG220" s="72">
        <v>1330</v>
      </c>
      <c r="BH220" s="72">
        <v>1330</v>
      </c>
      <c r="BI220" s="72">
        <v>1330</v>
      </c>
      <c r="BJ220" s="72">
        <v>1330</v>
      </c>
      <c r="BK220" s="72">
        <v>1330</v>
      </c>
      <c r="BL220" s="72">
        <v>1330</v>
      </c>
      <c r="BM220" s="72">
        <v>1330</v>
      </c>
      <c r="BN220" s="72">
        <v>1330</v>
      </c>
      <c r="BO220" s="72">
        <v>1330</v>
      </c>
      <c r="BP220" s="72">
        <v>1330</v>
      </c>
      <c r="BQ220" s="72">
        <v>1330</v>
      </c>
      <c r="BR220" s="72">
        <v>1330</v>
      </c>
      <c r="BS220" s="72">
        <v>1330</v>
      </c>
      <c r="BT220" s="72">
        <v>1330</v>
      </c>
      <c r="BU220" s="72">
        <v>1330</v>
      </c>
      <c r="BV220" s="72">
        <v>1322</v>
      </c>
      <c r="BW220" s="72">
        <v>1322</v>
      </c>
      <c r="BX220" s="72">
        <v>1322</v>
      </c>
      <c r="BY220" s="72">
        <v>1322</v>
      </c>
      <c r="BZ220" s="72">
        <v>1322</v>
      </c>
      <c r="CA220" s="72">
        <v>1322</v>
      </c>
      <c r="CB220" s="72">
        <v>1322</v>
      </c>
      <c r="CC220" s="72">
        <v>1322</v>
      </c>
      <c r="CD220" s="72">
        <v>1322</v>
      </c>
      <c r="CE220" s="72">
        <v>1322</v>
      </c>
      <c r="CF220" s="72">
        <v>1322</v>
      </c>
      <c r="CG220" s="72">
        <v>1322</v>
      </c>
      <c r="CH220" s="72">
        <v>1322</v>
      </c>
      <c r="CI220" s="72">
        <v>1322</v>
      </c>
      <c r="CJ220" s="72">
        <v>1322</v>
      </c>
      <c r="CK220" s="72">
        <v>1322</v>
      </c>
      <c r="CL220" s="72">
        <v>1322</v>
      </c>
      <c r="CM220" s="72">
        <v>1322</v>
      </c>
      <c r="CN220" s="72">
        <v>1322</v>
      </c>
      <c r="CO220" s="72">
        <v>1322</v>
      </c>
      <c r="CP220" s="72">
        <v>1322</v>
      </c>
      <c r="CQ220" s="72">
        <v>1322</v>
      </c>
      <c r="CR220" s="72">
        <v>1322</v>
      </c>
      <c r="CS220" s="72">
        <v>1322</v>
      </c>
      <c r="CT220" s="72">
        <v>1322</v>
      </c>
      <c r="CU220" s="72">
        <v>1322</v>
      </c>
      <c r="CV220" s="72">
        <v>1322</v>
      </c>
      <c r="CW220" s="72">
        <v>1322</v>
      </c>
      <c r="CX220" s="72">
        <v>1322</v>
      </c>
      <c r="CY220" s="72">
        <v>1322</v>
      </c>
      <c r="CZ220" s="72">
        <v>1322</v>
      </c>
      <c r="DA220" s="72">
        <v>1322</v>
      </c>
      <c r="DB220" s="72">
        <v>1322</v>
      </c>
      <c r="DC220" s="72">
        <v>1322</v>
      </c>
      <c r="DD220" s="72">
        <v>1322</v>
      </c>
      <c r="DE220" s="72">
        <v>1322</v>
      </c>
      <c r="DF220" s="72">
        <v>1322</v>
      </c>
      <c r="DG220" s="72">
        <v>1322</v>
      </c>
      <c r="DH220" s="72">
        <v>1322</v>
      </c>
      <c r="DI220" s="72">
        <v>1322</v>
      </c>
      <c r="DJ220" s="72">
        <v>1322</v>
      </c>
      <c r="DK220" s="72">
        <v>1322</v>
      </c>
      <c r="DL220" s="72">
        <v>1322</v>
      </c>
      <c r="DM220" s="72">
        <v>1322</v>
      </c>
    </row>
    <row r="221" spans="1:117" x14ac:dyDescent="0.35">
      <c r="A221" s="7"/>
      <c r="B221" s="8" t="s">
        <v>418</v>
      </c>
      <c r="C221" s="9" t="s">
        <v>419</v>
      </c>
      <c r="D221" s="10" t="s">
        <v>92</v>
      </c>
      <c r="E221" s="8" t="s">
        <v>1205</v>
      </c>
      <c r="F221" s="10">
        <v>1102</v>
      </c>
      <c r="G221" s="10" t="s">
        <v>92</v>
      </c>
      <c r="H221" s="10" t="s">
        <v>41</v>
      </c>
      <c r="I221" s="11">
        <v>12648</v>
      </c>
      <c r="J221" s="10"/>
      <c r="K221" s="10" t="s">
        <v>42</v>
      </c>
      <c r="L221" s="31"/>
      <c r="M221" s="12">
        <v>4.8000000000000001E-2</v>
      </c>
      <c r="N221" s="12">
        <f t="shared" si="5"/>
        <v>549.072</v>
      </c>
      <c r="O221" s="11">
        <v>14016</v>
      </c>
      <c r="P221" s="11">
        <v>14016</v>
      </c>
      <c r="Q221" s="11">
        <v>14016</v>
      </c>
      <c r="R221" s="11">
        <v>13872</v>
      </c>
      <c r="S221" s="11">
        <v>13872</v>
      </c>
      <c r="T221" s="11">
        <v>13872</v>
      </c>
      <c r="U221" s="11">
        <v>13804</v>
      </c>
      <c r="V221" s="11">
        <v>13804</v>
      </c>
      <c r="W221" s="11">
        <v>13804</v>
      </c>
      <c r="X221" s="11">
        <v>13804</v>
      </c>
      <c r="Y221" s="11">
        <v>13804</v>
      </c>
      <c r="Z221" s="11">
        <v>13804</v>
      </c>
      <c r="AA221" s="11">
        <v>13804</v>
      </c>
      <c r="AB221" s="11">
        <v>13504</v>
      </c>
      <c r="AC221" s="11">
        <v>13504</v>
      </c>
      <c r="AD221" s="11">
        <v>13504</v>
      </c>
      <c r="AE221" s="11">
        <v>13504</v>
      </c>
      <c r="AF221" s="11">
        <v>13504</v>
      </c>
      <c r="AG221" s="11">
        <v>13504</v>
      </c>
      <c r="AH221" s="11">
        <v>13504</v>
      </c>
      <c r="AI221" s="11">
        <v>13480</v>
      </c>
      <c r="AJ221" s="11">
        <v>12648</v>
      </c>
      <c r="AK221" s="11">
        <v>12648</v>
      </c>
      <c r="AL221" s="11">
        <v>12584</v>
      </c>
      <c r="AM221" s="11">
        <v>12584</v>
      </c>
      <c r="AN221" s="72">
        <v>12584</v>
      </c>
      <c r="AO221" s="72">
        <v>12584</v>
      </c>
      <c r="AP221" s="72">
        <v>12584</v>
      </c>
      <c r="AQ221" s="72">
        <v>12584</v>
      </c>
      <c r="AR221" s="72">
        <v>12552</v>
      </c>
      <c r="AS221" s="72">
        <v>12216</v>
      </c>
      <c r="AT221" s="72">
        <v>12216</v>
      </c>
      <c r="AU221" s="72">
        <v>12216</v>
      </c>
      <c r="AV221" s="72">
        <v>12168</v>
      </c>
      <c r="AW221" s="72">
        <v>12144</v>
      </c>
      <c r="AX221" s="72">
        <v>12144</v>
      </c>
      <c r="AY221" s="72">
        <v>12144</v>
      </c>
      <c r="AZ221" s="72">
        <v>12144</v>
      </c>
      <c r="BA221" s="72">
        <v>12048</v>
      </c>
      <c r="BB221" s="72">
        <v>12032</v>
      </c>
      <c r="BC221" s="72">
        <v>12032</v>
      </c>
      <c r="BD221" s="72">
        <v>11932</v>
      </c>
      <c r="BE221" s="72">
        <v>11932</v>
      </c>
      <c r="BF221" s="72">
        <v>11932</v>
      </c>
      <c r="BG221" s="72">
        <v>11932</v>
      </c>
      <c r="BH221" s="72">
        <v>11860</v>
      </c>
      <c r="BI221" s="72">
        <v>11812</v>
      </c>
      <c r="BJ221" s="72">
        <v>11812</v>
      </c>
      <c r="BK221" s="72">
        <v>11812</v>
      </c>
      <c r="BL221" s="72">
        <v>11812</v>
      </c>
      <c r="BM221" s="72">
        <v>11812</v>
      </c>
      <c r="BN221" s="72">
        <v>11812</v>
      </c>
      <c r="BO221" s="72">
        <v>11829</v>
      </c>
      <c r="BP221" s="72">
        <v>11829</v>
      </c>
      <c r="BQ221" s="72">
        <v>11855</v>
      </c>
      <c r="BR221" s="72">
        <v>11663</v>
      </c>
      <c r="BS221" s="72">
        <v>11639</v>
      </c>
      <c r="BT221" s="72">
        <v>11639</v>
      </c>
      <c r="BU221" s="72">
        <v>11639</v>
      </c>
      <c r="BV221" s="72">
        <v>11639</v>
      </c>
      <c r="BW221" s="72">
        <v>11439</v>
      </c>
      <c r="BX221" s="72">
        <v>11439</v>
      </c>
      <c r="BY221" s="72">
        <v>11439</v>
      </c>
      <c r="BZ221" s="72">
        <v>11439</v>
      </c>
      <c r="CA221" s="72">
        <v>11439</v>
      </c>
      <c r="CB221" s="72">
        <v>11439</v>
      </c>
      <c r="CC221" s="72">
        <v>11439</v>
      </c>
      <c r="CD221" s="72">
        <v>11439</v>
      </c>
      <c r="CE221" s="72">
        <v>11439</v>
      </c>
      <c r="CF221" s="72">
        <v>11439</v>
      </c>
      <c r="CG221" s="72">
        <v>11439</v>
      </c>
      <c r="CH221" s="72">
        <v>11439</v>
      </c>
      <c r="CI221" s="72">
        <v>11439</v>
      </c>
      <c r="CJ221" s="72">
        <v>11439</v>
      </c>
      <c r="CK221" s="72">
        <v>11439</v>
      </c>
      <c r="CL221" s="72">
        <v>11439</v>
      </c>
      <c r="CM221" s="72">
        <v>11439</v>
      </c>
      <c r="CN221" s="72">
        <v>11439</v>
      </c>
      <c r="CO221" s="72">
        <v>11439</v>
      </c>
      <c r="CP221" s="72">
        <v>11439</v>
      </c>
      <c r="CQ221" s="72">
        <v>11439</v>
      </c>
      <c r="CR221" s="72">
        <v>11439</v>
      </c>
      <c r="CS221" s="72">
        <v>11439</v>
      </c>
      <c r="CT221" s="72">
        <v>11439</v>
      </c>
      <c r="CU221" s="72">
        <v>11439</v>
      </c>
      <c r="CV221" s="72">
        <v>11439</v>
      </c>
      <c r="CW221" s="72">
        <v>11439</v>
      </c>
      <c r="CX221" s="72">
        <v>11439</v>
      </c>
      <c r="CY221" s="72">
        <v>11439</v>
      </c>
      <c r="CZ221" s="72">
        <v>11439</v>
      </c>
      <c r="DA221" s="72">
        <v>11439</v>
      </c>
      <c r="DB221" s="72">
        <v>11439</v>
      </c>
      <c r="DC221" s="72">
        <v>11439</v>
      </c>
      <c r="DD221" s="72">
        <v>11439</v>
      </c>
      <c r="DE221" s="72">
        <v>11439</v>
      </c>
      <c r="DF221" s="72">
        <v>11439</v>
      </c>
      <c r="DG221" s="72">
        <v>11439</v>
      </c>
      <c r="DH221" s="72">
        <v>11439</v>
      </c>
      <c r="DI221" s="72">
        <v>11439</v>
      </c>
      <c r="DJ221" s="72">
        <v>11439</v>
      </c>
      <c r="DK221" s="72">
        <v>11439</v>
      </c>
      <c r="DL221" s="72">
        <v>11439</v>
      </c>
      <c r="DM221" s="72">
        <v>11439</v>
      </c>
    </row>
    <row r="222" spans="1:117" x14ac:dyDescent="0.35">
      <c r="A222" s="7"/>
      <c r="B222" s="8" t="s">
        <v>420</v>
      </c>
      <c r="C222" s="9" t="s">
        <v>421</v>
      </c>
      <c r="D222" s="10" t="s">
        <v>92</v>
      </c>
      <c r="E222" s="8" t="s">
        <v>1205</v>
      </c>
      <c r="F222" s="10">
        <v>1102</v>
      </c>
      <c r="G222" s="10" t="s">
        <v>92</v>
      </c>
      <c r="H222" s="10" t="s">
        <v>41</v>
      </c>
      <c r="I222" s="11">
        <v>975</v>
      </c>
      <c r="J222" s="10"/>
      <c r="K222" s="10" t="s">
        <v>42</v>
      </c>
      <c r="L222" s="31"/>
      <c r="M222" s="12">
        <v>0.86399999999999999</v>
      </c>
      <c r="N222" s="12">
        <f t="shared" si="5"/>
        <v>816.48</v>
      </c>
      <c r="O222" s="11">
        <v>992</v>
      </c>
      <c r="P222" s="11">
        <v>992</v>
      </c>
      <c r="Q222" s="11">
        <v>992</v>
      </c>
      <c r="R222" s="11">
        <v>992</v>
      </c>
      <c r="S222" s="11">
        <v>992</v>
      </c>
      <c r="T222" s="11">
        <v>992</v>
      </c>
      <c r="U222" s="11">
        <v>990</v>
      </c>
      <c r="V222" s="11">
        <v>990</v>
      </c>
      <c r="W222" s="11">
        <v>990</v>
      </c>
      <c r="X222" s="11">
        <v>990</v>
      </c>
      <c r="Y222" s="11">
        <v>990</v>
      </c>
      <c r="Z222" s="11">
        <v>990</v>
      </c>
      <c r="AA222" s="11">
        <v>990</v>
      </c>
      <c r="AB222" s="11">
        <v>990</v>
      </c>
      <c r="AC222" s="11">
        <v>990</v>
      </c>
      <c r="AD222" s="11">
        <v>990</v>
      </c>
      <c r="AE222" s="11">
        <v>990</v>
      </c>
      <c r="AF222" s="11">
        <v>990</v>
      </c>
      <c r="AG222" s="11">
        <v>990</v>
      </c>
      <c r="AH222" s="11">
        <v>990</v>
      </c>
      <c r="AI222" s="11">
        <v>990</v>
      </c>
      <c r="AJ222" s="11">
        <v>975</v>
      </c>
      <c r="AK222" s="11">
        <v>975</v>
      </c>
      <c r="AL222" s="11">
        <v>974</v>
      </c>
      <c r="AM222" s="11">
        <v>974</v>
      </c>
      <c r="AN222" s="72">
        <v>974</v>
      </c>
      <c r="AO222" s="72">
        <v>974</v>
      </c>
      <c r="AP222" s="72">
        <v>970</v>
      </c>
      <c r="AQ222" s="72">
        <v>970</v>
      </c>
      <c r="AR222" s="72">
        <v>970</v>
      </c>
      <c r="AS222" s="72">
        <v>970</v>
      </c>
      <c r="AT222" s="72">
        <v>970</v>
      </c>
      <c r="AU222" s="72">
        <v>970</v>
      </c>
      <c r="AV222" s="72">
        <v>970</v>
      </c>
      <c r="AW222" s="72">
        <v>970</v>
      </c>
      <c r="AX222" s="72">
        <v>970</v>
      </c>
      <c r="AY222" s="72">
        <v>970</v>
      </c>
      <c r="AZ222" s="72">
        <v>970</v>
      </c>
      <c r="BA222" s="72">
        <v>970</v>
      </c>
      <c r="BB222" s="72">
        <v>970</v>
      </c>
      <c r="BC222" s="72">
        <v>970</v>
      </c>
      <c r="BD222" s="72">
        <v>970</v>
      </c>
      <c r="BE222" s="72">
        <v>970</v>
      </c>
      <c r="BF222" s="72">
        <v>970</v>
      </c>
      <c r="BG222" s="72">
        <v>970</v>
      </c>
      <c r="BH222" s="72">
        <v>966</v>
      </c>
      <c r="BI222" s="72">
        <v>966</v>
      </c>
      <c r="BJ222" s="72">
        <v>966</v>
      </c>
      <c r="BK222" s="72">
        <v>966</v>
      </c>
      <c r="BL222" s="72">
        <v>966</v>
      </c>
      <c r="BM222" s="72">
        <v>966</v>
      </c>
      <c r="BN222" s="72">
        <v>966</v>
      </c>
      <c r="BO222" s="72">
        <v>966</v>
      </c>
      <c r="BP222" s="72">
        <v>966</v>
      </c>
      <c r="BQ222" s="72">
        <v>966</v>
      </c>
      <c r="BR222" s="72">
        <v>966</v>
      </c>
      <c r="BS222" s="72">
        <v>966</v>
      </c>
      <c r="BT222" s="72">
        <v>966</v>
      </c>
      <c r="BU222" s="72">
        <v>963</v>
      </c>
      <c r="BV222" s="72">
        <v>963</v>
      </c>
      <c r="BW222" s="72">
        <v>950</v>
      </c>
      <c r="BX222" s="72">
        <v>950</v>
      </c>
      <c r="BY222" s="72">
        <v>950</v>
      </c>
      <c r="BZ222" s="72">
        <v>950</v>
      </c>
      <c r="CA222" s="72">
        <v>950</v>
      </c>
      <c r="CB222" s="72">
        <v>950</v>
      </c>
      <c r="CC222" s="72">
        <v>950</v>
      </c>
      <c r="CD222" s="72">
        <v>950</v>
      </c>
      <c r="CE222" s="72">
        <v>950</v>
      </c>
      <c r="CF222" s="72">
        <v>950</v>
      </c>
      <c r="CG222" s="72">
        <v>950</v>
      </c>
      <c r="CH222" s="72">
        <v>950</v>
      </c>
      <c r="CI222" s="72">
        <v>950</v>
      </c>
      <c r="CJ222" s="72">
        <v>950</v>
      </c>
      <c r="CK222" s="72">
        <v>946</v>
      </c>
      <c r="CL222" s="72">
        <v>946</v>
      </c>
      <c r="CM222" s="72">
        <v>946</v>
      </c>
      <c r="CN222" s="72">
        <v>945</v>
      </c>
      <c r="CO222" s="72">
        <v>945</v>
      </c>
      <c r="CP222" s="72">
        <v>945</v>
      </c>
      <c r="CQ222" s="72">
        <v>945</v>
      </c>
      <c r="CR222" s="72">
        <v>945</v>
      </c>
      <c r="CS222" s="72">
        <v>945</v>
      </c>
      <c r="CT222" s="72">
        <v>945</v>
      </c>
      <c r="CU222" s="72">
        <v>945</v>
      </c>
      <c r="CV222" s="72">
        <v>945</v>
      </c>
      <c r="CW222" s="72">
        <v>945</v>
      </c>
      <c r="CX222" s="72">
        <v>945</v>
      </c>
      <c r="CY222" s="72">
        <v>945</v>
      </c>
      <c r="CZ222" s="72">
        <v>945</v>
      </c>
      <c r="DA222" s="72">
        <v>945</v>
      </c>
      <c r="DB222" s="72">
        <v>945</v>
      </c>
      <c r="DC222" s="72">
        <v>945</v>
      </c>
      <c r="DD222" s="72">
        <v>945</v>
      </c>
      <c r="DE222" s="72">
        <v>945</v>
      </c>
      <c r="DF222" s="72">
        <v>945</v>
      </c>
      <c r="DG222" s="72">
        <v>945</v>
      </c>
      <c r="DH222" s="72">
        <v>945</v>
      </c>
      <c r="DI222" s="72">
        <v>945</v>
      </c>
      <c r="DJ222" s="72">
        <v>945</v>
      </c>
      <c r="DK222" s="72">
        <v>945</v>
      </c>
      <c r="DL222" s="72">
        <v>945</v>
      </c>
      <c r="DM222" s="72">
        <v>945</v>
      </c>
    </row>
    <row r="223" spans="1:117" x14ac:dyDescent="0.35">
      <c r="A223" s="7"/>
      <c r="B223" s="21" t="s">
        <v>422</v>
      </c>
      <c r="C223" s="32" t="s">
        <v>1288</v>
      </c>
      <c r="D223" s="23" t="s">
        <v>92</v>
      </c>
      <c r="E223" s="21" t="s">
        <v>1207</v>
      </c>
      <c r="F223" s="23">
        <v>1006</v>
      </c>
      <c r="G223" s="23" t="s">
        <v>92</v>
      </c>
      <c r="H223" s="23" t="s">
        <v>41</v>
      </c>
      <c r="I223" s="11">
        <v>911</v>
      </c>
      <c r="J223" s="23"/>
      <c r="K223" s="10" t="s">
        <v>42</v>
      </c>
      <c r="L223" s="8"/>
      <c r="M223" s="12">
        <v>4.8125</v>
      </c>
      <c r="N223" s="12">
        <f t="shared" si="5"/>
        <v>3306.1875</v>
      </c>
      <c r="O223" s="11">
        <v>896</v>
      </c>
      <c r="P223" s="11">
        <v>896</v>
      </c>
      <c r="Q223" s="11">
        <v>896</v>
      </c>
      <c r="R223" s="11">
        <v>891</v>
      </c>
      <c r="S223" s="11">
        <v>891</v>
      </c>
      <c r="T223" s="11">
        <v>891</v>
      </c>
      <c r="U223" s="11">
        <v>891</v>
      </c>
      <c r="V223" s="11">
        <v>906</v>
      </c>
      <c r="W223" s="11">
        <v>906</v>
      </c>
      <c r="X223" s="11">
        <v>906</v>
      </c>
      <c r="Y223" s="11">
        <v>906</v>
      </c>
      <c r="Z223" s="11">
        <v>911</v>
      </c>
      <c r="AA223" s="11">
        <v>911</v>
      </c>
      <c r="AB223" s="11">
        <v>911</v>
      </c>
      <c r="AC223" s="11">
        <v>911</v>
      </c>
      <c r="AD223" s="11">
        <v>911</v>
      </c>
      <c r="AE223" s="11">
        <v>911</v>
      </c>
      <c r="AF223" s="11">
        <v>911</v>
      </c>
      <c r="AG223" s="11">
        <v>911</v>
      </c>
      <c r="AH223" s="11">
        <v>911</v>
      </c>
      <c r="AI223" s="11">
        <v>911</v>
      </c>
      <c r="AJ223" s="11">
        <v>911</v>
      </c>
      <c r="AK223" s="11">
        <v>911</v>
      </c>
      <c r="AL223" s="11">
        <v>906</v>
      </c>
      <c r="AM223" s="11">
        <v>906</v>
      </c>
      <c r="AN223" s="72">
        <v>906</v>
      </c>
      <c r="AO223" s="72">
        <v>906</v>
      </c>
      <c r="AP223" s="72">
        <v>906</v>
      </c>
      <c r="AQ223" s="72">
        <v>906</v>
      </c>
      <c r="AR223" s="72">
        <v>906</v>
      </c>
      <c r="AS223" s="72">
        <v>906</v>
      </c>
      <c r="AT223" s="72">
        <v>906</v>
      </c>
      <c r="AU223" s="72">
        <v>906</v>
      </c>
      <c r="AV223" s="72">
        <v>906</v>
      </c>
      <c r="AW223" s="72">
        <v>740</v>
      </c>
      <c r="AX223" s="72">
        <v>740</v>
      </c>
      <c r="AY223" s="72">
        <v>740</v>
      </c>
      <c r="AZ223" s="72">
        <v>720</v>
      </c>
      <c r="BA223" s="72">
        <v>718</v>
      </c>
      <c r="BB223" s="72">
        <v>718</v>
      </c>
      <c r="BC223" s="72">
        <v>718</v>
      </c>
      <c r="BD223" s="72">
        <v>718</v>
      </c>
      <c r="BE223" s="72">
        <v>718</v>
      </c>
      <c r="BF223" s="72">
        <v>718</v>
      </c>
      <c r="BG223" s="72">
        <v>718</v>
      </c>
      <c r="BH223" s="72">
        <v>718</v>
      </c>
      <c r="BI223" s="72">
        <v>718</v>
      </c>
      <c r="BJ223" s="72">
        <v>718</v>
      </c>
      <c r="BK223" s="72">
        <v>706</v>
      </c>
      <c r="BL223" s="72">
        <v>706</v>
      </c>
      <c r="BM223" s="72">
        <v>706</v>
      </c>
      <c r="BN223" s="72">
        <v>706</v>
      </c>
      <c r="BO223" s="72">
        <v>706</v>
      </c>
      <c r="BP223" s="72">
        <v>706</v>
      </c>
      <c r="BQ223" s="72">
        <v>706</v>
      </c>
      <c r="BR223" s="72">
        <v>707</v>
      </c>
      <c r="BS223" s="72">
        <v>707</v>
      </c>
      <c r="BT223" s="72">
        <v>705</v>
      </c>
      <c r="BU223" s="72">
        <v>706</v>
      </c>
      <c r="BV223" s="72">
        <v>702</v>
      </c>
      <c r="BW223" s="72">
        <v>702</v>
      </c>
      <c r="BX223" s="72">
        <v>702</v>
      </c>
      <c r="BY223" s="72">
        <v>702</v>
      </c>
      <c r="BZ223" s="72">
        <v>702</v>
      </c>
      <c r="CA223" s="72">
        <v>702</v>
      </c>
      <c r="CB223" s="72">
        <v>702</v>
      </c>
      <c r="CC223" s="72">
        <v>702</v>
      </c>
      <c r="CD223" s="72">
        <v>702</v>
      </c>
      <c r="CE223" s="72">
        <v>694</v>
      </c>
      <c r="CF223" s="72">
        <v>694</v>
      </c>
      <c r="CG223" s="72">
        <v>694</v>
      </c>
      <c r="CH223" s="72">
        <v>694</v>
      </c>
      <c r="CI223" s="72">
        <v>694</v>
      </c>
      <c r="CJ223" s="72">
        <v>694</v>
      </c>
      <c r="CK223" s="72">
        <v>693</v>
      </c>
      <c r="CL223" s="72">
        <v>693</v>
      </c>
      <c r="CM223" s="72">
        <v>693</v>
      </c>
      <c r="CN223" s="72">
        <v>693</v>
      </c>
      <c r="CO223" s="72">
        <v>693</v>
      </c>
      <c r="CP223" s="72">
        <v>693</v>
      </c>
      <c r="CQ223" s="72">
        <v>693</v>
      </c>
      <c r="CR223" s="72">
        <v>693</v>
      </c>
      <c r="CS223" s="72">
        <v>693</v>
      </c>
      <c r="CT223" s="72">
        <v>693</v>
      </c>
      <c r="CU223" s="72">
        <v>693</v>
      </c>
      <c r="CV223" s="72">
        <v>691</v>
      </c>
      <c r="CW223" s="72">
        <v>691</v>
      </c>
      <c r="CX223" s="72">
        <v>693</v>
      </c>
      <c r="CY223" s="72">
        <v>693</v>
      </c>
      <c r="CZ223" s="72">
        <v>687</v>
      </c>
      <c r="DA223" s="72">
        <v>687</v>
      </c>
      <c r="DB223" s="72">
        <v>687</v>
      </c>
      <c r="DC223" s="72">
        <v>683</v>
      </c>
      <c r="DD223" s="72">
        <v>687</v>
      </c>
      <c r="DE223" s="72">
        <v>687</v>
      </c>
      <c r="DF223" s="72">
        <v>687</v>
      </c>
      <c r="DG223" s="72">
        <v>687</v>
      </c>
      <c r="DH223" s="72">
        <v>687</v>
      </c>
      <c r="DI223" s="72">
        <v>687</v>
      </c>
      <c r="DJ223" s="72">
        <v>687</v>
      </c>
      <c r="DK223" s="72">
        <v>687</v>
      </c>
      <c r="DL223" s="72">
        <v>687</v>
      </c>
      <c r="DM223" s="72">
        <v>687</v>
      </c>
    </row>
    <row r="224" spans="1:117" x14ac:dyDescent="0.35">
      <c r="A224" s="7"/>
      <c r="B224" s="8" t="s">
        <v>423</v>
      </c>
      <c r="C224" s="32" t="s">
        <v>1288</v>
      </c>
      <c r="D224" s="10" t="s">
        <v>92</v>
      </c>
      <c r="E224" s="21" t="s">
        <v>1207</v>
      </c>
      <c r="F224" s="10">
        <v>1006</v>
      </c>
      <c r="G224" s="10" t="s">
        <v>92</v>
      </c>
      <c r="H224" s="10" t="s">
        <v>41</v>
      </c>
      <c r="I224" s="11">
        <v>116</v>
      </c>
      <c r="J224" s="10"/>
      <c r="K224" s="10" t="s">
        <v>42</v>
      </c>
      <c r="L224" s="8"/>
      <c r="M224" s="12">
        <v>4.8125</v>
      </c>
      <c r="N224" s="12">
        <f t="shared" si="5"/>
        <v>486.0625</v>
      </c>
      <c r="O224" s="11">
        <v>125</v>
      </c>
      <c r="P224" s="11">
        <v>121</v>
      </c>
      <c r="Q224" s="11">
        <v>121</v>
      </c>
      <c r="R224" s="11">
        <v>121</v>
      </c>
      <c r="S224" s="11">
        <v>121</v>
      </c>
      <c r="T224" s="11">
        <v>121</v>
      </c>
      <c r="U224" s="11">
        <v>121</v>
      </c>
      <c r="V224" s="11">
        <v>121</v>
      </c>
      <c r="W224" s="11">
        <v>116</v>
      </c>
      <c r="X224" s="11">
        <v>116</v>
      </c>
      <c r="Y224" s="11">
        <v>116</v>
      </c>
      <c r="Z224" s="11">
        <v>116</v>
      </c>
      <c r="AA224" s="11">
        <v>116</v>
      </c>
      <c r="AB224" s="11">
        <v>116</v>
      </c>
      <c r="AC224" s="11">
        <v>116</v>
      </c>
      <c r="AD224" s="11">
        <v>116</v>
      </c>
      <c r="AE224" s="11">
        <v>116</v>
      </c>
      <c r="AF224" s="11">
        <v>116</v>
      </c>
      <c r="AG224" s="11">
        <v>116</v>
      </c>
      <c r="AH224" s="11">
        <v>116</v>
      </c>
      <c r="AI224" s="11">
        <v>116</v>
      </c>
      <c r="AJ224" s="11">
        <v>116</v>
      </c>
      <c r="AK224" s="11">
        <v>116</v>
      </c>
      <c r="AL224" s="11">
        <v>115</v>
      </c>
      <c r="AM224" s="11">
        <v>115</v>
      </c>
      <c r="AN224" s="72">
        <v>115</v>
      </c>
      <c r="AO224" s="72">
        <v>115</v>
      </c>
      <c r="AP224" s="72">
        <v>115</v>
      </c>
      <c r="AQ224" s="72">
        <v>115</v>
      </c>
      <c r="AR224" s="72">
        <v>115</v>
      </c>
      <c r="AS224" s="72">
        <v>115</v>
      </c>
      <c r="AT224" s="72">
        <v>115</v>
      </c>
      <c r="AU224" s="72">
        <v>115</v>
      </c>
      <c r="AV224" s="72">
        <v>115</v>
      </c>
      <c r="AW224" s="72">
        <v>115</v>
      </c>
      <c r="AX224" s="72">
        <v>115</v>
      </c>
      <c r="AY224" s="72">
        <v>115</v>
      </c>
      <c r="AZ224" s="72">
        <v>115</v>
      </c>
      <c r="BA224" s="72">
        <v>115</v>
      </c>
      <c r="BB224" s="72">
        <v>115</v>
      </c>
      <c r="BC224" s="72">
        <v>115</v>
      </c>
      <c r="BD224" s="72">
        <v>115</v>
      </c>
      <c r="BE224" s="72">
        <v>115</v>
      </c>
      <c r="BF224" s="72">
        <v>115</v>
      </c>
      <c r="BG224" s="72">
        <v>115</v>
      </c>
      <c r="BH224" s="72">
        <v>115</v>
      </c>
      <c r="BI224" s="72">
        <v>115</v>
      </c>
      <c r="BJ224" s="72">
        <v>115</v>
      </c>
      <c r="BK224" s="72">
        <v>115</v>
      </c>
      <c r="BL224" s="72">
        <v>115</v>
      </c>
      <c r="BM224" s="72">
        <v>115</v>
      </c>
      <c r="BN224" s="72">
        <v>115</v>
      </c>
      <c r="BO224" s="72">
        <v>115</v>
      </c>
      <c r="BP224" s="72">
        <v>115</v>
      </c>
      <c r="BQ224" s="72">
        <v>115</v>
      </c>
      <c r="BR224" s="72">
        <v>115</v>
      </c>
      <c r="BS224" s="72">
        <v>101</v>
      </c>
      <c r="BT224" s="72">
        <v>101</v>
      </c>
      <c r="BU224" s="72">
        <v>101</v>
      </c>
      <c r="BV224" s="72">
        <v>101</v>
      </c>
      <c r="BW224" s="72">
        <v>101</v>
      </c>
      <c r="BX224" s="72">
        <v>101</v>
      </c>
      <c r="BY224" s="72">
        <v>101</v>
      </c>
      <c r="BZ224" s="72">
        <v>101</v>
      </c>
      <c r="CA224" s="72">
        <v>101</v>
      </c>
      <c r="CB224" s="72">
        <v>101</v>
      </c>
      <c r="CC224" s="72">
        <v>101</v>
      </c>
      <c r="CD224" s="72">
        <v>101</v>
      </c>
      <c r="CE224" s="72">
        <v>101</v>
      </c>
      <c r="CF224" s="72">
        <v>101</v>
      </c>
      <c r="CG224" s="72">
        <v>101</v>
      </c>
      <c r="CH224" s="72">
        <v>101</v>
      </c>
      <c r="CI224" s="72">
        <v>101</v>
      </c>
      <c r="CJ224" s="72">
        <v>101</v>
      </c>
      <c r="CK224" s="72">
        <v>101</v>
      </c>
      <c r="CL224" s="72">
        <v>101</v>
      </c>
      <c r="CM224" s="72">
        <v>101</v>
      </c>
      <c r="CN224" s="72">
        <v>101</v>
      </c>
      <c r="CO224" s="72">
        <v>101</v>
      </c>
      <c r="CP224" s="72">
        <v>101</v>
      </c>
      <c r="CQ224" s="72">
        <v>101</v>
      </c>
      <c r="CR224" s="72">
        <v>101</v>
      </c>
      <c r="CS224" s="72">
        <v>101</v>
      </c>
      <c r="CT224" s="72">
        <v>101</v>
      </c>
      <c r="CU224" s="72">
        <v>101</v>
      </c>
      <c r="CV224" s="72">
        <v>101</v>
      </c>
      <c r="CW224" s="72">
        <v>101</v>
      </c>
      <c r="CX224" s="72">
        <v>101</v>
      </c>
      <c r="CY224" s="72">
        <v>101</v>
      </c>
      <c r="CZ224" s="72">
        <v>101</v>
      </c>
      <c r="DA224" s="72">
        <v>101</v>
      </c>
      <c r="DB224" s="72">
        <v>101</v>
      </c>
      <c r="DC224" s="72">
        <v>101</v>
      </c>
      <c r="DD224" s="72">
        <v>101</v>
      </c>
      <c r="DE224" s="72">
        <v>101</v>
      </c>
      <c r="DF224" s="72">
        <v>101</v>
      </c>
      <c r="DG224" s="72">
        <v>101</v>
      </c>
      <c r="DH224" s="72">
        <v>101</v>
      </c>
      <c r="DI224" s="72">
        <v>101</v>
      </c>
      <c r="DJ224" s="72">
        <v>101</v>
      </c>
      <c r="DK224" s="72">
        <v>101</v>
      </c>
      <c r="DL224" s="72">
        <v>101</v>
      </c>
      <c r="DM224" s="72">
        <v>101</v>
      </c>
    </row>
    <row r="225" spans="1:117" x14ac:dyDescent="0.35">
      <c r="A225" s="7"/>
      <c r="B225" s="8" t="s">
        <v>424</v>
      </c>
      <c r="C225" s="9" t="s">
        <v>1289</v>
      </c>
      <c r="D225" s="10" t="s">
        <v>92</v>
      </c>
      <c r="E225" s="21" t="s">
        <v>1207</v>
      </c>
      <c r="F225" s="10">
        <v>1006</v>
      </c>
      <c r="G225" s="10" t="s">
        <v>92</v>
      </c>
      <c r="H225" s="10" t="s">
        <v>41</v>
      </c>
      <c r="I225" s="11">
        <v>652</v>
      </c>
      <c r="J225" s="10"/>
      <c r="K225" s="10" t="s">
        <v>42</v>
      </c>
      <c r="L225" s="8"/>
      <c r="M225" s="12">
        <v>4.8125</v>
      </c>
      <c r="N225" s="12">
        <f t="shared" si="5"/>
        <v>1597.75</v>
      </c>
      <c r="O225" s="11">
        <v>705</v>
      </c>
      <c r="P225" s="11">
        <v>705</v>
      </c>
      <c r="Q225" s="11">
        <v>705</v>
      </c>
      <c r="R225" s="11">
        <v>704</v>
      </c>
      <c r="S225" s="11">
        <v>702</v>
      </c>
      <c r="T225" s="11">
        <v>702</v>
      </c>
      <c r="U225" s="11">
        <v>702</v>
      </c>
      <c r="V225" s="11">
        <v>702</v>
      </c>
      <c r="W225" s="11">
        <v>697</v>
      </c>
      <c r="X225" s="11">
        <v>697</v>
      </c>
      <c r="Y225" s="11">
        <v>667</v>
      </c>
      <c r="Z225" s="11">
        <v>667</v>
      </c>
      <c r="AA225" s="11">
        <v>667</v>
      </c>
      <c r="AB225" s="11">
        <v>667</v>
      </c>
      <c r="AC225" s="11">
        <v>664</v>
      </c>
      <c r="AD225" s="11">
        <v>664</v>
      </c>
      <c r="AE225" s="11">
        <v>664</v>
      </c>
      <c r="AF225" s="11">
        <v>664</v>
      </c>
      <c r="AG225" s="11">
        <v>652</v>
      </c>
      <c r="AH225" s="11">
        <v>652</v>
      </c>
      <c r="AI225" s="11">
        <v>652</v>
      </c>
      <c r="AJ225" s="11">
        <v>652</v>
      </c>
      <c r="AK225" s="11">
        <v>652</v>
      </c>
      <c r="AL225" s="11">
        <v>652</v>
      </c>
      <c r="AM225" s="11">
        <v>652</v>
      </c>
      <c r="AN225" s="72">
        <v>652</v>
      </c>
      <c r="AO225" s="72">
        <v>652</v>
      </c>
      <c r="AP225" s="72">
        <v>652</v>
      </c>
      <c r="AQ225" s="72">
        <v>652</v>
      </c>
      <c r="AR225" s="72">
        <v>632</v>
      </c>
      <c r="AS225" s="72">
        <v>632</v>
      </c>
      <c r="AT225" s="72">
        <v>632</v>
      </c>
      <c r="AU225" s="72">
        <v>632</v>
      </c>
      <c r="AV225" s="72">
        <v>632</v>
      </c>
      <c r="AW225" s="72">
        <v>652</v>
      </c>
      <c r="AX225" s="72">
        <v>652</v>
      </c>
      <c r="AY225" s="72">
        <v>652</v>
      </c>
      <c r="AZ225" s="72">
        <v>652</v>
      </c>
      <c r="BA225" s="72">
        <v>652</v>
      </c>
      <c r="BB225" s="72">
        <v>652</v>
      </c>
      <c r="BC225" s="72">
        <v>652</v>
      </c>
      <c r="BD225" s="72">
        <v>652</v>
      </c>
      <c r="BE225" s="72">
        <v>652</v>
      </c>
      <c r="BF225" s="72">
        <v>652</v>
      </c>
      <c r="BG225" s="72">
        <v>652</v>
      </c>
      <c r="BH225" s="72">
        <v>652</v>
      </c>
      <c r="BI225" s="72">
        <v>652</v>
      </c>
      <c r="BJ225" s="72">
        <v>652</v>
      </c>
      <c r="BK225" s="72">
        <v>627</v>
      </c>
      <c r="BL225" s="72">
        <v>627</v>
      </c>
      <c r="BM225" s="72">
        <v>619</v>
      </c>
      <c r="BN225" s="72">
        <v>587</v>
      </c>
      <c r="BO225" s="72">
        <v>586</v>
      </c>
      <c r="BP225" s="72">
        <v>586</v>
      </c>
      <c r="BQ225" s="72">
        <v>572</v>
      </c>
      <c r="BR225" s="72">
        <v>559</v>
      </c>
      <c r="BS225" s="72">
        <v>533</v>
      </c>
      <c r="BT225" s="72">
        <v>525</v>
      </c>
      <c r="BU225" s="72">
        <v>532</v>
      </c>
      <c r="BV225" s="72">
        <v>532</v>
      </c>
      <c r="BW225" s="72">
        <v>532</v>
      </c>
      <c r="BX225" s="72">
        <v>532</v>
      </c>
      <c r="BY225" s="72">
        <v>532</v>
      </c>
      <c r="BZ225" s="72">
        <v>532</v>
      </c>
      <c r="CA225" s="72">
        <v>532</v>
      </c>
      <c r="CB225" s="72">
        <v>532</v>
      </c>
      <c r="CC225" s="72">
        <v>532</v>
      </c>
      <c r="CD225" s="72">
        <v>532</v>
      </c>
      <c r="CE225" s="72">
        <v>532</v>
      </c>
      <c r="CF225" s="72">
        <v>532</v>
      </c>
      <c r="CG225" s="72">
        <v>482</v>
      </c>
      <c r="CH225" s="72">
        <v>476</v>
      </c>
      <c r="CI225" s="72">
        <v>476</v>
      </c>
      <c r="CJ225" s="72">
        <v>476</v>
      </c>
      <c r="CK225" s="72">
        <v>425</v>
      </c>
      <c r="CL225" s="72">
        <v>425</v>
      </c>
      <c r="CM225" s="72">
        <v>425</v>
      </c>
      <c r="CN225" s="72">
        <v>425</v>
      </c>
      <c r="CO225" s="72">
        <v>425</v>
      </c>
      <c r="CP225" s="72">
        <v>375</v>
      </c>
      <c r="CQ225" s="72">
        <v>375</v>
      </c>
      <c r="CR225" s="72">
        <v>375</v>
      </c>
      <c r="CS225" s="72">
        <v>347</v>
      </c>
      <c r="CT225" s="72">
        <v>347</v>
      </c>
      <c r="CU225" s="72">
        <v>347</v>
      </c>
      <c r="CV225" s="72">
        <v>345</v>
      </c>
      <c r="CW225" s="72">
        <v>345</v>
      </c>
      <c r="CX225" s="72">
        <v>347</v>
      </c>
      <c r="CY225" s="72">
        <v>347</v>
      </c>
      <c r="CZ225" s="72">
        <v>347</v>
      </c>
      <c r="DA225" s="72">
        <v>344</v>
      </c>
      <c r="DB225" s="72">
        <v>334</v>
      </c>
      <c r="DC225" s="72">
        <v>330</v>
      </c>
      <c r="DD225" s="72">
        <v>334</v>
      </c>
      <c r="DE225" s="72">
        <v>334</v>
      </c>
      <c r="DF225" s="72">
        <v>334</v>
      </c>
      <c r="DG225" s="72">
        <v>334</v>
      </c>
      <c r="DH225" s="72">
        <v>334</v>
      </c>
      <c r="DI225" s="72">
        <v>332</v>
      </c>
      <c r="DJ225" s="72">
        <v>332</v>
      </c>
      <c r="DK225" s="72">
        <v>332</v>
      </c>
      <c r="DL225" s="72">
        <v>332</v>
      </c>
      <c r="DM225" s="72">
        <v>332</v>
      </c>
    </row>
    <row r="226" spans="1:117" x14ac:dyDescent="0.35">
      <c r="A226" s="7"/>
      <c r="B226" s="8" t="s">
        <v>425</v>
      </c>
      <c r="C226" s="9" t="s">
        <v>1289</v>
      </c>
      <c r="D226" s="10" t="s">
        <v>92</v>
      </c>
      <c r="E226" s="21" t="s">
        <v>1207</v>
      </c>
      <c r="F226" s="10">
        <v>1006</v>
      </c>
      <c r="G226" s="10" t="s">
        <v>92</v>
      </c>
      <c r="H226" s="10" t="s">
        <v>41</v>
      </c>
      <c r="I226" s="11">
        <v>109</v>
      </c>
      <c r="J226" s="10"/>
      <c r="K226" s="10" t="s">
        <v>42</v>
      </c>
      <c r="L226" s="8"/>
      <c r="M226" s="12">
        <v>4.8125</v>
      </c>
      <c r="N226" s="12">
        <f t="shared" si="5"/>
        <v>423.5</v>
      </c>
      <c r="O226" s="11">
        <v>148</v>
      </c>
      <c r="P226" s="11">
        <v>148</v>
      </c>
      <c r="Q226" s="11">
        <v>148</v>
      </c>
      <c r="R226" s="11">
        <v>148</v>
      </c>
      <c r="S226" s="11">
        <v>148</v>
      </c>
      <c r="T226" s="11">
        <v>148</v>
      </c>
      <c r="U226" s="11">
        <v>148</v>
      </c>
      <c r="V226" s="11">
        <v>148</v>
      </c>
      <c r="W226" s="11">
        <v>148</v>
      </c>
      <c r="X226" s="11">
        <v>148</v>
      </c>
      <c r="Y226" s="11">
        <v>148</v>
      </c>
      <c r="Z226" s="11">
        <v>146</v>
      </c>
      <c r="AA226" s="11">
        <v>146</v>
      </c>
      <c r="AB226" s="11">
        <v>145</v>
      </c>
      <c r="AC226" s="11">
        <v>145</v>
      </c>
      <c r="AD226" s="11">
        <v>145</v>
      </c>
      <c r="AE226" s="11">
        <v>145</v>
      </c>
      <c r="AF226" s="11">
        <v>145</v>
      </c>
      <c r="AG226" s="11">
        <v>145</v>
      </c>
      <c r="AH226" s="11">
        <v>109</v>
      </c>
      <c r="AI226" s="11">
        <v>73</v>
      </c>
      <c r="AJ226" s="11">
        <v>109</v>
      </c>
      <c r="AK226" s="11">
        <v>109</v>
      </c>
      <c r="AL226" s="11">
        <v>108</v>
      </c>
      <c r="AM226" s="11">
        <v>108</v>
      </c>
      <c r="AN226" s="72">
        <v>108</v>
      </c>
      <c r="AO226" s="72">
        <v>108</v>
      </c>
      <c r="AP226" s="72">
        <v>108</v>
      </c>
      <c r="AQ226" s="72">
        <v>108</v>
      </c>
      <c r="AR226" s="72">
        <v>108</v>
      </c>
      <c r="AS226" s="72">
        <v>108</v>
      </c>
      <c r="AT226" s="72">
        <v>108</v>
      </c>
      <c r="AU226" s="72">
        <v>108</v>
      </c>
      <c r="AV226" s="72">
        <v>108</v>
      </c>
      <c r="AW226" s="72">
        <v>108</v>
      </c>
      <c r="AX226" s="72">
        <v>108</v>
      </c>
      <c r="AY226" s="72">
        <v>108</v>
      </c>
      <c r="AZ226" s="72">
        <v>108</v>
      </c>
      <c r="BA226" s="72">
        <v>108</v>
      </c>
      <c r="BB226" s="72">
        <v>108</v>
      </c>
      <c r="BC226" s="72">
        <v>108</v>
      </c>
      <c r="BD226" s="72">
        <v>108</v>
      </c>
      <c r="BE226" s="72">
        <v>108</v>
      </c>
      <c r="BF226" s="72">
        <v>108</v>
      </c>
      <c r="BG226" s="72">
        <v>108</v>
      </c>
      <c r="BH226" s="72">
        <v>108</v>
      </c>
      <c r="BI226" s="72">
        <v>108</v>
      </c>
      <c r="BJ226" s="72">
        <v>108</v>
      </c>
      <c r="BK226" s="72">
        <v>108</v>
      </c>
      <c r="BL226" s="72">
        <v>108</v>
      </c>
      <c r="BM226" s="72">
        <v>108</v>
      </c>
      <c r="BN226" s="72">
        <v>114</v>
      </c>
      <c r="BO226" s="72">
        <v>114</v>
      </c>
      <c r="BP226" s="72">
        <v>109</v>
      </c>
      <c r="BQ226" s="72">
        <v>109</v>
      </c>
      <c r="BR226" s="72">
        <v>109</v>
      </c>
      <c r="BS226" s="72">
        <v>109</v>
      </c>
      <c r="BT226" s="72">
        <v>107</v>
      </c>
      <c r="BU226" s="72">
        <v>109</v>
      </c>
      <c r="BV226" s="72">
        <v>109</v>
      </c>
      <c r="BW226" s="72">
        <v>109</v>
      </c>
      <c r="BX226" s="72">
        <v>109</v>
      </c>
      <c r="BY226" s="72">
        <v>109</v>
      </c>
      <c r="BZ226" s="72">
        <v>109</v>
      </c>
      <c r="CA226" s="72">
        <v>109</v>
      </c>
      <c r="CB226" s="72">
        <v>109</v>
      </c>
      <c r="CC226" s="72">
        <v>109</v>
      </c>
      <c r="CD226" s="72">
        <v>109</v>
      </c>
      <c r="CE226" s="72">
        <v>109</v>
      </c>
      <c r="CF226" s="72">
        <v>109</v>
      </c>
      <c r="CG226" s="72">
        <v>109</v>
      </c>
      <c r="CH226" s="72">
        <v>109</v>
      </c>
      <c r="CI226" s="72">
        <v>109</v>
      </c>
      <c r="CJ226" s="72">
        <v>109</v>
      </c>
      <c r="CK226" s="72">
        <v>109</v>
      </c>
      <c r="CL226" s="72">
        <v>109</v>
      </c>
      <c r="CM226" s="72">
        <v>109</v>
      </c>
      <c r="CN226" s="72">
        <v>109</v>
      </c>
      <c r="CO226" s="72">
        <v>89</v>
      </c>
      <c r="CP226" s="72">
        <v>89</v>
      </c>
      <c r="CQ226" s="72">
        <v>89</v>
      </c>
      <c r="CR226" s="72">
        <v>89</v>
      </c>
      <c r="CS226" s="72">
        <v>89</v>
      </c>
      <c r="CT226" s="72">
        <v>89</v>
      </c>
      <c r="CU226" s="72">
        <v>89</v>
      </c>
      <c r="CV226" s="72">
        <v>89</v>
      </c>
      <c r="CW226" s="72">
        <v>89</v>
      </c>
      <c r="CX226" s="72">
        <v>89</v>
      </c>
      <c r="CY226" s="72">
        <v>89</v>
      </c>
      <c r="CZ226" s="72">
        <v>89</v>
      </c>
      <c r="DA226" s="72">
        <v>89</v>
      </c>
      <c r="DB226" s="72">
        <v>89</v>
      </c>
      <c r="DC226" s="72">
        <v>89</v>
      </c>
      <c r="DD226" s="72">
        <v>88</v>
      </c>
      <c r="DE226" s="72">
        <v>88</v>
      </c>
      <c r="DF226" s="72">
        <v>88</v>
      </c>
      <c r="DG226" s="72">
        <v>88</v>
      </c>
      <c r="DH226" s="72">
        <v>88</v>
      </c>
      <c r="DI226" s="72">
        <v>88</v>
      </c>
      <c r="DJ226" s="72">
        <v>88</v>
      </c>
      <c r="DK226" s="72">
        <v>88</v>
      </c>
      <c r="DL226" s="72">
        <v>88</v>
      </c>
      <c r="DM226" s="72">
        <v>88</v>
      </c>
    </row>
    <row r="227" spans="1:117" x14ac:dyDescent="0.35">
      <c r="A227" s="7"/>
      <c r="B227" s="8" t="s">
        <v>426</v>
      </c>
      <c r="C227" s="9" t="s">
        <v>1290</v>
      </c>
      <c r="D227" s="10" t="s">
        <v>92</v>
      </c>
      <c r="E227" s="21" t="s">
        <v>1207</v>
      </c>
      <c r="F227" s="10">
        <v>1006</v>
      </c>
      <c r="G227" s="10" t="s">
        <v>92</v>
      </c>
      <c r="H227" s="10" t="s">
        <v>41</v>
      </c>
      <c r="I227" s="11">
        <v>114</v>
      </c>
      <c r="J227" s="10"/>
      <c r="K227" s="10" t="s">
        <v>42</v>
      </c>
      <c r="L227" s="8"/>
      <c r="M227" s="12">
        <v>6.25</v>
      </c>
      <c r="N227" s="12">
        <f t="shared" si="5"/>
        <v>712.5</v>
      </c>
      <c r="O227" s="11">
        <v>114</v>
      </c>
      <c r="P227" s="11">
        <v>114</v>
      </c>
      <c r="Q227" s="11">
        <v>114</v>
      </c>
      <c r="R227" s="11">
        <v>114</v>
      </c>
      <c r="S227" s="11">
        <v>114</v>
      </c>
      <c r="T227" s="11">
        <v>114</v>
      </c>
      <c r="U227" s="11">
        <v>114</v>
      </c>
      <c r="V227" s="11">
        <v>114</v>
      </c>
      <c r="W227" s="11">
        <v>114</v>
      </c>
      <c r="X227" s="11">
        <v>114</v>
      </c>
      <c r="Y227" s="11">
        <v>114</v>
      </c>
      <c r="Z227" s="11">
        <v>114</v>
      </c>
      <c r="AA227" s="11">
        <v>114</v>
      </c>
      <c r="AB227" s="11">
        <v>114</v>
      </c>
      <c r="AC227" s="11">
        <v>114</v>
      </c>
      <c r="AD227" s="11">
        <v>114</v>
      </c>
      <c r="AE227" s="11">
        <v>114</v>
      </c>
      <c r="AF227" s="11">
        <v>114</v>
      </c>
      <c r="AG227" s="11">
        <v>114</v>
      </c>
      <c r="AH227" s="11">
        <v>114</v>
      </c>
      <c r="AI227" s="11">
        <v>114</v>
      </c>
      <c r="AJ227" s="11">
        <v>114</v>
      </c>
      <c r="AK227" s="11">
        <v>114</v>
      </c>
      <c r="AL227" s="11">
        <v>114</v>
      </c>
      <c r="AM227" s="11">
        <v>114</v>
      </c>
      <c r="AN227" s="72">
        <v>114</v>
      </c>
      <c r="AO227" s="72">
        <v>114</v>
      </c>
      <c r="AP227" s="72">
        <v>114</v>
      </c>
      <c r="AQ227" s="72">
        <v>114</v>
      </c>
      <c r="AR227" s="72">
        <v>114</v>
      </c>
      <c r="AS227" s="72">
        <v>114</v>
      </c>
      <c r="AT227" s="72">
        <v>114</v>
      </c>
      <c r="AU227" s="72">
        <v>114</v>
      </c>
      <c r="AV227" s="72">
        <v>114</v>
      </c>
      <c r="AW227" s="72">
        <v>114</v>
      </c>
      <c r="AX227" s="72">
        <v>114</v>
      </c>
      <c r="AY227" s="72">
        <v>114</v>
      </c>
      <c r="AZ227" s="72">
        <v>114</v>
      </c>
      <c r="BA227" s="72">
        <v>114</v>
      </c>
      <c r="BB227" s="72">
        <v>114</v>
      </c>
      <c r="BC227" s="72">
        <v>114</v>
      </c>
      <c r="BD227" s="72">
        <v>114</v>
      </c>
      <c r="BE227" s="72">
        <v>114</v>
      </c>
      <c r="BF227" s="72">
        <v>114</v>
      </c>
      <c r="BG227" s="72">
        <v>114</v>
      </c>
      <c r="BH227" s="72">
        <v>114</v>
      </c>
      <c r="BI227" s="72">
        <v>114</v>
      </c>
      <c r="BJ227" s="72">
        <v>114</v>
      </c>
      <c r="BK227" s="72">
        <v>114</v>
      </c>
      <c r="BL227" s="72">
        <v>114</v>
      </c>
      <c r="BM227" s="72">
        <v>114</v>
      </c>
      <c r="BN227" s="72">
        <v>114</v>
      </c>
      <c r="BO227" s="72">
        <v>114</v>
      </c>
      <c r="BP227" s="72">
        <v>114</v>
      </c>
      <c r="BQ227" s="72">
        <v>114</v>
      </c>
      <c r="BR227" s="72">
        <v>114</v>
      </c>
      <c r="BS227" s="72">
        <v>114</v>
      </c>
      <c r="BT227" s="72">
        <v>114</v>
      </c>
      <c r="BU227" s="72">
        <v>114</v>
      </c>
      <c r="BV227" s="72">
        <v>114</v>
      </c>
      <c r="BW227" s="72">
        <v>114</v>
      </c>
      <c r="BX227" s="72">
        <v>114</v>
      </c>
      <c r="BY227" s="72">
        <v>114</v>
      </c>
      <c r="BZ227" s="72">
        <v>114</v>
      </c>
      <c r="CA227" s="72">
        <v>114</v>
      </c>
      <c r="CB227" s="72">
        <v>114</v>
      </c>
      <c r="CC227" s="72">
        <v>114</v>
      </c>
      <c r="CD227" s="72">
        <v>114</v>
      </c>
      <c r="CE227" s="72">
        <v>114</v>
      </c>
      <c r="CF227" s="72">
        <v>114</v>
      </c>
      <c r="CG227" s="72">
        <v>114</v>
      </c>
      <c r="CH227" s="72">
        <v>114</v>
      </c>
      <c r="CI227" s="72">
        <v>114</v>
      </c>
      <c r="CJ227" s="72">
        <v>114</v>
      </c>
      <c r="CK227" s="72">
        <v>114</v>
      </c>
      <c r="CL227" s="72">
        <v>114</v>
      </c>
      <c r="CM227" s="72">
        <v>114</v>
      </c>
      <c r="CN227" s="72">
        <v>114</v>
      </c>
      <c r="CO227" s="72">
        <v>114</v>
      </c>
      <c r="CP227" s="72">
        <v>114</v>
      </c>
      <c r="CQ227" s="72">
        <v>114</v>
      </c>
      <c r="CR227" s="72">
        <v>114</v>
      </c>
      <c r="CS227" s="72">
        <v>114</v>
      </c>
      <c r="CT227" s="72">
        <v>114</v>
      </c>
      <c r="CU227" s="72">
        <v>114</v>
      </c>
      <c r="CV227" s="72">
        <v>114</v>
      </c>
      <c r="CW227" s="72">
        <v>114</v>
      </c>
      <c r="CX227" s="72">
        <v>114</v>
      </c>
      <c r="CY227" s="72">
        <v>114</v>
      </c>
      <c r="CZ227" s="72">
        <v>114</v>
      </c>
      <c r="DA227" s="72">
        <v>114</v>
      </c>
      <c r="DB227" s="72">
        <v>114</v>
      </c>
      <c r="DC227" s="72">
        <v>114</v>
      </c>
      <c r="DD227" s="72">
        <v>114</v>
      </c>
      <c r="DE227" s="72">
        <v>114</v>
      </c>
      <c r="DF227" s="72">
        <v>114</v>
      </c>
      <c r="DG227" s="72">
        <v>114</v>
      </c>
      <c r="DH227" s="72">
        <v>114</v>
      </c>
      <c r="DI227" s="72">
        <v>114</v>
      </c>
      <c r="DJ227" s="72">
        <v>114</v>
      </c>
      <c r="DK227" s="72">
        <v>114</v>
      </c>
      <c r="DL227" s="72">
        <v>114</v>
      </c>
      <c r="DM227" s="72">
        <v>114</v>
      </c>
    </row>
    <row r="228" spans="1:117" x14ac:dyDescent="0.35">
      <c r="A228" s="7"/>
      <c r="B228" s="26" t="s">
        <v>427</v>
      </c>
      <c r="C228" s="27" t="s">
        <v>428</v>
      </c>
      <c r="D228" s="28" t="s">
        <v>92</v>
      </c>
      <c r="E228" s="26" t="s">
        <v>1207</v>
      </c>
      <c r="F228" s="10">
        <v>1006</v>
      </c>
      <c r="G228" s="28" t="s">
        <v>92</v>
      </c>
      <c r="H228" s="28" t="s">
        <v>41</v>
      </c>
      <c r="I228" s="29">
        <v>23</v>
      </c>
      <c r="J228" s="10">
        <v>1</v>
      </c>
      <c r="K228" s="10"/>
      <c r="L228" s="8" t="s">
        <v>429</v>
      </c>
      <c r="M228" s="12">
        <v>16.25</v>
      </c>
      <c r="N228" s="12">
        <f t="shared" si="5"/>
        <v>0</v>
      </c>
      <c r="O228" s="29">
        <v>65</v>
      </c>
      <c r="P228" s="29">
        <v>65</v>
      </c>
      <c r="Q228" s="29">
        <v>65</v>
      </c>
      <c r="R228" s="29">
        <v>62</v>
      </c>
      <c r="S228" s="29">
        <v>58</v>
      </c>
      <c r="T228" s="29">
        <v>49</v>
      </c>
      <c r="U228" s="29">
        <v>49</v>
      </c>
      <c r="V228" s="29">
        <v>50</v>
      </c>
      <c r="W228" s="29">
        <v>50</v>
      </c>
      <c r="X228" s="29">
        <v>48</v>
      </c>
      <c r="Y228" s="29">
        <v>48</v>
      </c>
      <c r="Z228" s="29">
        <v>48</v>
      </c>
      <c r="AA228" s="29">
        <v>48</v>
      </c>
      <c r="AB228" s="29">
        <v>48</v>
      </c>
      <c r="AC228" s="29">
        <v>48</v>
      </c>
      <c r="AD228" s="29">
        <v>48</v>
      </c>
      <c r="AE228" s="29">
        <v>28</v>
      </c>
      <c r="AF228" s="29">
        <v>28</v>
      </c>
      <c r="AG228" s="29">
        <v>23</v>
      </c>
      <c r="AH228" s="29">
        <v>23</v>
      </c>
      <c r="AI228" s="29">
        <v>23</v>
      </c>
      <c r="AJ228" s="29">
        <v>23</v>
      </c>
      <c r="AK228" s="29">
        <v>22</v>
      </c>
      <c r="AL228" s="29">
        <v>22</v>
      </c>
      <c r="AM228" s="29">
        <v>22</v>
      </c>
      <c r="AN228" s="75">
        <v>22</v>
      </c>
      <c r="AO228" s="75">
        <v>22</v>
      </c>
      <c r="AP228" s="75">
        <v>22</v>
      </c>
      <c r="AQ228" s="75">
        <v>22</v>
      </c>
      <c r="AR228" s="75">
        <v>22</v>
      </c>
      <c r="AS228" s="75">
        <v>22</v>
      </c>
      <c r="AT228" s="75">
        <v>22</v>
      </c>
      <c r="AU228" s="75">
        <v>22</v>
      </c>
      <c r="AV228" s="75">
        <v>22</v>
      </c>
      <c r="AW228" s="75">
        <v>22</v>
      </c>
      <c r="AX228" s="75">
        <v>22</v>
      </c>
      <c r="AY228" s="75">
        <v>22</v>
      </c>
      <c r="AZ228" s="75">
        <v>22</v>
      </c>
      <c r="BA228" s="75">
        <v>22</v>
      </c>
      <c r="BB228" s="75">
        <v>18</v>
      </c>
      <c r="BC228" s="75">
        <v>18</v>
      </c>
      <c r="BD228" s="75">
        <v>16</v>
      </c>
      <c r="BE228" s="75">
        <v>16</v>
      </c>
      <c r="BF228" s="75">
        <v>16</v>
      </c>
      <c r="BG228" s="75">
        <v>16</v>
      </c>
      <c r="BH228" s="75">
        <v>22</v>
      </c>
      <c r="BI228" s="75">
        <v>22</v>
      </c>
      <c r="BJ228" s="75">
        <v>22</v>
      </c>
      <c r="BK228" s="75">
        <v>22</v>
      </c>
      <c r="BL228" s="75">
        <v>22</v>
      </c>
      <c r="BM228" s="75">
        <v>12</v>
      </c>
      <c r="BN228" s="75">
        <v>12</v>
      </c>
      <c r="BO228" s="75">
        <v>12</v>
      </c>
      <c r="BP228" s="75">
        <v>12</v>
      </c>
      <c r="BQ228" s="75">
        <v>12</v>
      </c>
      <c r="BR228" s="75">
        <v>6</v>
      </c>
      <c r="BS228" s="75">
        <v>5</v>
      </c>
      <c r="BT228" s="75">
        <v>5</v>
      </c>
      <c r="BU228" s="75">
        <v>5</v>
      </c>
      <c r="BV228" s="75">
        <v>5</v>
      </c>
      <c r="BW228" s="75">
        <v>5</v>
      </c>
      <c r="BX228" s="75">
        <v>5</v>
      </c>
      <c r="BY228" s="75">
        <v>5</v>
      </c>
      <c r="BZ228" s="75">
        <v>0</v>
      </c>
      <c r="CA228" s="75">
        <v>0</v>
      </c>
      <c r="CB228" s="75">
        <v>0</v>
      </c>
      <c r="CC228" s="75">
        <v>0</v>
      </c>
      <c r="CD228" s="75">
        <v>0</v>
      </c>
      <c r="CE228" s="75">
        <v>0</v>
      </c>
      <c r="CF228" s="75">
        <v>0</v>
      </c>
      <c r="CG228" s="75">
        <v>0</v>
      </c>
      <c r="CH228" s="75">
        <v>0</v>
      </c>
      <c r="CI228" s="75">
        <v>0</v>
      </c>
      <c r="CJ228" s="75">
        <v>0</v>
      </c>
      <c r="CK228" s="75">
        <v>0</v>
      </c>
      <c r="CL228" s="75">
        <v>0</v>
      </c>
      <c r="CM228" s="75">
        <v>0</v>
      </c>
      <c r="CN228" s="75">
        <v>0</v>
      </c>
      <c r="CO228" s="75">
        <v>0</v>
      </c>
      <c r="CP228" s="75">
        <v>0</v>
      </c>
      <c r="CQ228" s="75">
        <v>0</v>
      </c>
      <c r="CR228" s="75">
        <v>0</v>
      </c>
      <c r="CS228" s="75">
        <v>0</v>
      </c>
      <c r="CT228" s="75">
        <v>0</v>
      </c>
      <c r="CU228" s="75">
        <v>0</v>
      </c>
      <c r="CV228" s="75">
        <v>0</v>
      </c>
      <c r="CW228" s="75">
        <v>0</v>
      </c>
      <c r="CX228" s="75">
        <v>0</v>
      </c>
      <c r="CY228" s="75">
        <v>0</v>
      </c>
      <c r="CZ228" s="75">
        <v>0</v>
      </c>
      <c r="DA228" s="75">
        <v>0</v>
      </c>
      <c r="DB228" s="75">
        <v>0</v>
      </c>
      <c r="DC228" s="75">
        <v>0</v>
      </c>
      <c r="DD228" s="75">
        <v>0</v>
      </c>
      <c r="DE228" s="75">
        <v>0</v>
      </c>
      <c r="DF228" s="75">
        <v>0</v>
      </c>
      <c r="DG228" s="75">
        <v>0</v>
      </c>
      <c r="DH228" s="75">
        <v>0</v>
      </c>
      <c r="DI228" s="75">
        <v>0</v>
      </c>
      <c r="DJ228" s="75">
        <v>0</v>
      </c>
      <c r="DK228" s="75">
        <v>0</v>
      </c>
      <c r="DL228" s="75">
        <v>0</v>
      </c>
      <c r="DM228" s="75">
        <v>0</v>
      </c>
    </row>
    <row r="229" spans="1:117" x14ac:dyDescent="0.35">
      <c r="A229" s="7"/>
      <c r="B229" s="26" t="s">
        <v>430</v>
      </c>
      <c r="C229" s="94" t="s">
        <v>1343</v>
      </c>
      <c r="D229" s="28" t="s">
        <v>92</v>
      </c>
      <c r="E229" s="26" t="s">
        <v>1207</v>
      </c>
      <c r="F229" s="10">
        <v>1006</v>
      </c>
      <c r="G229" s="28" t="s">
        <v>92</v>
      </c>
      <c r="H229" s="28" t="s">
        <v>41</v>
      </c>
      <c r="I229" s="29">
        <v>24</v>
      </c>
      <c r="J229" s="10"/>
      <c r="K229" s="10"/>
      <c r="L229" s="8"/>
      <c r="M229" s="12">
        <v>60</v>
      </c>
      <c r="N229" s="12">
        <f t="shared" si="5"/>
        <v>600</v>
      </c>
      <c r="O229" s="29">
        <v>24</v>
      </c>
      <c r="P229" s="29">
        <v>24</v>
      </c>
      <c r="Q229" s="29">
        <v>24</v>
      </c>
      <c r="R229" s="29">
        <v>24</v>
      </c>
      <c r="S229" s="29">
        <v>24</v>
      </c>
      <c r="T229" s="29">
        <v>24</v>
      </c>
      <c r="U229" s="29">
        <v>24</v>
      </c>
      <c r="V229" s="29">
        <v>24</v>
      </c>
      <c r="W229" s="29">
        <v>24</v>
      </c>
      <c r="X229" s="29">
        <v>24</v>
      </c>
      <c r="Y229" s="29">
        <v>24</v>
      </c>
      <c r="Z229" s="29">
        <v>24</v>
      </c>
      <c r="AA229" s="29">
        <v>24</v>
      </c>
      <c r="AB229" s="29">
        <v>24</v>
      </c>
      <c r="AC229" s="29">
        <v>24</v>
      </c>
      <c r="AD229" s="29">
        <v>24</v>
      </c>
      <c r="AE229" s="29">
        <v>24</v>
      </c>
      <c r="AF229" s="29">
        <v>24</v>
      </c>
      <c r="AG229" s="29">
        <v>24</v>
      </c>
      <c r="AH229" s="29">
        <v>24</v>
      </c>
      <c r="AI229" s="29">
        <v>24</v>
      </c>
      <c r="AJ229" s="29">
        <v>24</v>
      </c>
      <c r="AK229" s="29">
        <v>24</v>
      </c>
      <c r="AL229" s="29">
        <v>23</v>
      </c>
      <c r="AM229" s="29">
        <v>23</v>
      </c>
      <c r="AN229" s="75">
        <v>23</v>
      </c>
      <c r="AO229" s="75">
        <v>23</v>
      </c>
      <c r="AP229" s="75">
        <v>37</v>
      </c>
      <c r="AQ229" s="75">
        <v>35</v>
      </c>
      <c r="AR229" s="75">
        <v>35</v>
      </c>
      <c r="AS229" s="75">
        <v>35</v>
      </c>
      <c r="AT229" s="75">
        <v>35</v>
      </c>
      <c r="AU229" s="75">
        <v>35</v>
      </c>
      <c r="AV229" s="75">
        <v>35</v>
      </c>
      <c r="AW229" s="75">
        <v>33</v>
      </c>
      <c r="AX229" s="75">
        <v>33</v>
      </c>
      <c r="AY229" s="75">
        <v>33</v>
      </c>
      <c r="AZ229" s="75">
        <v>33</v>
      </c>
      <c r="BA229" s="75">
        <v>33</v>
      </c>
      <c r="BB229" s="75">
        <v>27</v>
      </c>
      <c r="BC229" s="75">
        <v>27</v>
      </c>
      <c r="BD229" s="75">
        <v>27</v>
      </c>
      <c r="BE229" s="75">
        <v>27</v>
      </c>
      <c r="BF229" s="75">
        <v>27</v>
      </c>
      <c r="BG229" s="75">
        <v>27</v>
      </c>
      <c r="BH229" s="75">
        <v>33</v>
      </c>
      <c r="BI229" s="75">
        <v>33</v>
      </c>
      <c r="BJ229" s="75">
        <v>33</v>
      </c>
      <c r="BK229" s="75">
        <v>33</v>
      </c>
      <c r="BL229" s="75">
        <v>33</v>
      </c>
      <c r="BM229" s="75">
        <v>33</v>
      </c>
      <c r="BN229" s="75">
        <v>33</v>
      </c>
      <c r="BO229" s="75">
        <v>33</v>
      </c>
      <c r="BP229" s="75">
        <v>33</v>
      </c>
      <c r="BQ229" s="75">
        <v>33</v>
      </c>
      <c r="BR229" s="75">
        <v>33</v>
      </c>
      <c r="BS229" s="75">
        <v>33</v>
      </c>
      <c r="BT229" s="75">
        <v>33</v>
      </c>
      <c r="BU229" s="75">
        <v>33</v>
      </c>
      <c r="BV229" s="75">
        <v>33</v>
      </c>
      <c r="BW229" s="75">
        <v>33</v>
      </c>
      <c r="BX229" s="75">
        <v>33</v>
      </c>
      <c r="BY229" s="75">
        <v>33</v>
      </c>
      <c r="BZ229" s="75">
        <v>33</v>
      </c>
      <c r="CA229" s="75">
        <v>33</v>
      </c>
      <c r="CB229" s="75">
        <v>33</v>
      </c>
      <c r="CC229" s="75">
        <v>33</v>
      </c>
      <c r="CD229" s="75">
        <v>33</v>
      </c>
      <c r="CE229" s="75">
        <v>33</v>
      </c>
      <c r="CF229" s="75">
        <v>33</v>
      </c>
      <c r="CG229" s="75">
        <v>33</v>
      </c>
      <c r="CH229" s="75">
        <v>33</v>
      </c>
      <c r="CI229" s="75">
        <v>31</v>
      </c>
      <c r="CJ229" s="75">
        <v>28</v>
      </c>
      <c r="CK229" s="75">
        <v>31</v>
      </c>
      <c r="CL229" s="75">
        <v>31</v>
      </c>
      <c r="CM229" s="75">
        <v>29</v>
      </c>
      <c r="CN229" s="75">
        <v>25</v>
      </c>
      <c r="CO229" s="75">
        <v>25</v>
      </c>
      <c r="CP229" s="75">
        <v>25</v>
      </c>
      <c r="CQ229" s="75">
        <v>25</v>
      </c>
      <c r="CR229" s="75">
        <v>25</v>
      </c>
      <c r="CS229" s="75">
        <v>25</v>
      </c>
      <c r="CT229" s="75">
        <v>25</v>
      </c>
      <c r="CU229" s="75">
        <v>25</v>
      </c>
      <c r="CV229" s="75">
        <v>25</v>
      </c>
      <c r="CW229" s="75">
        <v>25</v>
      </c>
      <c r="CX229" s="75">
        <v>25</v>
      </c>
      <c r="CY229" s="75">
        <v>9</v>
      </c>
      <c r="CZ229" s="75">
        <v>15</v>
      </c>
      <c r="DA229" s="75">
        <v>15</v>
      </c>
      <c r="DB229" s="75">
        <v>15</v>
      </c>
      <c r="DC229" s="75">
        <v>15</v>
      </c>
      <c r="DD229" s="75">
        <v>15</v>
      </c>
      <c r="DE229" s="75">
        <v>15</v>
      </c>
      <c r="DF229" s="75">
        <v>15</v>
      </c>
      <c r="DG229" s="75">
        <v>15</v>
      </c>
      <c r="DH229" s="75">
        <v>15</v>
      </c>
      <c r="DI229" s="75">
        <v>10</v>
      </c>
      <c r="DJ229" s="75">
        <v>10</v>
      </c>
      <c r="DK229" s="75">
        <v>10</v>
      </c>
      <c r="DL229" s="75">
        <v>10</v>
      </c>
      <c r="DM229" s="75">
        <v>10</v>
      </c>
    </row>
    <row r="230" spans="1:117" x14ac:dyDescent="0.35">
      <c r="A230" s="7"/>
      <c r="B230" s="8" t="s">
        <v>433</v>
      </c>
      <c r="C230" s="9" t="s">
        <v>1291</v>
      </c>
      <c r="D230" s="10" t="s">
        <v>92</v>
      </c>
      <c r="E230" s="8" t="s">
        <v>1207</v>
      </c>
      <c r="F230" s="10">
        <v>1006</v>
      </c>
      <c r="G230" s="10" t="s">
        <v>92</v>
      </c>
      <c r="H230" s="10" t="s">
        <v>41</v>
      </c>
      <c r="I230" s="11">
        <v>0</v>
      </c>
      <c r="J230" s="10"/>
      <c r="K230" s="10" t="s">
        <v>42</v>
      </c>
      <c r="L230" s="8"/>
      <c r="M230" s="12"/>
      <c r="N230" s="12">
        <f t="shared" si="5"/>
        <v>0</v>
      </c>
      <c r="O230" s="11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>
        <v>0</v>
      </c>
      <c r="AA230" s="11">
        <v>0</v>
      </c>
      <c r="AB230" s="11">
        <v>0</v>
      </c>
      <c r="AC230" s="11">
        <v>0</v>
      </c>
      <c r="AD230" s="11">
        <v>0</v>
      </c>
      <c r="AE230" s="11">
        <v>0</v>
      </c>
      <c r="AF230" s="11">
        <v>0</v>
      </c>
      <c r="AG230" s="11">
        <v>0</v>
      </c>
      <c r="AH230" s="11">
        <v>0</v>
      </c>
      <c r="AI230" s="11">
        <v>0</v>
      </c>
      <c r="AJ230" s="11">
        <v>0</v>
      </c>
      <c r="AK230" s="11">
        <v>0</v>
      </c>
      <c r="AL230" s="11">
        <v>0</v>
      </c>
      <c r="AM230" s="11">
        <v>0</v>
      </c>
      <c r="AN230" s="72">
        <v>0</v>
      </c>
      <c r="AO230" s="72">
        <v>0</v>
      </c>
      <c r="AP230" s="72">
        <v>0</v>
      </c>
      <c r="AQ230" s="72">
        <v>0</v>
      </c>
      <c r="AR230" s="72">
        <v>0</v>
      </c>
      <c r="AS230" s="72">
        <v>0</v>
      </c>
      <c r="AT230" s="72">
        <v>0</v>
      </c>
      <c r="AU230" s="72">
        <v>0</v>
      </c>
      <c r="AV230" s="72">
        <v>0</v>
      </c>
      <c r="AW230" s="72">
        <v>0</v>
      </c>
      <c r="AX230" s="72">
        <v>0</v>
      </c>
      <c r="AY230" s="72">
        <v>0</v>
      </c>
      <c r="AZ230" s="72">
        <v>0</v>
      </c>
      <c r="BA230" s="72">
        <v>0</v>
      </c>
      <c r="BB230" s="72">
        <v>0</v>
      </c>
      <c r="BC230" s="72">
        <v>0</v>
      </c>
      <c r="BD230" s="72">
        <v>0</v>
      </c>
      <c r="BE230" s="72">
        <v>0</v>
      </c>
      <c r="BF230" s="72">
        <v>0</v>
      </c>
      <c r="BG230" s="72">
        <v>0</v>
      </c>
      <c r="BH230" s="72">
        <v>0</v>
      </c>
      <c r="BI230" s="72">
        <v>0</v>
      </c>
      <c r="BJ230" s="72">
        <v>0</v>
      </c>
      <c r="BK230" s="72">
        <v>0</v>
      </c>
      <c r="BL230" s="72">
        <v>0</v>
      </c>
      <c r="BM230" s="72">
        <v>0</v>
      </c>
      <c r="BN230" s="72">
        <v>0</v>
      </c>
      <c r="BO230" s="72">
        <v>0</v>
      </c>
      <c r="BP230" s="72">
        <v>0</v>
      </c>
      <c r="BQ230" s="72">
        <v>0</v>
      </c>
      <c r="BR230" s="72">
        <v>0</v>
      </c>
      <c r="BS230" s="72">
        <v>0</v>
      </c>
      <c r="BT230" s="72">
        <v>0</v>
      </c>
      <c r="BU230" s="72">
        <v>0</v>
      </c>
      <c r="BV230" s="72">
        <v>0</v>
      </c>
      <c r="BW230" s="72">
        <v>0</v>
      </c>
      <c r="BX230" s="72">
        <v>0</v>
      </c>
      <c r="BY230" s="72">
        <v>0</v>
      </c>
      <c r="BZ230" s="72">
        <v>0</v>
      </c>
      <c r="CA230" s="72">
        <v>0</v>
      </c>
      <c r="CB230" s="72">
        <v>0</v>
      </c>
      <c r="CC230" s="72">
        <v>0</v>
      </c>
      <c r="CD230" s="72">
        <v>0</v>
      </c>
      <c r="CE230" s="72">
        <v>0</v>
      </c>
      <c r="CF230" s="72">
        <v>0</v>
      </c>
      <c r="CG230" s="72">
        <v>0</v>
      </c>
      <c r="CH230" s="72">
        <v>0</v>
      </c>
      <c r="CI230" s="72">
        <v>0</v>
      </c>
      <c r="CJ230" s="72">
        <v>0</v>
      </c>
      <c r="CK230" s="72">
        <v>0</v>
      </c>
      <c r="CL230" s="72">
        <v>0</v>
      </c>
      <c r="CM230" s="72">
        <v>0</v>
      </c>
      <c r="CN230" s="72">
        <v>0</v>
      </c>
      <c r="CO230" s="72">
        <v>0</v>
      </c>
      <c r="CP230" s="72">
        <v>0</v>
      </c>
      <c r="CQ230" s="72">
        <v>0</v>
      </c>
      <c r="CR230" s="72">
        <v>0</v>
      </c>
      <c r="CS230" s="72">
        <v>0</v>
      </c>
      <c r="CT230" s="72">
        <v>0</v>
      </c>
      <c r="CU230" s="72">
        <v>0</v>
      </c>
      <c r="CV230" s="72">
        <v>0</v>
      </c>
      <c r="CW230" s="72">
        <v>0</v>
      </c>
      <c r="CX230" s="72">
        <v>0</v>
      </c>
      <c r="CY230" s="72">
        <v>0</v>
      </c>
      <c r="CZ230" s="72">
        <v>0</v>
      </c>
      <c r="DA230" s="72">
        <v>0</v>
      </c>
      <c r="DB230" s="72">
        <v>0</v>
      </c>
      <c r="DC230" s="72">
        <v>0</v>
      </c>
      <c r="DD230" s="72">
        <v>0</v>
      </c>
      <c r="DE230" s="72">
        <v>0</v>
      </c>
      <c r="DF230" s="72">
        <v>0</v>
      </c>
      <c r="DG230" s="72">
        <v>0</v>
      </c>
      <c r="DH230" s="72">
        <v>0</v>
      </c>
      <c r="DI230" s="72">
        <v>0</v>
      </c>
      <c r="DJ230" s="72">
        <v>0</v>
      </c>
      <c r="DK230" s="72">
        <v>0</v>
      </c>
      <c r="DL230" s="72">
        <v>0</v>
      </c>
      <c r="DM230" s="72">
        <v>0</v>
      </c>
    </row>
    <row r="231" spans="1:117" x14ac:dyDescent="0.35">
      <c r="A231" s="7"/>
      <c r="B231" s="8" t="s">
        <v>431</v>
      </c>
      <c r="C231" s="9" t="s">
        <v>1292</v>
      </c>
      <c r="D231" s="10" t="s">
        <v>92</v>
      </c>
      <c r="E231" s="8" t="s">
        <v>1207</v>
      </c>
      <c r="F231" s="10">
        <v>1006</v>
      </c>
      <c r="G231" s="10" t="s">
        <v>92</v>
      </c>
      <c r="H231" s="10" t="s">
        <v>41</v>
      </c>
      <c r="I231" s="11">
        <v>0</v>
      </c>
      <c r="J231" s="10"/>
      <c r="K231" s="10" t="s">
        <v>432</v>
      </c>
      <c r="L231" s="8"/>
      <c r="M231" s="12"/>
      <c r="N231" s="12">
        <f t="shared" si="5"/>
        <v>0</v>
      </c>
      <c r="O231" s="11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>
        <v>0</v>
      </c>
      <c r="AA231" s="11">
        <v>0</v>
      </c>
      <c r="AB231" s="11">
        <v>0</v>
      </c>
      <c r="AC231" s="11">
        <v>0</v>
      </c>
      <c r="AD231" s="11">
        <v>0</v>
      </c>
      <c r="AE231" s="11">
        <v>0</v>
      </c>
      <c r="AF231" s="11">
        <v>0</v>
      </c>
      <c r="AG231" s="11">
        <v>0</v>
      </c>
      <c r="AH231" s="11">
        <v>0</v>
      </c>
      <c r="AI231" s="11">
        <v>0</v>
      </c>
      <c r="AJ231" s="11">
        <v>0</v>
      </c>
      <c r="AK231" s="11">
        <v>0</v>
      </c>
      <c r="AL231" s="11">
        <v>0</v>
      </c>
      <c r="AM231" s="11">
        <v>0</v>
      </c>
      <c r="AN231" s="72">
        <v>0</v>
      </c>
      <c r="AO231" s="72">
        <v>0</v>
      </c>
      <c r="AP231" s="72">
        <v>0</v>
      </c>
      <c r="AQ231" s="72">
        <v>0</v>
      </c>
      <c r="AR231" s="72">
        <v>0</v>
      </c>
      <c r="AS231" s="72">
        <v>0</v>
      </c>
      <c r="AT231" s="72">
        <v>0</v>
      </c>
      <c r="AU231" s="72">
        <v>0</v>
      </c>
      <c r="AV231" s="72">
        <v>0</v>
      </c>
      <c r="AW231" s="72">
        <v>0</v>
      </c>
      <c r="AX231" s="72">
        <v>0</v>
      </c>
      <c r="AY231" s="72">
        <v>0</v>
      </c>
      <c r="AZ231" s="72">
        <v>0</v>
      </c>
      <c r="BA231" s="72">
        <v>0</v>
      </c>
      <c r="BB231" s="72">
        <v>0</v>
      </c>
      <c r="BC231" s="72">
        <v>0</v>
      </c>
      <c r="BD231" s="72">
        <v>0</v>
      </c>
      <c r="BE231" s="72">
        <v>0</v>
      </c>
      <c r="BF231" s="72">
        <v>0</v>
      </c>
      <c r="BG231" s="72">
        <v>0</v>
      </c>
      <c r="BH231" s="72">
        <v>0</v>
      </c>
      <c r="BI231" s="72">
        <v>0</v>
      </c>
      <c r="BJ231" s="72">
        <v>0</v>
      </c>
      <c r="BK231" s="72">
        <v>0</v>
      </c>
      <c r="BL231" s="72">
        <v>0</v>
      </c>
      <c r="BM231" s="72">
        <v>0</v>
      </c>
      <c r="BN231" s="72">
        <v>0</v>
      </c>
      <c r="BO231" s="72">
        <v>0</v>
      </c>
      <c r="BP231" s="72">
        <v>0</v>
      </c>
      <c r="BQ231" s="72">
        <v>0</v>
      </c>
      <c r="BR231" s="72">
        <v>0</v>
      </c>
      <c r="BS231" s="72">
        <v>0</v>
      </c>
      <c r="BT231" s="72">
        <v>0</v>
      </c>
      <c r="BU231" s="72">
        <v>0</v>
      </c>
      <c r="BV231" s="72">
        <v>0</v>
      </c>
      <c r="BW231" s="72">
        <v>0</v>
      </c>
      <c r="BX231" s="72">
        <v>0</v>
      </c>
      <c r="BY231" s="72">
        <v>0</v>
      </c>
      <c r="BZ231" s="72">
        <v>0</v>
      </c>
      <c r="CA231" s="72">
        <v>0</v>
      </c>
      <c r="CB231" s="72">
        <v>0</v>
      </c>
      <c r="CC231" s="72">
        <v>0</v>
      </c>
      <c r="CD231" s="72">
        <v>0</v>
      </c>
      <c r="CE231" s="72">
        <v>0</v>
      </c>
      <c r="CF231" s="72">
        <v>0</v>
      </c>
      <c r="CG231" s="72">
        <v>0</v>
      </c>
      <c r="CH231" s="72">
        <v>0</v>
      </c>
      <c r="CI231" s="72">
        <v>0</v>
      </c>
      <c r="CJ231" s="72">
        <v>0</v>
      </c>
      <c r="CK231" s="72">
        <v>0</v>
      </c>
      <c r="CL231" s="72">
        <v>0</v>
      </c>
      <c r="CM231" s="72">
        <v>0</v>
      </c>
      <c r="CN231" s="72">
        <v>0</v>
      </c>
      <c r="CO231" s="72">
        <v>0</v>
      </c>
      <c r="CP231" s="72">
        <v>0</v>
      </c>
      <c r="CQ231" s="72">
        <v>0</v>
      </c>
      <c r="CR231" s="72">
        <v>0</v>
      </c>
      <c r="CS231" s="72">
        <v>0</v>
      </c>
      <c r="CT231" s="72">
        <v>0</v>
      </c>
      <c r="CU231" s="72">
        <v>0</v>
      </c>
      <c r="CV231" s="72">
        <v>0</v>
      </c>
      <c r="CW231" s="72">
        <v>0</v>
      </c>
      <c r="CX231" s="72">
        <v>0</v>
      </c>
      <c r="CY231" s="72">
        <v>0</v>
      </c>
      <c r="CZ231" s="72">
        <v>0</v>
      </c>
      <c r="DA231" s="72">
        <v>0</v>
      </c>
      <c r="DB231" s="72">
        <v>0</v>
      </c>
      <c r="DC231" s="72">
        <v>0</v>
      </c>
      <c r="DD231" s="72">
        <v>0</v>
      </c>
      <c r="DE231" s="72">
        <v>0</v>
      </c>
      <c r="DF231" s="72">
        <v>0</v>
      </c>
      <c r="DG231" s="72">
        <v>0</v>
      </c>
      <c r="DH231" s="72">
        <v>0</v>
      </c>
      <c r="DI231" s="72">
        <v>0</v>
      </c>
      <c r="DJ231" s="72">
        <v>0</v>
      </c>
      <c r="DK231" s="72">
        <v>0</v>
      </c>
      <c r="DL231" s="72">
        <v>0</v>
      </c>
      <c r="DM231" s="72">
        <v>0</v>
      </c>
    </row>
    <row r="232" spans="1:117" x14ac:dyDescent="0.35">
      <c r="A232" s="7"/>
      <c r="B232" s="33" t="s">
        <v>434</v>
      </c>
      <c r="C232" s="91" t="s">
        <v>1293</v>
      </c>
      <c r="D232" s="34" t="s">
        <v>92</v>
      </c>
      <c r="E232" s="33" t="s">
        <v>1207</v>
      </c>
      <c r="F232" s="23">
        <v>1006</v>
      </c>
      <c r="G232" s="34" t="s">
        <v>92</v>
      </c>
      <c r="H232" s="34" t="s">
        <v>41</v>
      </c>
      <c r="I232" s="29">
        <v>63</v>
      </c>
      <c r="J232" s="23"/>
      <c r="K232" s="10" t="s">
        <v>42</v>
      </c>
      <c r="L232" s="14" t="s">
        <v>435</v>
      </c>
      <c r="M232" s="12">
        <v>8.75</v>
      </c>
      <c r="N232" s="12">
        <f t="shared" si="5"/>
        <v>227.5</v>
      </c>
      <c r="O232" s="29">
        <v>54</v>
      </c>
      <c r="P232" s="29">
        <v>30</v>
      </c>
      <c r="Q232" s="29">
        <v>26</v>
      </c>
      <c r="R232" s="29">
        <v>12</v>
      </c>
      <c r="S232" s="29">
        <v>12</v>
      </c>
      <c r="T232" s="29">
        <v>6</v>
      </c>
      <c r="U232" s="29">
        <v>4</v>
      </c>
      <c r="V232" s="29">
        <v>8</v>
      </c>
      <c r="W232" s="29">
        <v>8</v>
      </c>
      <c r="X232" s="29">
        <v>6</v>
      </c>
      <c r="Y232" s="29">
        <v>2</v>
      </c>
      <c r="Z232" s="29">
        <v>1</v>
      </c>
      <c r="AA232" s="29">
        <v>1</v>
      </c>
      <c r="AB232" s="29">
        <v>165</v>
      </c>
      <c r="AC232" s="29">
        <v>136</v>
      </c>
      <c r="AD232" s="29">
        <v>136</v>
      </c>
      <c r="AE232" s="29">
        <v>110</v>
      </c>
      <c r="AF232" s="29">
        <v>108</v>
      </c>
      <c r="AG232" s="29">
        <v>101</v>
      </c>
      <c r="AH232" s="29">
        <v>69</v>
      </c>
      <c r="AI232" s="29">
        <v>65</v>
      </c>
      <c r="AJ232" s="29">
        <v>63</v>
      </c>
      <c r="AK232" s="29">
        <v>66</v>
      </c>
      <c r="AL232" s="29">
        <v>65</v>
      </c>
      <c r="AM232" s="29">
        <v>69</v>
      </c>
      <c r="AN232" s="75">
        <v>69</v>
      </c>
      <c r="AO232" s="75">
        <v>65</v>
      </c>
      <c r="AP232" s="75">
        <v>65</v>
      </c>
      <c r="AQ232" s="75">
        <v>65</v>
      </c>
      <c r="AR232" s="75">
        <v>60</v>
      </c>
      <c r="AS232" s="75">
        <v>60</v>
      </c>
      <c r="AT232" s="75">
        <v>54</v>
      </c>
      <c r="AU232" s="75">
        <v>54</v>
      </c>
      <c r="AV232" s="75">
        <v>52</v>
      </c>
      <c r="AW232" s="75">
        <v>5</v>
      </c>
      <c r="AX232" s="75">
        <v>5</v>
      </c>
      <c r="AY232" s="75">
        <v>100</v>
      </c>
      <c r="AZ232" s="75">
        <v>96</v>
      </c>
      <c r="BA232" s="75">
        <v>88</v>
      </c>
      <c r="BB232" s="75">
        <v>32</v>
      </c>
      <c r="BC232" s="75">
        <v>32</v>
      </c>
      <c r="BD232" s="75">
        <v>44</v>
      </c>
      <c r="BE232" s="75">
        <v>44</v>
      </c>
      <c r="BF232" s="75">
        <v>240</v>
      </c>
      <c r="BG232" s="75">
        <v>100</v>
      </c>
      <c r="BH232" s="75">
        <v>94</v>
      </c>
      <c r="BI232" s="75">
        <v>94</v>
      </c>
      <c r="BJ232" s="75">
        <v>94</v>
      </c>
      <c r="BK232" s="75">
        <v>5</v>
      </c>
      <c r="BL232" s="75">
        <v>5</v>
      </c>
      <c r="BM232" s="75">
        <v>5</v>
      </c>
      <c r="BN232" s="75">
        <v>11</v>
      </c>
      <c r="BO232" s="75">
        <v>11</v>
      </c>
      <c r="BP232" s="75">
        <v>111</v>
      </c>
      <c r="BQ232" s="75">
        <v>67</v>
      </c>
      <c r="BR232" s="75">
        <v>67</v>
      </c>
      <c r="BS232" s="75">
        <v>39</v>
      </c>
      <c r="BT232" s="75">
        <v>31</v>
      </c>
      <c r="BU232" s="75">
        <v>38</v>
      </c>
      <c r="BV232" s="75">
        <v>37</v>
      </c>
      <c r="BW232" s="75">
        <v>37</v>
      </c>
      <c r="BX232" s="75">
        <v>37</v>
      </c>
      <c r="BY232" s="75">
        <v>37</v>
      </c>
      <c r="BZ232" s="75">
        <v>37</v>
      </c>
      <c r="CA232" s="75">
        <v>37</v>
      </c>
      <c r="CB232" s="75">
        <v>37</v>
      </c>
      <c r="CC232" s="75">
        <v>37</v>
      </c>
      <c r="CD232" s="75">
        <v>37</v>
      </c>
      <c r="CE232" s="75">
        <v>37</v>
      </c>
      <c r="CF232" s="75">
        <v>37</v>
      </c>
      <c r="CG232" s="75">
        <v>37</v>
      </c>
      <c r="CH232" s="75">
        <v>37</v>
      </c>
      <c r="CI232" s="75">
        <v>37</v>
      </c>
      <c r="CJ232" s="75">
        <v>37</v>
      </c>
      <c r="CK232" s="75">
        <v>37</v>
      </c>
      <c r="CL232" s="75">
        <v>37</v>
      </c>
      <c r="CM232" s="75">
        <v>37</v>
      </c>
      <c r="CN232" s="75">
        <v>37</v>
      </c>
      <c r="CO232" s="75">
        <v>37</v>
      </c>
      <c r="CP232" s="75">
        <v>37</v>
      </c>
      <c r="CQ232" s="75">
        <v>37</v>
      </c>
      <c r="CR232" s="75">
        <v>37</v>
      </c>
      <c r="CS232" s="75">
        <v>37</v>
      </c>
      <c r="CT232" s="75">
        <v>37</v>
      </c>
      <c r="CU232" s="75">
        <v>37</v>
      </c>
      <c r="CV232" s="75">
        <v>37</v>
      </c>
      <c r="CW232" s="75">
        <v>37</v>
      </c>
      <c r="CX232" s="75">
        <v>37</v>
      </c>
      <c r="CY232" s="75">
        <v>37</v>
      </c>
      <c r="CZ232" s="75">
        <v>33</v>
      </c>
      <c r="DA232" s="75">
        <v>33</v>
      </c>
      <c r="DB232" s="75">
        <v>32</v>
      </c>
      <c r="DC232" s="75">
        <v>28</v>
      </c>
      <c r="DD232" s="75">
        <v>32</v>
      </c>
      <c r="DE232" s="75">
        <v>32</v>
      </c>
      <c r="DF232" s="75">
        <v>32</v>
      </c>
      <c r="DG232" s="75">
        <v>32</v>
      </c>
      <c r="DH232" s="75">
        <v>32</v>
      </c>
      <c r="DI232" s="75">
        <v>32</v>
      </c>
      <c r="DJ232" s="75">
        <v>32</v>
      </c>
      <c r="DK232" s="75">
        <v>26</v>
      </c>
      <c r="DL232" s="75">
        <v>26</v>
      </c>
      <c r="DM232" s="75">
        <v>26</v>
      </c>
    </row>
    <row r="233" spans="1:117" x14ac:dyDescent="0.35">
      <c r="A233" s="7"/>
      <c r="B233" s="33" t="s">
        <v>436</v>
      </c>
      <c r="C233" s="91" t="s">
        <v>1293</v>
      </c>
      <c r="D233" s="28" t="s">
        <v>92</v>
      </c>
      <c r="E233" s="26" t="s">
        <v>1207</v>
      </c>
      <c r="F233" s="10">
        <v>1006</v>
      </c>
      <c r="G233" s="28" t="s">
        <v>92</v>
      </c>
      <c r="H233" s="34" t="s">
        <v>41</v>
      </c>
      <c r="I233" s="29">
        <v>1</v>
      </c>
      <c r="J233" s="23"/>
      <c r="K233" s="10"/>
      <c r="L233" s="8"/>
      <c r="M233" s="12">
        <v>15.625</v>
      </c>
      <c r="N233" s="12">
        <f t="shared" si="5"/>
        <v>156.25</v>
      </c>
      <c r="O233" s="29">
        <v>50</v>
      </c>
      <c r="P233" s="29">
        <v>50</v>
      </c>
      <c r="Q233" s="29">
        <v>50</v>
      </c>
      <c r="R233" s="29">
        <v>50</v>
      </c>
      <c r="S233" s="29">
        <v>50</v>
      </c>
      <c r="T233" s="29">
        <v>22</v>
      </c>
      <c r="U233" s="29">
        <v>22</v>
      </c>
      <c r="V233" s="29">
        <v>22</v>
      </c>
      <c r="W233" s="29">
        <v>22</v>
      </c>
      <c r="X233" s="29">
        <v>17</v>
      </c>
      <c r="Y233" s="29">
        <v>17</v>
      </c>
      <c r="Z233" s="29">
        <v>17</v>
      </c>
      <c r="AA233" s="29">
        <v>17</v>
      </c>
      <c r="AB233" s="29">
        <v>67</v>
      </c>
      <c r="AC233" s="29">
        <v>63</v>
      </c>
      <c r="AD233" s="29">
        <v>63</v>
      </c>
      <c r="AE233" s="29">
        <v>57</v>
      </c>
      <c r="AF233" s="29">
        <v>5</v>
      </c>
      <c r="AG233" s="29">
        <v>5</v>
      </c>
      <c r="AH233" s="29">
        <v>5</v>
      </c>
      <c r="AI233" s="29">
        <v>5</v>
      </c>
      <c r="AJ233" s="29">
        <v>1</v>
      </c>
      <c r="AK233" s="29">
        <v>1</v>
      </c>
      <c r="AL233" s="29">
        <v>0</v>
      </c>
      <c r="AM233" s="29">
        <v>0</v>
      </c>
      <c r="AN233" s="75">
        <v>0</v>
      </c>
      <c r="AO233" s="75">
        <v>0</v>
      </c>
      <c r="AP233" s="75">
        <v>0</v>
      </c>
      <c r="AQ233" s="75">
        <v>0</v>
      </c>
      <c r="AR233" s="75">
        <v>0</v>
      </c>
      <c r="AS233" s="75">
        <v>0</v>
      </c>
      <c r="AT233" s="75">
        <v>0</v>
      </c>
      <c r="AU233" s="75">
        <v>0</v>
      </c>
      <c r="AV233" s="75">
        <v>0</v>
      </c>
      <c r="AW233" s="75">
        <v>0</v>
      </c>
      <c r="AX233" s="75">
        <v>0</v>
      </c>
      <c r="AY233" s="75">
        <v>50</v>
      </c>
      <c r="AZ233" s="75">
        <v>42</v>
      </c>
      <c r="BA233" s="75">
        <v>42</v>
      </c>
      <c r="BB233" s="75">
        <v>42</v>
      </c>
      <c r="BC233" s="75">
        <v>42</v>
      </c>
      <c r="BD233" s="75">
        <v>42</v>
      </c>
      <c r="BE233" s="75">
        <v>42</v>
      </c>
      <c r="BF233" s="75">
        <v>42</v>
      </c>
      <c r="BG233" s="75">
        <v>42</v>
      </c>
      <c r="BH233" s="75">
        <v>42</v>
      </c>
      <c r="BI233" s="75">
        <v>42</v>
      </c>
      <c r="BJ233" s="75">
        <v>42</v>
      </c>
      <c r="BK233" s="75">
        <v>42</v>
      </c>
      <c r="BL233" s="75">
        <v>42</v>
      </c>
      <c r="BM233" s="75">
        <v>42</v>
      </c>
      <c r="BN233" s="75">
        <v>42</v>
      </c>
      <c r="BO233" s="75">
        <v>42</v>
      </c>
      <c r="BP233" s="75">
        <v>42</v>
      </c>
      <c r="BQ233" s="75">
        <v>42</v>
      </c>
      <c r="BR233" s="75">
        <v>12</v>
      </c>
      <c r="BS233" s="75">
        <v>12</v>
      </c>
      <c r="BT233" s="75">
        <v>12</v>
      </c>
      <c r="BU233" s="75">
        <v>10</v>
      </c>
      <c r="BV233" s="75">
        <v>10</v>
      </c>
      <c r="BW233" s="75">
        <v>10</v>
      </c>
      <c r="BX233" s="75">
        <v>10</v>
      </c>
      <c r="BY233" s="75">
        <v>10</v>
      </c>
      <c r="BZ233" s="75">
        <v>10</v>
      </c>
      <c r="CA233" s="75">
        <v>10</v>
      </c>
      <c r="CB233" s="75">
        <v>10</v>
      </c>
      <c r="CC233" s="75">
        <v>10</v>
      </c>
      <c r="CD233" s="75">
        <v>10</v>
      </c>
      <c r="CE233" s="75">
        <v>10</v>
      </c>
      <c r="CF233" s="75">
        <v>10</v>
      </c>
      <c r="CG233" s="75">
        <v>10</v>
      </c>
      <c r="CH233" s="75">
        <v>10</v>
      </c>
      <c r="CI233" s="75">
        <v>10</v>
      </c>
      <c r="CJ233" s="75">
        <v>10</v>
      </c>
      <c r="CK233" s="75">
        <v>10</v>
      </c>
      <c r="CL233" s="75">
        <v>10</v>
      </c>
      <c r="CM233" s="75">
        <v>10</v>
      </c>
      <c r="CN233" s="75">
        <v>10</v>
      </c>
      <c r="CO233" s="75">
        <v>10</v>
      </c>
      <c r="CP233" s="75">
        <v>10</v>
      </c>
      <c r="CQ233" s="75">
        <v>10</v>
      </c>
      <c r="CR233" s="75">
        <v>10</v>
      </c>
      <c r="CS233" s="75">
        <v>10</v>
      </c>
      <c r="CT233" s="75">
        <v>10</v>
      </c>
      <c r="CU233" s="75">
        <v>10</v>
      </c>
      <c r="CV233" s="75">
        <v>10</v>
      </c>
      <c r="CW233" s="75">
        <v>10</v>
      </c>
      <c r="CX233" s="75">
        <v>10</v>
      </c>
      <c r="CY233" s="75">
        <v>10</v>
      </c>
      <c r="CZ233" s="75">
        <v>10</v>
      </c>
      <c r="DA233" s="75">
        <v>10</v>
      </c>
      <c r="DB233" s="75">
        <v>10</v>
      </c>
      <c r="DC233" s="75">
        <v>10</v>
      </c>
      <c r="DD233" s="75">
        <v>10</v>
      </c>
      <c r="DE233" s="75">
        <v>10</v>
      </c>
      <c r="DF233" s="75">
        <v>10</v>
      </c>
      <c r="DG233" s="75">
        <v>10</v>
      </c>
      <c r="DH233" s="75">
        <v>10</v>
      </c>
      <c r="DI233" s="75">
        <v>10</v>
      </c>
      <c r="DJ233" s="75">
        <v>10</v>
      </c>
      <c r="DK233" s="75">
        <v>10</v>
      </c>
      <c r="DL233" s="75">
        <v>10</v>
      </c>
      <c r="DM233" s="75">
        <v>10</v>
      </c>
    </row>
    <row r="234" spans="1:117" x14ac:dyDescent="0.35">
      <c r="A234" s="7"/>
      <c r="B234" s="33" t="s">
        <v>437</v>
      </c>
      <c r="C234" s="91" t="s">
        <v>1294</v>
      </c>
      <c r="D234" s="34" t="s">
        <v>92</v>
      </c>
      <c r="E234" s="33" t="s">
        <v>1207</v>
      </c>
      <c r="F234" s="23">
        <v>1006</v>
      </c>
      <c r="G234" s="34" t="s">
        <v>92</v>
      </c>
      <c r="H234" s="34" t="s">
        <v>41</v>
      </c>
      <c r="I234" s="29">
        <v>110</v>
      </c>
      <c r="J234" s="23"/>
      <c r="K234" s="10" t="s">
        <v>42</v>
      </c>
      <c r="L234" s="8"/>
      <c r="M234" s="12">
        <v>15</v>
      </c>
      <c r="N234" s="12">
        <f t="shared" si="5"/>
        <v>315</v>
      </c>
      <c r="O234" s="29">
        <v>198</v>
      </c>
      <c r="P234" s="29">
        <v>198</v>
      </c>
      <c r="Q234" s="29">
        <v>198</v>
      </c>
      <c r="R234" s="29">
        <v>172</v>
      </c>
      <c r="S234" s="29">
        <v>176</v>
      </c>
      <c r="T234" s="29">
        <v>162</v>
      </c>
      <c r="U234" s="29">
        <v>162</v>
      </c>
      <c r="V234" s="29">
        <v>162</v>
      </c>
      <c r="W234" s="29">
        <v>162</v>
      </c>
      <c r="X234" s="29">
        <v>162</v>
      </c>
      <c r="Y234" s="29">
        <v>152</v>
      </c>
      <c r="Z234" s="29">
        <v>152</v>
      </c>
      <c r="AA234" s="29">
        <v>152</v>
      </c>
      <c r="AB234" s="29">
        <v>152</v>
      </c>
      <c r="AC234" s="29">
        <v>152</v>
      </c>
      <c r="AD234" s="29">
        <v>152</v>
      </c>
      <c r="AE234" s="29">
        <v>152</v>
      </c>
      <c r="AF234" s="29">
        <v>108</v>
      </c>
      <c r="AG234" s="29">
        <v>108</v>
      </c>
      <c r="AH234" s="29">
        <v>108</v>
      </c>
      <c r="AI234" s="29">
        <v>110</v>
      </c>
      <c r="AJ234" s="29">
        <v>110</v>
      </c>
      <c r="AK234" s="29">
        <v>110</v>
      </c>
      <c r="AL234" s="29">
        <v>110</v>
      </c>
      <c r="AM234" s="29">
        <v>110</v>
      </c>
      <c r="AN234" s="75">
        <v>98</v>
      </c>
      <c r="AO234" s="75">
        <v>98</v>
      </c>
      <c r="AP234" s="75">
        <v>98</v>
      </c>
      <c r="AQ234" s="75">
        <v>98</v>
      </c>
      <c r="AR234" s="75">
        <v>98</v>
      </c>
      <c r="AS234" s="75">
        <v>98</v>
      </c>
      <c r="AT234" s="75">
        <v>98</v>
      </c>
      <c r="AU234" s="75">
        <v>78</v>
      </c>
      <c r="AV234" s="75">
        <v>78</v>
      </c>
      <c r="AW234" s="75">
        <v>68</v>
      </c>
      <c r="AX234" s="75">
        <v>68</v>
      </c>
      <c r="AY234" s="75">
        <v>68</v>
      </c>
      <c r="AZ234" s="75">
        <v>68</v>
      </c>
      <c r="BA234" s="75">
        <v>68</v>
      </c>
      <c r="BB234" s="75">
        <v>64</v>
      </c>
      <c r="BC234" s="75">
        <v>64</v>
      </c>
      <c r="BD234" s="75">
        <v>64</v>
      </c>
      <c r="BE234" s="75">
        <v>64</v>
      </c>
      <c r="BF234" s="75">
        <v>114</v>
      </c>
      <c r="BG234" s="75">
        <v>114</v>
      </c>
      <c r="BH234" s="75">
        <v>114</v>
      </c>
      <c r="BI234" s="75">
        <v>114</v>
      </c>
      <c r="BJ234" s="75">
        <v>114</v>
      </c>
      <c r="BK234" s="75">
        <v>50</v>
      </c>
      <c r="BL234" s="75">
        <v>50</v>
      </c>
      <c r="BM234" s="75">
        <v>50</v>
      </c>
      <c r="BN234" s="75">
        <v>14</v>
      </c>
      <c r="BO234" s="75">
        <v>1</v>
      </c>
      <c r="BP234" s="75">
        <v>1</v>
      </c>
      <c r="BQ234" s="75">
        <v>179</v>
      </c>
      <c r="BR234" s="75">
        <v>175</v>
      </c>
      <c r="BS234" s="75">
        <v>175</v>
      </c>
      <c r="BT234" s="75">
        <v>143</v>
      </c>
      <c r="BU234" s="75">
        <v>148</v>
      </c>
      <c r="BV234" s="75">
        <v>144</v>
      </c>
      <c r="BW234" s="75">
        <v>144</v>
      </c>
      <c r="BX234" s="75">
        <v>144</v>
      </c>
      <c r="BY234" s="75">
        <v>144</v>
      </c>
      <c r="BZ234" s="75">
        <v>144</v>
      </c>
      <c r="CA234" s="75">
        <v>142</v>
      </c>
      <c r="CB234" s="75">
        <v>142</v>
      </c>
      <c r="CC234" s="75">
        <v>142</v>
      </c>
      <c r="CD234" s="75">
        <v>142</v>
      </c>
      <c r="CE234" s="75">
        <v>142</v>
      </c>
      <c r="CF234" s="75">
        <v>142</v>
      </c>
      <c r="CG234" s="75">
        <v>92</v>
      </c>
      <c r="CH234" s="75">
        <v>92</v>
      </c>
      <c r="CI234" s="75">
        <v>85</v>
      </c>
      <c r="CJ234" s="75">
        <v>85</v>
      </c>
      <c r="CK234" s="75">
        <v>85</v>
      </c>
      <c r="CL234" s="75">
        <v>85</v>
      </c>
      <c r="CM234" s="75">
        <v>85</v>
      </c>
      <c r="CN234" s="75">
        <v>85</v>
      </c>
      <c r="CO234" s="75">
        <v>77</v>
      </c>
      <c r="CP234" s="75">
        <v>77</v>
      </c>
      <c r="CQ234" s="75">
        <v>77</v>
      </c>
      <c r="CR234" s="75">
        <v>77</v>
      </c>
      <c r="CS234" s="75">
        <v>77</v>
      </c>
      <c r="CT234" s="75">
        <v>77</v>
      </c>
      <c r="CU234" s="75">
        <v>77</v>
      </c>
      <c r="CV234" s="75">
        <v>65</v>
      </c>
      <c r="CW234" s="75">
        <v>65</v>
      </c>
      <c r="CX234" s="75">
        <v>55</v>
      </c>
      <c r="CY234" s="75">
        <v>35</v>
      </c>
      <c r="CZ234" s="75">
        <v>35</v>
      </c>
      <c r="DA234" s="75">
        <v>35</v>
      </c>
      <c r="DB234" s="75">
        <v>35</v>
      </c>
      <c r="DC234" s="75">
        <v>31</v>
      </c>
      <c r="DD234" s="75">
        <v>35</v>
      </c>
      <c r="DE234" s="75">
        <v>35</v>
      </c>
      <c r="DF234" s="75">
        <v>35</v>
      </c>
      <c r="DG234" s="75">
        <v>35</v>
      </c>
      <c r="DH234" s="75">
        <v>31</v>
      </c>
      <c r="DI234" s="75">
        <v>31</v>
      </c>
      <c r="DJ234" s="75">
        <v>31</v>
      </c>
      <c r="DK234" s="75">
        <v>21</v>
      </c>
      <c r="DL234" s="75">
        <v>21</v>
      </c>
      <c r="DM234" s="75">
        <v>21</v>
      </c>
    </row>
    <row r="235" spans="1:117" x14ac:dyDescent="0.35">
      <c r="A235" s="7"/>
      <c r="B235" s="79" t="s">
        <v>1281</v>
      </c>
      <c r="C235" s="32" t="s">
        <v>1294</v>
      </c>
      <c r="D235" s="10" t="s">
        <v>92</v>
      </c>
      <c r="E235" s="8" t="s">
        <v>1207</v>
      </c>
      <c r="F235" s="10"/>
      <c r="G235" s="23"/>
      <c r="H235" s="23" t="s">
        <v>41</v>
      </c>
      <c r="I235" s="11"/>
      <c r="J235" s="23"/>
      <c r="K235" s="10"/>
      <c r="L235" s="8"/>
      <c r="M235" s="12"/>
      <c r="N235" s="12">
        <f t="shared" si="5"/>
        <v>0</v>
      </c>
      <c r="O235" s="11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  <c r="AA235" s="11"/>
      <c r="AB235" s="11"/>
      <c r="AC235" s="11"/>
      <c r="AD235" s="11"/>
      <c r="AE235" s="11"/>
      <c r="AF235" s="11"/>
      <c r="AG235" s="11"/>
      <c r="AH235" s="11"/>
      <c r="AI235" s="11"/>
      <c r="AJ235" s="11"/>
      <c r="AK235" s="11"/>
      <c r="AL235" s="11"/>
      <c r="AM235" s="11"/>
      <c r="AN235" s="72"/>
      <c r="AO235" s="72"/>
      <c r="AP235" s="72"/>
      <c r="AQ235" s="72"/>
      <c r="AR235" s="72"/>
      <c r="AS235" s="72"/>
      <c r="AT235" s="72"/>
      <c r="AU235" s="72"/>
      <c r="AV235" s="72"/>
      <c r="AW235" s="72"/>
      <c r="AX235" s="72"/>
      <c r="AY235" s="72">
        <v>50</v>
      </c>
      <c r="AZ235" s="72">
        <v>50</v>
      </c>
      <c r="BA235" s="72">
        <v>50</v>
      </c>
      <c r="BB235" s="72">
        <v>50</v>
      </c>
      <c r="BC235" s="72">
        <v>50</v>
      </c>
      <c r="BD235" s="72">
        <v>50</v>
      </c>
      <c r="BE235" s="72">
        <v>30</v>
      </c>
      <c r="BF235" s="72">
        <v>30</v>
      </c>
      <c r="BG235" s="72">
        <v>30</v>
      </c>
      <c r="BH235" s="72">
        <v>30</v>
      </c>
      <c r="BI235" s="72">
        <v>30</v>
      </c>
      <c r="BJ235" s="72">
        <v>30</v>
      </c>
      <c r="BK235" s="72">
        <v>30</v>
      </c>
      <c r="BL235" s="72">
        <v>30</v>
      </c>
      <c r="BM235" s="72">
        <v>2</v>
      </c>
      <c r="BN235" s="72">
        <v>2</v>
      </c>
      <c r="BO235" s="72">
        <v>2</v>
      </c>
      <c r="BP235" s="72">
        <v>2</v>
      </c>
      <c r="BQ235" s="72">
        <v>0</v>
      </c>
      <c r="BR235" s="72">
        <v>0</v>
      </c>
      <c r="BS235" s="72">
        <v>0</v>
      </c>
      <c r="BT235" s="72">
        <v>0</v>
      </c>
      <c r="BU235" s="72">
        <v>0</v>
      </c>
      <c r="BV235" s="72">
        <v>0</v>
      </c>
      <c r="BW235" s="72">
        <v>0</v>
      </c>
      <c r="BX235" s="72">
        <v>0</v>
      </c>
      <c r="BY235" s="72">
        <v>0</v>
      </c>
      <c r="BZ235" s="72">
        <v>0</v>
      </c>
      <c r="CA235" s="72">
        <v>0</v>
      </c>
      <c r="CB235" s="72">
        <v>0</v>
      </c>
      <c r="CC235" s="72">
        <v>0</v>
      </c>
      <c r="CD235" s="72">
        <v>0</v>
      </c>
      <c r="CE235" s="72">
        <v>0</v>
      </c>
      <c r="CF235" s="72">
        <v>0</v>
      </c>
      <c r="CG235" s="72">
        <v>0</v>
      </c>
      <c r="CH235" s="72">
        <v>0</v>
      </c>
      <c r="CI235" s="72">
        <v>0</v>
      </c>
      <c r="CJ235" s="72">
        <v>0</v>
      </c>
      <c r="CK235" s="72">
        <v>0</v>
      </c>
      <c r="CL235" s="72">
        <v>0</v>
      </c>
      <c r="CM235" s="72">
        <v>0</v>
      </c>
      <c r="CN235" s="72">
        <v>0</v>
      </c>
      <c r="CO235" s="72">
        <v>0</v>
      </c>
      <c r="CP235" s="72">
        <v>0</v>
      </c>
      <c r="CQ235" s="72">
        <v>0</v>
      </c>
      <c r="CR235" s="72">
        <v>0</v>
      </c>
      <c r="CS235" s="72">
        <v>0</v>
      </c>
      <c r="CT235" s="72">
        <v>0</v>
      </c>
      <c r="CU235" s="72">
        <v>0</v>
      </c>
      <c r="CV235" s="72">
        <v>0</v>
      </c>
      <c r="CW235" s="72">
        <v>0</v>
      </c>
      <c r="CX235" s="72">
        <v>0</v>
      </c>
      <c r="CY235" s="72">
        <v>0</v>
      </c>
      <c r="CZ235" s="72">
        <v>0</v>
      </c>
      <c r="DA235" s="72">
        <v>0</v>
      </c>
      <c r="DB235" s="72">
        <v>0</v>
      </c>
      <c r="DC235" s="72">
        <v>0</v>
      </c>
      <c r="DD235" s="72">
        <v>0</v>
      </c>
      <c r="DE235" s="72">
        <v>0</v>
      </c>
      <c r="DF235" s="72">
        <v>0</v>
      </c>
      <c r="DG235" s="72">
        <v>0</v>
      </c>
      <c r="DH235" s="72">
        <v>0</v>
      </c>
      <c r="DI235" s="72">
        <v>0</v>
      </c>
      <c r="DJ235" s="72">
        <v>0</v>
      </c>
      <c r="DK235" s="72">
        <v>0</v>
      </c>
      <c r="DL235" s="72">
        <v>0</v>
      </c>
      <c r="DM235" s="72">
        <v>0</v>
      </c>
    </row>
    <row r="236" spans="1:117" x14ac:dyDescent="0.35">
      <c r="A236" s="7"/>
      <c r="B236" s="21" t="s">
        <v>438</v>
      </c>
      <c r="C236" s="32" t="s">
        <v>1295</v>
      </c>
      <c r="D236" s="10" t="s">
        <v>92</v>
      </c>
      <c r="E236" s="8" t="s">
        <v>1207</v>
      </c>
      <c r="F236" s="10">
        <v>1006</v>
      </c>
      <c r="G236" s="23" t="s">
        <v>92</v>
      </c>
      <c r="H236" s="23" t="s">
        <v>41</v>
      </c>
      <c r="I236" s="11">
        <v>50</v>
      </c>
      <c r="J236" s="23"/>
      <c r="K236" s="10"/>
      <c r="L236" s="8"/>
      <c r="M236" s="12">
        <v>30</v>
      </c>
      <c r="N236" s="12">
        <f t="shared" si="5"/>
        <v>1470</v>
      </c>
      <c r="O236" s="11">
        <v>50</v>
      </c>
      <c r="P236" s="11">
        <v>50</v>
      </c>
      <c r="Q236" s="11">
        <v>50</v>
      </c>
      <c r="R236" s="11">
        <v>50</v>
      </c>
      <c r="S236" s="11">
        <v>50</v>
      </c>
      <c r="T236" s="11">
        <v>50</v>
      </c>
      <c r="U236" s="11">
        <v>50</v>
      </c>
      <c r="V236" s="11">
        <v>50</v>
      </c>
      <c r="W236" s="11">
        <v>50</v>
      </c>
      <c r="X236" s="11">
        <v>50</v>
      </c>
      <c r="Y236" s="11">
        <v>50</v>
      </c>
      <c r="Z236" s="11">
        <v>50</v>
      </c>
      <c r="AA236" s="11">
        <v>50</v>
      </c>
      <c r="AB236" s="11">
        <v>50</v>
      </c>
      <c r="AC236" s="11">
        <v>50</v>
      </c>
      <c r="AD236" s="11">
        <v>50</v>
      </c>
      <c r="AE236" s="11">
        <v>50</v>
      </c>
      <c r="AF236" s="11">
        <v>50</v>
      </c>
      <c r="AG236" s="11">
        <v>50</v>
      </c>
      <c r="AH236" s="11">
        <v>50</v>
      </c>
      <c r="AI236" s="11">
        <v>50</v>
      </c>
      <c r="AJ236" s="11">
        <v>50</v>
      </c>
      <c r="AK236" s="11">
        <v>50</v>
      </c>
      <c r="AL236" s="11">
        <v>50</v>
      </c>
      <c r="AM236" s="11">
        <v>50</v>
      </c>
      <c r="AN236" s="72">
        <v>50</v>
      </c>
      <c r="AO236" s="72">
        <v>50</v>
      </c>
      <c r="AP236" s="72">
        <v>50</v>
      </c>
      <c r="AQ236" s="72">
        <v>50</v>
      </c>
      <c r="AR236" s="72">
        <v>50</v>
      </c>
      <c r="AS236" s="72">
        <v>50</v>
      </c>
      <c r="AT236" s="72">
        <v>50</v>
      </c>
      <c r="AU236" s="72">
        <v>50</v>
      </c>
      <c r="AV236" s="72">
        <v>50</v>
      </c>
      <c r="AW236" s="72">
        <v>50</v>
      </c>
      <c r="AX236" s="72">
        <v>50</v>
      </c>
      <c r="AY236" s="72">
        <v>50</v>
      </c>
      <c r="AZ236" s="72">
        <v>50</v>
      </c>
      <c r="BA236" s="72">
        <v>50</v>
      </c>
      <c r="BB236" s="72">
        <v>50</v>
      </c>
      <c r="BC236" s="72">
        <v>50</v>
      </c>
      <c r="BD236" s="72">
        <v>50</v>
      </c>
      <c r="BE236" s="72">
        <v>50</v>
      </c>
      <c r="BF236" s="72">
        <v>50</v>
      </c>
      <c r="BG236" s="72">
        <v>50</v>
      </c>
      <c r="BH236" s="72">
        <v>50</v>
      </c>
      <c r="BI236" s="72">
        <v>50</v>
      </c>
      <c r="BJ236" s="72">
        <v>50</v>
      </c>
      <c r="BK236" s="72">
        <v>50</v>
      </c>
      <c r="BL236" s="72">
        <v>50</v>
      </c>
      <c r="BM236" s="72">
        <v>50</v>
      </c>
      <c r="BN236" s="72">
        <v>50</v>
      </c>
      <c r="BO236" s="72">
        <v>50</v>
      </c>
      <c r="BP236" s="72">
        <v>50</v>
      </c>
      <c r="BQ236" s="72">
        <v>50</v>
      </c>
      <c r="BR236" s="72">
        <v>50</v>
      </c>
      <c r="BS236" s="72">
        <v>50</v>
      </c>
      <c r="BT236" s="72">
        <v>50</v>
      </c>
      <c r="BU236" s="72">
        <v>50</v>
      </c>
      <c r="BV236" s="72">
        <v>50</v>
      </c>
      <c r="BW236" s="72">
        <v>50</v>
      </c>
      <c r="BX236" s="72">
        <v>50</v>
      </c>
      <c r="BY236" s="72">
        <v>50</v>
      </c>
      <c r="BZ236" s="72">
        <v>50</v>
      </c>
      <c r="CA236" s="72">
        <v>50</v>
      </c>
      <c r="CB236" s="72">
        <v>50</v>
      </c>
      <c r="CC236" s="72">
        <v>50</v>
      </c>
      <c r="CD236" s="72">
        <v>50</v>
      </c>
      <c r="CE236" s="72">
        <v>50</v>
      </c>
      <c r="CF236" s="72">
        <v>50</v>
      </c>
      <c r="CG236" s="72">
        <v>50</v>
      </c>
      <c r="CH236" s="72">
        <v>50</v>
      </c>
      <c r="CI236" s="72">
        <v>50</v>
      </c>
      <c r="CJ236" s="72">
        <v>50</v>
      </c>
      <c r="CK236" s="72">
        <v>50</v>
      </c>
      <c r="CL236" s="72">
        <v>50</v>
      </c>
      <c r="CM236" s="72">
        <v>50</v>
      </c>
      <c r="CN236" s="72">
        <v>50</v>
      </c>
      <c r="CO236" s="72">
        <v>50</v>
      </c>
      <c r="CP236" s="72">
        <v>50</v>
      </c>
      <c r="CQ236" s="72">
        <v>50</v>
      </c>
      <c r="CR236" s="72">
        <v>50</v>
      </c>
      <c r="CS236" s="72">
        <v>50</v>
      </c>
      <c r="CT236" s="72">
        <v>50</v>
      </c>
      <c r="CU236" s="72">
        <v>50</v>
      </c>
      <c r="CV236" s="72">
        <v>50</v>
      </c>
      <c r="CW236" s="72">
        <v>50</v>
      </c>
      <c r="CX236" s="72">
        <v>50</v>
      </c>
      <c r="CY236" s="72">
        <v>50</v>
      </c>
      <c r="CZ236" s="72">
        <v>50</v>
      </c>
      <c r="DA236" s="72">
        <v>50</v>
      </c>
      <c r="DB236" s="72">
        <v>50</v>
      </c>
      <c r="DC236" s="72">
        <v>50</v>
      </c>
      <c r="DD236" s="72">
        <v>49</v>
      </c>
      <c r="DE236" s="72">
        <v>49</v>
      </c>
      <c r="DF236" s="72">
        <v>49</v>
      </c>
      <c r="DG236" s="72">
        <v>49</v>
      </c>
      <c r="DH236" s="72">
        <v>49</v>
      </c>
      <c r="DI236" s="72">
        <v>49</v>
      </c>
      <c r="DJ236" s="72">
        <v>49</v>
      </c>
      <c r="DK236" s="72">
        <v>49</v>
      </c>
      <c r="DL236" s="72">
        <v>49</v>
      </c>
      <c r="DM236" s="72">
        <v>49</v>
      </c>
    </row>
    <row r="237" spans="1:117" x14ac:dyDescent="0.35">
      <c r="A237" s="7"/>
      <c r="B237" s="8" t="s">
        <v>439</v>
      </c>
      <c r="C237" s="9" t="s">
        <v>440</v>
      </c>
      <c r="D237" s="10" t="s">
        <v>92</v>
      </c>
      <c r="E237" s="8" t="s">
        <v>1207</v>
      </c>
      <c r="F237" s="10">
        <v>1006</v>
      </c>
      <c r="G237" s="10" t="s">
        <v>92</v>
      </c>
      <c r="H237" s="10" t="s">
        <v>41</v>
      </c>
      <c r="I237" s="11">
        <v>21</v>
      </c>
      <c r="J237" s="10"/>
      <c r="K237" s="10" t="s">
        <v>42</v>
      </c>
      <c r="L237" s="8"/>
      <c r="M237" s="12">
        <v>23.75</v>
      </c>
      <c r="N237" s="12">
        <f t="shared" si="5"/>
        <v>498.75</v>
      </c>
      <c r="O237" s="11">
        <v>21</v>
      </c>
      <c r="P237" s="11">
        <v>21</v>
      </c>
      <c r="Q237" s="11">
        <v>21</v>
      </c>
      <c r="R237" s="11">
        <v>21</v>
      </c>
      <c r="S237" s="11">
        <v>21</v>
      </c>
      <c r="T237" s="11">
        <v>21</v>
      </c>
      <c r="U237" s="11">
        <v>21</v>
      </c>
      <c r="V237" s="11">
        <v>21</v>
      </c>
      <c r="W237" s="11">
        <v>21</v>
      </c>
      <c r="X237" s="11">
        <v>21</v>
      </c>
      <c r="Y237" s="11">
        <v>21</v>
      </c>
      <c r="Z237" s="11">
        <v>21</v>
      </c>
      <c r="AA237" s="11">
        <v>21</v>
      </c>
      <c r="AB237" s="11">
        <v>21</v>
      </c>
      <c r="AC237" s="11">
        <v>21</v>
      </c>
      <c r="AD237" s="11">
        <v>21</v>
      </c>
      <c r="AE237" s="11">
        <v>21</v>
      </c>
      <c r="AF237" s="11">
        <v>21</v>
      </c>
      <c r="AG237" s="11">
        <v>21</v>
      </c>
      <c r="AH237" s="11">
        <v>21</v>
      </c>
      <c r="AI237" s="11">
        <v>21</v>
      </c>
      <c r="AJ237" s="11">
        <v>21</v>
      </c>
      <c r="AK237" s="11">
        <v>21</v>
      </c>
      <c r="AL237" s="11">
        <v>21</v>
      </c>
      <c r="AM237" s="11">
        <v>21</v>
      </c>
      <c r="AN237" s="72">
        <v>21</v>
      </c>
      <c r="AO237" s="72">
        <v>21</v>
      </c>
      <c r="AP237" s="72">
        <v>21</v>
      </c>
      <c r="AQ237" s="72">
        <v>21</v>
      </c>
      <c r="AR237" s="72">
        <v>21</v>
      </c>
      <c r="AS237" s="72">
        <v>21</v>
      </c>
      <c r="AT237" s="72">
        <v>21</v>
      </c>
      <c r="AU237" s="72">
        <v>21</v>
      </c>
      <c r="AV237" s="72">
        <v>21</v>
      </c>
      <c r="AW237" s="72">
        <v>21</v>
      </c>
      <c r="AX237" s="72">
        <v>21</v>
      </c>
      <c r="AY237" s="72">
        <v>21</v>
      </c>
      <c r="AZ237" s="72">
        <v>21</v>
      </c>
      <c r="BA237" s="72">
        <v>21</v>
      </c>
      <c r="BB237" s="72">
        <v>21</v>
      </c>
      <c r="BC237" s="72">
        <v>21</v>
      </c>
      <c r="BD237" s="72">
        <v>21</v>
      </c>
      <c r="BE237" s="72">
        <v>21</v>
      </c>
      <c r="BF237" s="72">
        <v>21</v>
      </c>
      <c r="BG237" s="72">
        <v>21</v>
      </c>
      <c r="BH237" s="72">
        <v>21</v>
      </c>
      <c r="BI237" s="72">
        <v>21</v>
      </c>
      <c r="BJ237" s="72">
        <v>21</v>
      </c>
      <c r="BK237" s="72">
        <v>21</v>
      </c>
      <c r="BL237" s="72">
        <v>21</v>
      </c>
      <c r="BM237" s="72">
        <v>21</v>
      </c>
      <c r="BN237" s="72">
        <v>21</v>
      </c>
      <c r="BO237" s="72">
        <v>21</v>
      </c>
      <c r="BP237" s="72">
        <v>21</v>
      </c>
      <c r="BQ237" s="72">
        <v>21</v>
      </c>
      <c r="BR237" s="72">
        <v>21</v>
      </c>
      <c r="BS237" s="72">
        <v>21</v>
      </c>
      <c r="BT237" s="72">
        <v>21</v>
      </c>
      <c r="BU237" s="72">
        <v>21</v>
      </c>
      <c r="BV237" s="72">
        <v>21</v>
      </c>
      <c r="BW237" s="72">
        <v>21</v>
      </c>
      <c r="BX237" s="72">
        <v>21</v>
      </c>
      <c r="BY237" s="72">
        <v>21</v>
      </c>
      <c r="BZ237" s="72">
        <v>21</v>
      </c>
      <c r="CA237" s="72">
        <v>21</v>
      </c>
      <c r="CB237" s="72">
        <v>21</v>
      </c>
      <c r="CC237" s="72">
        <v>21</v>
      </c>
      <c r="CD237" s="72">
        <v>21</v>
      </c>
      <c r="CE237" s="72">
        <v>21</v>
      </c>
      <c r="CF237" s="72">
        <v>21</v>
      </c>
      <c r="CG237" s="72">
        <v>21</v>
      </c>
      <c r="CH237" s="72">
        <v>21</v>
      </c>
      <c r="CI237" s="72">
        <v>21</v>
      </c>
      <c r="CJ237" s="72">
        <v>21</v>
      </c>
      <c r="CK237" s="72">
        <v>21</v>
      </c>
      <c r="CL237" s="72">
        <v>21</v>
      </c>
      <c r="CM237" s="72">
        <v>21</v>
      </c>
      <c r="CN237" s="72">
        <v>21</v>
      </c>
      <c r="CO237" s="72">
        <v>21</v>
      </c>
      <c r="CP237" s="72">
        <v>21</v>
      </c>
      <c r="CQ237" s="72">
        <v>21</v>
      </c>
      <c r="CR237" s="72">
        <v>21</v>
      </c>
      <c r="CS237" s="72">
        <v>21</v>
      </c>
      <c r="CT237" s="72">
        <v>21</v>
      </c>
      <c r="CU237" s="72">
        <v>21</v>
      </c>
      <c r="CV237" s="72">
        <v>21</v>
      </c>
      <c r="CW237" s="72">
        <v>21</v>
      </c>
      <c r="CX237" s="72">
        <v>21</v>
      </c>
      <c r="CY237" s="72">
        <v>21</v>
      </c>
      <c r="CZ237" s="72">
        <v>21</v>
      </c>
      <c r="DA237" s="72">
        <v>21</v>
      </c>
      <c r="DB237" s="72">
        <v>21</v>
      </c>
      <c r="DC237" s="72">
        <v>21</v>
      </c>
      <c r="DD237" s="72">
        <v>21</v>
      </c>
      <c r="DE237" s="72">
        <v>21</v>
      </c>
      <c r="DF237" s="72">
        <v>21</v>
      </c>
      <c r="DG237" s="72">
        <v>21</v>
      </c>
      <c r="DH237" s="72">
        <v>21</v>
      </c>
      <c r="DI237" s="72">
        <v>21</v>
      </c>
      <c r="DJ237" s="72">
        <v>21</v>
      </c>
      <c r="DK237" s="72">
        <v>21</v>
      </c>
      <c r="DL237" s="72">
        <v>21</v>
      </c>
      <c r="DM237" s="72">
        <v>21</v>
      </c>
    </row>
    <row r="238" spans="1:117" x14ac:dyDescent="0.35">
      <c r="A238" s="7"/>
      <c r="B238" s="8" t="s">
        <v>441</v>
      </c>
      <c r="C238" s="9" t="s">
        <v>440</v>
      </c>
      <c r="D238" s="10" t="s">
        <v>92</v>
      </c>
      <c r="E238" s="8" t="s">
        <v>1207</v>
      </c>
      <c r="F238" s="10">
        <v>1006</v>
      </c>
      <c r="G238" s="10" t="s">
        <v>92</v>
      </c>
      <c r="H238" s="10" t="s">
        <v>41</v>
      </c>
      <c r="I238" s="11">
        <v>4</v>
      </c>
      <c r="J238" s="10"/>
      <c r="K238" s="10"/>
      <c r="L238" s="8"/>
      <c r="M238" s="12">
        <v>43.75</v>
      </c>
      <c r="N238" s="12">
        <f t="shared" si="5"/>
        <v>175</v>
      </c>
      <c r="O238" s="11">
        <v>4</v>
      </c>
      <c r="P238" s="11">
        <v>4</v>
      </c>
      <c r="Q238" s="11">
        <v>4</v>
      </c>
      <c r="R238" s="11">
        <v>4</v>
      </c>
      <c r="S238" s="11">
        <v>4</v>
      </c>
      <c r="T238" s="11">
        <v>4</v>
      </c>
      <c r="U238" s="11">
        <v>4</v>
      </c>
      <c r="V238" s="11">
        <v>4</v>
      </c>
      <c r="W238" s="11">
        <v>4</v>
      </c>
      <c r="X238" s="11">
        <v>4</v>
      </c>
      <c r="Y238" s="11">
        <v>4</v>
      </c>
      <c r="Z238" s="11">
        <v>4</v>
      </c>
      <c r="AA238" s="11">
        <v>4</v>
      </c>
      <c r="AB238" s="11">
        <v>4</v>
      </c>
      <c r="AC238" s="11">
        <v>4</v>
      </c>
      <c r="AD238" s="11">
        <v>4</v>
      </c>
      <c r="AE238" s="11">
        <v>4</v>
      </c>
      <c r="AF238" s="11">
        <v>4</v>
      </c>
      <c r="AG238" s="11">
        <v>4</v>
      </c>
      <c r="AH238" s="11">
        <v>4</v>
      </c>
      <c r="AI238" s="11">
        <v>4</v>
      </c>
      <c r="AJ238" s="11">
        <v>4</v>
      </c>
      <c r="AK238" s="11">
        <v>4</v>
      </c>
      <c r="AL238" s="11">
        <v>4</v>
      </c>
      <c r="AM238" s="11">
        <v>4</v>
      </c>
      <c r="AN238" s="72">
        <v>4</v>
      </c>
      <c r="AO238" s="72">
        <v>4</v>
      </c>
      <c r="AP238" s="72">
        <v>4</v>
      </c>
      <c r="AQ238" s="72">
        <v>4</v>
      </c>
      <c r="AR238" s="72">
        <v>4</v>
      </c>
      <c r="AS238" s="72">
        <v>4</v>
      </c>
      <c r="AT238" s="72">
        <v>4</v>
      </c>
      <c r="AU238" s="72">
        <v>4</v>
      </c>
      <c r="AV238" s="72">
        <v>4</v>
      </c>
      <c r="AW238" s="72">
        <v>4</v>
      </c>
      <c r="AX238" s="72">
        <v>4</v>
      </c>
      <c r="AY238" s="72">
        <v>4</v>
      </c>
      <c r="AZ238" s="72">
        <v>4</v>
      </c>
      <c r="BA238" s="72">
        <v>4</v>
      </c>
      <c r="BB238" s="72">
        <v>4</v>
      </c>
      <c r="BC238" s="72">
        <v>4</v>
      </c>
      <c r="BD238" s="72">
        <v>4</v>
      </c>
      <c r="BE238" s="72">
        <v>4</v>
      </c>
      <c r="BF238" s="72">
        <v>4</v>
      </c>
      <c r="BG238" s="72">
        <v>4</v>
      </c>
      <c r="BH238" s="72">
        <v>4</v>
      </c>
      <c r="BI238" s="72">
        <v>4</v>
      </c>
      <c r="BJ238" s="72">
        <v>4</v>
      </c>
      <c r="BK238" s="72">
        <v>4</v>
      </c>
      <c r="BL238" s="72">
        <v>4</v>
      </c>
      <c r="BM238" s="72">
        <v>4</v>
      </c>
      <c r="BN238" s="72">
        <v>4</v>
      </c>
      <c r="BO238" s="72">
        <v>4</v>
      </c>
      <c r="BP238" s="72">
        <v>4</v>
      </c>
      <c r="BQ238" s="72">
        <v>4</v>
      </c>
      <c r="BR238" s="72">
        <v>4</v>
      </c>
      <c r="BS238" s="72">
        <v>4</v>
      </c>
      <c r="BT238" s="72">
        <v>4</v>
      </c>
      <c r="BU238" s="72">
        <v>4</v>
      </c>
      <c r="BV238" s="72">
        <v>4</v>
      </c>
      <c r="BW238" s="72">
        <v>4</v>
      </c>
      <c r="BX238" s="72">
        <v>4</v>
      </c>
      <c r="BY238" s="72">
        <v>4</v>
      </c>
      <c r="BZ238" s="72">
        <v>4</v>
      </c>
      <c r="CA238" s="72">
        <v>4</v>
      </c>
      <c r="CB238" s="72">
        <v>4</v>
      </c>
      <c r="CC238" s="72">
        <v>4</v>
      </c>
      <c r="CD238" s="72">
        <v>4</v>
      </c>
      <c r="CE238" s="72">
        <v>4</v>
      </c>
      <c r="CF238" s="72">
        <v>4</v>
      </c>
      <c r="CG238" s="72">
        <v>4</v>
      </c>
      <c r="CH238" s="72">
        <v>4</v>
      </c>
      <c r="CI238" s="72">
        <v>4</v>
      </c>
      <c r="CJ238" s="72">
        <v>4</v>
      </c>
      <c r="CK238" s="72">
        <v>4</v>
      </c>
      <c r="CL238" s="72">
        <v>4</v>
      </c>
      <c r="CM238" s="72">
        <v>4</v>
      </c>
      <c r="CN238" s="72">
        <v>4</v>
      </c>
      <c r="CO238" s="72">
        <v>4</v>
      </c>
      <c r="CP238" s="72">
        <v>4</v>
      </c>
      <c r="CQ238" s="72">
        <v>4</v>
      </c>
      <c r="CR238" s="72">
        <v>4</v>
      </c>
      <c r="CS238" s="72">
        <v>4</v>
      </c>
      <c r="CT238" s="72">
        <v>4</v>
      </c>
      <c r="CU238" s="72">
        <v>4</v>
      </c>
      <c r="CV238" s="72">
        <v>4</v>
      </c>
      <c r="CW238" s="72">
        <v>4</v>
      </c>
      <c r="CX238" s="72">
        <v>64</v>
      </c>
      <c r="CY238" s="72">
        <v>4</v>
      </c>
      <c r="CZ238" s="72">
        <v>4</v>
      </c>
      <c r="DA238" s="72">
        <v>4</v>
      </c>
      <c r="DB238" s="72">
        <v>4</v>
      </c>
      <c r="DC238" s="72">
        <v>4</v>
      </c>
      <c r="DD238" s="72">
        <v>4</v>
      </c>
      <c r="DE238" s="72">
        <v>4</v>
      </c>
      <c r="DF238" s="72">
        <v>4</v>
      </c>
      <c r="DG238" s="72">
        <v>4</v>
      </c>
      <c r="DH238" s="72">
        <v>4</v>
      </c>
      <c r="DI238" s="72">
        <v>4</v>
      </c>
      <c r="DJ238" s="72">
        <v>4</v>
      </c>
      <c r="DK238" s="72">
        <v>4</v>
      </c>
      <c r="DL238" s="72">
        <v>4</v>
      </c>
      <c r="DM238" s="72">
        <v>4</v>
      </c>
    </row>
    <row r="239" spans="1:117" x14ac:dyDescent="0.35">
      <c r="A239" s="7"/>
      <c r="B239" s="8" t="s">
        <v>442</v>
      </c>
      <c r="C239" s="9" t="s">
        <v>443</v>
      </c>
      <c r="D239" s="10" t="s">
        <v>92</v>
      </c>
      <c r="E239" s="8" t="s">
        <v>1207</v>
      </c>
      <c r="F239" s="10">
        <v>1006</v>
      </c>
      <c r="G239" s="10" t="s">
        <v>92</v>
      </c>
      <c r="H239" s="10" t="s">
        <v>41</v>
      </c>
      <c r="I239" s="11">
        <v>30</v>
      </c>
      <c r="J239" s="10"/>
      <c r="K239" s="10" t="s">
        <v>42</v>
      </c>
      <c r="L239" s="8"/>
      <c r="M239" s="12">
        <v>23.75</v>
      </c>
      <c r="N239" s="12">
        <f t="shared" si="5"/>
        <v>712.5</v>
      </c>
      <c r="O239" s="11">
        <v>30</v>
      </c>
      <c r="P239" s="11">
        <v>30</v>
      </c>
      <c r="Q239" s="11">
        <v>30</v>
      </c>
      <c r="R239" s="11">
        <v>30</v>
      </c>
      <c r="S239" s="11">
        <v>30</v>
      </c>
      <c r="T239" s="11">
        <v>30</v>
      </c>
      <c r="U239" s="11">
        <v>30</v>
      </c>
      <c r="V239" s="11">
        <v>30</v>
      </c>
      <c r="W239" s="11">
        <v>30</v>
      </c>
      <c r="X239" s="11">
        <v>30</v>
      </c>
      <c r="Y239" s="11">
        <v>30</v>
      </c>
      <c r="Z239" s="11">
        <v>30</v>
      </c>
      <c r="AA239" s="11">
        <v>30</v>
      </c>
      <c r="AB239" s="11">
        <v>30</v>
      </c>
      <c r="AC239" s="11">
        <v>30</v>
      </c>
      <c r="AD239" s="11">
        <v>30</v>
      </c>
      <c r="AE239" s="11">
        <v>30</v>
      </c>
      <c r="AF239" s="11">
        <v>30</v>
      </c>
      <c r="AG239" s="11">
        <v>30</v>
      </c>
      <c r="AH239" s="11">
        <v>30</v>
      </c>
      <c r="AI239" s="11">
        <v>30</v>
      </c>
      <c r="AJ239" s="11">
        <v>30</v>
      </c>
      <c r="AK239" s="11">
        <v>30</v>
      </c>
      <c r="AL239" s="11">
        <v>30</v>
      </c>
      <c r="AM239" s="11">
        <v>30</v>
      </c>
      <c r="AN239" s="72">
        <v>30</v>
      </c>
      <c r="AO239" s="72">
        <v>30</v>
      </c>
      <c r="AP239" s="72">
        <v>30</v>
      </c>
      <c r="AQ239" s="72">
        <v>30</v>
      </c>
      <c r="AR239" s="72">
        <v>30</v>
      </c>
      <c r="AS239" s="72">
        <v>30</v>
      </c>
      <c r="AT239" s="72">
        <v>30</v>
      </c>
      <c r="AU239" s="72">
        <v>30</v>
      </c>
      <c r="AV239" s="72">
        <v>30</v>
      </c>
      <c r="AW239" s="72">
        <v>30</v>
      </c>
      <c r="AX239" s="72">
        <v>30</v>
      </c>
      <c r="AY239" s="72">
        <v>30</v>
      </c>
      <c r="AZ239" s="72">
        <v>30</v>
      </c>
      <c r="BA239" s="72">
        <v>30</v>
      </c>
      <c r="BB239" s="72">
        <v>30</v>
      </c>
      <c r="BC239" s="72">
        <v>30</v>
      </c>
      <c r="BD239" s="72">
        <v>30</v>
      </c>
      <c r="BE239" s="72">
        <v>30</v>
      </c>
      <c r="BF239" s="72">
        <v>30</v>
      </c>
      <c r="BG239" s="72">
        <v>30</v>
      </c>
      <c r="BH239" s="72">
        <v>30</v>
      </c>
      <c r="BI239" s="72">
        <v>30</v>
      </c>
      <c r="BJ239" s="72">
        <v>30</v>
      </c>
      <c r="BK239" s="72">
        <v>30</v>
      </c>
      <c r="BL239" s="72">
        <v>30</v>
      </c>
      <c r="BM239" s="72">
        <v>30</v>
      </c>
      <c r="BN239" s="72">
        <v>30</v>
      </c>
      <c r="BO239" s="72">
        <v>30</v>
      </c>
      <c r="BP239" s="72">
        <v>30</v>
      </c>
      <c r="BQ239" s="72">
        <v>30</v>
      </c>
      <c r="BR239" s="72">
        <v>30</v>
      </c>
      <c r="BS239" s="72">
        <v>30</v>
      </c>
      <c r="BT239" s="72">
        <v>30</v>
      </c>
      <c r="BU239" s="72">
        <v>30</v>
      </c>
      <c r="BV239" s="72">
        <v>30</v>
      </c>
      <c r="BW239" s="72">
        <v>30</v>
      </c>
      <c r="BX239" s="72">
        <v>30</v>
      </c>
      <c r="BY239" s="72">
        <v>30</v>
      </c>
      <c r="BZ239" s="72">
        <v>30</v>
      </c>
      <c r="CA239" s="72">
        <v>30</v>
      </c>
      <c r="CB239" s="72">
        <v>30</v>
      </c>
      <c r="CC239" s="72">
        <v>30</v>
      </c>
      <c r="CD239" s="72">
        <v>30</v>
      </c>
      <c r="CE239" s="72">
        <v>30</v>
      </c>
      <c r="CF239" s="72">
        <v>30</v>
      </c>
      <c r="CG239" s="72">
        <v>30</v>
      </c>
      <c r="CH239" s="72">
        <v>30</v>
      </c>
      <c r="CI239" s="72">
        <v>30</v>
      </c>
      <c r="CJ239" s="72">
        <v>30</v>
      </c>
      <c r="CK239" s="72">
        <v>30</v>
      </c>
      <c r="CL239" s="72">
        <v>30</v>
      </c>
      <c r="CM239" s="72">
        <v>30</v>
      </c>
      <c r="CN239" s="72">
        <v>30</v>
      </c>
      <c r="CO239" s="72">
        <v>30</v>
      </c>
      <c r="CP239" s="72">
        <v>30</v>
      </c>
      <c r="CQ239" s="72">
        <v>30</v>
      </c>
      <c r="CR239" s="72">
        <v>30</v>
      </c>
      <c r="CS239" s="72">
        <v>30</v>
      </c>
      <c r="CT239" s="72">
        <v>30</v>
      </c>
      <c r="CU239" s="72">
        <v>30</v>
      </c>
      <c r="CV239" s="72">
        <v>30</v>
      </c>
      <c r="CW239" s="72">
        <v>30</v>
      </c>
      <c r="CX239" s="72">
        <v>30</v>
      </c>
      <c r="CY239" s="72">
        <v>30</v>
      </c>
      <c r="CZ239" s="72">
        <v>30</v>
      </c>
      <c r="DA239" s="72">
        <v>30</v>
      </c>
      <c r="DB239" s="72">
        <v>30</v>
      </c>
      <c r="DC239" s="72">
        <v>30</v>
      </c>
      <c r="DD239" s="72">
        <v>30</v>
      </c>
      <c r="DE239" s="72">
        <v>30</v>
      </c>
      <c r="DF239" s="72">
        <v>30</v>
      </c>
      <c r="DG239" s="72">
        <v>30</v>
      </c>
      <c r="DH239" s="72">
        <v>30</v>
      </c>
      <c r="DI239" s="72">
        <v>30</v>
      </c>
      <c r="DJ239" s="72">
        <v>30</v>
      </c>
      <c r="DK239" s="72">
        <v>30</v>
      </c>
      <c r="DL239" s="72">
        <v>30</v>
      </c>
      <c r="DM239" s="72">
        <v>30</v>
      </c>
    </row>
    <row r="240" spans="1:117" x14ac:dyDescent="0.35">
      <c r="A240" s="7"/>
      <c r="B240" s="8" t="s">
        <v>444</v>
      </c>
      <c r="C240" s="9" t="s">
        <v>443</v>
      </c>
      <c r="D240" s="10" t="s">
        <v>92</v>
      </c>
      <c r="E240" s="8" t="s">
        <v>1207</v>
      </c>
      <c r="F240" s="10">
        <v>1006</v>
      </c>
      <c r="G240" s="10" t="s">
        <v>92</v>
      </c>
      <c r="H240" s="10" t="s">
        <v>41</v>
      </c>
      <c r="I240" s="11">
        <v>4</v>
      </c>
      <c r="J240" s="10"/>
      <c r="K240" s="10"/>
      <c r="L240" s="8"/>
      <c r="M240" s="12">
        <v>43.75</v>
      </c>
      <c r="N240" s="12">
        <f t="shared" si="5"/>
        <v>175</v>
      </c>
      <c r="O240" s="11">
        <v>4</v>
      </c>
      <c r="P240" s="11">
        <v>4</v>
      </c>
      <c r="Q240" s="11">
        <v>4</v>
      </c>
      <c r="R240" s="11">
        <v>4</v>
      </c>
      <c r="S240" s="11">
        <v>4</v>
      </c>
      <c r="T240" s="11">
        <v>4</v>
      </c>
      <c r="U240" s="11">
        <v>4</v>
      </c>
      <c r="V240" s="11">
        <v>4</v>
      </c>
      <c r="W240" s="11">
        <v>4</v>
      </c>
      <c r="X240" s="11">
        <v>4</v>
      </c>
      <c r="Y240" s="11">
        <v>4</v>
      </c>
      <c r="Z240" s="11">
        <v>4</v>
      </c>
      <c r="AA240" s="11">
        <v>4</v>
      </c>
      <c r="AB240" s="11">
        <v>4</v>
      </c>
      <c r="AC240" s="11">
        <v>4</v>
      </c>
      <c r="AD240" s="11">
        <v>4</v>
      </c>
      <c r="AE240" s="11">
        <v>4</v>
      </c>
      <c r="AF240" s="11">
        <v>4</v>
      </c>
      <c r="AG240" s="11">
        <v>4</v>
      </c>
      <c r="AH240" s="11">
        <v>4</v>
      </c>
      <c r="AI240" s="11">
        <v>4</v>
      </c>
      <c r="AJ240" s="11">
        <v>4</v>
      </c>
      <c r="AK240" s="11">
        <v>4</v>
      </c>
      <c r="AL240" s="11">
        <v>4</v>
      </c>
      <c r="AM240" s="11">
        <v>4</v>
      </c>
      <c r="AN240" s="72">
        <v>4</v>
      </c>
      <c r="AO240" s="72">
        <v>4</v>
      </c>
      <c r="AP240" s="72">
        <v>4</v>
      </c>
      <c r="AQ240" s="72">
        <v>4</v>
      </c>
      <c r="AR240" s="72">
        <v>4</v>
      </c>
      <c r="AS240" s="72">
        <v>4</v>
      </c>
      <c r="AT240" s="72">
        <v>4</v>
      </c>
      <c r="AU240" s="72">
        <v>4</v>
      </c>
      <c r="AV240" s="72">
        <v>4</v>
      </c>
      <c r="AW240" s="72">
        <v>4</v>
      </c>
      <c r="AX240" s="72">
        <v>4</v>
      </c>
      <c r="AY240" s="72">
        <v>4</v>
      </c>
      <c r="AZ240" s="72">
        <v>4</v>
      </c>
      <c r="BA240" s="72">
        <v>4</v>
      </c>
      <c r="BB240" s="72">
        <v>4</v>
      </c>
      <c r="BC240" s="72">
        <v>4</v>
      </c>
      <c r="BD240" s="72">
        <v>4</v>
      </c>
      <c r="BE240" s="72">
        <v>4</v>
      </c>
      <c r="BF240" s="72">
        <v>4</v>
      </c>
      <c r="BG240" s="72">
        <v>4</v>
      </c>
      <c r="BH240" s="72">
        <v>4</v>
      </c>
      <c r="BI240" s="72">
        <v>4</v>
      </c>
      <c r="BJ240" s="72">
        <v>4</v>
      </c>
      <c r="BK240" s="72">
        <v>4</v>
      </c>
      <c r="BL240" s="72">
        <v>4</v>
      </c>
      <c r="BM240" s="72">
        <v>4</v>
      </c>
      <c r="BN240" s="72">
        <v>4</v>
      </c>
      <c r="BO240" s="72">
        <v>4</v>
      </c>
      <c r="BP240" s="72">
        <v>4</v>
      </c>
      <c r="BQ240" s="72">
        <v>4</v>
      </c>
      <c r="BR240" s="72">
        <v>4</v>
      </c>
      <c r="BS240" s="72">
        <v>4</v>
      </c>
      <c r="BT240" s="72">
        <v>4</v>
      </c>
      <c r="BU240" s="72">
        <v>4</v>
      </c>
      <c r="BV240" s="72">
        <v>4</v>
      </c>
      <c r="BW240" s="72">
        <v>4</v>
      </c>
      <c r="BX240" s="72">
        <v>4</v>
      </c>
      <c r="BY240" s="72">
        <v>4</v>
      </c>
      <c r="BZ240" s="72">
        <v>4</v>
      </c>
      <c r="CA240" s="72">
        <v>4</v>
      </c>
      <c r="CB240" s="72">
        <v>4</v>
      </c>
      <c r="CC240" s="72">
        <v>4</v>
      </c>
      <c r="CD240" s="72">
        <v>4</v>
      </c>
      <c r="CE240" s="72">
        <v>4</v>
      </c>
      <c r="CF240" s="72">
        <v>4</v>
      </c>
      <c r="CG240" s="72">
        <v>4</v>
      </c>
      <c r="CH240" s="72">
        <v>4</v>
      </c>
      <c r="CI240" s="72">
        <v>4</v>
      </c>
      <c r="CJ240" s="72">
        <v>4</v>
      </c>
      <c r="CK240" s="72">
        <v>4</v>
      </c>
      <c r="CL240" s="72">
        <v>4</v>
      </c>
      <c r="CM240" s="72">
        <v>4</v>
      </c>
      <c r="CN240" s="72">
        <v>4</v>
      </c>
      <c r="CO240" s="72">
        <v>4</v>
      </c>
      <c r="CP240" s="72">
        <v>4</v>
      </c>
      <c r="CQ240" s="72">
        <v>4</v>
      </c>
      <c r="CR240" s="72">
        <v>4</v>
      </c>
      <c r="CS240" s="72">
        <v>4</v>
      </c>
      <c r="CT240" s="72">
        <v>4</v>
      </c>
      <c r="CU240" s="72">
        <v>4</v>
      </c>
      <c r="CV240" s="72">
        <v>4</v>
      </c>
      <c r="CW240" s="72">
        <v>4</v>
      </c>
      <c r="CX240" s="72">
        <v>64</v>
      </c>
      <c r="CY240" s="72">
        <v>4</v>
      </c>
      <c r="CZ240" s="72">
        <v>4</v>
      </c>
      <c r="DA240" s="72">
        <v>4</v>
      </c>
      <c r="DB240" s="72">
        <v>4</v>
      </c>
      <c r="DC240" s="72">
        <v>4</v>
      </c>
      <c r="DD240" s="72">
        <v>4</v>
      </c>
      <c r="DE240" s="72">
        <v>4</v>
      </c>
      <c r="DF240" s="72">
        <v>4</v>
      </c>
      <c r="DG240" s="72">
        <v>4</v>
      </c>
      <c r="DH240" s="72">
        <v>4</v>
      </c>
      <c r="DI240" s="72">
        <v>4</v>
      </c>
      <c r="DJ240" s="72">
        <v>4</v>
      </c>
      <c r="DK240" s="72">
        <v>4</v>
      </c>
      <c r="DL240" s="72">
        <v>4</v>
      </c>
      <c r="DM240" s="72">
        <v>4</v>
      </c>
    </row>
    <row r="241" spans="1:117" x14ac:dyDescent="0.35">
      <c r="A241" s="7"/>
      <c r="B241" s="77" t="s">
        <v>1282</v>
      </c>
      <c r="C241" s="78" t="s">
        <v>1296</v>
      </c>
      <c r="D241" s="10" t="s">
        <v>92</v>
      </c>
      <c r="E241" s="8" t="s">
        <v>1207</v>
      </c>
      <c r="F241" s="10"/>
      <c r="G241" s="10"/>
      <c r="H241" s="10" t="s">
        <v>41</v>
      </c>
      <c r="I241" s="11"/>
      <c r="J241" s="10"/>
      <c r="K241" s="10"/>
      <c r="L241" s="8"/>
      <c r="M241" s="12">
        <v>22.95</v>
      </c>
      <c r="N241" s="12">
        <f t="shared" si="5"/>
        <v>459</v>
      </c>
      <c r="O241" s="11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  <c r="AA241" s="11"/>
      <c r="AB241" s="11"/>
      <c r="AC241" s="11"/>
      <c r="AD241" s="11"/>
      <c r="AE241" s="11"/>
      <c r="AF241" s="11"/>
      <c r="AG241" s="11"/>
      <c r="AH241" s="11"/>
      <c r="AI241" s="11"/>
      <c r="AJ241" s="11"/>
      <c r="AK241" s="11"/>
      <c r="AL241" s="11"/>
      <c r="AM241" s="11"/>
      <c r="AN241" s="72"/>
      <c r="AO241" s="72"/>
      <c r="AP241" s="72"/>
      <c r="AQ241" s="72"/>
      <c r="AR241" s="72"/>
      <c r="AS241" s="72"/>
      <c r="AT241" s="72"/>
      <c r="AU241" s="72"/>
      <c r="AV241" s="72"/>
      <c r="AW241" s="72"/>
      <c r="AX241" s="72"/>
      <c r="AY241" s="72">
        <v>20</v>
      </c>
      <c r="AZ241" s="72">
        <v>20</v>
      </c>
      <c r="BA241" s="72">
        <v>20</v>
      </c>
      <c r="BB241" s="72">
        <v>20</v>
      </c>
      <c r="BC241" s="72">
        <v>20</v>
      </c>
      <c r="BD241" s="72">
        <v>20</v>
      </c>
      <c r="BE241" s="72">
        <v>20</v>
      </c>
      <c r="BF241" s="72">
        <v>20</v>
      </c>
      <c r="BG241" s="72">
        <v>20</v>
      </c>
      <c r="BH241" s="72">
        <v>20</v>
      </c>
      <c r="BI241" s="72">
        <v>20</v>
      </c>
      <c r="BJ241" s="72">
        <v>20</v>
      </c>
      <c r="BK241" s="72">
        <v>20</v>
      </c>
      <c r="BL241" s="72">
        <v>20</v>
      </c>
      <c r="BM241" s="72">
        <v>20</v>
      </c>
      <c r="BN241" s="72">
        <v>20</v>
      </c>
      <c r="BO241" s="72">
        <v>20</v>
      </c>
      <c r="BP241" s="72">
        <v>20</v>
      </c>
      <c r="BQ241" s="72">
        <v>20</v>
      </c>
      <c r="BR241" s="72">
        <v>20</v>
      </c>
      <c r="BS241" s="72">
        <v>20</v>
      </c>
      <c r="BT241" s="72">
        <v>20</v>
      </c>
      <c r="BU241" s="72">
        <v>20</v>
      </c>
      <c r="BV241" s="72">
        <v>20</v>
      </c>
      <c r="BW241" s="72">
        <v>20</v>
      </c>
      <c r="BX241" s="72">
        <v>20</v>
      </c>
      <c r="BY241" s="72">
        <v>20</v>
      </c>
      <c r="BZ241" s="72">
        <v>20</v>
      </c>
      <c r="CA241" s="72">
        <v>20</v>
      </c>
      <c r="CB241" s="72">
        <v>20</v>
      </c>
      <c r="CC241" s="72">
        <v>20</v>
      </c>
      <c r="CD241" s="72">
        <v>20</v>
      </c>
      <c r="CE241" s="72">
        <v>20</v>
      </c>
      <c r="CF241" s="72">
        <v>20</v>
      </c>
      <c r="CG241" s="72">
        <v>20</v>
      </c>
      <c r="CH241" s="72">
        <v>20</v>
      </c>
      <c r="CI241" s="72">
        <v>20</v>
      </c>
      <c r="CJ241" s="72">
        <v>20</v>
      </c>
      <c r="CK241" s="72">
        <v>20</v>
      </c>
      <c r="CL241" s="72">
        <v>20</v>
      </c>
      <c r="CM241" s="72">
        <v>20</v>
      </c>
      <c r="CN241" s="72">
        <v>20</v>
      </c>
      <c r="CO241" s="72">
        <v>20</v>
      </c>
      <c r="CP241" s="72">
        <v>20</v>
      </c>
      <c r="CQ241" s="72">
        <v>20</v>
      </c>
      <c r="CR241" s="72">
        <v>20</v>
      </c>
      <c r="CS241" s="72">
        <v>20</v>
      </c>
      <c r="CT241" s="72">
        <v>20</v>
      </c>
      <c r="CU241" s="72">
        <v>20</v>
      </c>
      <c r="CV241" s="72">
        <v>20</v>
      </c>
      <c r="CW241" s="72">
        <v>20</v>
      </c>
      <c r="CX241" s="72">
        <v>20</v>
      </c>
      <c r="CY241" s="72">
        <v>20</v>
      </c>
      <c r="CZ241" s="72">
        <v>20</v>
      </c>
      <c r="DA241" s="72">
        <v>20</v>
      </c>
      <c r="DB241" s="72">
        <v>20</v>
      </c>
      <c r="DC241" s="72">
        <v>20</v>
      </c>
      <c r="DD241" s="72">
        <v>20</v>
      </c>
      <c r="DE241" s="72">
        <v>20</v>
      </c>
      <c r="DF241" s="72">
        <v>20</v>
      </c>
      <c r="DG241" s="72">
        <v>20</v>
      </c>
      <c r="DH241" s="72">
        <v>20</v>
      </c>
      <c r="DI241" s="72">
        <v>20</v>
      </c>
      <c r="DJ241" s="72">
        <v>20</v>
      </c>
      <c r="DK241" s="72">
        <v>20</v>
      </c>
      <c r="DL241" s="72">
        <v>20</v>
      </c>
      <c r="DM241" s="72">
        <v>20</v>
      </c>
    </row>
    <row r="242" spans="1:117" x14ac:dyDescent="0.35">
      <c r="A242" s="7"/>
      <c r="B242" s="8" t="s">
        <v>445</v>
      </c>
      <c r="C242" s="78" t="s">
        <v>1297</v>
      </c>
      <c r="D242" s="10" t="s">
        <v>92</v>
      </c>
      <c r="E242" s="8" t="s">
        <v>1207</v>
      </c>
      <c r="F242" s="10">
        <v>1006</v>
      </c>
      <c r="G242" s="10" t="s">
        <v>92</v>
      </c>
      <c r="H242" s="10" t="s">
        <v>41</v>
      </c>
      <c r="I242" s="11">
        <v>39</v>
      </c>
      <c r="J242" s="10"/>
      <c r="K242" s="10" t="s">
        <v>42</v>
      </c>
      <c r="L242" s="8"/>
      <c r="M242" s="12">
        <v>42.5</v>
      </c>
      <c r="N242" s="12">
        <f t="shared" si="5"/>
        <v>1657.5</v>
      </c>
      <c r="O242" s="11">
        <v>39</v>
      </c>
      <c r="P242" s="11">
        <v>39</v>
      </c>
      <c r="Q242" s="11">
        <v>39</v>
      </c>
      <c r="R242" s="11">
        <v>39</v>
      </c>
      <c r="S242" s="11">
        <v>39</v>
      </c>
      <c r="T242" s="11">
        <v>39</v>
      </c>
      <c r="U242" s="11">
        <v>39</v>
      </c>
      <c r="V242" s="11">
        <v>39</v>
      </c>
      <c r="W242" s="11">
        <v>39</v>
      </c>
      <c r="X242" s="11">
        <v>39</v>
      </c>
      <c r="Y242" s="11">
        <v>39</v>
      </c>
      <c r="Z242" s="11">
        <v>39</v>
      </c>
      <c r="AA242" s="11">
        <v>39</v>
      </c>
      <c r="AB242" s="11">
        <v>39</v>
      </c>
      <c r="AC242" s="11">
        <v>39</v>
      </c>
      <c r="AD242" s="11">
        <v>39</v>
      </c>
      <c r="AE242" s="11">
        <v>39</v>
      </c>
      <c r="AF242" s="11">
        <v>39</v>
      </c>
      <c r="AG242" s="11">
        <v>39</v>
      </c>
      <c r="AH242" s="11">
        <v>39</v>
      </c>
      <c r="AI242" s="11">
        <v>39</v>
      </c>
      <c r="AJ242" s="11">
        <v>39</v>
      </c>
      <c r="AK242" s="11">
        <v>39</v>
      </c>
      <c r="AL242" s="11">
        <v>39</v>
      </c>
      <c r="AM242" s="11">
        <v>39</v>
      </c>
      <c r="AN242" s="72">
        <v>39</v>
      </c>
      <c r="AO242" s="72">
        <v>39</v>
      </c>
      <c r="AP242" s="72">
        <v>39</v>
      </c>
      <c r="AQ242" s="72">
        <v>39</v>
      </c>
      <c r="AR242" s="72">
        <v>39</v>
      </c>
      <c r="AS242" s="72">
        <v>39</v>
      </c>
      <c r="AT242" s="72">
        <v>39</v>
      </c>
      <c r="AU242" s="72">
        <v>39</v>
      </c>
      <c r="AV242" s="72">
        <v>39</v>
      </c>
      <c r="AW242" s="72">
        <v>39</v>
      </c>
      <c r="AX242" s="72">
        <v>39</v>
      </c>
      <c r="AY242" s="72">
        <v>39</v>
      </c>
      <c r="AZ242" s="72">
        <v>39</v>
      </c>
      <c r="BA242" s="72">
        <v>39</v>
      </c>
      <c r="BB242" s="72">
        <v>39</v>
      </c>
      <c r="BC242" s="72">
        <v>39</v>
      </c>
      <c r="BD242" s="72">
        <v>39</v>
      </c>
      <c r="BE242" s="72">
        <v>39</v>
      </c>
      <c r="BF242" s="72">
        <v>39</v>
      </c>
      <c r="BG242" s="72">
        <v>39</v>
      </c>
      <c r="BH242" s="72">
        <v>39</v>
      </c>
      <c r="BI242" s="72">
        <v>39</v>
      </c>
      <c r="BJ242" s="72">
        <v>39</v>
      </c>
      <c r="BK242" s="72">
        <v>39</v>
      </c>
      <c r="BL242" s="72">
        <v>39</v>
      </c>
      <c r="BM242" s="72">
        <v>39</v>
      </c>
      <c r="BN242" s="72">
        <v>39</v>
      </c>
      <c r="BO242" s="72">
        <v>39</v>
      </c>
      <c r="BP242" s="72">
        <v>39</v>
      </c>
      <c r="BQ242" s="72">
        <v>39</v>
      </c>
      <c r="BR242" s="72">
        <v>39</v>
      </c>
      <c r="BS242" s="72">
        <v>39</v>
      </c>
      <c r="BT242" s="72">
        <v>39</v>
      </c>
      <c r="BU242" s="72">
        <v>39</v>
      </c>
      <c r="BV242" s="72">
        <v>39</v>
      </c>
      <c r="BW242" s="72">
        <v>39</v>
      </c>
      <c r="BX242" s="72">
        <v>39</v>
      </c>
      <c r="BY242" s="72">
        <v>39</v>
      </c>
      <c r="BZ242" s="72">
        <v>39</v>
      </c>
      <c r="CA242" s="72">
        <v>39</v>
      </c>
      <c r="CB242" s="72">
        <v>39</v>
      </c>
      <c r="CC242" s="72">
        <v>39</v>
      </c>
      <c r="CD242" s="72">
        <v>39</v>
      </c>
      <c r="CE242" s="72">
        <v>39</v>
      </c>
      <c r="CF242" s="72">
        <v>39</v>
      </c>
      <c r="CG242" s="72">
        <v>39</v>
      </c>
      <c r="CH242" s="72">
        <v>39</v>
      </c>
      <c r="CI242" s="72">
        <v>39</v>
      </c>
      <c r="CJ242" s="72">
        <v>39</v>
      </c>
      <c r="CK242" s="72">
        <v>39</v>
      </c>
      <c r="CL242" s="72">
        <v>39</v>
      </c>
      <c r="CM242" s="72">
        <v>39</v>
      </c>
      <c r="CN242" s="72">
        <v>39</v>
      </c>
      <c r="CO242" s="72">
        <v>39</v>
      </c>
      <c r="CP242" s="72">
        <v>39</v>
      </c>
      <c r="CQ242" s="72">
        <v>39</v>
      </c>
      <c r="CR242" s="72">
        <v>39</v>
      </c>
      <c r="CS242" s="72">
        <v>39</v>
      </c>
      <c r="CT242" s="72">
        <v>39</v>
      </c>
      <c r="CU242" s="72">
        <v>39</v>
      </c>
      <c r="CV242" s="72">
        <v>39</v>
      </c>
      <c r="CW242" s="72">
        <v>39</v>
      </c>
      <c r="CX242" s="72">
        <v>39</v>
      </c>
      <c r="CY242" s="72">
        <v>39</v>
      </c>
      <c r="CZ242" s="72">
        <v>39</v>
      </c>
      <c r="DA242" s="72">
        <v>39</v>
      </c>
      <c r="DB242" s="72">
        <v>39</v>
      </c>
      <c r="DC242" s="72">
        <v>39</v>
      </c>
      <c r="DD242" s="72">
        <v>39</v>
      </c>
      <c r="DE242" s="72">
        <v>39</v>
      </c>
      <c r="DF242" s="72">
        <v>39</v>
      </c>
      <c r="DG242" s="72">
        <v>39</v>
      </c>
      <c r="DH242" s="72">
        <v>39</v>
      </c>
      <c r="DI242" s="72">
        <v>39</v>
      </c>
      <c r="DJ242" s="72">
        <v>39</v>
      </c>
      <c r="DK242" s="72">
        <v>39</v>
      </c>
      <c r="DL242" s="72">
        <v>39</v>
      </c>
      <c r="DM242" s="72">
        <v>39</v>
      </c>
    </row>
    <row r="243" spans="1:117" x14ac:dyDescent="0.35">
      <c r="A243" s="7"/>
      <c r="B243" s="8" t="s">
        <v>446</v>
      </c>
      <c r="C243" s="78" t="s">
        <v>1298</v>
      </c>
      <c r="D243" s="10" t="s">
        <v>92</v>
      </c>
      <c r="E243" s="8" t="s">
        <v>1207</v>
      </c>
      <c r="F243" s="10">
        <v>1006</v>
      </c>
      <c r="G243" s="10" t="s">
        <v>92</v>
      </c>
      <c r="H243" s="10" t="s">
        <v>41</v>
      </c>
      <c r="I243" s="11">
        <v>2</v>
      </c>
      <c r="J243" s="10"/>
      <c r="K243" s="10"/>
      <c r="L243" s="8"/>
      <c r="M243" s="12">
        <v>152.5</v>
      </c>
      <c r="N243" s="12">
        <f t="shared" si="5"/>
        <v>1830</v>
      </c>
      <c r="O243" s="11">
        <v>0</v>
      </c>
      <c r="P243" s="11">
        <v>0</v>
      </c>
      <c r="Q243" s="11">
        <v>0</v>
      </c>
      <c r="R243" s="11">
        <v>0</v>
      </c>
      <c r="S243" s="11">
        <v>0</v>
      </c>
      <c r="T243" s="11">
        <v>0</v>
      </c>
      <c r="U243" s="11">
        <v>0</v>
      </c>
      <c r="V243" s="11">
        <v>0</v>
      </c>
      <c r="W243" s="11">
        <v>0</v>
      </c>
      <c r="X243" s="11">
        <v>0</v>
      </c>
      <c r="Y243" s="11">
        <v>0</v>
      </c>
      <c r="Z243" s="11">
        <v>0</v>
      </c>
      <c r="AA243" s="11">
        <v>0</v>
      </c>
      <c r="AB243" s="11">
        <v>0</v>
      </c>
      <c r="AC243" s="11">
        <v>0</v>
      </c>
      <c r="AD243" s="11">
        <v>0</v>
      </c>
      <c r="AE243" s="11">
        <v>0</v>
      </c>
      <c r="AF243" s="11">
        <v>0</v>
      </c>
      <c r="AG243" s="11">
        <v>0</v>
      </c>
      <c r="AH243" s="11">
        <v>0</v>
      </c>
      <c r="AI243" s="11">
        <v>0</v>
      </c>
      <c r="AJ243" s="11">
        <v>2</v>
      </c>
      <c r="AK243" s="11">
        <v>2</v>
      </c>
      <c r="AL243" s="11">
        <v>2</v>
      </c>
      <c r="AM243" s="11">
        <v>2</v>
      </c>
      <c r="AN243" s="72">
        <v>2</v>
      </c>
      <c r="AO243" s="72">
        <v>2</v>
      </c>
      <c r="AP243" s="72">
        <v>2</v>
      </c>
      <c r="AQ243" s="72">
        <v>2</v>
      </c>
      <c r="AR243" s="72">
        <v>2</v>
      </c>
      <c r="AS243" s="72">
        <v>2</v>
      </c>
      <c r="AT243" s="72">
        <v>2</v>
      </c>
      <c r="AU243" s="72">
        <v>2</v>
      </c>
      <c r="AV243" s="72">
        <v>2</v>
      </c>
      <c r="AW243" s="72">
        <v>2</v>
      </c>
      <c r="AX243" s="72">
        <v>2</v>
      </c>
      <c r="AY243" s="72">
        <v>12</v>
      </c>
      <c r="AZ243" s="72">
        <v>12</v>
      </c>
      <c r="BA243" s="72">
        <v>12</v>
      </c>
      <c r="BB243" s="72">
        <v>12</v>
      </c>
      <c r="BC243" s="72">
        <v>12</v>
      </c>
      <c r="BD243" s="72">
        <v>12</v>
      </c>
      <c r="BE243" s="72">
        <v>12</v>
      </c>
      <c r="BF243" s="72">
        <v>12</v>
      </c>
      <c r="BG243" s="72">
        <v>12</v>
      </c>
      <c r="BH243" s="72">
        <v>12</v>
      </c>
      <c r="BI243" s="72">
        <v>12</v>
      </c>
      <c r="BJ243" s="72">
        <v>12</v>
      </c>
      <c r="BK243" s="72">
        <v>12</v>
      </c>
      <c r="BL243" s="72">
        <v>12</v>
      </c>
      <c r="BM243" s="72">
        <v>12</v>
      </c>
      <c r="BN243" s="72">
        <v>12</v>
      </c>
      <c r="BO243" s="72">
        <v>12</v>
      </c>
      <c r="BP243" s="72">
        <v>12</v>
      </c>
      <c r="BQ243" s="72">
        <v>12</v>
      </c>
      <c r="BR243" s="72">
        <v>12</v>
      </c>
      <c r="BS243" s="72">
        <v>12</v>
      </c>
      <c r="BT243" s="72">
        <v>12</v>
      </c>
      <c r="BU243" s="72">
        <v>12</v>
      </c>
      <c r="BV243" s="72">
        <v>12</v>
      </c>
      <c r="BW243" s="72">
        <v>12</v>
      </c>
      <c r="BX243" s="72">
        <v>12</v>
      </c>
      <c r="BY243" s="72">
        <v>12</v>
      </c>
      <c r="BZ243" s="72">
        <v>12</v>
      </c>
      <c r="CA243" s="72">
        <v>12</v>
      </c>
      <c r="CB243" s="72">
        <v>12</v>
      </c>
      <c r="CC243" s="72">
        <v>12</v>
      </c>
      <c r="CD243" s="72">
        <v>12</v>
      </c>
      <c r="CE243" s="72">
        <v>12</v>
      </c>
      <c r="CF243" s="72">
        <v>12</v>
      </c>
      <c r="CG243" s="72">
        <v>12</v>
      </c>
      <c r="CH243" s="72">
        <v>12</v>
      </c>
      <c r="CI243" s="72">
        <v>12</v>
      </c>
      <c r="CJ243" s="72">
        <v>12</v>
      </c>
      <c r="CK243" s="72">
        <v>12</v>
      </c>
      <c r="CL243" s="72">
        <v>12</v>
      </c>
      <c r="CM243" s="72">
        <v>12</v>
      </c>
      <c r="CN243" s="72">
        <v>12</v>
      </c>
      <c r="CO243" s="72">
        <v>12</v>
      </c>
      <c r="CP243" s="72">
        <v>12</v>
      </c>
      <c r="CQ243" s="72">
        <v>12</v>
      </c>
      <c r="CR243" s="72">
        <v>12</v>
      </c>
      <c r="CS243" s="72">
        <v>12</v>
      </c>
      <c r="CT243" s="72">
        <v>12</v>
      </c>
      <c r="CU243" s="72">
        <v>12</v>
      </c>
      <c r="CV243" s="72">
        <v>12</v>
      </c>
      <c r="CW243" s="72">
        <v>12</v>
      </c>
      <c r="CX243" s="72">
        <v>12</v>
      </c>
      <c r="CY243" s="72">
        <v>12</v>
      </c>
      <c r="CZ243" s="72">
        <v>12</v>
      </c>
      <c r="DA243" s="72">
        <v>12</v>
      </c>
      <c r="DB243" s="72">
        <v>12</v>
      </c>
      <c r="DC243" s="72">
        <v>12</v>
      </c>
      <c r="DD243" s="72">
        <v>12</v>
      </c>
      <c r="DE243" s="72">
        <v>12</v>
      </c>
      <c r="DF243" s="72">
        <v>12</v>
      </c>
      <c r="DG243" s="72">
        <v>12</v>
      </c>
      <c r="DH243" s="72">
        <v>12</v>
      </c>
      <c r="DI243" s="72">
        <v>12</v>
      </c>
      <c r="DJ243" s="72">
        <v>12</v>
      </c>
      <c r="DK243" s="72">
        <v>12</v>
      </c>
      <c r="DL243" s="72">
        <v>12</v>
      </c>
      <c r="DM243" s="72">
        <v>12</v>
      </c>
    </row>
    <row r="244" spans="1:117" x14ac:dyDescent="0.35">
      <c r="A244" s="7"/>
      <c r="B244" s="8" t="s">
        <v>447</v>
      </c>
      <c r="C244" s="78" t="s">
        <v>1299</v>
      </c>
      <c r="D244" s="10" t="s">
        <v>92</v>
      </c>
      <c r="E244" s="8" t="s">
        <v>1207</v>
      </c>
      <c r="F244" s="10">
        <v>1006</v>
      </c>
      <c r="G244" s="10" t="s">
        <v>92</v>
      </c>
      <c r="H244" s="10" t="s">
        <v>41</v>
      </c>
      <c r="I244" s="11">
        <v>2</v>
      </c>
      <c r="J244" s="10"/>
      <c r="K244" s="10" t="s">
        <v>42</v>
      </c>
      <c r="L244" s="8"/>
      <c r="M244" s="12">
        <v>88.29</v>
      </c>
      <c r="N244" s="12">
        <f t="shared" si="5"/>
        <v>353.16</v>
      </c>
      <c r="O244" s="11"/>
      <c r="P244" s="11"/>
      <c r="Q244" s="11"/>
      <c r="R244" s="11"/>
      <c r="S244" s="11"/>
      <c r="T244" s="11"/>
      <c r="U244" s="11"/>
      <c r="V244" s="11"/>
      <c r="W244" s="11"/>
      <c r="X244" s="11"/>
      <c r="Y244" s="11"/>
      <c r="Z244" s="11"/>
      <c r="AA244" s="11"/>
      <c r="AB244" s="11"/>
      <c r="AC244" s="11"/>
      <c r="AD244" s="11"/>
      <c r="AE244" s="11"/>
      <c r="AF244" s="11"/>
      <c r="AG244" s="11">
        <v>4</v>
      </c>
      <c r="AH244" s="11">
        <v>4</v>
      </c>
      <c r="AI244" s="11">
        <v>4</v>
      </c>
      <c r="AJ244" s="11">
        <v>2</v>
      </c>
      <c r="AK244" s="11">
        <v>4</v>
      </c>
      <c r="AL244" s="11">
        <v>4</v>
      </c>
      <c r="AM244" s="11">
        <v>4</v>
      </c>
      <c r="AN244" s="72">
        <v>4</v>
      </c>
      <c r="AO244" s="72">
        <v>4</v>
      </c>
      <c r="AP244" s="72">
        <v>4</v>
      </c>
      <c r="AQ244" s="72">
        <v>4</v>
      </c>
      <c r="AR244" s="72">
        <v>4</v>
      </c>
      <c r="AS244" s="72">
        <v>4</v>
      </c>
      <c r="AT244" s="72">
        <v>4</v>
      </c>
      <c r="AU244" s="72">
        <v>4</v>
      </c>
      <c r="AV244" s="72">
        <v>4</v>
      </c>
      <c r="AW244" s="72">
        <v>4</v>
      </c>
      <c r="AX244" s="72">
        <v>4</v>
      </c>
      <c r="AY244" s="72">
        <v>4</v>
      </c>
      <c r="AZ244" s="72">
        <v>4</v>
      </c>
      <c r="BA244" s="72">
        <v>4</v>
      </c>
      <c r="BB244" s="72">
        <v>4</v>
      </c>
      <c r="BC244" s="72">
        <v>4</v>
      </c>
      <c r="BD244" s="72">
        <v>4</v>
      </c>
      <c r="BE244" s="72">
        <v>4</v>
      </c>
      <c r="BF244" s="72">
        <v>4</v>
      </c>
      <c r="BG244" s="72">
        <v>4</v>
      </c>
      <c r="BH244" s="72">
        <v>4</v>
      </c>
      <c r="BI244" s="72">
        <v>4</v>
      </c>
      <c r="BJ244" s="72">
        <v>4</v>
      </c>
      <c r="BK244" s="72">
        <v>4</v>
      </c>
      <c r="BL244" s="72">
        <v>4</v>
      </c>
      <c r="BM244" s="72">
        <v>4</v>
      </c>
      <c r="BN244" s="72">
        <v>4</v>
      </c>
      <c r="BO244" s="72">
        <v>4</v>
      </c>
      <c r="BP244" s="72">
        <v>4</v>
      </c>
      <c r="BQ244" s="72">
        <v>4</v>
      </c>
      <c r="BR244" s="72">
        <v>4</v>
      </c>
      <c r="BS244" s="72">
        <v>4</v>
      </c>
      <c r="BT244" s="72">
        <v>4</v>
      </c>
      <c r="BU244" s="72">
        <v>4</v>
      </c>
      <c r="BV244" s="72">
        <v>4</v>
      </c>
      <c r="BW244" s="72">
        <v>4</v>
      </c>
      <c r="BX244" s="72">
        <v>4</v>
      </c>
      <c r="BY244" s="72">
        <v>4</v>
      </c>
      <c r="BZ244" s="72">
        <v>4</v>
      </c>
      <c r="CA244" s="72">
        <v>4</v>
      </c>
      <c r="CB244" s="72">
        <v>4</v>
      </c>
      <c r="CC244" s="72">
        <v>4</v>
      </c>
      <c r="CD244" s="72">
        <v>4</v>
      </c>
      <c r="CE244" s="72">
        <v>4</v>
      </c>
      <c r="CF244" s="72">
        <v>4</v>
      </c>
      <c r="CG244" s="72">
        <v>4</v>
      </c>
      <c r="CH244" s="72">
        <v>4</v>
      </c>
      <c r="CI244" s="72">
        <v>4</v>
      </c>
      <c r="CJ244" s="72">
        <v>4</v>
      </c>
      <c r="CK244" s="72">
        <v>4</v>
      </c>
      <c r="CL244" s="72">
        <v>4</v>
      </c>
      <c r="CM244" s="72">
        <v>4</v>
      </c>
      <c r="CN244" s="72">
        <v>4</v>
      </c>
      <c r="CO244" s="72">
        <v>4</v>
      </c>
      <c r="CP244" s="72">
        <v>4</v>
      </c>
      <c r="CQ244" s="72">
        <v>4</v>
      </c>
      <c r="CR244" s="72">
        <v>4</v>
      </c>
      <c r="CS244" s="72">
        <v>4</v>
      </c>
      <c r="CT244" s="72">
        <v>4</v>
      </c>
      <c r="CU244" s="72">
        <v>4</v>
      </c>
      <c r="CV244" s="72">
        <v>4</v>
      </c>
      <c r="CW244" s="72">
        <v>4</v>
      </c>
      <c r="CX244" s="72">
        <v>4</v>
      </c>
      <c r="CY244" s="72">
        <v>4</v>
      </c>
      <c r="CZ244" s="72">
        <v>4</v>
      </c>
      <c r="DA244" s="72">
        <v>4</v>
      </c>
      <c r="DB244" s="72">
        <v>4</v>
      </c>
      <c r="DC244" s="72">
        <v>4</v>
      </c>
      <c r="DD244" s="72">
        <v>4</v>
      </c>
      <c r="DE244" s="72">
        <v>4</v>
      </c>
      <c r="DF244" s="72">
        <v>4</v>
      </c>
      <c r="DG244" s="72">
        <v>4</v>
      </c>
      <c r="DH244" s="72">
        <v>4</v>
      </c>
      <c r="DI244" s="72">
        <v>4</v>
      </c>
      <c r="DJ244" s="72">
        <v>4</v>
      </c>
      <c r="DK244" s="72">
        <v>4</v>
      </c>
      <c r="DL244" s="72">
        <v>4</v>
      </c>
      <c r="DM244" s="72">
        <v>4</v>
      </c>
    </row>
    <row r="245" spans="1:117" x14ac:dyDescent="0.35">
      <c r="A245" s="7"/>
      <c r="B245" s="8" t="s">
        <v>448</v>
      </c>
      <c r="C245" s="9" t="s">
        <v>449</v>
      </c>
      <c r="D245" s="10" t="s">
        <v>92</v>
      </c>
      <c r="E245" s="8" t="s">
        <v>1221</v>
      </c>
      <c r="F245" s="10">
        <v>1006</v>
      </c>
      <c r="G245" s="10" t="s">
        <v>92</v>
      </c>
      <c r="H245" s="10" t="s">
        <v>41</v>
      </c>
      <c r="I245" s="11">
        <v>29</v>
      </c>
      <c r="J245" s="10"/>
      <c r="K245" s="10"/>
      <c r="L245" s="8"/>
      <c r="M245" s="12">
        <v>6.0625</v>
      </c>
      <c r="N245" s="12">
        <f t="shared" si="5"/>
        <v>72.75</v>
      </c>
      <c r="O245" s="11">
        <v>20</v>
      </c>
      <c r="P245" s="11">
        <v>20</v>
      </c>
      <c r="Q245" s="11">
        <v>20</v>
      </c>
      <c r="R245" s="11">
        <v>20</v>
      </c>
      <c r="S245" s="11">
        <v>20</v>
      </c>
      <c r="T245" s="11">
        <v>20</v>
      </c>
      <c r="U245" s="11">
        <v>20</v>
      </c>
      <c r="V245" s="11">
        <v>20</v>
      </c>
      <c r="W245" s="11">
        <v>20</v>
      </c>
      <c r="X245" s="11">
        <v>22</v>
      </c>
      <c r="Y245" s="11">
        <v>22</v>
      </c>
      <c r="Z245" s="11">
        <v>22</v>
      </c>
      <c r="AA245" s="11">
        <v>22</v>
      </c>
      <c r="AB245" s="11">
        <v>22</v>
      </c>
      <c r="AC245" s="11">
        <v>22</v>
      </c>
      <c r="AD245" s="11">
        <v>22</v>
      </c>
      <c r="AE245" s="11">
        <v>22</v>
      </c>
      <c r="AF245" s="11">
        <v>22</v>
      </c>
      <c r="AG245" s="11">
        <v>22</v>
      </c>
      <c r="AH245" s="11">
        <v>19</v>
      </c>
      <c r="AI245" s="11">
        <v>19</v>
      </c>
      <c r="AJ245" s="11">
        <v>29</v>
      </c>
      <c r="AK245" s="11">
        <v>30</v>
      </c>
      <c r="AL245" s="11">
        <v>30</v>
      </c>
      <c r="AM245" s="11">
        <v>30</v>
      </c>
      <c r="AN245" s="72">
        <v>30</v>
      </c>
      <c r="AO245" s="72">
        <v>30</v>
      </c>
      <c r="AP245" s="72">
        <v>30</v>
      </c>
      <c r="AQ245" s="72">
        <v>30</v>
      </c>
      <c r="AR245" s="72">
        <v>30</v>
      </c>
      <c r="AS245" s="72">
        <v>30</v>
      </c>
      <c r="AT245" s="72">
        <v>30</v>
      </c>
      <c r="AU245" s="72">
        <v>30</v>
      </c>
      <c r="AV245" s="72">
        <v>30</v>
      </c>
      <c r="AW245" s="72">
        <v>30</v>
      </c>
      <c r="AX245" s="72">
        <v>30</v>
      </c>
      <c r="AY245" s="72">
        <v>30</v>
      </c>
      <c r="AZ245" s="72">
        <v>30</v>
      </c>
      <c r="BA245" s="72">
        <v>30</v>
      </c>
      <c r="BB245" s="72">
        <v>30</v>
      </c>
      <c r="BC245" s="72">
        <v>30</v>
      </c>
      <c r="BD245" s="72">
        <v>30</v>
      </c>
      <c r="BE245" s="72">
        <v>30</v>
      </c>
      <c r="BF245" s="72">
        <v>30</v>
      </c>
      <c r="BG245" s="72">
        <v>30</v>
      </c>
      <c r="BH245" s="72">
        <v>30</v>
      </c>
      <c r="BI245" s="72">
        <v>30</v>
      </c>
      <c r="BJ245" s="72">
        <v>30</v>
      </c>
      <c r="BK245" s="72">
        <v>30</v>
      </c>
      <c r="BL245" s="72">
        <v>30</v>
      </c>
      <c r="BM245" s="72">
        <v>30</v>
      </c>
      <c r="BN245" s="72">
        <v>30</v>
      </c>
      <c r="BO245" s="72">
        <v>30</v>
      </c>
      <c r="BP245" s="72">
        <v>30</v>
      </c>
      <c r="BQ245" s="72">
        <v>24</v>
      </c>
      <c r="BR245" s="72">
        <v>22</v>
      </c>
      <c r="BS245" s="72">
        <v>22</v>
      </c>
      <c r="BT245" s="72">
        <v>22</v>
      </c>
      <c r="BU245" s="72">
        <v>22</v>
      </c>
      <c r="BV245" s="72">
        <v>22</v>
      </c>
      <c r="BW245" s="72">
        <v>22</v>
      </c>
      <c r="BX245" s="72">
        <v>22</v>
      </c>
      <c r="BY245" s="72">
        <v>22</v>
      </c>
      <c r="BZ245" s="72">
        <v>22</v>
      </c>
      <c r="CA245" s="72">
        <v>22</v>
      </c>
      <c r="CB245" s="72">
        <v>22</v>
      </c>
      <c r="CC245" s="72">
        <v>22</v>
      </c>
      <c r="CD245" s="72">
        <v>22</v>
      </c>
      <c r="CE245" s="72">
        <v>22</v>
      </c>
      <c r="CF245" s="72">
        <v>22</v>
      </c>
      <c r="CG245" s="72">
        <v>22</v>
      </c>
      <c r="CH245" s="72">
        <v>22</v>
      </c>
      <c r="CI245" s="72">
        <v>22</v>
      </c>
      <c r="CJ245" s="72">
        <v>22</v>
      </c>
      <c r="CK245" s="72">
        <v>22</v>
      </c>
      <c r="CL245" s="72">
        <v>22</v>
      </c>
      <c r="CM245" s="72">
        <v>22</v>
      </c>
      <c r="CN245" s="72">
        <v>22</v>
      </c>
      <c r="CO245" s="72">
        <v>22</v>
      </c>
      <c r="CP245" s="72">
        <v>22</v>
      </c>
      <c r="CQ245" s="72">
        <v>22</v>
      </c>
      <c r="CR245" s="72">
        <v>22</v>
      </c>
      <c r="CS245" s="72">
        <v>22</v>
      </c>
      <c r="CT245" s="72">
        <v>22</v>
      </c>
      <c r="CU245" s="72">
        <v>22</v>
      </c>
      <c r="CV245" s="72">
        <v>22</v>
      </c>
      <c r="CW245" s="72">
        <v>22</v>
      </c>
      <c r="CX245" s="72">
        <v>22</v>
      </c>
      <c r="CY245" s="72">
        <v>22</v>
      </c>
      <c r="CZ245" s="72">
        <v>12</v>
      </c>
      <c r="DA245" s="72">
        <v>12</v>
      </c>
      <c r="DB245" s="72">
        <v>12</v>
      </c>
      <c r="DC245" s="72">
        <v>12</v>
      </c>
      <c r="DD245" s="72">
        <v>12</v>
      </c>
      <c r="DE245" s="72">
        <v>12</v>
      </c>
      <c r="DF245" s="72">
        <v>12</v>
      </c>
      <c r="DG245" s="72">
        <v>12</v>
      </c>
      <c r="DH245" s="72">
        <v>12</v>
      </c>
      <c r="DI245" s="72">
        <v>12</v>
      </c>
      <c r="DJ245" s="72">
        <v>12</v>
      </c>
      <c r="DK245" s="72">
        <v>12</v>
      </c>
      <c r="DL245" s="72">
        <v>12</v>
      </c>
      <c r="DM245" s="72">
        <v>12</v>
      </c>
    </row>
    <row r="246" spans="1:117" x14ac:dyDescent="0.35">
      <c r="A246" s="7"/>
      <c r="B246" s="8" t="s">
        <v>450</v>
      </c>
      <c r="C246" s="9" t="s">
        <v>451</v>
      </c>
      <c r="D246" s="10" t="s">
        <v>92</v>
      </c>
      <c r="E246" s="8" t="s">
        <v>1221</v>
      </c>
      <c r="F246" s="10">
        <v>1006</v>
      </c>
      <c r="G246" s="10" t="s">
        <v>92</v>
      </c>
      <c r="H246" s="10" t="s">
        <v>41</v>
      </c>
      <c r="I246" s="11">
        <v>29</v>
      </c>
      <c r="J246" s="10"/>
      <c r="K246" s="10"/>
      <c r="L246" s="8"/>
      <c r="M246" s="12">
        <v>9.375</v>
      </c>
      <c r="N246" s="12">
        <f t="shared" si="5"/>
        <v>0</v>
      </c>
      <c r="O246" s="11">
        <v>8</v>
      </c>
      <c r="P246" s="11">
        <v>8</v>
      </c>
      <c r="Q246" s="11">
        <v>8</v>
      </c>
      <c r="R246" s="11">
        <v>4</v>
      </c>
      <c r="S246" s="11">
        <v>4</v>
      </c>
      <c r="T246" s="11">
        <v>4</v>
      </c>
      <c r="U246" s="11">
        <v>4</v>
      </c>
      <c r="V246" s="11">
        <v>4</v>
      </c>
      <c r="W246" s="11">
        <v>4</v>
      </c>
      <c r="X246" s="11">
        <v>4</v>
      </c>
      <c r="Y246" s="11">
        <v>4</v>
      </c>
      <c r="Z246" s="11">
        <v>4</v>
      </c>
      <c r="AA246" s="11">
        <v>4</v>
      </c>
      <c r="AB246" s="11">
        <v>4</v>
      </c>
      <c r="AC246" s="11">
        <v>4</v>
      </c>
      <c r="AD246" s="11">
        <v>4</v>
      </c>
      <c r="AE246" s="11">
        <v>4</v>
      </c>
      <c r="AF246" s="11">
        <v>0</v>
      </c>
      <c r="AG246" s="11">
        <v>0</v>
      </c>
      <c r="AH246" s="11">
        <v>0</v>
      </c>
      <c r="AI246" s="11">
        <v>0</v>
      </c>
      <c r="AJ246" s="11">
        <v>29</v>
      </c>
      <c r="AK246" s="11">
        <v>29</v>
      </c>
      <c r="AL246" s="11">
        <v>29</v>
      </c>
      <c r="AM246" s="11">
        <v>29</v>
      </c>
      <c r="AN246" s="72">
        <v>29</v>
      </c>
      <c r="AO246" s="72">
        <v>29</v>
      </c>
      <c r="AP246" s="72">
        <v>29</v>
      </c>
      <c r="AQ246" s="72">
        <v>29</v>
      </c>
      <c r="AR246" s="72">
        <v>29</v>
      </c>
      <c r="AS246" s="72">
        <v>29</v>
      </c>
      <c r="AT246" s="72">
        <v>29</v>
      </c>
      <c r="AU246" s="72">
        <v>29</v>
      </c>
      <c r="AV246" s="72">
        <v>28</v>
      </c>
      <c r="AW246" s="72">
        <v>28</v>
      </c>
      <c r="AX246" s="72">
        <v>28</v>
      </c>
      <c r="AY246" s="72">
        <v>28</v>
      </c>
      <c r="AZ246" s="72">
        <v>28</v>
      </c>
      <c r="BA246" s="72">
        <v>28</v>
      </c>
      <c r="BB246" s="72">
        <v>28</v>
      </c>
      <c r="BC246" s="72">
        <v>28</v>
      </c>
      <c r="BD246" s="72">
        <v>28</v>
      </c>
      <c r="BE246" s="72">
        <v>25</v>
      </c>
      <c r="BF246" s="72">
        <v>25</v>
      </c>
      <c r="BG246" s="72">
        <v>25</v>
      </c>
      <c r="BH246" s="72">
        <v>28</v>
      </c>
      <c r="BI246" s="72">
        <v>28</v>
      </c>
      <c r="BJ246" s="72">
        <v>28</v>
      </c>
      <c r="BK246" s="72">
        <v>24</v>
      </c>
      <c r="BL246" s="72">
        <v>27</v>
      </c>
      <c r="BM246" s="72">
        <v>28</v>
      </c>
      <c r="BN246" s="72">
        <v>26</v>
      </c>
      <c r="BO246" s="72">
        <v>26</v>
      </c>
      <c r="BP246" s="72">
        <v>20</v>
      </c>
      <c r="BQ246" s="72">
        <v>26</v>
      </c>
      <c r="BR246" s="72">
        <v>26</v>
      </c>
      <c r="BS246" s="72">
        <v>26</v>
      </c>
      <c r="BT246" s="72">
        <v>22</v>
      </c>
      <c r="BU246" s="72">
        <v>16</v>
      </c>
      <c r="BV246" s="72">
        <v>16</v>
      </c>
      <c r="BW246" s="72">
        <v>16</v>
      </c>
      <c r="BX246" s="72">
        <v>16</v>
      </c>
      <c r="BY246" s="72">
        <v>16</v>
      </c>
      <c r="BZ246" s="72">
        <v>16</v>
      </c>
      <c r="CA246" s="72">
        <v>16</v>
      </c>
      <c r="CB246" s="72">
        <v>16</v>
      </c>
      <c r="CC246" s="72">
        <v>16</v>
      </c>
      <c r="CD246" s="72">
        <v>16</v>
      </c>
      <c r="CE246" s="72">
        <v>16</v>
      </c>
      <c r="CF246" s="72">
        <v>16</v>
      </c>
      <c r="CG246" s="72">
        <v>16</v>
      </c>
      <c r="CH246" s="72">
        <v>16</v>
      </c>
      <c r="CI246" s="72">
        <v>16</v>
      </c>
      <c r="CJ246" s="72">
        <v>16</v>
      </c>
      <c r="CK246" s="72">
        <v>16</v>
      </c>
      <c r="CL246" s="72">
        <v>16</v>
      </c>
      <c r="CM246" s="72">
        <v>16</v>
      </c>
      <c r="CN246" s="72">
        <v>16</v>
      </c>
      <c r="CO246" s="72">
        <v>16</v>
      </c>
      <c r="CP246" s="72">
        <v>16</v>
      </c>
      <c r="CQ246" s="72">
        <v>16</v>
      </c>
      <c r="CR246" s="72">
        <v>16</v>
      </c>
      <c r="CS246" s="72">
        <v>16</v>
      </c>
      <c r="CT246" s="72">
        <v>16</v>
      </c>
      <c r="CU246" s="72">
        <v>16</v>
      </c>
      <c r="CV246" s="72">
        <v>16</v>
      </c>
      <c r="CW246" s="72">
        <v>16</v>
      </c>
      <c r="CX246" s="72">
        <v>16</v>
      </c>
      <c r="CY246" s="72">
        <v>10</v>
      </c>
      <c r="CZ246" s="72">
        <v>0</v>
      </c>
      <c r="DA246" s="72">
        <v>0</v>
      </c>
      <c r="DB246" s="72">
        <v>0</v>
      </c>
      <c r="DC246" s="72">
        <v>0</v>
      </c>
      <c r="DD246" s="72">
        <v>0</v>
      </c>
      <c r="DE246" s="72">
        <v>0</v>
      </c>
      <c r="DF246" s="72">
        <v>0</v>
      </c>
      <c r="DG246" s="72">
        <v>0</v>
      </c>
      <c r="DH246" s="72">
        <v>0</v>
      </c>
      <c r="DI246" s="72">
        <v>0</v>
      </c>
      <c r="DJ246" s="72">
        <v>0</v>
      </c>
      <c r="DK246" s="72">
        <v>0</v>
      </c>
      <c r="DL246" s="72">
        <v>0</v>
      </c>
      <c r="DM246" s="72">
        <v>0</v>
      </c>
    </row>
    <row r="247" spans="1:117" x14ac:dyDescent="0.35">
      <c r="A247" s="7"/>
      <c r="B247" s="8" t="s">
        <v>1283</v>
      </c>
      <c r="C247" s="9" t="s">
        <v>1286</v>
      </c>
      <c r="D247" s="10" t="s">
        <v>92</v>
      </c>
      <c r="E247" s="8" t="s">
        <v>1221</v>
      </c>
      <c r="F247" s="10"/>
      <c r="G247" s="10"/>
      <c r="H247" s="10" t="s">
        <v>41</v>
      </c>
      <c r="I247" s="11"/>
      <c r="J247" s="10"/>
      <c r="K247" s="10"/>
      <c r="L247" s="8"/>
      <c r="M247" s="12">
        <v>12.69</v>
      </c>
      <c r="N247" s="12">
        <f t="shared" si="5"/>
        <v>101.52</v>
      </c>
      <c r="O247" s="11"/>
      <c r="P247" s="11"/>
      <c r="Q247" s="11"/>
      <c r="R247" s="11"/>
      <c r="S247" s="11"/>
      <c r="T247" s="11"/>
      <c r="U247" s="11"/>
      <c r="V247" s="11"/>
      <c r="W247" s="11"/>
      <c r="X247" s="11"/>
      <c r="Y247" s="11"/>
      <c r="Z247" s="11"/>
      <c r="AA247" s="11"/>
      <c r="AB247" s="11"/>
      <c r="AC247" s="11"/>
      <c r="AD247" s="11"/>
      <c r="AE247" s="11"/>
      <c r="AF247" s="11"/>
      <c r="AG247" s="11"/>
      <c r="AH247" s="11"/>
      <c r="AI247" s="11"/>
      <c r="AJ247" s="11"/>
      <c r="AK247" s="11"/>
      <c r="AL247" s="11"/>
      <c r="AM247" s="11"/>
      <c r="AN247" s="72"/>
      <c r="AO247" s="72"/>
      <c r="AP247" s="72"/>
      <c r="AQ247" s="72"/>
      <c r="AR247" s="72"/>
      <c r="AS247" s="72"/>
      <c r="AT247" s="72"/>
      <c r="AU247" s="72"/>
      <c r="AV247" s="72"/>
      <c r="AW247" s="72"/>
      <c r="AX247" s="72"/>
      <c r="AY247" s="72">
        <v>10</v>
      </c>
      <c r="AZ247" s="72">
        <v>10</v>
      </c>
      <c r="BA247" s="72">
        <v>10</v>
      </c>
      <c r="BB247" s="72">
        <v>10</v>
      </c>
      <c r="BC247" s="72">
        <v>10</v>
      </c>
      <c r="BD247" s="72">
        <v>10</v>
      </c>
      <c r="BE247" s="72">
        <v>8</v>
      </c>
      <c r="BF247" s="72">
        <v>8</v>
      </c>
      <c r="BG247" s="72">
        <v>8</v>
      </c>
      <c r="BH247" s="72">
        <v>8</v>
      </c>
      <c r="BI247" s="72">
        <v>8</v>
      </c>
      <c r="BJ247" s="72">
        <v>8</v>
      </c>
      <c r="BK247" s="72">
        <v>8</v>
      </c>
      <c r="BL247" s="72">
        <v>8</v>
      </c>
      <c r="BM247" s="72">
        <v>8</v>
      </c>
      <c r="BN247" s="72">
        <v>8</v>
      </c>
      <c r="BO247" s="72">
        <v>8</v>
      </c>
      <c r="BP247" s="72">
        <v>8</v>
      </c>
      <c r="BQ247" s="72">
        <v>8</v>
      </c>
      <c r="BR247" s="72">
        <v>8</v>
      </c>
      <c r="BS247" s="72">
        <v>8</v>
      </c>
      <c r="BT247" s="72">
        <v>8</v>
      </c>
      <c r="BU247" s="72">
        <v>8</v>
      </c>
      <c r="BV247" s="72">
        <v>8</v>
      </c>
      <c r="BW247" s="72">
        <v>8</v>
      </c>
      <c r="BX247" s="72">
        <v>8</v>
      </c>
      <c r="BY247" s="72">
        <v>8</v>
      </c>
      <c r="BZ247" s="72">
        <v>8</v>
      </c>
      <c r="CA247" s="72">
        <v>8</v>
      </c>
      <c r="CB247" s="72">
        <v>8</v>
      </c>
      <c r="CC247" s="72">
        <v>8</v>
      </c>
      <c r="CD247" s="72">
        <v>8</v>
      </c>
      <c r="CE247" s="72">
        <v>8</v>
      </c>
      <c r="CF247" s="72">
        <v>8</v>
      </c>
      <c r="CG247" s="72">
        <v>8</v>
      </c>
      <c r="CH247" s="72">
        <v>8</v>
      </c>
      <c r="CI247" s="72">
        <v>8</v>
      </c>
      <c r="CJ247" s="72">
        <v>8</v>
      </c>
      <c r="CK247" s="72">
        <v>8</v>
      </c>
      <c r="CL247" s="72">
        <v>8</v>
      </c>
      <c r="CM247" s="72">
        <v>8</v>
      </c>
      <c r="CN247" s="72">
        <v>8</v>
      </c>
      <c r="CO247" s="72">
        <v>8</v>
      </c>
      <c r="CP247" s="72">
        <v>8</v>
      </c>
      <c r="CQ247" s="72">
        <v>8</v>
      </c>
      <c r="CR247" s="72">
        <v>8</v>
      </c>
      <c r="CS247" s="72">
        <v>8</v>
      </c>
      <c r="CT247" s="72">
        <v>8</v>
      </c>
      <c r="CU247" s="72">
        <v>8</v>
      </c>
      <c r="CV247" s="72">
        <v>8</v>
      </c>
      <c r="CW247" s="72">
        <v>8</v>
      </c>
      <c r="CX247" s="72">
        <v>8</v>
      </c>
      <c r="CY247" s="72">
        <v>8</v>
      </c>
      <c r="CZ247" s="72">
        <v>8</v>
      </c>
      <c r="DA247" s="72">
        <v>8</v>
      </c>
      <c r="DB247" s="72">
        <v>8</v>
      </c>
      <c r="DC247" s="72">
        <v>8</v>
      </c>
      <c r="DD247" s="72">
        <v>8</v>
      </c>
      <c r="DE247" s="72">
        <v>8</v>
      </c>
      <c r="DF247" s="72">
        <v>8</v>
      </c>
      <c r="DG247" s="72">
        <v>8</v>
      </c>
      <c r="DH247" s="72">
        <v>8</v>
      </c>
      <c r="DI247" s="72">
        <v>8</v>
      </c>
      <c r="DJ247" s="72">
        <v>8</v>
      </c>
      <c r="DK247" s="72">
        <v>8</v>
      </c>
      <c r="DL247" s="72">
        <v>8</v>
      </c>
      <c r="DM247" s="72">
        <v>8</v>
      </c>
    </row>
    <row r="248" spans="1:117" x14ac:dyDescent="0.35">
      <c r="A248" s="7"/>
      <c r="B248" s="8" t="s">
        <v>452</v>
      </c>
      <c r="C248" s="9" t="s">
        <v>453</v>
      </c>
      <c r="D248" s="10" t="s">
        <v>92</v>
      </c>
      <c r="E248" s="8" t="s">
        <v>1221</v>
      </c>
      <c r="F248" s="10">
        <v>1006</v>
      </c>
      <c r="G248" s="10" t="s">
        <v>92</v>
      </c>
      <c r="H248" s="10" t="s">
        <v>41</v>
      </c>
      <c r="I248" s="11">
        <v>9</v>
      </c>
      <c r="J248" s="10">
        <v>1</v>
      </c>
      <c r="K248" s="10" t="s">
        <v>42</v>
      </c>
      <c r="L248" s="8" t="s">
        <v>454</v>
      </c>
      <c r="M248" s="12">
        <v>16.25</v>
      </c>
      <c r="N248" s="12">
        <f t="shared" si="5"/>
        <v>113.75</v>
      </c>
      <c r="O248" s="11">
        <v>12</v>
      </c>
      <c r="P248" s="11">
        <v>12</v>
      </c>
      <c r="Q248" s="11">
        <v>12</v>
      </c>
      <c r="R248" s="11">
        <v>12</v>
      </c>
      <c r="S248" s="11">
        <v>12</v>
      </c>
      <c r="T248" s="11">
        <v>12</v>
      </c>
      <c r="U248" s="11">
        <v>12</v>
      </c>
      <c r="V248" s="11">
        <v>12</v>
      </c>
      <c r="W248" s="11">
        <v>12</v>
      </c>
      <c r="X248" s="11">
        <v>12</v>
      </c>
      <c r="Y248" s="11">
        <v>12</v>
      </c>
      <c r="Z248" s="11">
        <v>12</v>
      </c>
      <c r="AA248" s="11">
        <v>12</v>
      </c>
      <c r="AB248" s="11">
        <v>12</v>
      </c>
      <c r="AC248" s="11">
        <v>12</v>
      </c>
      <c r="AD248" s="11">
        <v>12</v>
      </c>
      <c r="AE248" s="11">
        <v>10</v>
      </c>
      <c r="AF248" s="11">
        <v>10</v>
      </c>
      <c r="AG248" s="11">
        <v>10</v>
      </c>
      <c r="AH248" s="11">
        <v>9</v>
      </c>
      <c r="AI248" s="11">
        <v>9</v>
      </c>
      <c r="AJ248" s="11">
        <v>9</v>
      </c>
      <c r="AK248" s="11">
        <v>9</v>
      </c>
      <c r="AL248" s="11">
        <v>9</v>
      </c>
      <c r="AM248" s="11">
        <v>9</v>
      </c>
      <c r="AN248" s="72">
        <v>9</v>
      </c>
      <c r="AO248" s="72">
        <v>9</v>
      </c>
      <c r="AP248" s="72">
        <v>9</v>
      </c>
      <c r="AQ248" s="72">
        <v>9</v>
      </c>
      <c r="AR248" s="72">
        <v>9</v>
      </c>
      <c r="AS248" s="72">
        <v>9</v>
      </c>
      <c r="AT248" s="72">
        <v>9</v>
      </c>
      <c r="AU248" s="72">
        <v>9</v>
      </c>
      <c r="AV248" s="72">
        <v>9</v>
      </c>
      <c r="AW248" s="72">
        <v>9</v>
      </c>
      <c r="AX248" s="72">
        <v>9</v>
      </c>
      <c r="AY248" s="72">
        <v>9</v>
      </c>
      <c r="AZ248" s="72">
        <v>9</v>
      </c>
      <c r="BA248" s="72">
        <v>9</v>
      </c>
      <c r="BB248" s="72">
        <v>9</v>
      </c>
      <c r="BC248" s="72">
        <v>9</v>
      </c>
      <c r="BD248" s="72">
        <v>9</v>
      </c>
      <c r="BE248" s="72">
        <v>9</v>
      </c>
      <c r="BF248" s="72">
        <v>9</v>
      </c>
      <c r="BG248" s="72">
        <v>9</v>
      </c>
      <c r="BH248" s="72">
        <v>9</v>
      </c>
      <c r="BI248" s="72">
        <v>9</v>
      </c>
      <c r="BJ248" s="72">
        <v>9</v>
      </c>
      <c r="BK248" s="72">
        <v>9</v>
      </c>
      <c r="BL248" s="72">
        <v>9</v>
      </c>
      <c r="BM248" s="72">
        <v>9</v>
      </c>
      <c r="BN248" s="72">
        <v>9</v>
      </c>
      <c r="BO248" s="72">
        <v>9</v>
      </c>
      <c r="BP248" s="72">
        <v>9</v>
      </c>
      <c r="BQ248" s="72">
        <v>9</v>
      </c>
      <c r="BR248" s="72">
        <v>9</v>
      </c>
      <c r="BS248" s="72">
        <v>7</v>
      </c>
      <c r="BT248" s="72">
        <v>7</v>
      </c>
      <c r="BU248" s="72">
        <v>7</v>
      </c>
      <c r="BV248" s="72">
        <v>7</v>
      </c>
      <c r="BW248" s="72">
        <v>7</v>
      </c>
      <c r="BX248" s="72">
        <v>7</v>
      </c>
      <c r="BY248" s="72">
        <v>7</v>
      </c>
      <c r="BZ248" s="72">
        <v>7</v>
      </c>
      <c r="CA248" s="72">
        <v>7</v>
      </c>
      <c r="CB248" s="72">
        <v>7</v>
      </c>
      <c r="CC248" s="72">
        <v>7</v>
      </c>
      <c r="CD248" s="72">
        <v>7</v>
      </c>
      <c r="CE248" s="72">
        <v>7</v>
      </c>
      <c r="CF248" s="72">
        <v>7</v>
      </c>
      <c r="CG248" s="72">
        <v>7</v>
      </c>
      <c r="CH248" s="72">
        <v>7</v>
      </c>
      <c r="CI248" s="72">
        <v>7</v>
      </c>
      <c r="CJ248" s="72">
        <v>7</v>
      </c>
      <c r="CK248" s="72">
        <v>7</v>
      </c>
      <c r="CL248" s="72">
        <v>7</v>
      </c>
      <c r="CM248" s="72">
        <v>7</v>
      </c>
      <c r="CN248" s="72">
        <v>7</v>
      </c>
      <c r="CO248" s="72">
        <v>7</v>
      </c>
      <c r="CP248" s="72">
        <v>7</v>
      </c>
      <c r="CQ248" s="72">
        <v>7</v>
      </c>
      <c r="CR248" s="72">
        <v>7</v>
      </c>
      <c r="CS248" s="72">
        <v>7</v>
      </c>
      <c r="CT248" s="72">
        <v>7</v>
      </c>
      <c r="CU248" s="72">
        <v>7</v>
      </c>
      <c r="CV248" s="72">
        <v>7</v>
      </c>
      <c r="CW248" s="72">
        <v>7</v>
      </c>
      <c r="CX248" s="72">
        <v>7</v>
      </c>
      <c r="CY248" s="72">
        <v>7</v>
      </c>
      <c r="CZ248" s="72">
        <v>7</v>
      </c>
      <c r="DA248" s="72">
        <v>7</v>
      </c>
      <c r="DB248" s="72">
        <v>7</v>
      </c>
      <c r="DC248" s="72">
        <v>7</v>
      </c>
      <c r="DD248" s="72">
        <v>7</v>
      </c>
      <c r="DE248" s="72">
        <v>7</v>
      </c>
      <c r="DF248" s="72">
        <v>7</v>
      </c>
      <c r="DG248" s="72">
        <v>7</v>
      </c>
      <c r="DH248" s="72">
        <v>7</v>
      </c>
      <c r="DI248" s="72">
        <v>7</v>
      </c>
      <c r="DJ248" s="72">
        <v>7</v>
      </c>
      <c r="DK248" s="72">
        <v>7</v>
      </c>
      <c r="DL248" s="72">
        <v>7</v>
      </c>
      <c r="DM248" s="72">
        <v>7</v>
      </c>
    </row>
    <row r="249" spans="1:117" x14ac:dyDescent="0.35">
      <c r="A249" s="7"/>
      <c r="B249" s="8" t="s">
        <v>455</v>
      </c>
      <c r="C249" s="9" t="s">
        <v>456</v>
      </c>
      <c r="D249" s="10" t="s">
        <v>92</v>
      </c>
      <c r="E249" s="8" t="s">
        <v>1221</v>
      </c>
      <c r="F249" s="10">
        <v>1006</v>
      </c>
      <c r="G249" s="10" t="s">
        <v>92</v>
      </c>
      <c r="H249" s="10" t="s">
        <v>41</v>
      </c>
      <c r="I249" s="11">
        <v>5</v>
      </c>
      <c r="J249" s="10"/>
      <c r="K249" s="10" t="s">
        <v>42</v>
      </c>
      <c r="L249" s="8"/>
      <c r="M249" s="12">
        <v>23.75</v>
      </c>
      <c r="N249" s="12">
        <f t="shared" si="5"/>
        <v>23.75</v>
      </c>
      <c r="O249" s="11">
        <v>7</v>
      </c>
      <c r="P249" s="11">
        <v>7</v>
      </c>
      <c r="Q249" s="11">
        <v>7</v>
      </c>
      <c r="R249" s="11">
        <v>7</v>
      </c>
      <c r="S249" s="11">
        <v>7</v>
      </c>
      <c r="T249" s="11">
        <v>7</v>
      </c>
      <c r="U249" s="11">
        <v>7</v>
      </c>
      <c r="V249" s="11">
        <v>7</v>
      </c>
      <c r="W249" s="11">
        <v>7</v>
      </c>
      <c r="X249" s="11">
        <v>7</v>
      </c>
      <c r="Y249" s="11">
        <v>7</v>
      </c>
      <c r="Z249" s="11">
        <v>5</v>
      </c>
      <c r="AA249" s="11">
        <v>5</v>
      </c>
      <c r="AB249" s="11">
        <v>5</v>
      </c>
      <c r="AC249" s="11">
        <v>5</v>
      </c>
      <c r="AD249" s="11">
        <v>5</v>
      </c>
      <c r="AE249" s="11">
        <v>5</v>
      </c>
      <c r="AF249" s="11">
        <v>5</v>
      </c>
      <c r="AG249" s="11">
        <v>5</v>
      </c>
      <c r="AH249" s="11">
        <v>5</v>
      </c>
      <c r="AI249" s="11">
        <v>5</v>
      </c>
      <c r="AJ249" s="11">
        <v>5</v>
      </c>
      <c r="AK249" s="11">
        <v>5</v>
      </c>
      <c r="AL249" s="11">
        <v>5</v>
      </c>
      <c r="AM249" s="11">
        <v>5</v>
      </c>
      <c r="AN249" s="72">
        <v>5</v>
      </c>
      <c r="AO249" s="72">
        <v>5</v>
      </c>
      <c r="AP249" s="72">
        <v>5</v>
      </c>
      <c r="AQ249" s="72">
        <v>5</v>
      </c>
      <c r="AR249" s="72">
        <v>5</v>
      </c>
      <c r="AS249" s="72">
        <v>5</v>
      </c>
      <c r="AT249" s="72">
        <v>5</v>
      </c>
      <c r="AU249" s="72">
        <v>5</v>
      </c>
      <c r="AV249" s="72">
        <v>5</v>
      </c>
      <c r="AW249" s="72">
        <v>5</v>
      </c>
      <c r="AX249" s="72">
        <v>5</v>
      </c>
      <c r="AY249" s="72">
        <v>5</v>
      </c>
      <c r="AZ249" s="72">
        <v>5</v>
      </c>
      <c r="BA249" s="72">
        <v>5</v>
      </c>
      <c r="BB249" s="72">
        <v>5</v>
      </c>
      <c r="BC249" s="72">
        <v>5</v>
      </c>
      <c r="BD249" s="72">
        <v>5</v>
      </c>
      <c r="BE249" s="72">
        <v>5</v>
      </c>
      <c r="BF249" s="72">
        <v>5</v>
      </c>
      <c r="BG249" s="72">
        <v>5</v>
      </c>
      <c r="BH249" s="72">
        <v>5</v>
      </c>
      <c r="BI249" s="72">
        <v>5</v>
      </c>
      <c r="BJ249" s="72">
        <v>5</v>
      </c>
      <c r="BK249" s="72">
        <v>5</v>
      </c>
      <c r="BL249" s="72">
        <v>5</v>
      </c>
      <c r="BM249" s="72">
        <v>5</v>
      </c>
      <c r="BN249" s="72">
        <v>5</v>
      </c>
      <c r="BO249" s="72">
        <v>5</v>
      </c>
      <c r="BP249" s="72">
        <v>5</v>
      </c>
      <c r="BQ249" s="72">
        <v>3</v>
      </c>
      <c r="BR249" s="72">
        <v>3</v>
      </c>
      <c r="BS249" s="72">
        <v>3</v>
      </c>
      <c r="BT249" s="72">
        <v>3</v>
      </c>
      <c r="BU249" s="72">
        <v>3</v>
      </c>
      <c r="BV249" s="72">
        <v>3</v>
      </c>
      <c r="BW249" s="72">
        <v>3</v>
      </c>
      <c r="BX249" s="72">
        <v>3</v>
      </c>
      <c r="BY249" s="72">
        <v>3</v>
      </c>
      <c r="BZ249" s="72">
        <v>3</v>
      </c>
      <c r="CA249" s="72">
        <v>3</v>
      </c>
      <c r="CB249" s="72">
        <v>3</v>
      </c>
      <c r="CC249" s="72">
        <v>3</v>
      </c>
      <c r="CD249" s="72">
        <v>3</v>
      </c>
      <c r="CE249" s="72">
        <v>3</v>
      </c>
      <c r="CF249" s="72">
        <v>3</v>
      </c>
      <c r="CG249" s="72">
        <v>3</v>
      </c>
      <c r="CH249" s="72">
        <v>3</v>
      </c>
      <c r="CI249" s="72">
        <v>3</v>
      </c>
      <c r="CJ249" s="72">
        <v>3</v>
      </c>
      <c r="CK249" s="72">
        <v>3</v>
      </c>
      <c r="CL249" s="72">
        <v>3</v>
      </c>
      <c r="CM249" s="72">
        <v>3</v>
      </c>
      <c r="CN249" s="72">
        <v>3</v>
      </c>
      <c r="CO249" s="72">
        <v>3</v>
      </c>
      <c r="CP249" s="72">
        <v>3</v>
      </c>
      <c r="CQ249" s="72">
        <v>3</v>
      </c>
      <c r="CR249" s="72">
        <v>3</v>
      </c>
      <c r="CS249" s="72">
        <v>3</v>
      </c>
      <c r="CT249" s="72">
        <v>3</v>
      </c>
      <c r="CU249" s="72">
        <v>3</v>
      </c>
      <c r="CV249" s="72">
        <v>3</v>
      </c>
      <c r="CW249" s="72">
        <v>3</v>
      </c>
      <c r="CX249" s="72">
        <v>3</v>
      </c>
      <c r="CY249" s="72">
        <v>3</v>
      </c>
      <c r="CZ249" s="72">
        <v>3</v>
      </c>
      <c r="DA249" s="72">
        <v>3</v>
      </c>
      <c r="DB249" s="72">
        <v>3</v>
      </c>
      <c r="DC249" s="72">
        <v>3</v>
      </c>
      <c r="DD249" s="72">
        <v>3</v>
      </c>
      <c r="DE249" s="72">
        <v>3</v>
      </c>
      <c r="DF249" s="72">
        <v>3</v>
      </c>
      <c r="DG249" s="72">
        <v>3</v>
      </c>
      <c r="DH249" s="72">
        <v>3</v>
      </c>
      <c r="DI249" s="72">
        <v>3</v>
      </c>
      <c r="DJ249" s="72">
        <v>3</v>
      </c>
      <c r="DK249" s="72">
        <v>3</v>
      </c>
      <c r="DL249" s="72">
        <v>0</v>
      </c>
      <c r="DM249" s="72">
        <v>1</v>
      </c>
    </row>
    <row r="250" spans="1:117" x14ac:dyDescent="0.35">
      <c r="A250" s="7"/>
      <c r="B250" s="8" t="s">
        <v>457</v>
      </c>
      <c r="C250" s="9" t="s">
        <v>458</v>
      </c>
      <c r="D250" s="10" t="s">
        <v>92</v>
      </c>
      <c r="E250" s="8" t="s">
        <v>1221</v>
      </c>
      <c r="F250" s="10">
        <v>1006</v>
      </c>
      <c r="G250" s="10" t="s">
        <v>92</v>
      </c>
      <c r="H250" s="10" t="s">
        <v>41</v>
      </c>
      <c r="I250" s="11">
        <v>9</v>
      </c>
      <c r="J250" s="10"/>
      <c r="K250" s="10"/>
      <c r="L250" s="8"/>
      <c r="M250" s="12">
        <v>96.875</v>
      </c>
      <c r="N250" s="12">
        <f t="shared" si="5"/>
        <v>775</v>
      </c>
      <c r="O250" s="11">
        <v>5</v>
      </c>
      <c r="P250" s="11">
        <v>5</v>
      </c>
      <c r="Q250" s="11">
        <v>5</v>
      </c>
      <c r="R250" s="11">
        <v>5</v>
      </c>
      <c r="S250" s="11">
        <v>5</v>
      </c>
      <c r="T250" s="11">
        <v>5</v>
      </c>
      <c r="U250" s="11">
        <v>5</v>
      </c>
      <c r="V250" s="11">
        <v>5</v>
      </c>
      <c r="W250" s="11">
        <v>5</v>
      </c>
      <c r="X250" s="11">
        <v>5</v>
      </c>
      <c r="Y250" s="11">
        <v>5</v>
      </c>
      <c r="Z250" s="11">
        <v>5</v>
      </c>
      <c r="AA250" s="11">
        <v>5</v>
      </c>
      <c r="AB250" s="11">
        <v>5</v>
      </c>
      <c r="AC250" s="11">
        <v>5</v>
      </c>
      <c r="AD250" s="11">
        <v>5</v>
      </c>
      <c r="AE250" s="11">
        <v>5</v>
      </c>
      <c r="AF250" s="11">
        <v>5</v>
      </c>
      <c r="AG250" s="11">
        <v>5</v>
      </c>
      <c r="AH250" s="11">
        <v>5</v>
      </c>
      <c r="AI250" s="11">
        <v>5</v>
      </c>
      <c r="AJ250" s="11">
        <v>5</v>
      </c>
      <c r="AK250" s="11">
        <v>5</v>
      </c>
      <c r="AL250" s="11">
        <v>5</v>
      </c>
      <c r="AM250" s="11">
        <v>5</v>
      </c>
      <c r="AN250" s="72">
        <v>5</v>
      </c>
      <c r="AO250" s="72">
        <v>5</v>
      </c>
      <c r="AP250" s="72">
        <v>5</v>
      </c>
      <c r="AQ250" s="72">
        <v>5</v>
      </c>
      <c r="AR250" s="72">
        <v>5</v>
      </c>
      <c r="AS250" s="72">
        <v>5</v>
      </c>
      <c r="AT250" s="72">
        <v>5</v>
      </c>
      <c r="AU250" s="72">
        <v>5</v>
      </c>
      <c r="AV250" s="72">
        <v>5</v>
      </c>
      <c r="AW250" s="72">
        <v>5</v>
      </c>
      <c r="AX250" s="72">
        <v>5</v>
      </c>
      <c r="AY250" s="72">
        <v>5</v>
      </c>
      <c r="AZ250" s="72">
        <v>5</v>
      </c>
      <c r="BA250" s="72">
        <v>5</v>
      </c>
      <c r="BB250" s="72">
        <v>5</v>
      </c>
      <c r="BC250" s="72">
        <v>5</v>
      </c>
      <c r="BD250" s="72">
        <v>5</v>
      </c>
      <c r="BE250" s="72">
        <v>5</v>
      </c>
      <c r="BF250" s="72">
        <v>5</v>
      </c>
      <c r="BG250" s="72">
        <v>5</v>
      </c>
      <c r="BH250" s="72">
        <v>5</v>
      </c>
      <c r="BI250" s="72">
        <v>5</v>
      </c>
      <c r="BJ250" s="72">
        <v>5</v>
      </c>
      <c r="BK250" s="72">
        <v>5</v>
      </c>
      <c r="BL250" s="72">
        <v>5</v>
      </c>
      <c r="BM250" s="72">
        <v>5</v>
      </c>
      <c r="BN250" s="72">
        <v>5</v>
      </c>
      <c r="BO250" s="72">
        <v>5</v>
      </c>
      <c r="BP250" s="72">
        <v>5</v>
      </c>
      <c r="BQ250" s="72">
        <v>5</v>
      </c>
      <c r="BR250" s="72">
        <v>5</v>
      </c>
      <c r="BS250" s="72">
        <v>5</v>
      </c>
      <c r="BT250" s="72">
        <v>5</v>
      </c>
      <c r="BU250" s="72">
        <v>5</v>
      </c>
      <c r="BV250" s="72">
        <v>5</v>
      </c>
      <c r="BW250" s="72">
        <v>5</v>
      </c>
      <c r="BX250" s="72">
        <v>5</v>
      </c>
      <c r="BY250" s="72">
        <v>5</v>
      </c>
      <c r="BZ250" s="72">
        <v>5</v>
      </c>
      <c r="CA250" s="72">
        <v>5</v>
      </c>
      <c r="CB250" s="72">
        <v>5</v>
      </c>
      <c r="CC250" s="72">
        <v>5</v>
      </c>
      <c r="CD250" s="72">
        <v>5</v>
      </c>
      <c r="CE250" s="72">
        <v>5</v>
      </c>
      <c r="CF250" s="72">
        <v>5</v>
      </c>
      <c r="CG250" s="72">
        <v>5</v>
      </c>
      <c r="CH250" s="72">
        <v>5</v>
      </c>
      <c r="CI250" s="72">
        <v>5</v>
      </c>
      <c r="CJ250" s="72">
        <v>5</v>
      </c>
      <c r="CK250" s="72">
        <v>5</v>
      </c>
      <c r="CL250" s="72">
        <v>5</v>
      </c>
      <c r="CM250" s="72">
        <v>5</v>
      </c>
      <c r="CN250" s="72">
        <v>5</v>
      </c>
      <c r="CO250" s="72">
        <v>5</v>
      </c>
      <c r="CP250" s="72">
        <v>5</v>
      </c>
      <c r="CQ250" s="72">
        <v>5</v>
      </c>
      <c r="CR250" s="72">
        <v>5</v>
      </c>
      <c r="CS250" s="72">
        <v>5</v>
      </c>
      <c r="CT250" s="72">
        <v>5</v>
      </c>
      <c r="CU250" s="72">
        <v>5</v>
      </c>
      <c r="CV250" s="72">
        <v>5</v>
      </c>
      <c r="CW250" s="72">
        <v>5</v>
      </c>
      <c r="CX250" s="72">
        <v>5</v>
      </c>
      <c r="CY250" s="72">
        <v>5</v>
      </c>
      <c r="CZ250" s="72">
        <v>5</v>
      </c>
      <c r="DA250" s="72">
        <v>5</v>
      </c>
      <c r="DB250" s="72">
        <v>5</v>
      </c>
      <c r="DC250" s="72">
        <v>5</v>
      </c>
      <c r="DD250" s="72">
        <v>5</v>
      </c>
      <c r="DE250" s="72">
        <v>5</v>
      </c>
      <c r="DF250" s="72">
        <v>5</v>
      </c>
      <c r="DG250" s="72">
        <v>5</v>
      </c>
      <c r="DH250" s="72">
        <v>5</v>
      </c>
      <c r="DI250" s="72">
        <v>5</v>
      </c>
      <c r="DJ250" s="72">
        <v>5</v>
      </c>
      <c r="DK250" s="72">
        <v>5</v>
      </c>
      <c r="DL250" s="72">
        <v>5</v>
      </c>
      <c r="DM250" s="72">
        <v>8</v>
      </c>
    </row>
    <row r="251" spans="1:117" x14ac:dyDescent="0.35">
      <c r="A251" s="7"/>
      <c r="B251" s="8" t="s">
        <v>459</v>
      </c>
      <c r="C251" s="9" t="s">
        <v>460</v>
      </c>
      <c r="D251" s="10" t="s">
        <v>92</v>
      </c>
      <c r="E251" s="8" t="s">
        <v>1221</v>
      </c>
      <c r="F251" s="10">
        <v>1006</v>
      </c>
      <c r="G251" s="10" t="s">
        <v>92</v>
      </c>
      <c r="H251" s="10" t="s">
        <v>41</v>
      </c>
      <c r="I251" s="11">
        <v>5</v>
      </c>
      <c r="J251" s="10"/>
      <c r="K251" s="10"/>
      <c r="L251" s="8"/>
      <c r="M251" s="12">
        <v>200</v>
      </c>
      <c r="N251" s="12">
        <f t="shared" si="5"/>
        <v>600</v>
      </c>
      <c r="O251" s="11">
        <v>5</v>
      </c>
      <c r="P251" s="11">
        <v>5</v>
      </c>
      <c r="Q251" s="11">
        <v>5</v>
      </c>
      <c r="R251" s="11">
        <v>5</v>
      </c>
      <c r="S251" s="11">
        <v>5</v>
      </c>
      <c r="T251" s="11">
        <v>5</v>
      </c>
      <c r="U251" s="11">
        <v>5</v>
      </c>
      <c r="V251" s="11">
        <v>5</v>
      </c>
      <c r="W251" s="11">
        <v>5</v>
      </c>
      <c r="X251" s="11">
        <v>5</v>
      </c>
      <c r="Y251" s="11">
        <v>5</v>
      </c>
      <c r="Z251" s="11">
        <v>5</v>
      </c>
      <c r="AA251" s="11">
        <v>5</v>
      </c>
      <c r="AB251" s="11">
        <v>5</v>
      </c>
      <c r="AC251" s="11">
        <v>5</v>
      </c>
      <c r="AD251" s="11">
        <v>5</v>
      </c>
      <c r="AE251" s="11">
        <v>5</v>
      </c>
      <c r="AF251" s="11">
        <v>5</v>
      </c>
      <c r="AG251" s="11">
        <v>5</v>
      </c>
      <c r="AH251" s="11">
        <v>5</v>
      </c>
      <c r="AI251" s="11">
        <v>5</v>
      </c>
      <c r="AJ251" s="11">
        <v>5</v>
      </c>
      <c r="AK251" s="11">
        <v>5</v>
      </c>
      <c r="AL251" s="11">
        <v>5</v>
      </c>
      <c r="AM251" s="11">
        <v>5</v>
      </c>
      <c r="AN251" s="72">
        <v>5</v>
      </c>
      <c r="AO251" s="72">
        <v>3</v>
      </c>
      <c r="AP251" s="72">
        <v>3</v>
      </c>
      <c r="AQ251" s="72">
        <v>3</v>
      </c>
      <c r="AR251" s="72">
        <v>3</v>
      </c>
      <c r="AS251" s="72">
        <v>3</v>
      </c>
      <c r="AT251" s="72">
        <v>3</v>
      </c>
      <c r="AU251" s="72">
        <v>3</v>
      </c>
      <c r="AV251" s="72">
        <v>3</v>
      </c>
      <c r="AW251" s="72">
        <v>3</v>
      </c>
      <c r="AX251" s="72">
        <v>3</v>
      </c>
      <c r="AY251" s="72">
        <v>3</v>
      </c>
      <c r="AZ251" s="72">
        <v>3</v>
      </c>
      <c r="BA251" s="72">
        <v>3</v>
      </c>
      <c r="BB251" s="72">
        <v>3</v>
      </c>
      <c r="BC251" s="72">
        <v>3</v>
      </c>
      <c r="BD251" s="72">
        <v>3</v>
      </c>
      <c r="BE251" s="72">
        <v>3</v>
      </c>
      <c r="BF251" s="72">
        <v>3</v>
      </c>
      <c r="BG251" s="72">
        <v>3</v>
      </c>
      <c r="BH251" s="72">
        <v>3</v>
      </c>
      <c r="BI251" s="72">
        <v>3</v>
      </c>
      <c r="BJ251" s="72">
        <v>3</v>
      </c>
      <c r="BK251" s="72">
        <v>3</v>
      </c>
      <c r="BL251" s="72">
        <v>3</v>
      </c>
      <c r="BM251" s="72">
        <v>3</v>
      </c>
      <c r="BN251" s="72">
        <v>3</v>
      </c>
      <c r="BO251" s="72">
        <v>3</v>
      </c>
      <c r="BP251" s="72">
        <v>3</v>
      </c>
      <c r="BQ251" s="72">
        <v>3</v>
      </c>
      <c r="BR251" s="72">
        <v>3</v>
      </c>
      <c r="BS251" s="72">
        <v>3</v>
      </c>
      <c r="BT251" s="72">
        <v>3</v>
      </c>
      <c r="BU251" s="72">
        <v>3</v>
      </c>
      <c r="BV251" s="72">
        <v>3</v>
      </c>
      <c r="BW251" s="72">
        <v>3</v>
      </c>
      <c r="BX251" s="72">
        <v>3</v>
      </c>
      <c r="BY251" s="72">
        <v>3</v>
      </c>
      <c r="BZ251" s="72">
        <v>3</v>
      </c>
      <c r="CA251" s="72">
        <v>3</v>
      </c>
      <c r="CB251" s="72">
        <v>3</v>
      </c>
      <c r="CC251" s="72">
        <v>3</v>
      </c>
      <c r="CD251" s="72">
        <v>3</v>
      </c>
      <c r="CE251" s="72">
        <v>3</v>
      </c>
      <c r="CF251" s="72">
        <v>3</v>
      </c>
      <c r="CG251" s="72">
        <v>3</v>
      </c>
      <c r="CH251" s="72">
        <v>3</v>
      </c>
      <c r="CI251" s="72">
        <v>3</v>
      </c>
      <c r="CJ251" s="72">
        <v>3</v>
      </c>
      <c r="CK251" s="72">
        <v>3</v>
      </c>
      <c r="CL251" s="72">
        <v>3</v>
      </c>
      <c r="CM251" s="72">
        <v>3</v>
      </c>
      <c r="CN251" s="72">
        <v>3</v>
      </c>
      <c r="CO251" s="72">
        <v>3</v>
      </c>
      <c r="CP251" s="72">
        <v>3</v>
      </c>
      <c r="CQ251" s="72">
        <v>3</v>
      </c>
      <c r="CR251" s="72">
        <v>3</v>
      </c>
      <c r="CS251" s="72">
        <v>3</v>
      </c>
      <c r="CT251" s="72">
        <v>3</v>
      </c>
      <c r="CU251" s="72">
        <v>3</v>
      </c>
      <c r="CV251" s="72">
        <v>3</v>
      </c>
      <c r="CW251" s="72">
        <v>3</v>
      </c>
      <c r="CX251" s="72">
        <v>3</v>
      </c>
      <c r="CY251" s="72">
        <v>3</v>
      </c>
      <c r="CZ251" s="72">
        <v>3</v>
      </c>
      <c r="DA251" s="72">
        <v>3</v>
      </c>
      <c r="DB251" s="72">
        <v>3</v>
      </c>
      <c r="DC251" s="72">
        <v>3</v>
      </c>
      <c r="DD251" s="72">
        <v>3</v>
      </c>
      <c r="DE251" s="72">
        <v>3</v>
      </c>
      <c r="DF251" s="72">
        <v>3</v>
      </c>
      <c r="DG251" s="72">
        <v>3</v>
      </c>
      <c r="DH251" s="72">
        <v>3</v>
      </c>
      <c r="DI251" s="72">
        <v>3</v>
      </c>
      <c r="DJ251" s="72">
        <v>3</v>
      </c>
      <c r="DK251" s="72">
        <v>3</v>
      </c>
      <c r="DL251" s="72">
        <v>3</v>
      </c>
      <c r="DM251" s="72">
        <v>3</v>
      </c>
    </row>
    <row r="252" spans="1:117" x14ac:dyDescent="0.35">
      <c r="A252" s="7"/>
      <c r="B252" s="21" t="s">
        <v>461</v>
      </c>
      <c r="C252" s="22" t="s">
        <v>462</v>
      </c>
      <c r="D252" s="10" t="s">
        <v>92</v>
      </c>
      <c r="E252" s="8" t="s">
        <v>1221</v>
      </c>
      <c r="F252" s="10">
        <v>1006</v>
      </c>
      <c r="G252" s="10" t="s">
        <v>92</v>
      </c>
      <c r="H252" s="10" t="s">
        <v>41</v>
      </c>
      <c r="I252" s="11">
        <v>19</v>
      </c>
      <c r="J252" s="10"/>
      <c r="K252" s="10" t="s">
        <v>42</v>
      </c>
      <c r="L252" s="8"/>
      <c r="M252" s="12">
        <v>6.0625</v>
      </c>
      <c r="N252" s="12">
        <f t="shared" si="5"/>
        <v>30.3125</v>
      </c>
      <c r="O252" s="11">
        <v>30</v>
      </c>
      <c r="P252" s="11">
        <v>30</v>
      </c>
      <c r="Q252" s="11">
        <v>30</v>
      </c>
      <c r="R252" s="11">
        <v>30</v>
      </c>
      <c r="S252" s="11">
        <v>30</v>
      </c>
      <c r="T252" s="11">
        <v>30</v>
      </c>
      <c r="U252" s="11">
        <v>30</v>
      </c>
      <c r="V252" s="11">
        <v>30</v>
      </c>
      <c r="W252" s="11">
        <v>30</v>
      </c>
      <c r="X252" s="11">
        <v>31</v>
      </c>
      <c r="Y252" s="11">
        <v>31</v>
      </c>
      <c r="Z252" s="11">
        <v>31</v>
      </c>
      <c r="AA252" s="11">
        <v>31</v>
      </c>
      <c r="AB252" s="11">
        <v>31</v>
      </c>
      <c r="AC252" s="11">
        <v>31</v>
      </c>
      <c r="AD252" s="11">
        <v>31</v>
      </c>
      <c r="AE252" s="11">
        <v>31</v>
      </c>
      <c r="AF252" s="11">
        <v>31</v>
      </c>
      <c r="AG252" s="11">
        <v>31</v>
      </c>
      <c r="AH252" s="11">
        <v>27</v>
      </c>
      <c r="AI252" s="11">
        <v>19</v>
      </c>
      <c r="AJ252" s="11">
        <v>19</v>
      </c>
      <c r="AK252" s="11">
        <v>19</v>
      </c>
      <c r="AL252" s="11">
        <v>18</v>
      </c>
      <c r="AM252" s="11">
        <v>18</v>
      </c>
      <c r="AN252" s="72">
        <v>18</v>
      </c>
      <c r="AO252" s="72">
        <v>18</v>
      </c>
      <c r="AP252" s="72">
        <v>18</v>
      </c>
      <c r="AQ252" s="72">
        <v>18</v>
      </c>
      <c r="AR252" s="72">
        <v>18</v>
      </c>
      <c r="AS252" s="72">
        <v>18</v>
      </c>
      <c r="AT252" s="72">
        <v>18</v>
      </c>
      <c r="AU252" s="72">
        <v>18</v>
      </c>
      <c r="AV252" s="72">
        <v>18</v>
      </c>
      <c r="AW252" s="72">
        <v>18</v>
      </c>
      <c r="AX252" s="72">
        <v>18</v>
      </c>
      <c r="AY252" s="72">
        <v>18</v>
      </c>
      <c r="AZ252" s="72">
        <v>18</v>
      </c>
      <c r="BA252" s="72">
        <v>18</v>
      </c>
      <c r="BB252" s="72">
        <v>15</v>
      </c>
      <c r="BC252" s="72">
        <v>15</v>
      </c>
      <c r="BD252" s="72">
        <v>15</v>
      </c>
      <c r="BE252" s="72">
        <v>15</v>
      </c>
      <c r="BF252" s="72">
        <v>15</v>
      </c>
      <c r="BG252" s="72">
        <v>15</v>
      </c>
      <c r="BH252" s="72">
        <v>10</v>
      </c>
      <c r="BI252" s="72">
        <v>10</v>
      </c>
      <c r="BJ252" s="72">
        <v>10</v>
      </c>
      <c r="BK252" s="72">
        <v>10</v>
      </c>
      <c r="BL252" s="72">
        <v>17</v>
      </c>
      <c r="BM252" s="72">
        <v>17</v>
      </c>
      <c r="BN252" s="72">
        <v>17</v>
      </c>
      <c r="BO252" s="72">
        <v>17</v>
      </c>
      <c r="BP252" s="72">
        <v>17</v>
      </c>
      <c r="BQ252" s="72">
        <v>17</v>
      </c>
      <c r="BR252" s="72">
        <v>17</v>
      </c>
      <c r="BS252" s="72">
        <v>15</v>
      </c>
      <c r="BT252" s="72">
        <v>15</v>
      </c>
      <c r="BU252" s="72">
        <v>15</v>
      </c>
      <c r="BV252" s="72">
        <v>15</v>
      </c>
      <c r="BW252" s="72">
        <v>15</v>
      </c>
      <c r="BX252" s="72">
        <v>15</v>
      </c>
      <c r="BY252" s="72">
        <v>15</v>
      </c>
      <c r="BZ252" s="72">
        <v>15</v>
      </c>
      <c r="CA252" s="72">
        <v>15</v>
      </c>
      <c r="CB252" s="72">
        <v>15</v>
      </c>
      <c r="CC252" s="72">
        <v>15</v>
      </c>
      <c r="CD252" s="72">
        <v>15</v>
      </c>
      <c r="CE252" s="72">
        <v>15</v>
      </c>
      <c r="CF252" s="72">
        <v>15</v>
      </c>
      <c r="CG252" s="72">
        <v>15</v>
      </c>
      <c r="CH252" s="72">
        <v>15</v>
      </c>
      <c r="CI252" s="72">
        <v>7</v>
      </c>
      <c r="CJ252" s="72">
        <v>7</v>
      </c>
      <c r="CK252" s="72">
        <v>7</v>
      </c>
      <c r="CL252" s="72">
        <v>7</v>
      </c>
      <c r="CM252" s="72">
        <v>7</v>
      </c>
      <c r="CN252" s="72">
        <v>7</v>
      </c>
      <c r="CO252" s="72">
        <v>7</v>
      </c>
      <c r="CP252" s="72">
        <v>7</v>
      </c>
      <c r="CQ252" s="72">
        <v>7</v>
      </c>
      <c r="CR252" s="72">
        <v>7</v>
      </c>
      <c r="CS252" s="72">
        <v>7</v>
      </c>
      <c r="CT252" s="72">
        <v>7</v>
      </c>
      <c r="CU252" s="72">
        <v>7</v>
      </c>
      <c r="CV252" s="72">
        <v>7</v>
      </c>
      <c r="CW252" s="72">
        <v>7</v>
      </c>
      <c r="CX252" s="72">
        <v>7</v>
      </c>
      <c r="CY252" s="72">
        <v>7</v>
      </c>
      <c r="CZ252" s="72">
        <v>7</v>
      </c>
      <c r="DA252" s="72">
        <v>7</v>
      </c>
      <c r="DB252" s="72">
        <v>7</v>
      </c>
      <c r="DC252" s="72">
        <v>7</v>
      </c>
      <c r="DD252" s="72">
        <v>7</v>
      </c>
      <c r="DE252" s="72">
        <v>7</v>
      </c>
      <c r="DF252" s="72">
        <v>7</v>
      </c>
      <c r="DG252" s="72">
        <v>7</v>
      </c>
      <c r="DH252" s="72">
        <v>5</v>
      </c>
      <c r="DI252" s="72">
        <v>5</v>
      </c>
      <c r="DJ252" s="72">
        <v>5</v>
      </c>
      <c r="DK252" s="72">
        <v>5</v>
      </c>
      <c r="DL252" s="72">
        <v>3</v>
      </c>
      <c r="DM252" s="72">
        <v>5</v>
      </c>
    </row>
    <row r="253" spans="1:117" x14ac:dyDescent="0.35">
      <c r="A253" s="7"/>
      <c r="B253" s="21" t="s">
        <v>463</v>
      </c>
      <c r="C253" s="22" t="s">
        <v>464</v>
      </c>
      <c r="D253" s="10" t="s">
        <v>92</v>
      </c>
      <c r="E253" s="8" t="s">
        <v>1221</v>
      </c>
      <c r="F253" s="10">
        <v>1006</v>
      </c>
      <c r="G253" s="10" t="s">
        <v>92</v>
      </c>
      <c r="H253" s="10" t="s">
        <v>41</v>
      </c>
      <c r="I253" s="11">
        <v>0</v>
      </c>
      <c r="J253" s="10"/>
      <c r="K253" s="10" t="s">
        <v>42</v>
      </c>
      <c r="L253" s="8"/>
      <c r="M253" s="12">
        <v>9.375</v>
      </c>
      <c r="N253" s="12">
        <f t="shared" si="5"/>
        <v>0</v>
      </c>
      <c r="O253" s="11">
        <v>3</v>
      </c>
      <c r="P253" s="11">
        <v>3</v>
      </c>
      <c r="Q253" s="11">
        <v>3</v>
      </c>
      <c r="R253" s="11">
        <v>3</v>
      </c>
      <c r="S253" s="11">
        <v>3</v>
      </c>
      <c r="T253" s="11">
        <v>3</v>
      </c>
      <c r="U253" s="11">
        <v>3</v>
      </c>
      <c r="V253" s="11">
        <v>3</v>
      </c>
      <c r="W253" s="11">
        <v>3</v>
      </c>
      <c r="X253" s="11">
        <v>3</v>
      </c>
      <c r="Y253" s="11">
        <v>3</v>
      </c>
      <c r="Z253" s="11">
        <v>3</v>
      </c>
      <c r="AA253" s="11">
        <v>3</v>
      </c>
      <c r="AB253" s="11">
        <v>3</v>
      </c>
      <c r="AC253" s="11">
        <v>3</v>
      </c>
      <c r="AD253" s="11">
        <v>3</v>
      </c>
      <c r="AE253" s="11">
        <v>3</v>
      </c>
      <c r="AF253" s="11">
        <v>0</v>
      </c>
      <c r="AG253" s="11">
        <v>0</v>
      </c>
      <c r="AH253" s="11">
        <v>0</v>
      </c>
      <c r="AI253" s="11">
        <v>0</v>
      </c>
      <c r="AJ253" s="11">
        <v>0</v>
      </c>
      <c r="AK253" s="11">
        <v>0</v>
      </c>
      <c r="AL253" s="11">
        <v>0</v>
      </c>
      <c r="AM253" s="11">
        <v>0</v>
      </c>
      <c r="AN253" s="72">
        <v>0</v>
      </c>
      <c r="AO253" s="72">
        <v>0</v>
      </c>
      <c r="AP253" s="72">
        <v>0</v>
      </c>
      <c r="AQ253" s="72">
        <v>0</v>
      </c>
      <c r="AR253" s="72">
        <v>0</v>
      </c>
      <c r="AS253" s="72">
        <v>0</v>
      </c>
      <c r="AT253" s="72">
        <v>0</v>
      </c>
      <c r="AU253" s="72">
        <v>0</v>
      </c>
      <c r="AV253" s="72">
        <v>0</v>
      </c>
      <c r="AW253" s="72">
        <v>0</v>
      </c>
      <c r="AX253" s="72">
        <v>0</v>
      </c>
      <c r="AY253" s="72">
        <v>0</v>
      </c>
      <c r="AZ253" s="72">
        <v>0</v>
      </c>
      <c r="BA253" s="72">
        <v>0</v>
      </c>
      <c r="BB253" s="72">
        <v>0</v>
      </c>
      <c r="BC253" s="72">
        <v>0</v>
      </c>
      <c r="BD253" s="72">
        <v>0</v>
      </c>
      <c r="BE253" s="72">
        <v>0</v>
      </c>
      <c r="BF253" s="72">
        <v>0</v>
      </c>
      <c r="BG253" s="72">
        <v>0</v>
      </c>
      <c r="BH253" s="72">
        <v>0</v>
      </c>
      <c r="BI253" s="72">
        <v>0</v>
      </c>
      <c r="BJ253" s="72">
        <v>0</v>
      </c>
      <c r="BK253" s="72">
        <v>0</v>
      </c>
      <c r="BL253" s="72">
        <v>0</v>
      </c>
      <c r="BM253" s="72">
        <v>0</v>
      </c>
      <c r="BN253" s="72">
        <v>0</v>
      </c>
      <c r="BO253" s="72">
        <v>0</v>
      </c>
      <c r="BP253" s="72">
        <v>0</v>
      </c>
      <c r="BQ253" s="72">
        <v>0</v>
      </c>
      <c r="BR253" s="72">
        <v>0</v>
      </c>
      <c r="BS253" s="72">
        <v>0</v>
      </c>
      <c r="BT253" s="72">
        <v>0</v>
      </c>
      <c r="BU253" s="72">
        <v>0</v>
      </c>
      <c r="BV253" s="72">
        <v>0</v>
      </c>
      <c r="BW253" s="72">
        <v>0</v>
      </c>
      <c r="BX253" s="72">
        <v>0</v>
      </c>
      <c r="BY253" s="72">
        <v>0</v>
      </c>
      <c r="BZ253" s="72">
        <v>0</v>
      </c>
      <c r="CA253" s="72">
        <v>0</v>
      </c>
      <c r="CB253" s="72">
        <v>0</v>
      </c>
      <c r="CC253" s="72">
        <v>0</v>
      </c>
      <c r="CD253" s="72">
        <v>0</v>
      </c>
      <c r="CE253" s="72">
        <v>0</v>
      </c>
      <c r="CF253" s="72">
        <v>0</v>
      </c>
      <c r="CG253" s="72">
        <v>0</v>
      </c>
      <c r="CH253" s="72">
        <v>0</v>
      </c>
      <c r="CI253" s="72">
        <v>0</v>
      </c>
      <c r="CJ253" s="72">
        <v>0</v>
      </c>
      <c r="CK253" s="72">
        <v>0</v>
      </c>
      <c r="CL253" s="72">
        <v>0</v>
      </c>
      <c r="CM253" s="72">
        <v>0</v>
      </c>
      <c r="CN253" s="72">
        <v>0</v>
      </c>
      <c r="CO253" s="72">
        <v>0</v>
      </c>
      <c r="CP253" s="72">
        <v>0</v>
      </c>
      <c r="CQ253" s="72">
        <v>0</v>
      </c>
      <c r="CR253" s="72">
        <v>0</v>
      </c>
      <c r="CS253" s="72">
        <v>0</v>
      </c>
      <c r="CT253" s="72">
        <v>0</v>
      </c>
      <c r="CU253" s="72">
        <v>0</v>
      </c>
      <c r="CV253" s="72">
        <v>0</v>
      </c>
      <c r="CW253" s="72">
        <v>0</v>
      </c>
      <c r="CX253" s="72">
        <v>0</v>
      </c>
      <c r="CY253" s="72">
        <v>0</v>
      </c>
      <c r="CZ253" s="72">
        <v>0</v>
      </c>
      <c r="DA253" s="72">
        <v>0</v>
      </c>
      <c r="DB253" s="72">
        <v>0</v>
      </c>
      <c r="DC253" s="72">
        <v>0</v>
      </c>
      <c r="DD253" s="72">
        <v>0</v>
      </c>
      <c r="DE253" s="72">
        <v>0</v>
      </c>
      <c r="DF253" s="72">
        <v>0</v>
      </c>
      <c r="DG253" s="72">
        <v>0</v>
      </c>
      <c r="DH253" s="72">
        <v>0</v>
      </c>
      <c r="DI253" s="72">
        <v>0</v>
      </c>
      <c r="DJ253" s="72">
        <v>0</v>
      </c>
      <c r="DK253" s="72">
        <v>0</v>
      </c>
      <c r="DL253" s="72">
        <v>0</v>
      </c>
      <c r="DM253" s="72">
        <v>0</v>
      </c>
    </row>
    <row r="254" spans="1:117" x14ac:dyDescent="0.35">
      <c r="A254" s="7"/>
      <c r="B254" s="8" t="s">
        <v>465</v>
      </c>
      <c r="C254" s="78" t="s">
        <v>1344</v>
      </c>
      <c r="D254" s="10" t="s">
        <v>92</v>
      </c>
      <c r="E254" s="8" t="s">
        <v>1221</v>
      </c>
      <c r="F254" s="10">
        <v>1006</v>
      </c>
      <c r="G254" s="10" t="s">
        <v>92</v>
      </c>
      <c r="H254" s="10" t="s">
        <v>41</v>
      </c>
      <c r="I254" s="11">
        <v>5</v>
      </c>
      <c r="J254" s="10"/>
      <c r="K254" s="10"/>
      <c r="L254" s="8"/>
      <c r="M254" s="12">
        <v>16.25</v>
      </c>
      <c r="N254" s="12">
        <f t="shared" si="5"/>
        <v>81.25</v>
      </c>
      <c r="O254" s="11">
        <v>5</v>
      </c>
      <c r="P254" s="11">
        <v>5</v>
      </c>
      <c r="Q254" s="11">
        <v>5</v>
      </c>
      <c r="R254" s="11">
        <v>5</v>
      </c>
      <c r="S254" s="11">
        <v>5</v>
      </c>
      <c r="T254" s="11">
        <v>5</v>
      </c>
      <c r="U254" s="11">
        <v>5</v>
      </c>
      <c r="V254" s="11">
        <v>5</v>
      </c>
      <c r="W254" s="11">
        <v>5</v>
      </c>
      <c r="X254" s="11">
        <v>5</v>
      </c>
      <c r="Y254" s="11">
        <v>5</v>
      </c>
      <c r="Z254" s="11">
        <v>5</v>
      </c>
      <c r="AA254" s="11">
        <v>5</v>
      </c>
      <c r="AB254" s="11">
        <v>5</v>
      </c>
      <c r="AC254" s="11">
        <v>5</v>
      </c>
      <c r="AD254" s="11">
        <v>5</v>
      </c>
      <c r="AE254" s="11">
        <v>5</v>
      </c>
      <c r="AF254" s="11">
        <v>5</v>
      </c>
      <c r="AG254" s="11">
        <v>5</v>
      </c>
      <c r="AH254" s="11">
        <v>5</v>
      </c>
      <c r="AI254" s="11">
        <v>5</v>
      </c>
      <c r="AJ254" s="11">
        <v>5</v>
      </c>
      <c r="AK254" s="11">
        <v>5</v>
      </c>
      <c r="AL254" s="11">
        <v>5</v>
      </c>
      <c r="AM254" s="11">
        <v>5</v>
      </c>
      <c r="AN254" s="72">
        <v>5</v>
      </c>
      <c r="AO254" s="72">
        <v>5</v>
      </c>
      <c r="AP254" s="72">
        <v>5</v>
      </c>
      <c r="AQ254" s="72">
        <v>5</v>
      </c>
      <c r="AR254" s="72">
        <v>5</v>
      </c>
      <c r="AS254" s="72">
        <v>5</v>
      </c>
      <c r="AT254" s="72">
        <v>5</v>
      </c>
      <c r="AU254" s="72">
        <v>5</v>
      </c>
      <c r="AV254" s="72">
        <v>5</v>
      </c>
      <c r="AW254" s="72">
        <v>5</v>
      </c>
      <c r="AX254" s="72">
        <v>5</v>
      </c>
      <c r="AY254" s="72">
        <v>5</v>
      </c>
      <c r="AZ254" s="72">
        <v>5</v>
      </c>
      <c r="BA254" s="72">
        <v>5</v>
      </c>
      <c r="BB254" s="72">
        <v>5</v>
      </c>
      <c r="BC254" s="72">
        <v>5</v>
      </c>
      <c r="BD254" s="72">
        <v>5</v>
      </c>
      <c r="BE254" s="72">
        <v>5</v>
      </c>
      <c r="BF254" s="72">
        <v>5</v>
      </c>
      <c r="BG254" s="72">
        <v>5</v>
      </c>
      <c r="BH254" s="72">
        <v>5</v>
      </c>
      <c r="BI254" s="72">
        <v>5</v>
      </c>
      <c r="BJ254" s="72">
        <v>5</v>
      </c>
      <c r="BK254" s="72">
        <v>5</v>
      </c>
      <c r="BL254" s="72">
        <v>5</v>
      </c>
      <c r="BM254" s="72">
        <v>5</v>
      </c>
      <c r="BN254" s="72">
        <v>5</v>
      </c>
      <c r="BO254" s="72">
        <v>5</v>
      </c>
      <c r="BP254" s="72">
        <v>5</v>
      </c>
      <c r="BQ254" s="72">
        <v>5</v>
      </c>
      <c r="BR254" s="72">
        <v>5</v>
      </c>
      <c r="BS254" s="72">
        <v>5</v>
      </c>
      <c r="BT254" s="72">
        <v>5</v>
      </c>
      <c r="BU254" s="72">
        <v>5</v>
      </c>
      <c r="BV254" s="72">
        <v>5</v>
      </c>
      <c r="BW254" s="72">
        <v>5</v>
      </c>
      <c r="BX254" s="72">
        <v>5</v>
      </c>
      <c r="BY254" s="72">
        <v>5</v>
      </c>
      <c r="BZ254" s="72">
        <v>5</v>
      </c>
      <c r="CA254" s="72">
        <v>5</v>
      </c>
      <c r="CB254" s="72">
        <v>5</v>
      </c>
      <c r="CC254" s="72">
        <v>5</v>
      </c>
      <c r="CD254" s="72">
        <v>5</v>
      </c>
      <c r="CE254" s="72">
        <v>5</v>
      </c>
      <c r="CF254" s="72">
        <v>5</v>
      </c>
      <c r="CG254" s="72">
        <v>5</v>
      </c>
      <c r="CH254" s="72">
        <v>5</v>
      </c>
      <c r="CI254" s="72">
        <v>5</v>
      </c>
      <c r="CJ254" s="72">
        <v>5</v>
      </c>
      <c r="CK254" s="72">
        <v>5</v>
      </c>
      <c r="CL254" s="72">
        <v>5</v>
      </c>
      <c r="CM254" s="72">
        <v>5</v>
      </c>
      <c r="CN254" s="72">
        <v>5</v>
      </c>
      <c r="CO254" s="72">
        <v>5</v>
      </c>
      <c r="CP254" s="72">
        <v>5</v>
      </c>
      <c r="CQ254" s="72">
        <v>5</v>
      </c>
      <c r="CR254" s="72">
        <v>5</v>
      </c>
      <c r="CS254" s="72">
        <v>5</v>
      </c>
      <c r="CT254" s="72">
        <v>5</v>
      </c>
      <c r="CU254" s="72">
        <v>5</v>
      </c>
      <c r="CV254" s="72">
        <v>5</v>
      </c>
      <c r="CW254" s="72">
        <v>5</v>
      </c>
      <c r="CX254" s="72">
        <v>5</v>
      </c>
      <c r="CY254" s="72">
        <v>5</v>
      </c>
      <c r="CZ254" s="72">
        <v>5</v>
      </c>
      <c r="DA254" s="72">
        <v>5</v>
      </c>
      <c r="DB254" s="72">
        <v>5</v>
      </c>
      <c r="DC254" s="72">
        <v>5</v>
      </c>
      <c r="DD254" s="72">
        <v>5</v>
      </c>
      <c r="DE254" s="72">
        <v>5</v>
      </c>
      <c r="DF254" s="72">
        <v>5</v>
      </c>
      <c r="DG254" s="72">
        <v>5</v>
      </c>
      <c r="DH254" s="72">
        <v>5</v>
      </c>
      <c r="DI254" s="72">
        <v>5</v>
      </c>
      <c r="DJ254" s="72">
        <v>5</v>
      </c>
      <c r="DK254" s="72">
        <v>5</v>
      </c>
      <c r="DL254" s="72">
        <v>5</v>
      </c>
      <c r="DM254" s="72">
        <v>5</v>
      </c>
    </row>
    <row r="255" spans="1:117" x14ac:dyDescent="0.35">
      <c r="A255" s="7"/>
      <c r="B255" s="8" t="s">
        <v>466</v>
      </c>
      <c r="C255" s="9" t="s">
        <v>467</v>
      </c>
      <c r="D255" s="10" t="s">
        <v>92</v>
      </c>
      <c r="E255" s="8" t="s">
        <v>1207</v>
      </c>
      <c r="F255" s="10">
        <v>1006</v>
      </c>
      <c r="G255" s="10" t="s">
        <v>92</v>
      </c>
      <c r="H255" s="10" t="s">
        <v>41</v>
      </c>
      <c r="I255" s="11">
        <v>0</v>
      </c>
      <c r="J255" s="10"/>
      <c r="K255" s="10"/>
      <c r="L255" s="8" t="s">
        <v>468</v>
      </c>
      <c r="M255" s="12"/>
      <c r="N255" s="12">
        <f t="shared" si="5"/>
        <v>0</v>
      </c>
      <c r="O255" s="11">
        <v>20</v>
      </c>
      <c r="P255" s="11">
        <v>0</v>
      </c>
      <c r="Q255" s="11">
        <v>0</v>
      </c>
      <c r="R255" s="11">
        <v>0</v>
      </c>
      <c r="S255" s="11">
        <v>0</v>
      </c>
      <c r="T255" s="11">
        <v>0</v>
      </c>
      <c r="U255" s="11">
        <v>0</v>
      </c>
      <c r="V255" s="11">
        <v>0</v>
      </c>
      <c r="W255" s="11">
        <v>0</v>
      </c>
      <c r="X255" s="11">
        <v>0</v>
      </c>
      <c r="Y255" s="11">
        <v>0</v>
      </c>
      <c r="Z255" s="11">
        <v>0</v>
      </c>
      <c r="AA255" s="11">
        <v>0</v>
      </c>
      <c r="AB255" s="11">
        <v>0</v>
      </c>
      <c r="AC255" s="11">
        <v>0</v>
      </c>
      <c r="AD255" s="11">
        <v>0</v>
      </c>
      <c r="AE255" s="11">
        <v>0</v>
      </c>
      <c r="AF255" s="11">
        <v>0</v>
      </c>
      <c r="AG255" s="11">
        <v>0</v>
      </c>
      <c r="AH255" s="11">
        <v>0</v>
      </c>
      <c r="AI255" s="11">
        <v>0</v>
      </c>
      <c r="AJ255" s="11">
        <v>0</v>
      </c>
      <c r="AK255" s="11">
        <v>0</v>
      </c>
      <c r="AL255" s="11">
        <v>0</v>
      </c>
      <c r="AM255" s="11">
        <v>0</v>
      </c>
      <c r="AN255" s="72">
        <v>0</v>
      </c>
      <c r="AO255" s="72">
        <v>0</v>
      </c>
      <c r="AP255" s="72">
        <v>0</v>
      </c>
      <c r="AQ255" s="72">
        <v>0</v>
      </c>
      <c r="AR255" s="72">
        <v>0</v>
      </c>
      <c r="AS255" s="72">
        <v>0</v>
      </c>
      <c r="AT255" s="72">
        <v>0</v>
      </c>
      <c r="AU255" s="72">
        <v>0</v>
      </c>
      <c r="AV255" s="72">
        <v>0</v>
      </c>
      <c r="AW255" s="72">
        <v>0</v>
      </c>
      <c r="AX255" s="72">
        <v>0</v>
      </c>
      <c r="AY255" s="72">
        <v>0</v>
      </c>
      <c r="AZ255" s="72">
        <v>0</v>
      </c>
      <c r="BA255" s="72">
        <v>0</v>
      </c>
      <c r="BB255" s="72">
        <v>0</v>
      </c>
      <c r="BC255" s="72">
        <v>0</v>
      </c>
      <c r="BD255" s="72">
        <v>0</v>
      </c>
      <c r="BE255" s="72">
        <v>0</v>
      </c>
      <c r="BF255" s="72">
        <v>0</v>
      </c>
      <c r="BG255" s="72">
        <v>0</v>
      </c>
      <c r="BH255" s="72">
        <v>0</v>
      </c>
      <c r="BI255" s="72">
        <v>0</v>
      </c>
      <c r="BJ255" s="72">
        <v>0</v>
      </c>
      <c r="BK255" s="72">
        <v>0</v>
      </c>
      <c r="BL255" s="72">
        <v>0</v>
      </c>
      <c r="BM255" s="72">
        <v>0</v>
      </c>
      <c r="BN255" s="72">
        <v>0</v>
      </c>
      <c r="BO255" s="72">
        <v>0</v>
      </c>
      <c r="BP255" s="72">
        <v>0</v>
      </c>
      <c r="BQ255" s="72">
        <v>0</v>
      </c>
      <c r="BR255" s="72">
        <v>0</v>
      </c>
      <c r="BS255" s="72">
        <v>0</v>
      </c>
      <c r="BT255" s="72">
        <v>0</v>
      </c>
      <c r="BU255" s="72">
        <v>0</v>
      </c>
      <c r="BV255" s="72">
        <v>0</v>
      </c>
      <c r="BW255" s="72">
        <v>0</v>
      </c>
      <c r="BX255" s="72">
        <v>0</v>
      </c>
      <c r="BY255" s="72">
        <v>0</v>
      </c>
      <c r="BZ255" s="72">
        <v>0</v>
      </c>
      <c r="CA255" s="72">
        <v>0</v>
      </c>
      <c r="CB255" s="72">
        <v>0</v>
      </c>
      <c r="CC255" s="72">
        <v>0</v>
      </c>
      <c r="CD255" s="72">
        <v>0</v>
      </c>
      <c r="CE255" s="72">
        <v>0</v>
      </c>
      <c r="CF255" s="72">
        <v>0</v>
      </c>
      <c r="CG255" s="72">
        <v>0</v>
      </c>
      <c r="CH255" s="72">
        <v>0</v>
      </c>
      <c r="CI255" s="72">
        <v>0</v>
      </c>
      <c r="CJ255" s="72">
        <v>0</v>
      </c>
      <c r="CK255" s="72">
        <v>0</v>
      </c>
      <c r="CL255" s="72">
        <v>0</v>
      </c>
      <c r="CM255" s="72">
        <v>0</v>
      </c>
      <c r="CN255" s="72">
        <v>0</v>
      </c>
      <c r="CO255" s="72">
        <v>0</v>
      </c>
      <c r="CP255" s="72">
        <v>0</v>
      </c>
      <c r="CQ255" s="72">
        <v>0</v>
      </c>
      <c r="CR255" s="72">
        <v>0</v>
      </c>
      <c r="CS255" s="72">
        <v>0</v>
      </c>
      <c r="CT255" s="72">
        <v>0</v>
      </c>
      <c r="CU255" s="72">
        <v>0</v>
      </c>
      <c r="CV255" s="72">
        <v>0</v>
      </c>
      <c r="CW255" s="72">
        <v>0</v>
      </c>
      <c r="CX255" s="72">
        <v>0</v>
      </c>
      <c r="CY255" s="72">
        <v>0</v>
      </c>
      <c r="CZ255" s="72">
        <v>0</v>
      </c>
      <c r="DA255" s="72">
        <v>0</v>
      </c>
      <c r="DB255" s="72">
        <v>0</v>
      </c>
      <c r="DC255" s="72">
        <v>0</v>
      </c>
      <c r="DD255" s="72">
        <v>0</v>
      </c>
      <c r="DE255" s="72">
        <v>0</v>
      </c>
      <c r="DF255" s="72">
        <v>0</v>
      </c>
      <c r="DG255" s="72">
        <v>0</v>
      </c>
      <c r="DH255" s="72">
        <v>0</v>
      </c>
      <c r="DI255" s="72">
        <v>0</v>
      </c>
      <c r="DJ255" s="72">
        <v>0</v>
      </c>
      <c r="DK255" s="72">
        <v>0</v>
      </c>
      <c r="DL255" s="72">
        <v>0</v>
      </c>
      <c r="DM255" s="72">
        <v>0</v>
      </c>
    </row>
    <row r="256" spans="1:117" x14ac:dyDescent="0.35">
      <c r="A256" s="7"/>
      <c r="B256" s="8" t="s">
        <v>469</v>
      </c>
      <c r="C256" s="9" t="s">
        <v>1164</v>
      </c>
      <c r="D256" s="10" t="s">
        <v>92</v>
      </c>
      <c r="E256" s="8" t="s">
        <v>1207</v>
      </c>
      <c r="F256" s="10">
        <v>1006</v>
      </c>
      <c r="G256" s="10" t="s">
        <v>92</v>
      </c>
      <c r="H256" s="10" t="s">
        <v>41</v>
      </c>
      <c r="I256" s="11">
        <v>8</v>
      </c>
      <c r="J256" s="10"/>
      <c r="K256" s="10"/>
      <c r="L256" s="8" t="s">
        <v>468</v>
      </c>
      <c r="M256" s="12"/>
      <c r="N256" s="12">
        <f t="shared" si="5"/>
        <v>0</v>
      </c>
      <c r="O256" s="11"/>
      <c r="P256" s="11"/>
      <c r="Q256" s="11"/>
      <c r="R256" s="11"/>
      <c r="S256" s="11"/>
      <c r="T256" s="11"/>
      <c r="U256" s="11"/>
      <c r="V256" s="11"/>
      <c r="W256" s="11"/>
      <c r="X256" s="11"/>
      <c r="Y256" s="11"/>
      <c r="Z256" s="11"/>
      <c r="AA256" s="11"/>
      <c r="AB256" s="11"/>
      <c r="AC256" s="11"/>
      <c r="AD256" s="11"/>
      <c r="AE256" s="11"/>
      <c r="AF256" s="11"/>
      <c r="AG256" s="11"/>
      <c r="AH256" s="11"/>
      <c r="AI256" s="11"/>
      <c r="AJ256" s="11">
        <v>8</v>
      </c>
      <c r="AK256" s="11">
        <v>8</v>
      </c>
      <c r="AL256" s="11">
        <v>8</v>
      </c>
      <c r="AM256" s="11">
        <v>8</v>
      </c>
      <c r="AN256" s="72">
        <v>8</v>
      </c>
      <c r="AO256" s="72">
        <v>8</v>
      </c>
      <c r="AP256" s="72">
        <v>8</v>
      </c>
      <c r="AQ256" s="72">
        <v>8</v>
      </c>
      <c r="AR256" s="72">
        <v>8</v>
      </c>
      <c r="AS256" s="72">
        <v>8</v>
      </c>
      <c r="AT256" s="72">
        <v>8</v>
      </c>
      <c r="AU256" s="72">
        <v>8</v>
      </c>
      <c r="AV256" s="72">
        <v>8</v>
      </c>
      <c r="AW256" s="72">
        <v>8</v>
      </c>
      <c r="AX256" s="72">
        <v>8</v>
      </c>
      <c r="AY256" s="72">
        <v>8</v>
      </c>
      <c r="AZ256" s="72">
        <v>8</v>
      </c>
      <c r="BA256" s="72">
        <v>8</v>
      </c>
      <c r="BB256" s="72">
        <v>8</v>
      </c>
      <c r="BC256" s="72">
        <v>8</v>
      </c>
      <c r="BD256" s="72">
        <v>8</v>
      </c>
      <c r="BE256" s="72">
        <v>0</v>
      </c>
      <c r="BF256" s="72">
        <v>0</v>
      </c>
      <c r="BG256" s="72">
        <v>0</v>
      </c>
      <c r="BH256" s="72">
        <v>0</v>
      </c>
      <c r="BI256" s="72">
        <v>0</v>
      </c>
      <c r="BJ256" s="72">
        <v>0</v>
      </c>
      <c r="BK256" s="72">
        <v>0</v>
      </c>
      <c r="BL256" s="72">
        <v>0</v>
      </c>
      <c r="BM256" s="72">
        <v>0</v>
      </c>
      <c r="BN256" s="72">
        <v>0</v>
      </c>
      <c r="BO256" s="72">
        <v>0</v>
      </c>
      <c r="BP256" s="72">
        <v>0</v>
      </c>
      <c r="BQ256" s="72">
        <v>0</v>
      </c>
      <c r="BR256" s="72">
        <v>0</v>
      </c>
      <c r="BS256" s="72">
        <v>0</v>
      </c>
      <c r="BT256" s="72">
        <v>0</v>
      </c>
      <c r="BU256" s="72">
        <v>0</v>
      </c>
      <c r="BV256" s="72">
        <v>0</v>
      </c>
      <c r="BW256" s="72">
        <v>0</v>
      </c>
      <c r="BX256" s="72">
        <v>0</v>
      </c>
      <c r="BY256" s="72">
        <v>0</v>
      </c>
      <c r="BZ256" s="72">
        <v>0</v>
      </c>
      <c r="CA256" s="72">
        <v>0</v>
      </c>
      <c r="CB256" s="72">
        <v>0</v>
      </c>
      <c r="CC256" s="72">
        <v>0</v>
      </c>
      <c r="CD256" s="72">
        <v>0</v>
      </c>
      <c r="CE256" s="72">
        <v>0</v>
      </c>
      <c r="CF256" s="72">
        <v>0</v>
      </c>
      <c r="CG256" s="72">
        <v>0</v>
      </c>
      <c r="CH256" s="72">
        <v>0</v>
      </c>
      <c r="CI256" s="72">
        <v>0</v>
      </c>
      <c r="CJ256" s="72">
        <v>0</v>
      </c>
      <c r="CK256" s="72">
        <v>0</v>
      </c>
      <c r="CL256" s="72">
        <v>0</v>
      </c>
      <c r="CM256" s="72">
        <v>0</v>
      </c>
      <c r="CN256" s="72">
        <v>0</v>
      </c>
      <c r="CO256" s="72">
        <v>0</v>
      </c>
      <c r="CP256" s="72">
        <v>0</v>
      </c>
      <c r="CQ256" s="72">
        <v>0</v>
      </c>
      <c r="CR256" s="72">
        <v>0</v>
      </c>
      <c r="CS256" s="72">
        <v>0</v>
      </c>
      <c r="CT256" s="72">
        <v>0</v>
      </c>
      <c r="CU256" s="72">
        <v>0</v>
      </c>
      <c r="CV256" s="72">
        <v>0</v>
      </c>
      <c r="CW256" s="72">
        <v>0</v>
      </c>
      <c r="CX256" s="72">
        <v>0</v>
      </c>
      <c r="CY256" s="72">
        <v>0</v>
      </c>
      <c r="CZ256" s="72">
        <v>0</v>
      </c>
      <c r="DA256" s="72">
        <v>0</v>
      </c>
      <c r="DB256" s="72">
        <v>0</v>
      </c>
      <c r="DC256" s="72">
        <v>0</v>
      </c>
      <c r="DD256" s="72">
        <v>0</v>
      </c>
      <c r="DE256" s="72">
        <v>0</v>
      </c>
      <c r="DF256" s="72">
        <v>0</v>
      </c>
      <c r="DG256" s="72">
        <v>0</v>
      </c>
      <c r="DH256" s="72">
        <v>0</v>
      </c>
      <c r="DI256" s="72">
        <v>0</v>
      </c>
      <c r="DJ256" s="72">
        <v>0</v>
      </c>
      <c r="DK256" s="72">
        <v>0</v>
      </c>
      <c r="DL256" s="72">
        <v>0</v>
      </c>
      <c r="DM256" s="72">
        <v>0</v>
      </c>
    </row>
    <row r="257" spans="1:117" x14ac:dyDescent="0.35">
      <c r="A257" s="7"/>
      <c r="B257" s="8" t="s">
        <v>470</v>
      </c>
      <c r="C257" s="9" t="s">
        <v>471</v>
      </c>
      <c r="D257" s="10" t="s">
        <v>92</v>
      </c>
      <c r="E257" s="8" t="s">
        <v>1208</v>
      </c>
      <c r="F257" s="10">
        <v>1006</v>
      </c>
      <c r="G257" s="10" t="s">
        <v>92</v>
      </c>
      <c r="H257" s="10" t="s">
        <v>41</v>
      </c>
      <c r="I257" s="11">
        <v>0</v>
      </c>
      <c r="J257" s="10"/>
      <c r="K257" s="10"/>
      <c r="L257" s="8" t="s">
        <v>468</v>
      </c>
      <c r="M257" s="12"/>
      <c r="N257" s="12">
        <f t="shared" si="5"/>
        <v>0</v>
      </c>
      <c r="O257" s="11">
        <v>8</v>
      </c>
      <c r="P257" s="11">
        <v>0</v>
      </c>
      <c r="Q257" s="11">
        <v>0</v>
      </c>
      <c r="R257" s="11">
        <v>0</v>
      </c>
      <c r="S257" s="11">
        <v>0</v>
      </c>
      <c r="T257" s="11">
        <v>0</v>
      </c>
      <c r="U257" s="11">
        <v>0</v>
      </c>
      <c r="V257" s="11">
        <v>0</v>
      </c>
      <c r="W257" s="11">
        <v>0</v>
      </c>
      <c r="X257" s="11">
        <v>0</v>
      </c>
      <c r="Y257" s="11">
        <v>0</v>
      </c>
      <c r="Z257" s="11">
        <v>0</v>
      </c>
      <c r="AA257" s="11">
        <v>0</v>
      </c>
      <c r="AB257" s="11">
        <v>0</v>
      </c>
      <c r="AC257" s="11">
        <v>0</v>
      </c>
      <c r="AD257" s="11">
        <v>0</v>
      </c>
      <c r="AE257" s="11">
        <v>0</v>
      </c>
      <c r="AF257" s="11">
        <v>0</v>
      </c>
      <c r="AG257" s="11">
        <v>0</v>
      </c>
      <c r="AH257" s="11">
        <v>0</v>
      </c>
      <c r="AI257" s="11">
        <v>0</v>
      </c>
      <c r="AJ257" s="11">
        <v>0</v>
      </c>
      <c r="AK257" s="11">
        <v>0</v>
      </c>
      <c r="AL257" s="11">
        <v>0</v>
      </c>
      <c r="AM257" s="11">
        <v>0</v>
      </c>
      <c r="AN257" s="72">
        <v>0</v>
      </c>
      <c r="AO257" s="72">
        <v>0</v>
      </c>
      <c r="AP257" s="72">
        <v>0</v>
      </c>
      <c r="AQ257" s="72">
        <v>0</v>
      </c>
      <c r="AR257" s="72">
        <v>0</v>
      </c>
      <c r="AS257" s="72">
        <v>0</v>
      </c>
      <c r="AT257" s="72">
        <v>0</v>
      </c>
      <c r="AU257" s="72">
        <v>0</v>
      </c>
      <c r="AV257" s="72">
        <v>0</v>
      </c>
      <c r="AW257" s="72">
        <v>0</v>
      </c>
      <c r="AX257" s="72">
        <v>0</v>
      </c>
      <c r="AY257" s="72">
        <v>0</v>
      </c>
      <c r="AZ257" s="72">
        <v>0</v>
      </c>
      <c r="BA257" s="72">
        <v>0</v>
      </c>
      <c r="BB257" s="72">
        <v>0</v>
      </c>
      <c r="BC257" s="72">
        <v>0</v>
      </c>
      <c r="BD257" s="72">
        <v>0</v>
      </c>
      <c r="BE257" s="72">
        <v>0</v>
      </c>
      <c r="BF257" s="72">
        <v>0</v>
      </c>
      <c r="BG257" s="72">
        <v>0</v>
      </c>
      <c r="BH257" s="72">
        <v>0</v>
      </c>
      <c r="BI257" s="72">
        <v>0</v>
      </c>
      <c r="BJ257" s="72">
        <v>0</v>
      </c>
      <c r="BK257" s="72">
        <v>0</v>
      </c>
      <c r="BL257" s="72">
        <v>0</v>
      </c>
      <c r="BM257" s="72">
        <v>0</v>
      </c>
      <c r="BN257" s="72">
        <v>0</v>
      </c>
      <c r="BO257" s="72">
        <v>0</v>
      </c>
      <c r="BP257" s="72">
        <v>0</v>
      </c>
      <c r="BQ257" s="72">
        <v>0</v>
      </c>
      <c r="BR257" s="72">
        <v>0</v>
      </c>
      <c r="BS257" s="72">
        <v>0</v>
      </c>
      <c r="BT257" s="72">
        <v>0</v>
      </c>
      <c r="BU257" s="72">
        <v>0</v>
      </c>
      <c r="BV257" s="72">
        <v>0</v>
      </c>
      <c r="BW257" s="72">
        <v>0</v>
      </c>
      <c r="BX257" s="72">
        <v>0</v>
      </c>
      <c r="BY257" s="72">
        <v>0</v>
      </c>
      <c r="BZ257" s="72">
        <v>0</v>
      </c>
      <c r="CA257" s="72">
        <v>0</v>
      </c>
      <c r="CB257" s="72">
        <v>0</v>
      </c>
      <c r="CC257" s="72">
        <v>0</v>
      </c>
      <c r="CD257" s="72">
        <v>0</v>
      </c>
      <c r="CE257" s="72">
        <v>0</v>
      </c>
      <c r="CF257" s="72">
        <v>0</v>
      </c>
      <c r="CG257" s="72">
        <v>0</v>
      </c>
      <c r="CH257" s="72">
        <v>0</v>
      </c>
      <c r="CI257" s="72">
        <v>0</v>
      </c>
      <c r="CJ257" s="72">
        <v>0</v>
      </c>
      <c r="CK257" s="72">
        <v>0</v>
      </c>
      <c r="CL257" s="72">
        <v>0</v>
      </c>
      <c r="CM257" s="72">
        <v>0</v>
      </c>
      <c r="CN257" s="72">
        <v>0</v>
      </c>
      <c r="CO257" s="72">
        <v>0</v>
      </c>
      <c r="CP257" s="72">
        <v>0</v>
      </c>
      <c r="CQ257" s="72">
        <v>0</v>
      </c>
      <c r="CR257" s="72">
        <v>0</v>
      </c>
      <c r="CS257" s="72">
        <v>0</v>
      </c>
      <c r="CT257" s="72">
        <v>0</v>
      </c>
      <c r="CU257" s="72">
        <v>0</v>
      </c>
      <c r="CV257" s="72">
        <v>0</v>
      </c>
      <c r="CW257" s="72">
        <v>0</v>
      </c>
      <c r="CX257" s="72">
        <v>0</v>
      </c>
      <c r="CY257" s="72">
        <v>0</v>
      </c>
      <c r="CZ257" s="72">
        <v>0</v>
      </c>
      <c r="DA257" s="72">
        <v>0</v>
      </c>
      <c r="DB257" s="72">
        <v>0</v>
      </c>
      <c r="DC257" s="72">
        <v>0</v>
      </c>
      <c r="DD257" s="72">
        <v>0</v>
      </c>
      <c r="DE257" s="72">
        <v>0</v>
      </c>
      <c r="DF257" s="72">
        <v>0</v>
      </c>
      <c r="DG257" s="72">
        <v>0</v>
      </c>
      <c r="DH257" s="72">
        <v>0</v>
      </c>
      <c r="DI257" s="72">
        <v>0</v>
      </c>
      <c r="DJ257" s="72">
        <v>0</v>
      </c>
      <c r="DK257" s="72">
        <v>0</v>
      </c>
      <c r="DL257" s="72">
        <v>0</v>
      </c>
      <c r="DM257" s="72">
        <v>0</v>
      </c>
    </row>
    <row r="258" spans="1:117" x14ac:dyDescent="0.35">
      <c r="A258" s="7"/>
      <c r="B258" s="8" t="s">
        <v>472</v>
      </c>
      <c r="C258" s="9" t="s">
        <v>473</v>
      </c>
      <c r="D258" s="10" t="s">
        <v>92</v>
      </c>
      <c r="E258" s="8" t="s">
        <v>1208</v>
      </c>
      <c r="F258" s="10">
        <v>1006</v>
      </c>
      <c r="G258" s="10" t="s">
        <v>92</v>
      </c>
      <c r="H258" s="10" t="s">
        <v>41</v>
      </c>
      <c r="I258" s="11">
        <v>0</v>
      </c>
      <c r="J258" s="10"/>
      <c r="K258" s="10"/>
      <c r="L258" s="8" t="s">
        <v>468</v>
      </c>
      <c r="M258" s="12"/>
      <c r="N258" s="12">
        <f t="shared" si="5"/>
        <v>0</v>
      </c>
      <c r="O258" s="11">
        <v>8</v>
      </c>
      <c r="P258" s="11">
        <v>0</v>
      </c>
      <c r="Q258" s="11">
        <v>0</v>
      </c>
      <c r="R258" s="11">
        <v>0</v>
      </c>
      <c r="S258" s="11">
        <v>0</v>
      </c>
      <c r="T258" s="11">
        <v>0</v>
      </c>
      <c r="U258" s="11">
        <v>0</v>
      </c>
      <c r="V258" s="11">
        <v>0</v>
      </c>
      <c r="W258" s="11">
        <v>0</v>
      </c>
      <c r="X258" s="11">
        <v>0</v>
      </c>
      <c r="Y258" s="11">
        <v>0</v>
      </c>
      <c r="Z258" s="11">
        <v>0</v>
      </c>
      <c r="AA258" s="11">
        <v>0</v>
      </c>
      <c r="AB258" s="11">
        <v>0</v>
      </c>
      <c r="AC258" s="11">
        <v>0</v>
      </c>
      <c r="AD258" s="11">
        <v>0</v>
      </c>
      <c r="AE258" s="11">
        <v>0</v>
      </c>
      <c r="AF258" s="11">
        <v>0</v>
      </c>
      <c r="AG258" s="11">
        <v>0</v>
      </c>
      <c r="AH258" s="11">
        <v>0</v>
      </c>
      <c r="AI258" s="11">
        <v>0</v>
      </c>
      <c r="AJ258" s="11">
        <v>0</v>
      </c>
      <c r="AK258" s="11">
        <v>0</v>
      </c>
      <c r="AL258" s="11">
        <v>0</v>
      </c>
      <c r="AM258" s="11">
        <v>0</v>
      </c>
      <c r="AN258" s="72">
        <v>0</v>
      </c>
      <c r="AO258" s="72">
        <v>0</v>
      </c>
      <c r="AP258" s="72">
        <v>0</v>
      </c>
      <c r="AQ258" s="72">
        <v>0</v>
      </c>
      <c r="AR258" s="72">
        <v>0</v>
      </c>
      <c r="AS258" s="72">
        <v>0</v>
      </c>
      <c r="AT258" s="72">
        <v>0</v>
      </c>
      <c r="AU258" s="72">
        <v>0</v>
      </c>
      <c r="AV258" s="72">
        <v>0</v>
      </c>
      <c r="AW258" s="72">
        <v>0</v>
      </c>
      <c r="AX258" s="72">
        <v>0</v>
      </c>
      <c r="AY258" s="72">
        <v>0</v>
      </c>
      <c r="AZ258" s="72">
        <v>0</v>
      </c>
      <c r="BA258" s="72">
        <v>0</v>
      </c>
      <c r="BB258" s="72">
        <v>0</v>
      </c>
      <c r="BC258" s="72">
        <v>0</v>
      </c>
      <c r="BD258" s="72">
        <v>0</v>
      </c>
      <c r="BE258" s="72">
        <v>0</v>
      </c>
      <c r="BF258" s="72">
        <v>0</v>
      </c>
      <c r="BG258" s="72">
        <v>0</v>
      </c>
      <c r="BH258" s="72">
        <v>0</v>
      </c>
      <c r="BI258" s="72">
        <v>0</v>
      </c>
      <c r="BJ258" s="72">
        <v>0</v>
      </c>
      <c r="BK258" s="72">
        <v>0</v>
      </c>
      <c r="BL258" s="72">
        <v>0</v>
      </c>
      <c r="BM258" s="72">
        <v>0</v>
      </c>
      <c r="BN258" s="72">
        <v>0</v>
      </c>
      <c r="BO258" s="72">
        <v>0</v>
      </c>
      <c r="BP258" s="72">
        <v>0</v>
      </c>
      <c r="BQ258" s="72">
        <v>0</v>
      </c>
      <c r="BR258" s="72">
        <v>0</v>
      </c>
      <c r="BS258" s="72">
        <v>0</v>
      </c>
      <c r="BT258" s="72">
        <v>0</v>
      </c>
      <c r="BU258" s="72">
        <v>0</v>
      </c>
      <c r="BV258" s="72">
        <v>0</v>
      </c>
      <c r="BW258" s="72">
        <v>0</v>
      </c>
      <c r="BX258" s="72">
        <v>0</v>
      </c>
      <c r="BY258" s="72">
        <v>0</v>
      </c>
      <c r="BZ258" s="72">
        <v>0</v>
      </c>
      <c r="CA258" s="72">
        <v>0</v>
      </c>
      <c r="CB258" s="72">
        <v>0</v>
      </c>
      <c r="CC258" s="72">
        <v>0</v>
      </c>
      <c r="CD258" s="72">
        <v>0</v>
      </c>
      <c r="CE258" s="72">
        <v>0</v>
      </c>
      <c r="CF258" s="72">
        <v>0</v>
      </c>
      <c r="CG258" s="72">
        <v>0</v>
      </c>
      <c r="CH258" s="72">
        <v>0</v>
      </c>
      <c r="CI258" s="72">
        <v>0</v>
      </c>
      <c r="CJ258" s="72">
        <v>0</v>
      </c>
      <c r="CK258" s="72">
        <v>0</v>
      </c>
      <c r="CL258" s="72">
        <v>0</v>
      </c>
      <c r="CM258" s="72">
        <v>0</v>
      </c>
      <c r="CN258" s="72">
        <v>0</v>
      </c>
      <c r="CO258" s="72">
        <v>0</v>
      </c>
      <c r="CP258" s="72">
        <v>0</v>
      </c>
      <c r="CQ258" s="72">
        <v>0</v>
      </c>
      <c r="CR258" s="72">
        <v>0</v>
      </c>
      <c r="CS258" s="72">
        <v>0</v>
      </c>
      <c r="CT258" s="72">
        <v>0</v>
      </c>
      <c r="CU258" s="72">
        <v>0</v>
      </c>
      <c r="CV258" s="72">
        <v>0</v>
      </c>
      <c r="CW258" s="72">
        <v>0</v>
      </c>
      <c r="CX258" s="72">
        <v>0</v>
      </c>
      <c r="CY258" s="72">
        <v>0</v>
      </c>
      <c r="CZ258" s="72">
        <v>0</v>
      </c>
      <c r="DA258" s="72">
        <v>0</v>
      </c>
      <c r="DB258" s="72">
        <v>0</v>
      </c>
      <c r="DC258" s="72">
        <v>0</v>
      </c>
      <c r="DD258" s="72">
        <v>0</v>
      </c>
      <c r="DE258" s="72">
        <v>0</v>
      </c>
      <c r="DF258" s="72">
        <v>0</v>
      </c>
      <c r="DG258" s="72">
        <v>0</v>
      </c>
      <c r="DH258" s="72">
        <v>0</v>
      </c>
      <c r="DI258" s="72">
        <v>0</v>
      </c>
      <c r="DJ258" s="72">
        <v>0</v>
      </c>
      <c r="DK258" s="72">
        <v>0</v>
      </c>
      <c r="DL258" s="72">
        <v>0</v>
      </c>
      <c r="DM258" s="72">
        <v>0</v>
      </c>
    </row>
    <row r="259" spans="1:117" x14ac:dyDescent="0.35">
      <c r="A259" s="7"/>
      <c r="B259" s="8" t="s">
        <v>474</v>
      </c>
      <c r="C259" s="9" t="s">
        <v>1163</v>
      </c>
      <c r="D259" s="10" t="s">
        <v>92</v>
      </c>
      <c r="E259" s="8" t="s">
        <v>1208</v>
      </c>
      <c r="F259" s="10">
        <v>1006</v>
      </c>
      <c r="G259" s="10" t="s">
        <v>92</v>
      </c>
      <c r="H259" s="10" t="s">
        <v>41</v>
      </c>
      <c r="I259" s="11">
        <v>8</v>
      </c>
      <c r="J259" s="10"/>
      <c r="K259" s="10"/>
      <c r="L259" s="8" t="s">
        <v>468</v>
      </c>
      <c r="M259" s="12"/>
      <c r="N259" s="12">
        <f t="shared" ref="N259:N322" si="6">M259*DM259</f>
        <v>0</v>
      </c>
      <c r="O259" s="11"/>
      <c r="P259" s="11"/>
      <c r="Q259" s="11"/>
      <c r="R259" s="11"/>
      <c r="S259" s="11"/>
      <c r="T259" s="11"/>
      <c r="U259" s="11"/>
      <c r="V259" s="11"/>
      <c r="W259" s="11"/>
      <c r="X259" s="11"/>
      <c r="Y259" s="11"/>
      <c r="Z259" s="11"/>
      <c r="AA259" s="11"/>
      <c r="AB259" s="11"/>
      <c r="AC259" s="11"/>
      <c r="AD259" s="11"/>
      <c r="AE259" s="11"/>
      <c r="AF259" s="11"/>
      <c r="AG259" s="11"/>
      <c r="AH259" s="11"/>
      <c r="AI259" s="11"/>
      <c r="AJ259" s="11">
        <v>8</v>
      </c>
      <c r="AK259" s="11">
        <v>8</v>
      </c>
      <c r="AL259" s="11">
        <v>8</v>
      </c>
      <c r="AM259" s="11">
        <v>8</v>
      </c>
      <c r="AN259" s="72">
        <v>8</v>
      </c>
      <c r="AO259" s="72">
        <v>8</v>
      </c>
      <c r="AP259" s="72">
        <v>8</v>
      </c>
      <c r="AQ259" s="72">
        <v>8</v>
      </c>
      <c r="AR259" s="72">
        <v>8</v>
      </c>
      <c r="AS259" s="72">
        <v>8</v>
      </c>
      <c r="AT259" s="72">
        <v>8</v>
      </c>
      <c r="AU259" s="72">
        <v>8</v>
      </c>
      <c r="AV259" s="72">
        <v>8</v>
      </c>
      <c r="AW259" s="72">
        <v>8</v>
      </c>
      <c r="AX259" s="72">
        <v>8</v>
      </c>
      <c r="AY259" s="72">
        <v>8</v>
      </c>
      <c r="AZ259" s="72">
        <v>8</v>
      </c>
      <c r="BA259" s="72">
        <v>8</v>
      </c>
      <c r="BB259" s="72">
        <v>8</v>
      </c>
      <c r="BC259" s="72">
        <v>8</v>
      </c>
      <c r="BD259" s="72">
        <v>8</v>
      </c>
      <c r="BE259" s="72">
        <v>0</v>
      </c>
      <c r="BF259" s="72">
        <v>0</v>
      </c>
      <c r="BG259" s="72">
        <v>0</v>
      </c>
      <c r="BH259" s="72">
        <v>0</v>
      </c>
      <c r="BI259" s="72">
        <v>0</v>
      </c>
      <c r="BJ259" s="72">
        <v>0</v>
      </c>
      <c r="BK259" s="72">
        <v>0</v>
      </c>
      <c r="BL259" s="72">
        <v>0</v>
      </c>
      <c r="BM259" s="72">
        <v>0</v>
      </c>
      <c r="BN259" s="72">
        <v>0</v>
      </c>
      <c r="BO259" s="72">
        <v>0</v>
      </c>
      <c r="BP259" s="72">
        <v>0</v>
      </c>
      <c r="BQ259" s="72">
        <v>0</v>
      </c>
      <c r="BR259" s="72">
        <v>0</v>
      </c>
      <c r="BS259" s="72">
        <v>0</v>
      </c>
      <c r="BT259" s="72">
        <v>0</v>
      </c>
      <c r="BU259" s="72">
        <v>0</v>
      </c>
      <c r="BV259" s="72">
        <v>0</v>
      </c>
      <c r="BW259" s="72">
        <v>0</v>
      </c>
      <c r="BX259" s="72">
        <v>0</v>
      </c>
      <c r="BY259" s="72">
        <v>0</v>
      </c>
      <c r="BZ259" s="72">
        <v>0</v>
      </c>
      <c r="CA259" s="72">
        <v>0</v>
      </c>
      <c r="CB259" s="72">
        <v>0</v>
      </c>
      <c r="CC259" s="72">
        <v>0</v>
      </c>
      <c r="CD259" s="72">
        <v>0</v>
      </c>
      <c r="CE259" s="72">
        <v>0</v>
      </c>
      <c r="CF259" s="72">
        <v>0</v>
      </c>
      <c r="CG259" s="72">
        <v>0</v>
      </c>
      <c r="CH259" s="72">
        <v>0</v>
      </c>
      <c r="CI259" s="72">
        <v>0</v>
      </c>
      <c r="CJ259" s="72">
        <v>0</v>
      </c>
      <c r="CK259" s="72">
        <v>0</v>
      </c>
      <c r="CL259" s="72">
        <v>0</v>
      </c>
      <c r="CM259" s="72">
        <v>0</v>
      </c>
      <c r="CN259" s="72">
        <v>0</v>
      </c>
      <c r="CO259" s="72">
        <v>0</v>
      </c>
      <c r="CP259" s="72">
        <v>0</v>
      </c>
      <c r="CQ259" s="72">
        <v>0</v>
      </c>
      <c r="CR259" s="72">
        <v>0</v>
      </c>
      <c r="CS259" s="72">
        <v>0</v>
      </c>
      <c r="CT259" s="72">
        <v>0</v>
      </c>
      <c r="CU259" s="72">
        <v>0</v>
      </c>
      <c r="CV259" s="72">
        <v>0</v>
      </c>
      <c r="CW259" s="72">
        <v>0</v>
      </c>
      <c r="CX259" s="72">
        <v>0</v>
      </c>
      <c r="CY259" s="72">
        <v>0</v>
      </c>
      <c r="CZ259" s="72">
        <v>0</v>
      </c>
      <c r="DA259" s="72">
        <v>0</v>
      </c>
      <c r="DB259" s="72">
        <v>0</v>
      </c>
      <c r="DC259" s="72">
        <v>0</v>
      </c>
      <c r="DD259" s="72">
        <v>0</v>
      </c>
      <c r="DE259" s="72">
        <v>0</v>
      </c>
      <c r="DF259" s="72">
        <v>0</v>
      </c>
      <c r="DG259" s="72">
        <v>0</v>
      </c>
      <c r="DH259" s="72">
        <v>0</v>
      </c>
      <c r="DI259" s="72">
        <v>0</v>
      </c>
      <c r="DJ259" s="72">
        <v>0</v>
      </c>
      <c r="DK259" s="72">
        <v>0</v>
      </c>
      <c r="DL259" s="72">
        <v>0</v>
      </c>
      <c r="DM259" s="72">
        <v>0</v>
      </c>
    </row>
    <row r="260" spans="1:117" x14ac:dyDescent="0.35">
      <c r="A260" s="7"/>
      <c r="B260" s="8" t="s">
        <v>475</v>
      </c>
      <c r="C260" s="9" t="s">
        <v>476</v>
      </c>
      <c r="D260" s="10" t="s">
        <v>92</v>
      </c>
      <c r="E260" s="8" t="s">
        <v>1204</v>
      </c>
      <c r="F260" s="10">
        <v>1002</v>
      </c>
      <c r="G260" s="10" t="s">
        <v>92</v>
      </c>
      <c r="H260" s="10" t="s">
        <v>41</v>
      </c>
      <c r="I260" s="11">
        <v>5</v>
      </c>
      <c r="J260" s="10"/>
      <c r="K260" s="10" t="s">
        <v>42</v>
      </c>
      <c r="L260" s="8"/>
      <c r="M260" s="12">
        <v>17.64</v>
      </c>
      <c r="N260" s="12">
        <f t="shared" si="6"/>
        <v>52.92</v>
      </c>
      <c r="O260" s="11">
        <v>5</v>
      </c>
      <c r="P260" s="11">
        <v>5</v>
      </c>
      <c r="Q260" s="11">
        <v>5</v>
      </c>
      <c r="R260" s="11">
        <v>5</v>
      </c>
      <c r="S260" s="11">
        <v>5</v>
      </c>
      <c r="T260" s="11">
        <v>5</v>
      </c>
      <c r="U260" s="11">
        <v>5</v>
      </c>
      <c r="V260" s="11">
        <v>5</v>
      </c>
      <c r="W260" s="11">
        <v>5</v>
      </c>
      <c r="X260" s="11">
        <v>5</v>
      </c>
      <c r="Y260" s="11">
        <v>5</v>
      </c>
      <c r="Z260" s="11">
        <v>5</v>
      </c>
      <c r="AA260" s="11">
        <v>5</v>
      </c>
      <c r="AB260" s="11">
        <v>5</v>
      </c>
      <c r="AC260" s="11">
        <v>5</v>
      </c>
      <c r="AD260" s="11">
        <v>5</v>
      </c>
      <c r="AE260" s="11">
        <v>5</v>
      </c>
      <c r="AF260" s="11">
        <v>5</v>
      </c>
      <c r="AG260" s="11">
        <v>5</v>
      </c>
      <c r="AH260" s="11">
        <v>5</v>
      </c>
      <c r="AI260" s="11">
        <v>5</v>
      </c>
      <c r="AJ260" s="11">
        <v>5</v>
      </c>
      <c r="AK260" s="11">
        <v>5</v>
      </c>
      <c r="AL260" s="11">
        <v>3</v>
      </c>
      <c r="AM260" s="11">
        <v>3</v>
      </c>
      <c r="AN260" s="72">
        <v>3</v>
      </c>
      <c r="AO260" s="72">
        <v>3</v>
      </c>
      <c r="AP260" s="72">
        <v>3</v>
      </c>
      <c r="AQ260" s="72">
        <v>3</v>
      </c>
      <c r="AR260" s="72">
        <v>3</v>
      </c>
      <c r="AS260" s="72">
        <v>3</v>
      </c>
      <c r="AT260" s="72">
        <v>3</v>
      </c>
      <c r="AU260" s="72">
        <v>3</v>
      </c>
      <c r="AV260" s="72">
        <v>3</v>
      </c>
      <c r="AW260" s="72">
        <v>3</v>
      </c>
      <c r="AX260" s="72">
        <v>3</v>
      </c>
      <c r="AY260" s="72">
        <v>3</v>
      </c>
      <c r="AZ260" s="72">
        <v>3</v>
      </c>
      <c r="BA260" s="72">
        <v>3</v>
      </c>
      <c r="BB260" s="72">
        <v>3</v>
      </c>
      <c r="BC260" s="72">
        <v>3</v>
      </c>
      <c r="BD260" s="72">
        <v>3</v>
      </c>
      <c r="BE260" s="72">
        <v>3</v>
      </c>
      <c r="BF260" s="72">
        <v>3</v>
      </c>
      <c r="BG260" s="72">
        <v>3</v>
      </c>
      <c r="BH260" s="72">
        <v>3</v>
      </c>
      <c r="BI260" s="72">
        <v>3</v>
      </c>
      <c r="BJ260" s="72">
        <v>3</v>
      </c>
      <c r="BK260" s="72">
        <v>3</v>
      </c>
      <c r="BL260" s="72">
        <v>3</v>
      </c>
      <c r="BM260" s="72">
        <v>3</v>
      </c>
      <c r="BN260" s="72">
        <v>3</v>
      </c>
      <c r="BO260" s="72">
        <v>3</v>
      </c>
      <c r="BP260" s="72">
        <v>3</v>
      </c>
      <c r="BQ260" s="72">
        <v>3</v>
      </c>
      <c r="BR260" s="72">
        <v>3</v>
      </c>
      <c r="BS260" s="72">
        <v>3</v>
      </c>
      <c r="BT260" s="72">
        <v>3</v>
      </c>
      <c r="BU260" s="72">
        <v>3</v>
      </c>
      <c r="BV260" s="72">
        <v>3</v>
      </c>
      <c r="BW260" s="72">
        <v>3</v>
      </c>
      <c r="BX260" s="72">
        <v>3</v>
      </c>
      <c r="BY260" s="72">
        <v>3</v>
      </c>
      <c r="BZ260" s="72">
        <v>3</v>
      </c>
      <c r="CA260" s="72">
        <v>3</v>
      </c>
      <c r="CB260" s="72">
        <v>3</v>
      </c>
      <c r="CC260" s="72">
        <v>3</v>
      </c>
      <c r="CD260" s="72">
        <v>3</v>
      </c>
      <c r="CE260" s="72">
        <v>3</v>
      </c>
      <c r="CF260" s="72">
        <v>3</v>
      </c>
      <c r="CG260" s="72">
        <v>3</v>
      </c>
      <c r="CH260" s="72">
        <v>3</v>
      </c>
      <c r="CI260" s="72">
        <v>3</v>
      </c>
      <c r="CJ260" s="72">
        <v>3</v>
      </c>
      <c r="CK260" s="72">
        <v>3</v>
      </c>
      <c r="CL260" s="72">
        <v>3</v>
      </c>
      <c r="CM260" s="72">
        <v>3</v>
      </c>
      <c r="CN260" s="72">
        <v>3</v>
      </c>
      <c r="CO260" s="72">
        <v>3</v>
      </c>
      <c r="CP260" s="72">
        <v>3</v>
      </c>
      <c r="CQ260" s="72">
        <v>3</v>
      </c>
      <c r="CR260" s="72">
        <v>3</v>
      </c>
      <c r="CS260" s="72">
        <v>3</v>
      </c>
      <c r="CT260" s="72">
        <v>3</v>
      </c>
      <c r="CU260" s="72">
        <v>3</v>
      </c>
      <c r="CV260" s="72">
        <v>3</v>
      </c>
      <c r="CW260" s="72">
        <v>3</v>
      </c>
      <c r="CX260" s="72">
        <v>3</v>
      </c>
      <c r="CY260" s="72">
        <v>3</v>
      </c>
      <c r="CZ260" s="72">
        <v>3</v>
      </c>
      <c r="DA260" s="72">
        <v>3</v>
      </c>
      <c r="DB260" s="72">
        <v>3</v>
      </c>
      <c r="DC260" s="72">
        <v>3</v>
      </c>
      <c r="DD260" s="72">
        <v>3</v>
      </c>
      <c r="DE260" s="72">
        <v>3</v>
      </c>
      <c r="DF260" s="72">
        <v>3</v>
      </c>
      <c r="DG260" s="72">
        <v>3</v>
      </c>
      <c r="DH260" s="72">
        <v>3</v>
      </c>
      <c r="DI260" s="72">
        <v>3</v>
      </c>
      <c r="DJ260" s="72">
        <v>3</v>
      </c>
      <c r="DK260" s="72">
        <v>3</v>
      </c>
      <c r="DL260" s="72">
        <v>3</v>
      </c>
      <c r="DM260" s="72">
        <v>3</v>
      </c>
    </row>
    <row r="261" spans="1:117" x14ac:dyDescent="0.35">
      <c r="A261" s="7"/>
      <c r="B261" s="8" t="s">
        <v>477</v>
      </c>
      <c r="C261" s="9" t="s">
        <v>478</v>
      </c>
      <c r="D261" s="10" t="s">
        <v>92</v>
      </c>
      <c r="E261" s="8" t="s">
        <v>1205</v>
      </c>
      <c r="F261" s="10">
        <v>1103</v>
      </c>
      <c r="G261" s="10" t="s">
        <v>92</v>
      </c>
      <c r="H261" s="10" t="s">
        <v>41</v>
      </c>
      <c r="I261" s="11">
        <v>32</v>
      </c>
      <c r="J261" s="10">
        <v>2</v>
      </c>
      <c r="K261" s="10" t="s">
        <v>135</v>
      </c>
      <c r="L261" s="8" t="s">
        <v>479</v>
      </c>
      <c r="M261" s="12">
        <v>4.95</v>
      </c>
      <c r="N261" s="12">
        <f t="shared" si="6"/>
        <v>0</v>
      </c>
      <c r="O261" s="11">
        <v>100</v>
      </c>
      <c r="P261" s="11">
        <v>60</v>
      </c>
      <c r="Q261" s="11">
        <v>60</v>
      </c>
      <c r="R261" s="11">
        <v>60</v>
      </c>
      <c r="S261" s="11">
        <v>60</v>
      </c>
      <c r="T261" s="11">
        <v>62</v>
      </c>
      <c r="U261" s="11">
        <v>62</v>
      </c>
      <c r="V261" s="11">
        <v>62</v>
      </c>
      <c r="W261" s="11">
        <v>62</v>
      </c>
      <c r="X261" s="11">
        <v>62</v>
      </c>
      <c r="Y261" s="11">
        <v>37</v>
      </c>
      <c r="Z261" s="11">
        <v>34</v>
      </c>
      <c r="AA261" s="11">
        <v>34</v>
      </c>
      <c r="AB261" s="11">
        <v>34</v>
      </c>
      <c r="AC261" s="11">
        <v>34</v>
      </c>
      <c r="AD261" s="11">
        <v>34</v>
      </c>
      <c r="AE261" s="11">
        <v>34</v>
      </c>
      <c r="AF261" s="11">
        <v>34</v>
      </c>
      <c r="AG261" s="11">
        <v>34</v>
      </c>
      <c r="AH261" s="11">
        <v>32</v>
      </c>
      <c r="AI261" s="11">
        <v>32</v>
      </c>
      <c r="AJ261" s="11">
        <v>32</v>
      </c>
      <c r="AK261" s="11">
        <v>32</v>
      </c>
      <c r="AL261" s="11">
        <v>32</v>
      </c>
      <c r="AM261" s="11">
        <v>32</v>
      </c>
      <c r="AN261" s="72">
        <v>32</v>
      </c>
      <c r="AO261" s="72">
        <v>32</v>
      </c>
      <c r="AP261" s="72">
        <v>32</v>
      </c>
      <c r="AQ261" s="72">
        <v>32</v>
      </c>
      <c r="AR261" s="72">
        <v>24</v>
      </c>
      <c r="AS261" s="72">
        <v>24</v>
      </c>
      <c r="AT261" s="72">
        <v>4</v>
      </c>
      <c r="AU261" s="72">
        <v>4</v>
      </c>
      <c r="AV261" s="72">
        <v>4</v>
      </c>
      <c r="AW261" s="72">
        <v>0</v>
      </c>
      <c r="AX261" s="72">
        <v>0</v>
      </c>
      <c r="AY261" s="72">
        <v>0</v>
      </c>
      <c r="AZ261" s="72">
        <v>0</v>
      </c>
      <c r="BA261" s="72">
        <v>0</v>
      </c>
      <c r="BB261" s="72">
        <v>0</v>
      </c>
      <c r="BC261" s="72">
        <v>0</v>
      </c>
      <c r="BD261" s="72">
        <v>50</v>
      </c>
      <c r="BE261" s="72">
        <v>40</v>
      </c>
      <c r="BF261" s="72">
        <v>8</v>
      </c>
      <c r="BG261" s="72">
        <v>8</v>
      </c>
      <c r="BH261" s="72">
        <v>38</v>
      </c>
      <c r="BI261" s="72">
        <v>38</v>
      </c>
      <c r="BJ261" s="72">
        <v>38</v>
      </c>
      <c r="BK261" s="72">
        <v>28</v>
      </c>
      <c r="BL261" s="72">
        <v>28</v>
      </c>
      <c r="BM261" s="72">
        <v>28</v>
      </c>
      <c r="BN261" s="72">
        <v>28</v>
      </c>
      <c r="BO261" s="72">
        <v>25</v>
      </c>
      <c r="BP261" s="72">
        <v>25</v>
      </c>
      <c r="BQ261" s="72">
        <v>19</v>
      </c>
      <c r="BR261" s="72">
        <v>16</v>
      </c>
      <c r="BS261" s="72">
        <v>15</v>
      </c>
      <c r="BT261" s="72">
        <v>15</v>
      </c>
      <c r="BU261" s="72">
        <v>14</v>
      </c>
      <c r="BV261" s="72">
        <v>4</v>
      </c>
      <c r="BW261" s="72">
        <v>0</v>
      </c>
      <c r="BX261" s="72">
        <v>0</v>
      </c>
      <c r="BY261" s="72">
        <v>40</v>
      </c>
      <c r="BZ261" s="72">
        <v>20</v>
      </c>
      <c r="CA261" s="72">
        <v>10</v>
      </c>
      <c r="CB261" s="72">
        <v>10</v>
      </c>
      <c r="CC261" s="72">
        <v>10</v>
      </c>
      <c r="CD261" s="72">
        <v>0</v>
      </c>
      <c r="CE261" s="72">
        <v>0</v>
      </c>
      <c r="CF261" s="72">
        <v>0</v>
      </c>
      <c r="CG261" s="72">
        <v>0</v>
      </c>
      <c r="CH261" s="72">
        <v>0</v>
      </c>
      <c r="CI261" s="72">
        <v>0</v>
      </c>
      <c r="CJ261" s="72">
        <v>0</v>
      </c>
      <c r="CK261" s="72">
        <v>0</v>
      </c>
      <c r="CL261" s="72">
        <v>0</v>
      </c>
      <c r="CM261" s="72">
        <v>0</v>
      </c>
      <c r="CN261" s="72">
        <v>0</v>
      </c>
      <c r="CO261" s="72">
        <v>0</v>
      </c>
      <c r="CP261" s="72">
        <v>0</v>
      </c>
      <c r="CQ261" s="72">
        <v>0</v>
      </c>
      <c r="CR261" s="72">
        <v>0</v>
      </c>
      <c r="CS261" s="72">
        <v>0</v>
      </c>
      <c r="CT261" s="72">
        <v>0</v>
      </c>
      <c r="CU261" s="72">
        <v>0</v>
      </c>
      <c r="CV261" s="72">
        <v>0</v>
      </c>
      <c r="CW261" s="72">
        <v>0</v>
      </c>
      <c r="CX261" s="72">
        <v>0</v>
      </c>
      <c r="CY261" s="72">
        <v>0</v>
      </c>
      <c r="CZ261" s="72">
        <v>0</v>
      </c>
      <c r="DA261" s="72">
        <v>0</v>
      </c>
      <c r="DB261" s="72">
        <v>0</v>
      </c>
      <c r="DC261" s="72">
        <v>0</v>
      </c>
      <c r="DD261" s="72">
        <v>0</v>
      </c>
      <c r="DE261" s="72">
        <v>0</v>
      </c>
      <c r="DF261" s="72">
        <v>0</v>
      </c>
      <c r="DG261" s="72">
        <v>0</v>
      </c>
      <c r="DH261" s="72">
        <v>0</v>
      </c>
      <c r="DI261" s="72">
        <v>0</v>
      </c>
      <c r="DJ261" s="72">
        <v>0</v>
      </c>
      <c r="DK261" s="72">
        <v>0</v>
      </c>
      <c r="DL261" s="72">
        <v>0</v>
      </c>
      <c r="DM261" s="72">
        <v>0</v>
      </c>
    </row>
    <row r="262" spans="1:117" x14ac:dyDescent="0.35">
      <c r="A262" s="7"/>
      <c r="B262" s="8" t="s">
        <v>480</v>
      </c>
      <c r="C262" s="9" t="s">
        <v>481</v>
      </c>
      <c r="D262" s="10" t="s">
        <v>92</v>
      </c>
      <c r="E262" s="8" t="s">
        <v>1205</v>
      </c>
      <c r="F262" s="10">
        <v>1103</v>
      </c>
      <c r="G262" s="10" t="s">
        <v>92</v>
      </c>
      <c r="H262" s="10" t="s">
        <v>41</v>
      </c>
      <c r="I262" s="11">
        <v>8</v>
      </c>
      <c r="J262" s="10">
        <v>1</v>
      </c>
      <c r="K262" s="10" t="s">
        <v>135</v>
      </c>
      <c r="L262" s="8" t="s">
        <v>248</v>
      </c>
      <c r="M262" s="12">
        <v>2.48</v>
      </c>
      <c r="N262" s="12">
        <f t="shared" si="6"/>
        <v>57.04</v>
      </c>
      <c r="O262" s="11">
        <v>0</v>
      </c>
      <c r="P262" s="11">
        <v>0</v>
      </c>
      <c r="Q262" s="11">
        <v>0</v>
      </c>
      <c r="R262" s="11">
        <v>0</v>
      </c>
      <c r="S262" s="11">
        <v>6</v>
      </c>
      <c r="T262" s="11">
        <v>7</v>
      </c>
      <c r="U262" s="11">
        <v>7</v>
      </c>
      <c r="V262" s="11">
        <v>8</v>
      </c>
      <c r="W262" s="11">
        <v>8</v>
      </c>
      <c r="X262" s="11">
        <v>8</v>
      </c>
      <c r="Y262" s="11">
        <v>8</v>
      </c>
      <c r="Z262" s="11">
        <v>8</v>
      </c>
      <c r="AA262" s="11">
        <v>8</v>
      </c>
      <c r="AB262" s="11">
        <v>8</v>
      </c>
      <c r="AC262" s="11">
        <v>8</v>
      </c>
      <c r="AD262" s="11">
        <v>8</v>
      </c>
      <c r="AE262" s="11">
        <v>8</v>
      </c>
      <c r="AF262" s="11">
        <v>8</v>
      </c>
      <c r="AG262" s="11">
        <v>8</v>
      </c>
      <c r="AH262" s="11">
        <v>8</v>
      </c>
      <c r="AI262" s="11">
        <v>8</v>
      </c>
      <c r="AJ262" s="11">
        <v>8</v>
      </c>
      <c r="AK262" s="11">
        <v>8</v>
      </c>
      <c r="AL262" s="11">
        <v>8</v>
      </c>
      <c r="AM262" s="11">
        <v>8</v>
      </c>
      <c r="AN262" s="72">
        <v>8</v>
      </c>
      <c r="AO262" s="72">
        <v>8</v>
      </c>
      <c r="AP262" s="72">
        <v>8</v>
      </c>
      <c r="AQ262" s="72">
        <v>8</v>
      </c>
      <c r="AR262" s="72">
        <v>8</v>
      </c>
      <c r="AS262" s="72">
        <v>8</v>
      </c>
      <c r="AT262" s="72">
        <v>8</v>
      </c>
      <c r="AU262" s="72">
        <v>8</v>
      </c>
      <c r="AV262" s="72">
        <v>8</v>
      </c>
      <c r="AW262" s="72">
        <v>8</v>
      </c>
      <c r="AX262" s="72">
        <v>8</v>
      </c>
      <c r="AY262" s="72">
        <v>8</v>
      </c>
      <c r="AZ262" s="72">
        <v>8</v>
      </c>
      <c r="BA262" s="72">
        <v>8</v>
      </c>
      <c r="BB262" s="72">
        <v>8</v>
      </c>
      <c r="BC262" s="72">
        <v>8</v>
      </c>
      <c r="BD262" s="72">
        <v>28</v>
      </c>
      <c r="BE262" s="72">
        <v>28</v>
      </c>
      <c r="BF262" s="72">
        <v>28</v>
      </c>
      <c r="BG262" s="72">
        <v>28</v>
      </c>
      <c r="BH262" s="72">
        <v>28</v>
      </c>
      <c r="BI262" s="72">
        <v>28</v>
      </c>
      <c r="BJ262" s="72">
        <v>28</v>
      </c>
      <c r="BK262" s="72">
        <v>28</v>
      </c>
      <c r="BL262" s="72">
        <v>28</v>
      </c>
      <c r="BM262" s="72">
        <v>28</v>
      </c>
      <c r="BN262" s="72">
        <v>28</v>
      </c>
      <c r="BO262" s="72">
        <v>28</v>
      </c>
      <c r="BP262" s="72">
        <v>28</v>
      </c>
      <c r="BQ262" s="72">
        <v>28</v>
      </c>
      <c r="BR262" s="72">
        <v>28</v>
      </c>
      <c r="BS262" s="72">
        <v>26</v>
      </c>
      <c r="BT262" s="72">
        <v>26</v>
      </c>
      <c r="BU262" s="72">
        <v>26</v>
      </c>
      <c r="BV262" s="72">
        <v>23</v>
      </c>
      <c r="BW262" s="72">
        <v>23</v>
      </c>
      <c r="BX262" s="72">
        <v>23</v>
      </c>
      <c r="BY262" s="72">
        <v>23</v>
      </c>
      <c r="BZ262" s="72">
        <v>23</v>
      </c>
      <c r="CA262" s="72">
        <v>23</v>
      </c>
      <c r="CB262" s="72">
        <v>23</v>
      </c>
      <c r="CC262" s="72">
        <v>23</v>
      </c>
      <c r="CD262" s="72">
        <v>23</v>
      </c>
      <c r="CE262" s="72">
        <v>23</v>
      </c>
      <c r="CF262" s="72">
        <v>23</v>
      </c>
      <c r="CG262" s="72">
        <v>23</v>
      </c>
      <c r="CH262" s="72">
        <v>23</v>
      </c>
      <c r="CI262" s="72">
        <v>23</v>
      </c>
      <c r="CJ262" s="72">
        <v>23</v>
      </c>
      <c r="CK262" s="72">
        <v>23</v>
      </c>
      <c r="CL262" s="72">
        <v>23</v>
      </c>
      <c r="CM262" s="72">
        <v>23</v>
      </c>
      <c r="CN262" s="72">
        <v>23</v>
      </c>
      <c r="CO262" s="72">
        <v>23</v>
      </c>
      <c r="CP262" s="72">
        <v>23</v>
      </c>
      <c r="CQ262" s="72">
        <v>23</v>
      </c>
      <c r="CR262" s="72">
        <v>23</v>
      </c>
      <c r="CS262" s="72">
        <v>23</v>
      </c>
      <c r="CT262" s="72">
        <v>23</v>
      </c>
      <c r="CU262" s="72">
        <v>23</v>
      </c>
      <c r="CV262" s="72">
        <v>23</v>
      </c>
      <c r="CW262" s="72">
        <v>23</v>
      </c>
      <c r="CX262" s="72">
        <v>23</v>
      </c>
      <c r="CY262" s="72">
        <v>23</v>
      </c>
      <c r="CZ262" s="72">
        <v>23</v>
      </c>
      <c r="DA262" s="72">
        <v>23</v>
      </c>
      <c r="DB262" s="72">
        <v>23</v>
      </c>
      <c r="DC262" s="72">
        <v>23</v>
      </c>
      <c r="DD262" s="72">
        <v>23</v>
      </c>
      <c r="DE262" s="72">
        <v>23</v>
      </c>
      <c r="DF262" s="72">
        <v>23</v>
      </c>
      <c r="DG262" s="72">
        <v>23</v>
      </c>
      <c r="DH262" s="72">
        <v>23</v>
      </c>
      <c r="DI262" s="72">
        <v>23</v>
      </c>
      <c r="DJ262" s="72">
        <v>23</v>
      </c>
      <c r="DK262" s="72">
        <v>23</v>
      </c>
      <c r="DL262" s="72">
        <v>23</v>
      </c>
      <c r="DM262" s="72">
        <v>23</v>
      </c>
    </row>
    <row r="263" spans="1:117" x14ac:dyDescent="0.35">
      <c r="A263" s="7"/>
      <c r="B263" s="8" t="s">
        <v>1399</v>
      </c>
      <c r="C263" s="9" t="s">
        <v>481</v>
      </c>
      <c r="D263" s="10" t="s">
        <v>92</v>
      </c>
      <c r="E263" s="8" t="s">
        <v>1205</v>
      </c>
      <c r="F263" s="10"/>
      <c r="G263" s="10"/>
      <c r="H263" s="10" t="s">
        <v>41</v>
      </c>
      <c r="I263" s="11"/>
      <c r="J263" s="10"/>
      <c r="K263" s="10"/>
      <c r="L263" s="8"/>
      <c r="M263" s="12">
        <v>2.48</v>
      </c>
      <c r="N263" s="12">
        <f t="shared" si="6"/>
        <v>2.48</v>
      </c>
      <c r="O263" s="11"/>
      <c r="P263" s="11"/>
      <c r="Q263" s="11"/>
      <c r="R263" s="11"/>
      <c r="S263" s="11"/>
      <c r="T263" s="11"/>
      <c r="U263" s="11"/>
      <c r="V263" s="11"/>
      <c r="W263" s="11"/>
      <c r="X263" s="11"/>
      <c r="Y263" s="11"/>
      <c r="Z263" s="11"/>
      <c r="AA263" s="11"/>
      <c r="AB263" s="11"/>
      <c r="AC263" s="11"/>
      <c r="AD263" s="11"/>
      <c r="AE263" s="11"/>
      <c r="AF263" s="11"/>
      <c r="AG263" s="11"/>
      <c r="AH263" s="11"/>
      <c r="AI263" s="11"/>
      <c r="AJ263" s="11"/>
      <c r="AK263" s="11"/>
      <c r="AL263" s="11"/>
      <c r="AM263" s="11"/>
      <c r="AN263" s="72"/>
      <c r="AO263" s="72"/>
      <c r="AP263" s="72"/>
      <c r="AQ263" s="72"/>
      <c r="AR263" s="72"/>
      <c r="AS263" s="72"/>
      <c r="AT263" s="72"/>
      <c r="AU263" s="72"/>
      <c r="AV263" s="72"/>
      <c r="AW263" s="72"/>
      <c r="AX263" s="72"/>
      <c r="AY263" s="72"/>
      <c r="AZ263" s="72"/>
      <c r="BA263" s="72"/>
      <c r="BB263" s="72"/>
      <c r="BC263" s="72"/>
      <c r="BD263" s="72"/>
      <c r="BE263" s="72"/>
      <c r="BF263" s="72"/>
      <c r="BG263" s="72"/>
      <c r="BH263" s="72"/>
      <c r="BI263" s="72"/>
      <c r="BJ263" s="72"/>
      <c r="BK263" s="72"/>
      <c r="BL263" s="72"/>
      <c r="BM263" s="72"/>
      <c r="BN263" s="72"/>
      <c r="BO263" s="72"/>
      <c r="BP263" s="72"/>
      <c r="BQ263" s="72"/>
      <c r="BR263" s="72"/>
      <c r="BS263" s="72"/>
      <c r="BT263" s="72"/>
      <c r="BU263" s="72"/>
      <c r="BV263" s="72"/>
      <c r="BW263" s="72"/>
      <c r="BX263" s="72">
        <v>1</v>
      </c>
      <c r="BY263" s="72">
        <v>1</v>
      </c>
      <c r="BZ263" s="72">
        <v>1</v>
      </c>
      <c r="CA263" s="72">
        <v>1</v>
      </c>
      <c r="CB263" s="72">
        <v>1</v>
      </c>
      <c r="CC263" s="72">
        <v>1</v>
      </c>
      <c r="CD263" s="72">
        <v>1</v>
      </c>
      <c r="CE263" s="72">
        <v>1</v>
      </c>
      <c r="CF263" s="72">
        <v>1</v>
      </c>
      <c r="CG263" s="72">
        <v>1</v>
      </c>
      <c r="CH263" s="72">
        <v>1</v>
      </c>
      <c r="CI263" s="72">
        <v>1</v>
      </c>
      <c r="CJ263" s="72">
        <v>1</v>
      </c>
      <c r="CK263" s="72">
        <v>1</v>
      </c>
      <c r="CL263" s="72">
        <v>1</v>
      </c>
      <c r="CM263" s="72">
        <v>1</v>
      </c>
      <c r="CN263" s="72">
        <v>1</v>
      </c>
      <c r="CO263" s="72">
        <v>1</v>
      </c>
      <c r="CP263" s="72">
        <v>1</v>
      </c>
      <c r="CQ263" s="72">
        <v>1</v>
      </c>
      <c r="CR263" s="72">
        <v>1</v>
      </c>
      <c r="CS263" s="72">
        <v>1</v>
      </c>
      <c r="CT263" s="72">
        <v>1</v>
      </c>
      <c r="CU263" s="72">
        <v>1</v>
      </c>
      <c r="CV263" s="72">
        <v>1</v>
      </c>
      <c r="CW263" s="72">
        <v>1</v>
      </c>
      <c r="CX263" s="72">
        <v>1</v>
      </c>
      <c r="CY263" s="72">
        <v>1</v>
      </c>
      <c r="CZ263" s="72">
        <v>1</v>
      </c>
      <c r="DA263" s="72">
        <v>1</v>
      </c>
      <c r="DB263" s="72">
        <v>1</v>
      </c>
      <c r="DC263" s="72">
        <v>1</v>
      </c>
      <c r="DD263" s="72">
        <v>1</v>
      </c>
      <c r="DE263" s="72">
        <v>1</v>
      </c>
      <c r="DF263" s="72">
        <v>1</v>
      </c>
      <c r="DG263" s="72">
        <v>1</v>
      </c>
      <c r="DH263" s="72">
        <v>1</v>
      </c>
      <c r="DI263" s="72">
        <v>1</v>
      </c>
      <c r="DJ263" s="72">
        <v>1</v>
      </c>
      <c r="DK263" s="72">
        <v>1</v>
      </c>
      <c r="DL263" s="72">
        <v>1</v>
      </c>
      <c r="DM263" s="72">
        <v>1</v>
      </c>
    </row>
    <row r="264" spans="1:117" x14ac:dyDescent="0.35">
      <c r="A264" s="7"/>
      <c r="B264" s="8" t="s">
        <v>482</v>
      </c>
      <c r="C264" s="9" t="s">
        <v>483</v>
      </c>
      <c r="D264" s="10" t="s">
        <v>92</v>
      </c>
      <c r="E264" s="8" t="s">
        <v>1205</v>
      </c>
      <c r="F264" s="10">
        <v>1103</v>
      </c>
      <c r="G264" s="10" t="s">
        <v>92</v>
      </c>
      <c r="H264" s="10" t="s">
        <v>41</v>
      </c>
      <c r="I264" s="11">
        <v>42</v>
      </c>
      <c r="J264" s="10"/>
      <c r="K264" s="10" t="s">
        <v>135</v>
      </c>
      <c r="L264" s="8"/>
      <c r="M264" s="12">
        <v>2.97</v>
      </c>
      <c r="N264" s="12">
        <f t="shared" si="6"/>
        <v>118.80000000000001</v>
      </c>
      <c r="O264" s="11">
        <v>42</v>
      </c>
      <c r="P264" s="11">
        <v>42</v>
      </c>
      <c r="Q264" s="11">
        <v>42</v>
      </c>
      <c r="R264" s="11">
        <v>42</v>
      </c>
      <c r="S264" s="11">
        <v>42</v>
      </c>
      <c r="T264" s="11">
        <v>42</v>
      </c>
      <c r="U264" s="11">
        <v>42</v>
      </c>
      <c r="V264" s="11">
        <v>42</v>
      </c>
      <c r="W264" s="11">
        <v>42</v>
      </c>
      <c r="X264" s="11">
        <v>42</v>
      </c>
      <c r="Y264" s="11">
        <v>42</v>
      </c>
      <c r="Z264" s="11">
        <v>42</v>
      </c>
      <c r="AA264" s="11">
        <v>42</v>
      </c>
      <c r="AB264" s="11">
        <v>42</v>
      </c>
      <c r="AC264" s="11">
        <v>42</v>
      </c>
      <c r="AD264" s="11">
        <v>42</v>
      </c>
      <c r="AE264" s="11">
        <v>42</v>
      </c>
      <c r="AF264" s="11">
        <v>42</v>
      </c>
      <c r="AG264" s="11">
        <v>42</v>
      </c>
      <c r="AH264" s="11">
        <v>42</v>
      </c>
      <c r="AI264" s="11">
        <v>42</v>
      </c>
      <c r="AJ264" s="11">
        <v>42</v>
      </c>
      <c r="AK264" s="11">
        <v>42</v>
      </c>
      <c r="AL264" s="11">
        <v>42</v>
      </c>
      <c r="AM264" s="11">
        <v>42</v>
      </c>
      <c r="AN264" s="72">
        <v>42</v>
      </c>
      <c r="AO264" s="72">
        <v>42</v>
      </c>
      <c r="AP264" s="72">
        <v>42</v>
      </c>
      <c r="AQ264" s="72">
        <v>42</v>
      </c>
      <c r="AR264" s="72">
        <v>42</v>
      </c>
      <c r="AS264" s="72">
        <v>42</v>
      </c>
      <c r="AT264" s="72">
        <v>42</v>
      </c>
      <c r="AU264" s="72">
        <v>42</v>
      </c>
      <c r="AV264" s="72">
        <v>42</v>
      </c>
      <c r="AW264" s="72">
        <v>42</v>
      </c>
      <c r="AX264" s="72">
        <v>42</v>
      </c>
      <c r="AY264" s="72">
        <v>42</v>
      </c>
      <c r="AZ264" s="72">
        <v>42</v>
      </c>
      <c r="BA264" s="72">
        <v>42</v>
      </c>
      <c r="BB264" s="72">
        <v>42</v>
      </c>
      <c r="BC264" s="72">
        <v>42</v>
      </c>
      <c r="BD264" s="72">
        <v>42</v>
      </c>
      <c r="BE264" s="72">
        <v>42</v>
      </c>
      <c r="BF264" s="72">
        <v>42</v>
      </c>
      <c r="BG264" s="72">
        <v>42</v>
      </c>
      <c r="BH264" s="72">
        <v>42</v>
      </c>
      <c r="BI264" s="72">
        <v>42</v>
      </c>
      <c r="BJ264" s="72">
        <v>42</v>
      </c>
      <c r="BK264" s="72">
        <v>42</v>
      </c>
      <c r="BL264" s="72">
        <v>42</v>
      </c>
      <c r="BM264" s="72">
        <v>42</v>
      </c>
      <c r="BN264" s="72">
        <v>42</v>
      </c>
      <c r="BO264" s="72">
        <v>42</v>
      </c>
      <c r="BP264" s="72">
        <v>42</v>
      </c>
      <c r="BQ264" s="72">
        <v>42</v>
      </c>
      <c r="BR264" s="72">
        <v>42</v>
      </c>
      <c r="BS264" s="72">
        <v>42</v>
      </c>
      <c r="BT264" s="72">
        <v>42</v>
      </c>
      <c r="BU264" s="72">
        <v>42</v>
      </c>
      <c r="BV264" s="72">
        <v>40</v>
      </c>
      <c r="BW264" s="72">
        <v>40</v>
      </c>
      <c r="BX264" s="72">
        <v>40</v>
      </c>
      <c r="BY264" s="72">
        <v>40</v>
      </c>
      <c r="BZ264" s="72">
        <v>40</v>
      </c>
      <c r="CA264" s="72">
        <v>40</v>
      </c>
      <c r="CB264" s="72">
        <v>40</v>
      </c>
      <c r="CC264" s="72">
        <v>40</v>
      </c>
      <c r="CD264" s="72">
        <v>40</v>
      </c>
      <c r="CE264" s="72">
        <v>40</v>
      </c>
      <c r="CF264" s="72">
        <v>40</v>
      </c>
      <c r="CG264" s="72">
        <v>40</v>
      </c>
      <c r="CH264" s="72">
        <v>40</v>
      </c>
      <c r="CI264" s="72">
        <v>40</v>
      </c>
      <c r="CJ264" s="72">
        <v>40</v>
      </c>
      <c r="CK264" s="72">
        <v>40</v>
      </c>
      <c r="CL264" s="72">
        <v>40</v>
      </c>
      <c r="CM264" s="72">
        <v>40</v>
      </c>
      <c r="CN264" s="72">
        <v>40</v>
      </c>
      <c r="CO264" s="72">
        <v>40</v>
      </c>
      <c r="CP264" s="72">
        <v>40</v>
      </c>
      <c r="CQ264" s="72">
        <v>40</v>
      </c>
      <c r="CR264" s="72">
        <v>40</v>
      </c>
      <c r="CS264" s="72">
        <v>40</v>
      </c>
      <c r="CT264" s="72">
        <v>40</v>
      </c>
      <c r="CU264" s="72">
        <v>40</v>
      </c>
      <c r="CV264" s="72">
        <v>40</v>
      </c>
      <c r="CW264" s="72">
        <v>40</v>
      </c>
      <c r="CX264" s="72">
        <v>40</v>
      </c>
      <c r="CY264" s="72">
        <v>40</v>
      </c>
      <c r="CZ264" s="72">
        <v>40</v>
      </c>
      <c r="DA264" s="72">
        <v>40</v>
      </c>
      <c r="DB264" s="72">
        <v>40</v>
      </c>
      <c r="DC264" s="72">
        <v>40</v>
      </c>
      <c r="DD264" s="72">
        <v>40</v>
      </c>
      <c r="DE264" s="72">
        <v>40</v>
      </c>
      <c r="DF264" s="72">
        <v>40</v>
      </c>
      <c r="DG264" s="72">
        <v>40</v>
      </c>
      <c r="DH264" s="72">
        <v>40</v>
      </c>
      <c r="DI264" s="72">
        <v>40</v>
      </c>
      <c r="DJ264" s="72">
        <v>40</v>
      </c>
      <c r="DK264" s="72">
        <v>40</v>
      </c>
      <c r="DL264" s="72">
        <v>40</v>
      </c>
      <c r="DM264" s="72">
        <v>40</v>
      </c>
    </row>
    <row r="265" spans="1:117" x14ac:dyDescent="0.35">
      <c r="A265" s="7"/>
      <c r="B265" s="8" t="s">
        <v>1400</v>
      </c>
      <c r="C265" s="9" t="s">
        <v>483</v>
      </c>
      <c r="D265" s="10" t="s">
        <v>92</v>
      </c>
      <c r="E265" s="8" t="s">
        <v>1205</v>
      </c>
      <c r="F265" s="10"/>
      <c r="G265" s="10"/>
      <c r="H265" s="10" t="s">
        <v>41</v>
      </c>
      <c r="I265" s="11"/>
      <c r="J265" s="10"/>
      <c r="K265" s="10"/>
      <c r="L265" s="8"/>
      <c r="M265" s="12">
        <v>2.97</v>
      </c>
      <c r="N265" s="12">
        <f t="shared" si="6"/>
        <v>2.97</v>
      </c>
      <c r="O265" s="11"/>
      <c r="P265" s="11"/>
      <c r="Q265" s="11"/>
      <c r="R265" s="11"/>
      <c r="S265" s="11"/>
      <c r="T265" s="11"/>
      <c r="U265" s="11"/>
      <c r="V265" s="11"/>
      <c r="W265" s="11"/>
      <c r="X265" s="11"/>
      <c r="Y265" s="11"/>
      <c r="Z265" s="11"/>
      <c r="AA265" s="11"/>
      <c r="AB265" s="11"/>
      <c r="AC265" s="11"/>
      <c r="AD265" s="11"/>
      <c r="AE265" s="11"/>
      <c r="AF265" s="11"/>
      <c r="AG265" s="11"/>
      <c r="AH265" s="11"/>
      <c r="AI265" s="11"/>
      <c r="AJ265" s="11"/>
      <c r="AK265" s="11"/>
      <c r="AL265" s="11"/>
      <c r="AM265" s="11"/>
      <c r="AN265" s="72"/>
      <c r="AO265" s="72"/>
      <c r="AP265" s="72"/>
      <c r="AQ265" s="72"/>
      <c r="AR265" s="72"/>
      <c r="AS265" s="72"/>
      <c r="AT265" s="72"/>
      <c r="AU265" s="72"/>
      <c r="AV265" s="72"/>
      <c r="AW265" s="72"/>
      <c r="AX265" s="72"/>
      <c r="AY265" s="72"/>
      <c r="AZ265" s="72"/>
      <c r="BA265" s="72"/>
      <c r="BB265" s="72"/>
      <c r="BC265" s="72"/>
      <c r="BD265" s="72"/>
      <c r="BE265" s="72"/>
      <c r="BF265" s="72"/>
      <c r="BG265" s="72"/>
      <c r="BH265" s="72"/>
      <c r="BI265" s="72"/>
      <c r="BJ265" s="72"/>
      <c r="BK265" s="72"/>
      <c r="BL265" s="72"/>
      <c r="BM265" s="72"/>
      <c r="BN265" s="72"/>
      <c r="BO265" s="72"/>
      <c r="BP265" s="72"/>
      <c r="BQ265" s="72"/>
      <c r="BR265" s="72"/>
      <c r="BS265" s="72"/>
      <c r="BT265" s="72"/>
      <c r="BU265" s="72"/>
      <c r="BV265" s="72"/>
      <c r="BW265" s="72"/>
      <c r="BX265" s="72">
        <v>1</v>
      </c>
      <c r="BY265" s="72">
        <v>1</v>
      </c>
      <c r="BZ265" s="72">
        <v>1</v>
      </c>
      <c r="CA265" s="72">
        <v>1</v>
      </c>
      <c r="CB265" s="72">
        <v>1</v>
      </c>
      <c r="CC265" s="72">
        <v>1</v>
      </c>
      <c r="CD265" s="72">
        <v>1</v>
      </c>
      <c r="CE265" s="72">
        <v>1</v>
      </c>
      <c r="CF265" s="72">
        <v>1</v>
      </c>
      <c r="CG265" s="72">
        <v>1</v>
      </c>
      <c r="CH265" s="72">
        <v>1</v>
      </c>
      <c r="CI265" s="72">
        <v>1</v>
      </c>
      <c r="CJ265" s="72">
        <v>1</v>
      </c>
      <c r="CK265" s="72">
        <v>1</v>
      </c>
      <c r="CL265" s="72">
        <v>1</v>
      </c>
      <c r="CM265" s="72">
        <v>1</v>
      </c>
      <c r="CN265" s="72">
        <v>1</v>
      </c>
      <c r="CO265" s="72">
        <v>1</v>
      </c>
      <c r="CP265" s="72">
        <v>1</v>
      </c>
      <c r="CQ265" s="72">
        <v>1</v>
      </c>
      <c r="CR265" s="72">
        <v>1</v>
      </c>
      <c r="CS265" s="72">
        <v>1</v>
      </c>
      <c r="CT265" s="72">
        <v>1</v>
      </c>
      <c r="CU265" s="72">
        <v>1</v>
      </c>
      <c r="CV265" s="72">
        <v>1</v>
      </c>
      <c r="CW265" s="72">
        <v>1</v>
      </c>
      <c r="CX265" s="72">
        <v>1</v>
      </c>
      <c r="CY265" s="72">
        <v>1</v>
      </c>
      <c r="CZ265" s="72">
        <v>1</v>
      </c>
      <c r="DA265" s="72">
        <v>1</v>
      </c>
      <c r="DB265" s="72">
        <v>1</v>
      </c>
      <c r="DC265" s="72">
        <v>1</v>
      </c>
      <c r="DD265" s="72">
        <v>1</v>
      </c>
      <c r="DE265" s="72">
        <v>1</v>
      </c>
      <c r="DF265" s="72">
        <v>1</v>
      </c>
      <c r="DG265" s="72">
        <v>1</v>
      </c>
      <c r="DH265" s="72">
        <v>1</v>
      </c>
      <c r="DI265" s="72">
        <v>1</v>
      </c>
      <c r="DJ265" s="72">
        <v>1</v>
      </c>
      <c r="DK265" s="72">
        <v>1</v>
      </c>
      <c r="DL265" s="72">
        <v>1</v>
      </c>
      <c r="DM265" s="72">
        <v>1</v>
      </c>
    </row>
    <row r="266" spans="1:117" x14ac:dyDescent="0.35">
      <c r="A266" s="7"/>
      <c r="B266" s="8" t="s">
        <v>484</v>
      </c>
      <c r="C266" s="9" t="s">
        <v>485</v>
      </c>
      <c r="D266" s="10" t="s">
        <v>92</v>
      </c>
      <c r="E266" s="8" t="s">
        <v>1205</v>
      </c>
      <c r="F266" s="10">
        <v>1103</v>
      </c>
      <c r="G266" s="10" t="s">
        <v>92</v>
      </c>
      <c r="H266" s="10" t="s">
        <v>41</v>
      </c>
      <c r="I266" s="11">
        <v>42</v>
      </c>
      <c r="J266" s="10"/>
      <c r="K266" s="10" t="s">
        <v>135</v>
      </c>
      <c r="L266" s="8"/>
      <c r="M266" s="12">
        <v>3.47</v>
      </c>
      <c r="N266" s="12">
        <f t="shared" si="6"/>
        <v>145.74</v>
      </c>
      <c r="O266" s="11">
        <v>39</v>
      </c>
      <c r="P266" s="11">
        <v>39</v>
      </c>
      <c r="Q266" s="11">
        <v>39</v>
      </c>
      <c r="R266" s="11">
        <v>39</v>
      </c>
      <c r="S266" s="11">
        <v>39</v>
      </c>
      <c r="T266" s="11">
        <v>42</v>
      </c>
      <c r="U266" s="11">
        <v>42</v>
      </c>
      <c r="V266" s="11">
        <v>42</v>
      </c>
      <c r="W266" s="11">
        <v>42</v>
      </c>
      <c r="X266" s="11">
        <v>42</v>
      </c>
      <c r="Y266" s="11">
        <v>42</v>
      </c>
      <c r="Z266" s="11">
        <v>42</v>
      </c>
      <c r="AA266" s="11">
        <v>42</v>
      </c>
      <c r="AB266" s="11">
        <v>42</v>
      </c>
      <c r="AC266" s="11">
        <v>42</v>
      </c>
      <c r="AD266" s="11">
        <v>42</v>
      </c>
      <c r="AE266" s="11">
        <v>42</v>
      </c>
      <c r="AF266" s="11">
        <v>42</v>
      </c>
      <c r="AG266" s="11">
        <v>42</v>
      </c>
      <c r="AH266" s="11">
        <v>42</v>
      </c>
      <c r="AI266" s="11">
        <v>42</v>
      </c>
      <c r="AJ266" s="11">
        <v>42</v>
      </c>
      <c r="AK266" s="11">
        <v>42</v>
      </c>
      <c r="AL266" s="11">
        <v>42</v>
      </c>
      <c r="AM266" s="11">
        <v>42</v>
      </c>
      <c r="AN266" s="72">
        <v>42</v>
      </c>
      <c r="AO266" s="72">
        <v>42</v>
      </c>
      <c r="AP266" s="72">
        <v>42</v>
      </c>
      <c r="AQ266" s="72">
        <v>42</v>
      </c>
      <c r="AR266" s="72">
        <v>42</v>
      </c>
      <c r="AS266" s="72">
        <v>42</v>
      </c>
      <c r="AT266" s="72">
        <v>42</v>
      </c>
      <c r="AU266" s="72">
        <v>42</v>
      </c>
      <c r="AV266" s="72">
        <v>42</v>
      </c>
      <c r="AW266" s="72">
        <v>42</v>
      </c>
      <c r="AX266" s="72">
        <v>42</v>
      </c>
      <c r="AY266" s="72">
        <v>42</v>
      </c>
      <c r="AZ266" s="72">
        <v>42</v>
      </c>
      <c r="BA266" s="72">
        <v>42</v>
      </c>
      <c r="BB266" s="72">
        <v>42</v>
      </c>
      <c r="BC266" s="72">
        <v>42</v>
      </c>
      <c r="BD266" s="72">
        <v>42</v>
      </c>
      <c r="BE266" s="72">
        <v>42</v>
      </c>
      <c r="BF266" s="72">
        <v>42</v>
      </c>
      <c r="BG266" s="72">
        <v>42</v>
      </c>
      <c r="BH266" s="72">
        <v>42</v>
      </c>
      <c r="BI266" s="72">
        <v>42</v>
      </c>
      <c r="BJ266" s="72">
        <v>42</v>
      </c>
      <c r="BK266" s="72">
        <v>42</v>
      </c>
      <c r="BL266" s="72">
        <v>42</v>
      </c>
      <c r="BM266" s="72">
        <v>42</v>
      </c>
      <c r="BN266" s="72">
        <v>42</v>
      </c>
      <c r="BO266" s="72">
        <v>42</v>
      </c>
      <c r="BP266" s="72">
        <v>42</v>
      </c>
      <c r="BQ266" s="72">
        <v>42</v>
      </c>
      <c r="BR266" s="72">
        <v>42</v>
      </c>
      <c r="BS266" s="72">
        <v>42</v>
      </c>
      <c r="BT266" s="72">
        <v>42</v>
      </c>
      <c r="BU266" s="72">
        <v>42</v>
      </c>
      <c r="BV266" s="72">
        <v>42</v>
      </c>
      <c r="BW266" s="72">
        <v>42</v>
      </c>
      <c r="BX266" s="72">
        <v>42</v>
      </c>
      <c r="BY266" s="72">
        <v>42</v>
      </c>
      <c r="BZ266" s="72">
        <v>42</v>
      </c>
      <c r="CA266" s="72">
        <v>42</v>
      </c>
      <c r="CB266" s="72">
        <v>42</v>
      </c>
      <c r="CC266" s="72">
        <v>42</v>
      </c>
      <c r="CD266" s="72">
        <v>42</v>
      </c>
      <c r="CE266" s="72">
        <v>42</v>
      </c>
      <c r="CF266" s="72">
        <v>42</v>
      </c>
      <c r="CG266" s="72">
        <v>42</v>
      </c>
      <c r="CH266" s="72">
        <v>42</v>
      </c>
      <c r="CI266" s="72">
        <v>42</v>
      </c>
      <c r="CJ266" s="72">
        <v>42</v>
      </c>
      <c r="CK266" s="72">
        <v>42</v>
      </c>
      <c r="CL266" s="72">
        <v>42</v>
      </c>
      <c r="CM266" s="72">
        <v>42</v>
      </c>
      <c r="CN266" s="72">
        <v>42</v>
      </c>
      <c r="CO266" s="72">
        <v>42</v>
      </c>
      <c r="CP266" s="72">
        <v>42</v>
      </c>
      <c r="CQ266" s="72">
        <v>42</v>
      </c>
      <c r="CR266" s="72">
        <v>42</v>
      </c>
      <c r="CS266" s="72">
        <v>42</v>
      </c>
      <c r="CT266" s="72">
        <v>42</v>
      </c>
      <c r="CU266" s="72">
        <v>42</v>
      </c>
      <c r="CV266" s="72">
        <v>42</v>
      </c>
      <c r="CW266" s="72">
        <v>42</v>
      </c>
      <c r="CX266" s="72">
        <v>42</v>
      </c>
      <c r="CY266" s="72">
        <v>42</v>
      </c>
      <c r="CZ266" s="72">
        <v>42</v>
      </c>
      <c r="DA266" s="72">
        <v>42</v>
      </c>
      <c r="DB266" s="72">
        <v>42</v>
      </c>
      <c r="DC266" s="72">
        <v>42</v>
      </c>
      <c r="DD266" s="72">
        <v>42</v>
      </c>
      <c r="DE266" s="72">
        <v>42</v>
      </c>
      <c r="DF266" s="72">
        <v>42</v>
      </c>
      <c r="DG266" s="72">
        <v>42</v>
      </c>
      <c r="DH266" s="72">
        <v>42</v>
      </c>
      <c r="DI266" s="72">
        <v>42</v>
      </c>
      <c r="DJ266" s="72">
        <v>42</v>
      </c>
      <c r="DK266" s="72">
        <v>42</v>
      </c>
      <c r="DL266" s="72">
        <v>42</v>
      </c>
      <c r="DM266" s="72">
        <v>42</v>
      </c>
    </row>
    <row r="267" spans="1:117" x14ac:dyDescent="0.35">
      <c r="A267" s="7"/>
      <c r="B267" s="8" t="s">
        <v>486</v>
      </c>
      <c r="C267" s="9" t="s">
        <v>487</v>
      </c>
      <c r="D267" s="10" t="s">
        <v>92</v>
      </c>
      <c r="E267" s="8" t="s">
        <v>1205</v>
      </c>
      <c r="F267" s="10">
        <v>1103</v>
      </c>
      <c r="G267" s="10" t="s">
        <v>92</v>
      </c>
      <c r="H267" s="10" t="s">
        <v>41</v>
      </c>
      <c r="I267" s="11">
        <v>4</v>
      </c>
      <c r="J267" s="10"/>
      <c r="K267" s="10"/>
      <c r="L267" s="8"/>
      <c r="M267" s="12">
        <v>3.96</v>
      </c>
      <c r="N267" s="12">
        <f t="shared" si="6"/>
        <v>0</v>
      </c>
      <c r="O267" s="11">
        <v>8</v>
      </c>
      <c r="P267" s="11">
        <v>8</v>
      </c>
      <c r="Q267" s="11">
        <v>8</v>
      </c>
      <c r="R267" s="11">
        <v>8</v>
      </c>
      <c r="S267" s="11">
        <v>8</v>
      </c>
      <c r="T267" s="11">
        <v>8</v>
      </c>
      <c r="U267" s="11">
        <v>8</v>
      </c>
      <c r="V267" s="11">
        <v>8</v>
      </c>
      <c r="W267" s="11">
        <v>8</v>
      </c>
      <c r="X267" s="11">
        <v>8</v>
      </c>
      <c r="Y267" s="11">
        <v>8</v>
      </c>
      <c r="Z267" s="11">
        <v>6</v>
      </c>
      <c r="AA267" s="11">
        <v>6</v>
      </c>
      <c r="AB267" s="11">
        <v>6</v>
      </c>
      <c r="AC267" s="11">
        <v>6</v>
      </c>
      <c r="AD267" s="11">
        <v>6</v>
      </c>
      <c r="AE267" s="11">
        <v>6</v>
      </c>
      <c r="AF267" s="11">
        <v>6</v>
      </c>
      <c r="AG267" s="11">
        <v>6</v>
      </c>
      <c r="AH267" s="11">
        <v>4</v>
      </c>
      <c r="AI267" s="11">
        <v>4</v>
      </c>
      <c r="AJ267" s="11">
        <v>4</v>
      </c>
      <c r="AK267" s="11">
        <v>4</v>
      </c>
      <c r="AL267" s="11">
        <v>4</v>
      </c>
      <c r="AM267" s="11">
        <v>4</v>
      </c>
      <c r="AN267" s="72">
        <v>4</v>
      </c>
      <c r="AO267" s="72">
        <v>4</v>
      </c>
      <c r="AP267" s="72">
        <v>4</v>
      </c>
      <c r="AQ267" s="72">
        <v>4</v>
      </c>
      <c r="AR267" s="72">
        <v>4</v>
      </c>
      <c r="AS267" s="72">
        <v>4</v>
      </c>
      <c r="AT267" s="72">
        <v>4</v>
      </c>
      <c r="AU267" s="72">
        <v>4</v>
      </c>
      <c r="AV267" s="72">
        <v>0</v>
      </c>
      <c r="AW267" s="72">
        <v>0</v>
      </c>
      <c r="AX267" s="72">
        <v>0</v>
      </c>
      <c r="AY267" s="72">
        <v>0</v>
      </c>
      <c r="AZ267" s="72">
        <v>0</v>
      </c>
      <c r="BA267" s="72">
        <v>0</v>
      </c>
      <c r="BB267" s="72">
        <v>0</v>
      </c>
      <c r="BC267" s="72">
        <v>0</v>
      </c>
      <c r="BD267" s="72">
        <v>0</v>
      </c>
      <c r="BE267" s="72">
        <v>0</v>
      </c>
      <c r="BF267" s="72">
        <v>0</v>
      </c>
      <c r="BG267" s="72">
        <v>0</v>
      </c>
      <c r="BH267" s="72">
        <v>0</v>
      </c>
      <c r="BI267" s="72">
        <v>0</v>
      </c>
      <c r="BJ267" s="72">
        <v>0</v>
      </c>
      <c r="BK267" s="72">
        <v>0</v>
      </c>
      <c r="BL267" s="72">
        <v>0</v>
      </c>
      <c r="BM267" s="72">
        <v>0</v>
      </c>
      <c r="BN267" s="72">
        <v>0</v>
      </c>
      <c r="BO267" s="72">
        <v>0</v>
      </c>
      <c r="BP267" s="72">
        <v>0</v>
      </c>
      <c r="BQ267" s="72">
        <v>0</v>
      </c>
      <c r="BR267" s="72">
        <v>0</v>
      </c>
      <c r="BS267" s="72">
        <v>0</v>
      </c>
      <c r="BT267" s="72">
        <v>0</v>
      </c>
      <c r="BU267" s="72">
        <v>0</v>
      </c>
      <c r="BV267" s="72">
        <v>0</v>
      </c>
      <c r="BW267" s="72">
        <v>0</v>
      </c>
      <c r="BX267" s="72">
        <v>0</v>
      </c>
      <c r="BY267" s="72">
        <v>0</v>
      </c>
      <c r="BZ267" s="72">
        <v>0</v>
      </c>
      <c r="CA267" s="72">
        <v>0</v>
      </c>
      <c r="CB267" s="72">
        <v>0</v>
      </c>
      <c r="CC267" s="72">
        <v>0</v>
      </c>
      <c r="CD267" s="72">
        <v>0</v>
      </c>
      <c r="CE267" s="72">
        <v>0</v>
      </c>
      <c r="CF267" s="72">
        <v>0</v>
      </c>
      <c r="CG267" s="72">
        <v>0</v>
      </c>
      <c r="CH267" s="72">
        <v>0</v>
      </c>
      <c r="CI267" s="72">
        <v>0</v>
      </c>
      <c r="CJ267" s="72">
        <v>0</v>
      </c>
      <c r="CK267" s="72">
        <v>0</v>
      </c>
      <c r="CL267" s="72">
        <v>0</v>
      </c>
      <c r="CM267" s="72">
        <v>0</v>
      </c>
      <c r="CN267" s="72">
        <v>0</v>
      </c>
      <c r="CO267" s="72">
        <v>0</v>
      </c>
      <c r="CP267" s="72">
        <v>0</v>
      </c>
      <c r="CQ267" s="72">
        <v>0</v>
      </c>
      <c r="CR267" s="72">
        <v>0</v>
      </c>
      <c r="CS267" s="72">
        <v>0</v>
      </c>
      <c r="CT267" s="72">
        <v>0</v>
      </c>
      <c r="CU267" s="72">
        <v>0</v>
      </c>
      <c r="CV267" s="72">
        <v>0</v>
      </c>
      <c r="CW267" s="72">
        <v>0</v>
      </c>
      <c r="CX267" s="72">
        <v>0</v>
      </c>
      <c r="CY267" s="72">
        <v>0</v>
      </c>
      <c r="CZ267" s="72">
        <v>0</v>
      </c>
      <c r="DA267" s="72">
        <v>0</v>
      </c>
      <c r="DB267" s="72">
        <v>0</v>
      </c>
      <c r="DC267" s="72">
        <v>0</v>
      </c>
      <c r="DD267" s="72">
        <v>0</v>
      </c>
      <c r="DE267" s="72">
        <v>0</v>
      </c>
      <c r="DF267" s="72">
        <v>0</v>
      </c>
      <c r="DG267" s="72">
        <v>0</v>
      </c>
      <c r="DH267" s="72">
        <v>0</v>
      </c>
      <c r="DI267" s="72">
        <v>0</v>
      </c>
      <c r="DJ267" s="72">
        <v>0</v>
      </c>
      <c r="DK267" s="72">
        <v>0</v>
      </c>
      <c r="DL267" s="72">
        <v>0</v>
      </c>
      <c r="DM267" s="72">
        <v>0</v>
      </c>
    </row>
    <row r="268" spans="1:117" x14ac:dyDescent="0.35">
      <c r="A268" s="7"/>
      <c r="B268" s="8" t="s">
        <v>488</v>
      </c>
      <c r="C268" s="9" t="s">
        <v>489</v>
      </c>
      <c r="D268" s="10" t="s">
        <v>92</v>
      </c>
      <c r="E268" s="8" t="s">
        <v>1205</v>
      </c>
      <c r="F268" s="10">
        <v>1103</v>
      </c>
      <c r="G268" s="10" t="s">
        <v>92</v>
      </c>
      <c r="H268" s="10" t="s">
        <v>41</v>
      </c>
      <c r="I268" s="11">
        <v>4</v>
      </c>
      <c r="J268" s="10"/>
      <c r="K268" s="10"/>
      <c r="L268" s="8"/>
      <c r="M268" s="12">
        <v>19.8</v>
      </c>
      <c r="N268" s="12">
        <f t="shared" si="6"/>
        <v>59.400000000000006</v>
      </c>
      <c r="O268" s="11">
        <v>5</v>
      </c>
      <c r="P268" s="11">
        <v>5</v>
      </c>
      <c r="Q268" s="11">
        <v>5</v>
      </c>
      <c r="R268" s="11">
        <v>5</v>
      </c>
      <c r="S268" s="11">
        <v>5</v>
      </c>
      <c r="T268" s="11">
        <v>4</v>
      </c>
      <c r="U268" s="11">
        <v>4</v>
      </c>
      <c r="V268" s="11">
        <v>4</v>
      </c>
      <c r="W268" s="11">
        <v>4</v>
      </c>
      <c r="X268" s="11">
        <v>4</v>
      </c>
      <c r="Y268" s="11">
        <v>4</v>
      </c>
      <c r="Z268" s="11">
        <v>4</v>
      </c>
      <c r="AA268" s="11">
        <v>4</v>
      </c>
      <c r="AB268" s="11">
        <v>4</v>
      </c>
      <c r="AC268" s="11">
        <v>4</v>
      </c>
      <c r="AD268" s="11">
        <v>4</v>
      </c>
      <c r="AE268" s="11">
        <v>4</v>
      </c>
      <c r="AF268" s="11">
        <v>4</v>
      </c>
      <c r="AG268" s="11">
        <v>4</v>
      </c>
      <c r="AH268" s="11">
        <v>4</v>
      </c>
      <c r="AI268" s="11">
        <v>4</v>
      </c>
      <c r="AJ268" s="11">
        <v>4</v>
      </c>
      <c r="AK268" s="11">
        <v>4</v>
      </c>
      <c r="AL268" s="11">
        <v>4</v>
      </c>
      <c r="AM268" s="11">
        <v>4</v>
      </c>
      <c r="AN268" s="72">
        <v>4</v>
      </c>
      <c r="AO268" s="72">
        <v>4</v>
      </c>
      <c r="AP268" s="72">
        <v>4</v>
      </c>
      <c r="AQ268" s="72">
        <v>4</v>
      </c>
      <c r="AR268" s="72">
        <v>4</v>
      </c>
      <c r="AS268" s="72">
        <v>4</v>
      </c>
      <c r="AT268" s="72">
        <v>4</v>
      </c>
      <c r="AU268" s="72">
        <v>4</v>
      </c>
      <c r="AV268" s="72">
        <v>4</v>
      </c>
      <c r="AW268" s="72">
        <v>4</v>
      </c>
      <c r="AX268" s="72">
        <v>4</v>
      </c>
      <c r="AY268" s="72">
        <v>4</v>
      </c>
      <c r="AZ268" s="72">
        <v>4</v>
      </c>
      <c r="BA268" s="72">
        <v>4</v>
      </c>
      <c r="BB268" s="72">
        <v>4</v>
      </c>
      <c r="BC268" s="72">
        <v>4</v>
      </c>
      <c r="BD268" s="72">
        <v>4</v>
      </c>
      <c r="BE268" s="72">
        <v>4</v>
      </c>
      <c r="BF268" s="72">
        <v>4</v>
      </c>
      <c r="BG268" s="72">
        <v>4</v>
      </c>
      <c r="BH268" s="72">
        <v>4</v>
      </c>
      <c r="BI268" s="72">
        <v>4</v>
      </c>
      <c r="BJ268" s="72">
        <v>4</v>
      </c>
      <c r="BK268" s="72">
        <v>4</v>
      </c>
      <c r="BL268" s="72">
        <v>4</v>
      </c>
      <c r="BM268" s="72">
        <v>4</v>
      </c>
      <c r="BN268" s="72">
        <v>4</v>
      </c>
      <c r="BO268" s="72">
        <v>4</v>
      </c>
      <c r="BP268" s="72">
        <v>4</v>
      </c>
      <c r="BQ268" s="72">
        <v>4</v>
      </c>
      <c r="BR268" s="72">
        <v>4</v>
      </c>
      <c r="BS268" s="72">
        <v>4</v>
      </c>
      <c r="BT268" s="72">
        <v>4</v>
      </c>
      <c r="BU268" s="72">
        <v>4</v>
      </c>
      <c r="BV268" s="72">
        <v>4</v>
      </c>
      <c r="BW268" s="72">
        <v>4</v>
      </c>
      <c r="BX268" s="72">
        <v>4</v>
      </c>
      <c r="BY268" s="72">
        <v>4</v>
      </c>
      <c r="BZ268" s="72">
        <v>4</v>
      </c>
      <c r="CA268" s="72">
        <v>4</v>
      </c>
      <c r="CB268" s="72">
        <v>4</v>
      </c>
      <c r="CC268" s="72">
        <v>4</v>
      </c>
      <c r="CD268" s="72">
        <v>4</v>
      </c>
      <c r="CE268" s="72">
        <v>4</v>
      </c>
      <c r="CF268" s="72">
        <v>4</v>
      </c>
      <c r="CG268" s="72">
        <v>4</v>
      </c>
      <c r="CH268" s="72">
        <v>4</v>
      </c>
      <c r="CI268" s="72">
        <v>4</v>
      </c>
      <c r="CJ268" s="72">
        <v>4</v>
      </c>
      <c r="CK268" s="72">
        <v>4</v>
      </c>
      <c r="CL268" s="72">
        <v>4</v>
      </c>
      <c r="CM268" s="72">
        <v>4</v>
      </c>
      <c r="CN268" s="72">
        <v>4</v>
      </c>
      <c r="CO268" s="72">
        <v>4</v>
      </c>
      <c r="CP268" s="72">
        <v>4</v>
      </c>
      <c r="CQ268" s="72">
        <v>4</v>
      </c>
      <c r="CR268" s="72">
        <v>4</v>
      </c>
      <c r="CS268" s="72">
        <v>4</v>
      </c>
      <c r="CT268" s="72">
        <v>4</v>
      </c>
      <c r="CU268" s="72">
        <v>4</v>
      </c>
      <c r="CV268" s="72">
        <v>4</v>
      </c>
      <c r="CW268" s="72">
        <v>4</v>
      </c>
      <c r="CX268" s="72">
        <v>4</v>
      </c>
      <c r="CY268" s="72">
        <v>4</v>
      </c>
      <c r="CZ268" s="72">
        <v>4</v>
      </c>
      <c r="DA268" s="72">
        <v>4</v>
      </c>
      <c r="DB268" s="72">
        <v>4</v>
      </c>
      <c r="DC268" s="72">
        <v>4</v>
      </c>
      <c r="DD268" s="72">
        <v>4</v>
      </c>
      <c r="DE268" s="72">
        <v>4</v>
      </c>
      <c r="DF268" s="72">
        <v>4</v>
      </c>
      <c r="DG268" s="72">
        <v>4</v>
      </c>
      <c r="DH268" s="72">
        <v>4</v>
      </c>
      <c r="DI268" s="72">
        <v>4</v>
      </c>
      <c r="DJ268" s="72">
        <v>4</v>
      </c>
      <c r="DK268" s="72">
        <v>4</v>
      </c>
      <c r="DL268" s="72">
        <v>3</v>
      </c>
      <c r="DM268" s="72">
        <v>3</v>
      </c>
    </row>
    <row r="269" spans="1:117" x14ac:dyDescent="0.35">
      <c r="A269" s="7"/>
      <c r="B269" s="77" t="s">
        <v>1284</v>
      </c>
      <c r="C269" s="9" t="s">
        <v>1287</v>
      </c>
      <c r="D269" s="10" t="s">
        <v>92</v>
      </c>
      <c r="E269" s="8" t="s">
        <v>1205</v>
      </c>
      <c r="F269" s="10"/>
      <c r="G269" s="10"/>
      <c r="H269" s="10" t="s">
        <v>41</v>
      </c>
      <c r="I269" s="11"/>
      <c r="J269" s="10"/>
      <c r="K269" s="10"/>
      <c r="L269" s="8"/>
      <c r="M269" s="12"/>
      <c r="N269" s="12">
        <f t="shared" si="6"/>
        <v>0</v>
      </c>
      <c r="O269" s="11"/>
      <c r="P269" s="11"/>
      <c r="Q269" s="11"/>
      <c r="R269" s="11"/>
      <c r="S269" s="11"/>
      <c r="T269" s="11"/>
      <c r="U269" s="11"/>
      <c r="V269" s="11"/>
      <c r="W269" s="11"/>
      <c r="X269" s="11"/>
      <c r="Y269" s="11"/>
      <c r="Z269" s="11"/>
      <c r="AA269" s="11"/>
      <c r="AB269" s="11"/>
      <c r="AC269" s="11"/>
      <c r="AD269" s="11"/>
      <c r="AE269" s="11"/>
      <c r="AF269" s="11"/>
      <c r="AG269" s="11"/>
      <c r="AH269" s="11"/>
      <c r="AI269" s="11"/>
      <c r="AJ269" s="11"/>
      <c r="AK269" s="11"/>
      <c r="AL269" s="11"/>
      <c r="AM269" s="11"/>
      <c r="AN269" s="72"/>
      <c r="AO269" s="72"/>
      <c r="AP269" s="72"/>
      <c r="AQ269" s="72"/>
      <c r="AR269" s="72"/>
      <c r="AS269" s="72"/>
      <c r="AT269" s="72"/>
      <c r="AU269" s="72"/>
      <c r="AV269" s="72"/>
      <c r="AW269" s="72"/>
      <c r="AX269" s="72"/>
      <c r="AY269" s="72">
        <v>4</v>
      </c>
      <c r="AZ269" s="72">
        <v>4</v>
      </c>
      <c r="BA269" s="72">
        <v>4</v>
      </c>
      <c r="BB269" s="72">
        <v>4</v>
      </c>
      <c r="BC269" s="72">
        <v>4</v>
      </c>
      <c r="BD269" s="72">
        <v>4</v>
      </c>
      <c r="BE269" s="72">
        <v>4</v>
      </c>
      <c r="BF269" s="72">
        <v>4</v>
      </c>
      <c r="BG269" s="72">
        <v>4</v>
      </c>
      <c r="BH269" s="72">
        <v>4</v>
      </c>
      <c r="BI269" s="72">
        <v>4</v>
      </c>
      <c r="BJ269" s="72">
        <v>4</v>
      </c>
      <c r="BK269" s="72">
        <v>4</v>
      </c>
      <c r="BL269" s="72">
        <v>4</v>
      </c>
      <c r="BM269" s="72">
        <v>4</v>
      </c>
      <c r="BN269" s="72">
        <v>4</v>
      </c>
      <c r="BO269" s="72">
        <v>4</v>
      </c>
      <c r="BP269" s="72">
        <v>4</v>
      </c>
      <c r="BQ269" s="72">
        <v>4</v>
      </c>
      <c r="BR269" s="72">
        <v>4</v>
      </c>
      <c r="BS269" s="72">
        <v>4</v>
      </c>
      <c r="BT269" s="72">
        <v>4</v>
      </c>
      <c r="BU269" s="72">
        <v>4</v>
      </c>
      <c r="BV269" s="72">
        <v>4</v>
      </c>
      <c r="BW269" s="72">
        <v>4</v>
      </c>
      <c r="BX269" s="72">
        <v>4</v>
      </c>
      <c r="BY269" s="72">
        <v>4</v>
      </c>
      <c r="BZ269" s="72">
        <v>4</v>
      </c>
      <c r="CA269" s="72">
        <v>4</v>
      </c>
      <c r="CB269" s="72">
        <v>4</v>
      </c>
      <c r="CC269" s="72">
        <v>4</v>
      </c>
      <c r="CD269" s="72">
        <v>4</v>
      </c>
      <c r="CE269" s="72">
        <v>4</v>
      </c>
      <c r="CF269" s="72">
        <v>4</v>
      </c>
      <c r="CG269" s="72">
        <v>4</v>
      </c>
      <c r="CH269" s="72">
        <v>4</v>
      </c>
      <c r="CI269" s="72">
        <v>4</v>
      </c>
      <c r="CJ269" s="72">
        <v>4</v>
      </c>
      <c r="CK269" s="72">
        <v>4</v>
      </c>
      <c r="CL269" s="72">
        <v>4</v>
      </c>
      <c r="CM269" s="72">
        <v>4</v>
      </c>
      <c r="CN269" s="72">
        <v>4</v>
      </c>
      <c r="CO269" s="72">
        <v>4</v>
      </c>
      <c r="CP269" s="72">
        <v>4</v>
      </c>
      <c r="CQ269" s="72">
        <v>4</v>
      </c>
      <c r="CR269" s="72">
        <v>4</v>
      </c>
      <c r="CS269" s="72">
        <v>4</v>
      </c>
      <c r="CT269" s="72">
        <v>4</v>
      </c>
      <c r="CU269" s="72">
        <v>4</v>
      </c>
      <c r="CV269" s="72">
        <v>4</v>
      </c>
      <c r="CW269" s="72">
        <v>4</v>
      </c>
      <c r="CX269" s="72">
        <v>4</v>
      </c>
      <c r="CY269" s="72">
        <v>4</v>
      </c>
      <c r="CZ269" s="72">
        <v>4</v>
      </c>
      <c r="DA269" s="72">
        <v>4</v>
      </c>
      <c r="DB269" s="72">
        <v>4</v>
      </c>
      <c r="DC269" s="72">
        <v>4</v>
      </c>
      <c r="DD269" s="72">
        <v>4</v>
      </c>
      <c r="DE269" s="72">
        <v>4</v>
      </c>
      <c r="DF269" s="72">
        <v>4</v>
      </c>
      <c r="DG269" s="72">
        <v>4</v>
      </c>
      <c r="DH269" s="72">
        <v>4</v>
      </c>
      <c r="DI269" s="72">
        <v>4</v>
      </c>
      <c r="DJ269" s="72">
        <v>4</v>
      </c>
      <c r="DK269" s="72">
        <v>4</v>
      </c>
      <c r="DL269" s="72">
        <v>4</v>
      </c>
      <c r="DM269" s="72">
        <v>4</v>
      </c>
    </row>
    <row r="270" spans="1:117" x14ac:dyDescent="0.35">
      <c r="A270" s="7"/>
      <c r="B270" s="8" t="s">
        <v>1361</v>
      </c>
      <c r="C270" s="9" t="s">
        <v>1362</v>
      </c>
      <c r="D270" s="10" t="s">
        <v>92</v>
      </c>
      <c r="E270" s="8" t="s">
        <v>1205</v>
      </c>
      <c r="F270" s="10">
        <v>1103</v>
      </c>
      <c r="G270" s="10" t="s">
        <v>92</v>
      </c>
      <c r="H270" s="10" t="s">
        <v>41</v>
      </c>
      <c r="I270" s="11">
        <v>1500</v>
      </c>
      <c r="J270" s="10"/>
      <c r="K270" s="10"/>
      <c r="L270" s="8"/>
      <c r="M270" s="12">
        <v>16.34</v>
      </c>
      <c r="N270" s="12">
        <f t="shared" si="6"/>
        <v>7712.48</v>
      </c>
      <c r="O270" s="11">
        <v>2000</v>
      </c>
      <c r="P270" s="11">
        <v>2000</v>
      </c>
      <c r="Q270" s="11">
        <v>2000</v>
      </c>
      <c r="R270" s="11">
        <v>2000</v>
      </c>
      <c r="S270" s="11">
        <v>2000</v>
      </c>
      <c r="T270" s="11">
        <v>2000</v>
      </c>
      <c r="U270" s="11">
        <v>1950</v>
      </c>
      <c r="V270" s="11">
        <v>1950</v>
      </c>
      <c r="W270" s="11">
        <v>1950</v>
      </c>
      <c r="X270" s="11">
        <v>1950</v>
      </c>
      <c r="Y270" s="11">
        <v>1750</v>
      </c>
      <c r="Z270" s="11">
        <v>1630</v>
      </c>
      <c r="AA270" s="11">
        <v>1630</v>
      </c>
      <c r="AB270" s="11">
        <v>1630</v>
      </c>
      <c r="AC270" s="11">
        <v>1630</v>
      </c>
      <c r="AD270" s="11">
        <v>1630</v>
      </c>
      <c r="AE270" s="11">
        <v>1630</v>
      </c>
      <c r="AF270" s="11">
        <v>1630</v>
      </c>
      <c r="AG270" s="11">
        <v>1530</v>
      </c>
      <c r="AH270" s="11">
        <v>1500</v>
      </c>
      <c r="AI270" s="11">
        <v>1500</v>
      </c>
      <c r="AJ270" s="11">
        <v>1500</v>
      </c>
      <c r="AK270" s="11">
        <v>1500</v>
      </c>
      <c r="AL270" s="11">
        <v>1500</v>
      </c>
      <c r="AM270" s="72">
        <v>1400</v>
      </c>
      <c r="AN270" s="72">
        <v>1400</v>
      </c>
      <c r="AO270" s="72">
        <v>1400</v>
      </c>
      <c r="AP270" s="72">
        <v>1300</v>
      </c>
      <c r="AQ270" s="72">
        <v>1300</v>
      </c>
      <c r="AR270" s="72">
        <v>940</v>
      </c>
      <c r="AS270" s="72">
        <v>940</v>
      </c>
      <c r="AT270" s="72">
        <v>940</v>
      </c>
      <c r="AU270" s="72">
        <v>940</v>
      </c>
      <c r="AV270" s="72">
        <v>940</v>
      </c>
      <c r="AW270" s="72">
        <v>940</v>
      </c>
      <c r="AX270" s="72">
        <v>940</v>
      </c>
      <c r="AY270" s="72">
        <v>940</v>
      </c>
      <c r="AZ270" s="72">
        <v>840</v>
      </c>
      <c r="BA270" s="72">
        <v>640</v>
      </c>
      <c r="BB270" s="72">
        <v>640</v>
      </c>
      <c r="BC270" s="72">
        <v>640</v>
      </c>
      <c r="BD270" s="72">
        <v>2140</v>
      </c>
      <c r="BE270" s="72">
        <v>2140</v>
      </c>
      <c r="BF270" s="72">
        <v>1840</v>
      </c>
      <c r="BG270" s="72">
        <v>1840</v>
      </c>
      <c r="BH270" s="72">
        <v>1740</v>
      </c>
      <c r="BI270" s="72">
        <v>1740</v>
      </c>
      <c r="BJ270" s="72">
        <v>1740</v>
      </c>
      <c r="BK270" s="72">
        <v>1740</v>
      </c>
      <c r="BL270" s="72">
        <v>1740</v>
      </c>
      <c r="BM270" s="72">
        <v>1740</v>
      </c>
      <c r="BN270" s="72">
        <v>1640</v>
      </c>
      <c r="BO270" s="72">
        <v>1640</v>
      </c>
      <c r="BP270" s="72">
        <v>1640</v>
      </c>
      <c r="BQ270" s="72">
        <v>1640</v>
      </c>
      <c r="BR270" s="72">
        <v>1640</v>
      </c>
      <c r="BS270" s="72">
        <v>1440</v>
      </c>
      <c r="BT270" s="72">
        <v>1440</v>
      </c>
      <c r="BU270" s="72">
        <v>1424</v>
      </c>
      <c r="BV270" s="72">
        <v>1376</v>
      </c>
      <c r="BW270" s="72">
        <v>1376</v>
      </c>
      <c r="BX270" s="72">
        <v>1376</v>
      </c>
      <c r="BY270" s="72">
        <v>1376</v>
      </c>
      <c r="BZ270" s="72">
        <v>1376</v>
      </c>
      <c r="CA270" s="72">
        <v>1376</v>
      </c>
      <c r="CB270" s="72">
        <v>1376</v>
      </c>
      <c r="CC270" s="72">
        <v>1376</v>
      </c>
      <c r="CD270" s="72">
        <v>1376</v>
      </c>
      <c r="CE270" s="72">
        <v>1376</v>
      </c>
      <c r="CF270" s="72">
        <v>1376</v>
      </c>
      <c r="CG270" s="72">
        <v>1376</v>
      </c>
      <c r="CH270" s="72">
        <v>1376</v>
      </c>
      <c r="CI270" s="72">
        <v>1276</v>
      </c>
      <c r="CJ270" s="72">
        <v>1276</v>
      </c>
      <c r="CK270" s="72">
        <v>476</v>
      </c>
      <c r="CL270" s="72">
        <v>476</v>
      </c>
      <c r="CM270" s="72">
        <v>476</v>
      </c>
      <c r="CN270" s="72">
        <v>476</v>
      </c>
      <c r="CO270" s="72">
        <v>476</v>
      </c>
      <c r="CP270" s="72">
        <v>476</v>
      </c>
      <c r="CQ270" s="72">
        <v>476</v>
      </c>
      <c r="CR270" s="72">
        <v>476</v>
      </c>
      <c r="CS270" s="72">
        <v>476</v>
      </c>
      <c r="CT270" s="72">
        <v>476</v>
      </c>
      <c r="CU270" s="72">
        <v>476</v>
      </c>
      <c r="CV270" s="72">
        <v>472</v>
      </c>
      <c r="CW270" s="72">
        <v>472</v>
      </c>
      <c r="CX270" s="72">
        <v>472</v>
      </c>
      <c r="CY270" s="72">
        <v>472</v>
      </c>
      <c r="CZ270" s="72">
        <v>472</v>
      </c>
      <c r="DA270" s="72">
        <v>472</v>
      </c>
      <c r="DB270" s="72">
        <v>472</v>
      </c>
      <c r="DC270" s="72">
        <v>472</v>
      </c>
      <c r="DD270" s="72">
        <v>472</v>
      </c>
      <c r="DE270" s="72">
        <v>472</v>
      </c>
      <c r="DF270" s="72">
        <v>472</v>
      </c>
      <c r="DG270" s="72">
        <v>472</v>
      </c>
      <c r="DH270" s="72">
        <v>472</v>
      </c>
      <c r="DI270" s="72">
        <v>472</v>
      </c>
      <c r="DJ270" s="72">
        <v>472</v>
      </c>
      <c r="DK270" s="72">
        <v>472</v>
      </c>
      <c r="DL270" s="72">
        <v>472</v>
      </c>
      <c r="DM270" s="72">
        <v>472</v>
      </c>
    </row>
    <row r="271" spans="1:117" x14ac:dyDescent="0.35">
      <c r="A271" s="7"/>
      <c r="B271" s="8" t="s">
        <v>490</v>
      </c>
      <c r="C271" s="9" t="s">
        <v>491</v>
      </c>
      <c r="D271" s="10" t="s">
        <v>492</v>
      </c>
      <c r="E271" s="8" t="s">
        <v>1222</v>
      </c>
      <c r="F271" s="10">
        <v>1103</v>
      </c>
      <c r="G271" s="10" t="s">
        <v>40</v>
      </c>
      <c r="H271" s="10" t="s">
        <v>41</v>
      </c>
      <c r="I271" s="11">
        <v>1</v>
      </c>
      <c r="J271" s="10"/>
      <c r="K271" s="10"/>
      <c r="L271" s="8"/>
      <c r="M271" s="12">
        <v>98.50500000000001</v>
      </c>
      <c r="N271" s="12">
        <f t="shared" si="6"/>
        <v>98.50500000000001</v>
      </c>
      <c r="O271" s="11">
        <v>1</v>
      </c>
      <c r="P271" s="11">
        <v>1</v>
      </c>
      <c r="Q271" s="11">
        <v>1</v>
      </c>
      <c r="R271" s="11">
        <v>1</v>
      </c>
      <c r="S271" s="11">
        <v>1</v>
      </c>
      <c r="T271" s="11">
        <v>1</v>
      </c>
      <c r="U271" s="11">
        <v>1</v>
      </c>
      <c r="V271" s="11">
        <v>1</v>
      </c>
      <c r="W271" s="11">
        <v>1</v>
      </c>
      <c r="X271" s="11">
        <v>1</v>
      </c>
      <c r="Y271" s="11">
        <v>1</v>
      </c>
      <c r="Z271" s="11">
        <v>1</v>
      </c>
      <c r="AA271" s="11">
        <v>1</v>
      </c>
      <c r="AB271" s="11">
        <v>1</v>
      </c>
      <c r="AC271" s="11">
        <v>1</v>
      </c>
      <c r="AD271" s="11">
        <v>1</v>
      </c>
      <c r="AE271" s="11">
        <v>1</v>
      </c>
      <c r="AF271" s="11">
        <v>1</v>
      </c>
      <c r="AG271" s="11">
        <v>1</v>
      </c>
      <c r="AH271" s="11">
        <v>1</v>
      </c>
      <c r="AI271" s="11">
        <v>1</v>
      </c>
      <c r="AJ271" s="11">
        <v>1</v>
      </c>
      <c r="AK271" s="11">
        <v>1</v>
      </c>
      <c r="AL271" s="11">
        <v>1</v>
      </c>
      <c r="AM271" s="11">
        <v>1</v>
      </c>
      <c r="AN271" s="72">
        <v>1</v>
      </c>
      <c r="AO271" s="72">
        <v>1</v>
      </c>
      <c r="AP271" s="72">
        <v>1</v>
      </c>
      <c r="AQ271" s="72">
        <v>1</v>
      </c>
      <c r="AR271" s="72">
        <v>1</v>
      </c>
      <c r="AS271" s="72">
        <v>1</v>
      </c>
      <c r="AT271" s="72">
        <v>1</v>
      </c>
      <c r="AU271" s="72">
        <v>1</v>
      </c>
      <c r="AV271" s="72">
        <v>1</v>
      </c>
      <c r="AW271" s="72">
        <v>1</v>
      </c>
      <c r="AX271" s="72">
        <v>1</v>
      </c>
      <c r="AY271" s="72">
        <v>1</v>
      </c>
      <c r="AZ271" s="72">
        <v>1</v>
      </c>
      <c r="BA271" s="72">
        <v>1</v>
      </c>
      <c r="BB271" s="72">
        <v>1</v>
      </c>
      <c r="BC271" s="72">
        <v>1</v>
      </c>
      <c r="BD271" s="72">
        <v>1</v>
      </c>
      <c r="BE271" s="72">
        <v>1</v>
      </c>
      <c r="BF271" s="72">
        <v>1</v>
      </c>
      <c r="BG271" s="72">
        <v>1</v>
      </c>
      <c r="BH271" s="72">
        <v>1</v>
      </c>
      <c r="BI271" s="72">
        <v>1</v>
      </c>
      <c r="BJ271" s="72">
        <v>1</v>
      </c>
      <c r="BK271" s="72">
        <v>1</v>
      </c>
      <c r="BL271" s="72">
        <v>1</v>
      </c>
      <c r="BM271" s="72">
        <v>1</v>
      </c>
      <c r="BN271" s="72">
        <v>1</v>
      </c>
      <c r="BO271" s="72">
        <v>1</v>
      </c>
      <c r="BP271" s="72">
        <v>1</v>
      </c>
      <c r="BQ271" s="72">
        <v>1</v>
      </c>
      <c r="BR271" s="72">
        <v>1</v>
      </c>
      <c r="BS271" s="72">
        <v>1</v>
      </c>
      <c r="BT271" s="72">
        <v>1</v>
      </c>
      <c r="BU271" s="72">
        <v>1</v>
      </c>
      <c r="BV271" s="72">
        <v>1</v>
      </c>
      <c r="BW271" s="72">
        <v>1</v>
      </c>
      <c r="BX271" s="72">
        <v>1</v>
      </c>
      <c r="BY271" s="72">
        <v>1</v>
      </c>
      <c r="BZ271" s="72">
        <v>1</v>
      </c>
      <c r="CA271" s="72">
        <v>1</v>
      </c>
      <c r="CB271" s="72">
        <v>1</v>
      </c>
      <c r="CC271" s="72">
        <v>1</v>
      </c>
      <c r="CD271" s="72">
        <v>1</v>
      </c>
      <c r="CE271" s="72">
        <v>1</v>
      </c>
      <c r="CF271" s="72">
        <v>1</v>
      </c>
      <c r="CG271" s="72">
        <v>1</v>
      </c>
      <c r="CH271" s="72">
        <v>1</v>
      </c>
      <c r="CI271" s="72">
        <v>1</v>
      </c>
      <c r="CJ271" s="72">
        <v>1</v>
      </c>
      <c r="CK271" s="72">
        <v>1</v>
      </c>
      <c r="CL271" s="72">
        <v>1</v>
      </c>
      <c r="CM271" s="72">
        <v>1</v>
      </c>
      <c r="CN271" s="72">
        <v>1</v>
      </c>
      <c r="CO271" s="72">
        <v>1</v>
      </c>
      <c r="CP271" s="72">
        <v>1</v>
      </c>
      <c r="CQ271" s="72">
        <v>1</v>
      </c>
      <c r="CR271" s="72">
        <v>1</v>
      </c>
      <c r="CS271" s="72">
        <v>1</v>
      </c>
      <c r="CT271" s="72">
        <v>1</v>
      </c>
      <c r="CU271" s="72">
        <v>1</v>
      </c>
      <c r="CV271" s="72">
        <v>1</v>
      </c>
      <c r="CW271" s="72">
        <v>1</v>
      </c>
      <c r="CX271" s="72">
        <v>1</v>
      </c>
      <c r="CY271" s="72">
        <v>1</v>
      </c>
      <c r="CZ271" s="72">
        <v>1</v>
      </c>
      <c r="DA271" s="72">
        <v>1</v>
      </c>
      <c r="DB271" s="72">
        <v>1</v>
      </c>
      <c r="DC271" s="72">
        <v>1</v>
      </c>
      <c r="DD271" s="72">
        <v>1</v>
      </c>
      <c r="DE271" s="72">
        <v>1</v>
      </c>
      <c r="DF271" s="72">
        <v>1</v>
      </c>
      <c r="DG271" s="72">
        <v>1</v>
      </c>
      <c r="DH271" s="72">
        <v>1</v>
      </c>
      <c r="DI271" s="72">
        <v>1</v>
      </c>
      <c r="DJ271" s="72">
        <v>1</v>
      </c>
      <c r="DK271" s="72">
        <v>1</v>
      </c>
      <c r="DL271" s="72">
        <v>1</v>
      </c>
      <c r="DM271" s="72">
        <v>1</v>
      </c>
    </row>
    <row r="272" spans="1:117" x14ac:dyDescent="0.35">
      <c r="A272" s="7"/>
      <c r="B272" s="8" t="s">
        <v>493</v>
      </c>
      <c r="C272" s="9" t="s">
        <v>494</v>
      </c>
      <c r="D272" s="10" t="s">
        <v>492</v>
      </c>
      <c r="E272" s="8" t="s">
        <v>1205</v>
      </c>
      <c r="F272" s="10">
        <v>1103</v>
      </c>
      <c r="G272" s="10" t="s">
        <v>40</v>
      </c>
      <c r="H272" s="10" t="s">
        <v>41</v>
      </c>
      <c r="I272" s="11">
        <v>1</v>
      </c>
      <c r="J272" s="10"/>
      <c r="K272" s="10"/>
      <c r="L272" s="8"/>
      <c r="M272" s="12">
        <v>30.195000000000004</v>
      </c>
      <c r="N272" s="12">
        <f t="shared" si="6"/>
        <v>30.195000000000004</v>
      </c>
      <c r="O272" s="11">
        <v>1</v>
      </c>
      <c r="P272" s="11">
        <v>1</v>
      </c>
      <c r="Q272" s="11">
        <v>1</v>
      </c>
      <c r="R272" s="11">
        <v>1</v>
      </c>
      <c r="S272" s="11">
        <v>1</v>
      </c>
      <c r="T272" s="11">
        <v>1</v>
      </c>
      <c r="U272" s="11">
        <v>1</v>
      </c>
      <c r="V272" s="11">
        <v>1</v>
      </c>
      <c r="W272" s="11">
        <v>1</v>
      </c>
      <c r="X272" s="11">
        <v>1</v>
      </c>
      <c r="Y272" s="11">
        <v>1</v>
      </c>
      <c r="Z272" s="11">
        <v>1</v>
      </c>
      <c r="AA272" s="11">
        <v>1</v>
      </c>
      <c r="AB272" s="11">
        <v>1</v>
      </c>
      <c r="AC272" s="11">
        <v>1</v>
      </c>
      <c r="AD272" s="11">
        <v>1</v>
      </c>
      <c r="AE272" s="11">
        <v>1</v>
      </c>
      <c r="AF272" s="11">
        <v>1</v>
      </c>
      <c r="AG272" s="11">
        <v>1</v>
      </c>
      <c r="AH272" s="11">
        <v>1</v>
      </c>
      <c r="AI272" s="11">
        <v>1</v>
      </c>
      <c r="AJ272" s="11">
        <v>1</v>
      </c>
      <c r="AK272" s="11">
        <v>1</v>
      </c>
      <c r="AL272" s="11">
        <v>1</v>
      </c>
      <c r="AM272" s="11">
        <v>1</v>
      </c>
      <c r="AN272" s="72">
        <v>1</v>
      </c>
      <c r="AO272" s="72">
        <v>1</v>
      </c>
      <c r="AP272" s="72">
        <v>1</v>
      </c>
      <c r="AQ272" s="72">
        <v>1</v>
      </c>
      <c r="AR272" s="72">
        <v>1</v>
      </c>
      <c r="AS272" s="72">
        <v>1</v>
      </c>
      <c r="AT272" s="72">
        <v>1</v>
      </c>
      <c r="AU272" s="72">
        <v>1</v>
      </c>
      <c r="AV272" s="72">
        <v>1</v>
      </c>
      <c r="AW272" s="72">
        <v>1</v>
      </c>
      <c r="AX272" s="72">
        <v>1</v>
      </c>
      <c r="AY272" s="72">
        <v>1</v>
      </c>
      <c r="AZ272" s="72">
        <v>1</v>
      </c>
      <c r="BA272" s="72">
        <v>1</v>
      </c>
      <c r="BB272" s="72">
        <v>1</v>
      </c>
      <c r="BC272" s="72">
        <v>1</v>
      </c>
      <c r="BD272" s="72">
        <v>1</v>
      </c>
      <c r="BE272" s="72">
        <v>1</v>
      </c>
      <c r="BF272" s="72">
        <v>1</v>
      </c>
      <c r="BG272" s="72">
        <v>1</v>
      </c>
      <c r="BH272" s="72">
        <v>1</v>
      </c>
      <c r="BI272" s="72">
        <v>1</v>
      </c>
      <c r="BJ272" s="72">
        <v>1</v>
      </c>
      <c r="BK272" s="72">
        <v>1</v>
      </c>
      <c r="BL272" s="72">
        <v>1</v>
      </c>
      <c r="BM272" s="72">
        <v>1</v>
      </c>
      <c r="BN272" s="72">
        <v>1</v>
      </c>
      <c r="BO272" s="72">
        <v>1</v>
      </c>
      <c r="BP272" s="72">
        <v>1</v>
      </c>
      <c r="BQ272" s="72">
        <v>1</v>
      </c>
      <c r="BR272" s="72">
        <v>1</v>
      </c>
      <c r="BS272" s="72">
        <v>1</v>
      </c>
      <c r="BT272" s="72">
        <v>1</v>
      </c>
      <c r="BU272" s="72">
        <v>1</v>
      </c>
      <c r="BV272" s="72">
        <v>1</v>
      </c>
      <c r="BW272" s="72">
        <v>1</v>
      </c>
      <c r="BX272" s="72">
        <v>1</v>
      </c>
      <c r="BY272" s="72">
        <v>1</v>
      </c>
      <c r="BZ272" s="72">
        <v>1</v>
      </c>
      <c r="CA272" s="72">
        <v>1</v>
      </c>
      <c r="CB272" s="72">
        <v>1</v>
      </c>
      <c r="CC272" s="72">
        <v>1</v>
      </c>
      <c r="CD272" s="72">
        <v>1</v>
      </c>
      <c r="CE272" s="72">
        <v>1</v>
      </c>
      <c r="CF272" s="72">
        <v>1</v>
      </c>
      <c r="CG272" s="72">
        <v>1</v>
      </c>
      <c r="CH272" s="72">
        <v>1</v>
      </c>
      <c r="CI272" s="72">
        <v>1</v>
      </c>
      <c r="CJ272" s="72">
        <v>1</v>
      </c>
      <c r="CK272" s="72">
        <v>1</v>
      </c>
      <c r="CL272" s="72">
        <v>1</v>
      </c>
      <c r="CM272" s="72">
        <v>1</v>
      </c>
      <c r="CN272" s="72">
        <v>1</v>
      </c>
      <c r="CO272" s="72">
        <v>1</v>
      </c>
      <c r="CP272" s="72">
        <v>1</v>
      </c>
      <c r="CQ272" s="72">
        <v>1</v>
      </c>
      <c r="CR272" s="72">
        <v>1</v>
      </c>
      <c r="CS272" s="72">
        <v>1</v>
      </c>
      <c r="CT272" s="72">
        <v>1</v>
      </c>
      <c r="CU272" s="72">
        <v>1</v>
      </c>
      <c r="CV272" s="72">
        <v>1</v>
      </c>
      <c r="CW272" s="72">
        <v>1</v>
      </c>
      <c r="CX272" s="72">
        <v>1</v>
      </c>
      <c r="CY272" s="72">
        <v>1</v>
      </c>
      <c r="CZ272" s="72">
        <v>1</v>
      </c>
      <c r="DA272" s="72">
        <v>1</v>
      </c>
      <c r="DB272" s="72">
        <v>1</v>
      </c>
      <c r="DC272" s="72">
        <v>1</v>
      </c>
      <c r="DD272" s="72">
        <v>1</v>
      </c>
      <c r="DE272" s="72">
        <v>1</v>
      </c>
      <c r="DF272" s="72">
        <v>1</v>
      </c>
      <c r="DG272" s="72">
        <v>1</v>
      </c>
      <c r="DH272" s="72">
        <v>1</v>
      </c>
      <c r="DI272" s="72">
        <v>1</v>
      </c>
      <c r="DJ272" s="72">
        <v>1</v>
      </c>
      <c r="DK272" s="72">
        <v>1</v>
      </c>
      <c r="DL272" s="72">
        <v>1</v>
      </c>
      <c r="DM272" s="72">
        <v>1</v>
      </c>
    </row>
    <row r="273" spans="1:117" x14ac:dyDescent="0.35">
      <c r="A273" s="7"/>
      <c r="B273" s="8" t="s">
        <v>495</v>
      </c>
      <c r="C273" s="9" t="s">
        <v>496</v>
      </c>
      <c r="D273" s="10" t="s">
        <v>492</v>
      </c>
      <c r="E273" s="8" t="s">
        <v>1205</v>
      </c>
      <c r="F273" s="10">
        <v>1103</v>
      </c>
      <c r="G273" s="10" t="s">
        <v>40</v>
      </c>
      <c r="H273" s="10" t="s">
        <v>41</v>
      </c>
      <c r="I273" s="11">
        <v>1</v>
      </c>
      <c r="J273" s="10"/>
      <c r="K273" s="10"/>
      <c r="L273" s="8"/>
      <c r="M273" s="12">
        <v>23.76</v>
      </c>
      <c r="N273" s="12">
        <f t="shared" si="6"/>
        <v>23.76</v>
      </c>
      <c r="O273" s="11">
        <v>1</v>
      </c>
      <c r="P273" s="11">
        <v>1</v>
      </c>
      <c r="Q273" s="11">
        <v>1</v>
      </c>
      <c r="R273" s="11">
        <v>1</v>
      </c>
      <c r="S273" s="11">
        <v>1</v>
      </c>
      <c r="T273" s="11">
        <v>1</v>
      </c>
      <c r="U273" s="11">
        <v>1</v>
      </c>
      <c r="V273" s="11">
        <v>1</v>
      </c>
      <c r="W273" s="11">
        <v>1</v>
      </c>
      <c r="X273" s="11">
        <v>1</v>
      </c>
      <c r="Y273" s="11">
        <v>1</v>
      </c>
      <c r="Z273" s="11">
        <v>1</v>
      </c>
      <c r="AA273" s="11">
        <v>1</v>
      </c>
      <c r="AB273" s="11">
        <v>1</v>
      </c>
      <c r="AC273" s="11">
        <v>1</v>
      </c>
      <c r="AD273" s="11">
        <v>1</v>
      </c>
      <c r="AE273" s="11">
        <v>1</v>
      </c>
      <c r="AF273" s="11">
        <v>1</v>
      </c>
      <c r="AG273" s="11">
        <v>1</v>
      </c>
      <c r="AH273" s="11">
        <v>1</v>
      </c>
      <c r="AI273" s="11">
        <v>1</v>
      </c>
      <c r="AJ273" s="11">
        <v>1</v>
      </c>
      <c r="AK273" s="11">
        <v>1</v>
      </c>
      <c r="AL273" s="11">
        <v>1</v>
      </c>
      <c r="AM273" s="11">
        <v>1</v>
      </c>
      <c r="AN273" s="72">
        <v>1</v>
      </c>
      <c r="AO273" s="72">
        <v>1</v>
      </c>
      <c r="AP273" s="72">
        <v>1</v>
      </c>
      <c r="AQ273" s="72">
        <v>1</v>
      </c>
      <c r="AR273" s="72">
        <v>1</v>
      </c>
      <c r="AS273" s="72">
        <v>1</v>
      </c>
      <c r="AT273" s="72">
        <v>1</v>
      </c>
      <c r="AU273" s="72">
        <v>1</v>
      </c>
      <c r="AV273" s="72">
        <v>1</v>
      </c>
      <c r="AW273" s="72">
        <v>1</v>
      </c>
      <c r="AX273" s="72">
        <v>1</v>
      </c>
      <c r="AY273" s="72">
        <v>1</v>
      </c>
      <c r="AZ273" s="72">
        <v>1</v>
      </c>
      <c r="BA273" s="72">
        <v>1</v>
      </c>
      <c r="BB273" s="72">
        <v>1</v>
      </c>
      <c r="BC273" s="72">
        <v>1</v>
      </c>
      <c r="BD273" s="72">
        <v>1</v>
      </c>
      <c r="BE273" s="72">
        <v>1</v>
      </c>
      <c r="BF273" s="72">
        <v>1</v>
      </c>
      <c r="BG273" s="72">
        <v>1</v>
      </c>
      <c r="BH273" s="72">
        <v>1</v>
      </c>
      <c r="BI273" s="72">
        <v>1</v>
      </c>
      <c r="BJ273" s="72">
        <v>1</v>
      </c>
      <c r="BK273" s="72">
        <v>1</v>
      </c>
      <c r="BL273" s="72">
        <v>1</v>
      </c>
      <c r="BM273" s="72">
        <v>1</v>
      </c>
      <c r="BN273" s="72">
        <v>1</v>
      </c>
      <c r="BO273" s="72">
        <v>1</v>
      </c>
      <c r="BP273" s="72">
        <v>1</v>
      </c>
      <c r="BQ273" s="72">
        <v>1</v>
      </c>
      <c r="BR273" s="72">
        <v>1</v>
      </c>
      <c r="BS273" s="72">
        <v>1</v>
      </c>
      <c r="BT273" s="72">
        <v>1</v>
      </c>
      <c r="BU273" s="72">
        <v>1</v>
      </c>
      <c r="BV273" s="72">
        <v>1</v>
      </c>
      <c r="BW273" s="72">
        <v>1</v>
      </c>
      <c r="BX273" s="72">
        <v>1</v>
      </c>
      <c r="BY273" s="72">
        <v>1</v>
      </c>
      <c r="BZ273" s="72">
        <v>1</v>
      </c>
      <c r="CA273" s="72">
        <v>1</v>
      </c>
      <c r="CB273" s="72">
        <v>1</v>
      </c>
      <c r="CC273" s="72">
        <v>1</v>
      </c>
      <c r="CD273" s="72">
        <v>1</v>
      </c>
      <c r="CE273" s="72">
        <v>1</v>
      </c>
      <c r="CF273" s="72">
        <v>1</v>
      </c>
      <c r="CG273" s="72">
        <v>1</v>
      </c>
      <c r="CH273" s="72">
        <v>1</v>
      </c>
      <c r="CI273" s="72">
        <v>1</v>
      </c>
      <c r="CJ273" s="72">
        <v>1</v>
      </c>
      <c r="CK273" s="72">
        <v>1</v>
      </c>
      <c r="CL273" s="72">
        <v>1</v>
      </c>
      <c r="CM273" s="72">
        <v>1</v>
      </c>
      <c r="CN273" s="72">
        <v>1</v>
      </c>
      <c r="CO273" s="72">
        <v>1</v>
      </c>
      <c r="CP273" s="72">
        <v>1</v>
      </c>
      <c r="CQ273" s="72">
        <v>1</v>
      </c>
      <c r="CR273" s="72">
        <v>1</v>
      </c>
      <c r="CS273" s="72">
        <v>1</v>
      </c>
      <c r="CT273" s="72">
        <v>1</v>
      </c>
      <c r="CU273" s="72">
        <v>1</v>
      </c>
      <c r="CV273" s="72">
        <v>1</v>
      </c>
      <c r="CW273" s="72">
        <v>1</v>
      </c>
      <c r="CX273" s="72">
        <v>1</v>
      </c>
      <c r="CY273" s="72">
        <v>1</v>
      </c>
      <c r="CZ273" s="72">
        <v>1</v>
      </c>
      <c r="DA273" s="72">
        <v>1</v>
      </c>
      <c r="DB273" s="72">
        <v>1</v>
      </c>
      <c r="DC273" s="72">
        <v>1</v>
      </c>
      <c r="DD273" s="72">
        <v>1</v>
      </c>
      <c r="DE273" s="72">
        <v>1</v>
      </c>
      <c r="DF273" s="72">
        <v>1</v>
      </c>
      <c r="DG273" s="72">
        <v>1</v>
      </c>
      <c r="DH273" s="72">
        <v>1</v>
      </c>
      <c r="DI273" s="72">
        <v>1</v>
      </c>
      <c r="DJ273" s="72">
        <v>1</v>
      </c>
      <c r="DK273" s="72">
        <v>1</v>
      </c>
      <c r="DL273" s="72">
        <v>1</v>
      </c>
      <c r="DM273" s="72">
        <v>1</v>
      </c>
    </row>
    <row r="274" spans="1:117" ht="26.55" x14ac:dyDescent="0.35">
      <c r="A274" s="7"/>
      <c r="B274" s="8" t="s">
        <v>497</v>
      </c>
      <c r="C274" s="14" t="s">
        <v>498</v>
      </c>
      <c r="D274" s="10" t="s">
        <v>499</v>
      </c>
      <c r="E274" s="8" t="s">
        <v>1223</v>
      </c>
      <c r="F274" s="10">
        <v>1002</v>
      </c>
      <c r="G274" s="10" t="s">
        <v>40</v>
      </c>
      <c r="H274" s="10" t="s">
        <v>41</v>
      </c>
      <c r="I274" s="11">
        <v>0</v>
      </c>
      <c r="J274" s="10">
        <v>2</v>
      </c>
      <c r="K274" s="10"/>
      <c r="L274" s="14" t="s">
        <v>500</v>
      </c>
      <c r="M274" s="12">
        <v>281.25</v>
      </c>
      <c r="N274" s="12">
        <f t="shared" si="6"/>
        <v>281.25</v>
      </c>
      <c r="O274" s="11">
        <v>3</v>
      </c>
      <c r="P274" s="11">
        <v>3</v>
      </c>
      <c r="Q274" s="11">
        <v>2</v>
      </c>
      <c r="R274" s="11">
        <v>1</v>
      </c>
      <c r="S274" s="11">
        <v>1</v>
      </c>
      <c r="T274" s="11">
        <v>0</v>
      </c>
      <c r="U274" s="11">
        <v>0</v>
      </c>
      <c r="V274" s="11">
        <v>1</v>
      </c>
      <c r="W274" s="11">
        <v>1</v>
      </c>
      <c r="X274" s="11">
        <v>0</v>
      </c>
      <c r="Y274" s="11">
        <v>1</v>
      </c>
      <c r="Z274" s="11">
        <v>0</v>
      </c>
      <c r="AA274" s="11">
        <v>0</v>
      </c>
      <c r="AB274" s="11">
        <v>0</v>
      </c>
      <c r="AC274" s="11">
        <v>0</v>
      </c>
      <c r="AD274" s="11">
        <v>0</v>
      </c>
      <c r="AE274" s="11">
        <v>0</v>
      </c>
      <c r="AF274" s="11">
        <v>0</v>
      </c>
      <c r="AG274" s="11">
        <v>0</v>
      </c>
      <c r="AH274" s="11">
        <v>0</v>
      </c>
      <c r="AI274" s="11">
        <v>0</v>
      </c>
      <c r="AJ274" s="11">
        <v>0</v>
      </c>
      <c r="AK274" s="11">
        <v>0</v>
      </c>
      <c r="AL274" s="11">
        <v>0</v>
      </c>
      <c r="AM274" s="11">
        <v>0</v>
      </c>
      <c r="AN274" s="72">
        <v>0</v>
      </c>
      <c r="AO274" s="72">
        <v>0</v>
      </c>
      <c r="AP274" s="72">
        <v>0</v>
      </c>
      <c r="AQ274" s="72">
        <v>0</v>
      </c>
      <c r="AR274" s="72">
        <v>0</v>
      </c>
      <c r="AS274" s="72">
        <v>0</v>
      </c>
      <c r="AT274" s="72">
        <v>0</v>
      </c>
      <c r="AU274" s="72">
        <v>0</v>
      </c>
      <c r="AV274" s="72">
        <v>0</v>
      </c>
      <c r="AW274" s="72">
        <v>0</v>
      </c>
      <c r="AX274" s="72">
        <v>0</v>
      </c>
      <c r="AY274" s="72">
        <v>0</v>
      </c>
      <c r="AZ274" s="72">
        <v>0</v>
      </c>
      <c r="BA274" s="72">
        <v>0</v>
      </c>
      <c r="BB274" s="72">
        <v>0</v>
      </c>
      <c r="BC274" s="72">
        <v>0</v>
      </c>
      <c r="BD274" s="72">
        <v>0</v>
      </c>
      <c r="BE274" s="72">
        <v>1</v>
      </c>
      <c r="BF274" s="72">
        <v>0</v>
      </c>
      <c r="BG274" s="72">
        <v>0</v>
      </c>
      <c r="BH274" s="72">
        <v>0</v>
      </c>
      <c r="BI274" s="72">
        <v>0</v>
      </c>
      <c r="BJ274" s="72">
        <v>0</v>
      </c>
      <c r="BK274" s="72">
        <v>0</v>
      </c>
      <c r="BL274" s="72">
        <v>0</v>
      </c>
      <c r="BM274" s="72">
        <v>0</v>
      </c>
      <c r="BN274" s="72">
        <v>0</v>
      </c>
      <c r="BO274" s="72">
        <v>0</v>
      </c>
      <c r="BP274" s="72">
        <v>0</v>
      </c>
      <c r="BQ274" s="72">
        <v>0</v>
      </c>
      <c r="BR274" s="72">
        <v>0</v>
      </c>
      <c r="BS274" s="72">
        <v>0</v>
      </c>
      <c r="BT274" s="72">
        <v>0</v>
      </c>
      <c r="BU274" s="72">
        <v>0</v>
      </c>
      <c r="BV274" s="72">
        <v>0</v>
      </c>
      <c r="BW274" s="72">
        <v>0</v>
      </c>
      <c r="BX274" s="72">
        <v>0</v>
      </c>
      <c r="BY274" s="72">
        <v>0</v>
      </c>
      <c r="BZ274" s="72">
        <v>2</v>
      </c>
      <c r="CA274" s="72">
        <v>1</v>
      </c>
      <c r="CB274" s="72">
        <v>1</v>
      </c>
      <c r="CC274" s="72">
        <v>1</v>
      </c>
      <c r="CD274" s="72">
        <v>1</v>
      </c>
      <c r="CE274" s="72">
        <v>1</v>
      </c>
      <c r="CF274" s="72">
        <v>1</v>
      </c>
      <c r="CG274" s="72">
        <v>1</v>
      </c>
      <c r="CH274" s="72">
        <v>1</v>
      </c>
      <c r="CI274" s="72">
        <v>1</v>
      </c>
      <c r="CJ274" s="72">
        <v>1</v>
      </c>
      <c r="CK274" s="72">
        <v>1</v>
      </c>
      <c r="CL274" s="72">
        <v>1</v>
      </c>
      <c r="CM274" s="72">
        <v>1</v>
      </c>
      <c r="CN274" s="72">
        <v>1</v>
      </c>
      <c r="CO274" s="72">
        <v>1</v>
      </c>
      <c r="CP274" s="72">
        <v>1</v>
      </c>
      <c r="CQ274" s="72">
        <v>1</v>
      </c>
      <c r="CR274" s="72">
        <v>1</v>
      </c>
      <c r="CS274" s="72">
        <v>1</v>
      </c>
      <c r="CT274" s="72">
        <v>1</v>
      </c>
      <c r="CU274" s="72">
        <v>1</v>
      </c>
      <c r="CV274" s="72">
        <v>1</v>
      </c>
      <c r="CW274" s="72">
        <v>1</v>
      </c>
      <c r="CX274" s="72">
        <v>1</v>
      </c>
      <c r="CY274" s="72">
        <v>1</v>
      </c>
      <c r="CZ274" s="72">
        <v>1</v>
      </c>
      <c r="DA274" s="72">
        <v>1</v>
      </c>
      <c r="DB274" s="72">
        <v>1</v>
      </c>
      <c r="DC274" s="72">
        <v>1</v>
      </c>
      <c r="DD274" s="72">
        <v>1</v>
      </c>
      <c r="DE274" s="72">
        <v>1</v>
      </c>
      <c r="DF274" s="72">
        <v>1</v>
      </c>
      <c r="DG274" s="72">
        <v>1</v>
      </c>
      <c r="DH274" s="72">
        <v>1</v>
      </c>
      <c r="DI274" s="72">
        <v>1</v>
      </c>
      <c r="DJ274" s="72">
        <v>1</v>
      </c>
      <c r="DK274" s="72">
        <v>1</v>
      </c>
      <c r="DL274" s="72">
        <v>1</v>
      </c>
      <c r="DM274" s="72">
        <v>1</v>
      </c>
    </row>
    <row r="275" spans="1:117" x14ac:dyDescent="0.35">
      <c r="A275" s="7"/>
      <c r="B275" s="8" t="s">
        <v>501</v>
      </c>
      <c r="C275" s="14" t="s">
        <v>502</v>
      </c>
      <c r="D275" s="10" t="s">
        <v>499</v>
      </c>
      <c r="E275" s="8" t="s">
        <v>1223</v>
      </c>
      <c r="F275" s="10">
        <v>1002</v>
      </c>
      <c r="G275" s="10" t="s">
        <v>503</v>
      </c>
      <c r="H275" s="10" t="s">
        <v>41</v>
      </c>
      <c r="I275" s="11">
        <v>1</v>
      </c>
      <c r="J275" s="10">
        <v>1</v>
      </c>
      <c r="K275" s="10"/>
      <c r="L275" s="14" t="s">
        <v>248</v>
      </c>
      <c r="M275" s="12">
        <v>404.93</v>
      </c>
      <c r="N275" s="12">
        <f t="shared" si="6"/>
        <v>0</v>
      </c>
      <c r="O275" s="11"/>
      <c r="P275" s="11"/>
      <c r="Q275" s="11"/>
      <c r="R275" s="11"/>
      <c r="S275" s="11">
        <v>2</v>
      </c>
      <c r="T275" s="11">
        <v>0</v>
      </c>
      <c r="U275" s="11">
        <v>0</v>
      </c>
      <c r="V275" s="11">
        <v>1</v>
      </c>
      <c r="W275" s="11">
        <v>1</v>
      </c>
      <c r="X275" s="11">
        <v>1</v>
      </c>
      <c r="Y275" s="11">
        <v>1</v>
      </c>
      <c r="Z275" s="11">
        <v>1</v>
      </c>
      <c r="AA275" s="11">
        <v>1</v>
      </c>
      <c r="AB275" s="11">
        <v>1</v>
      </c>
      <c r="AC275" s="11">
        <v>1</v>
      </c>
      <c r="AD275" s="11">
        <v>1</v>
      </c>
      <c r="AE275" s="11">
        <v>1</v>
      </c>
      <c r="AF275" s="11">
        <v>1</v>
      </c>
      <c r="AG275" s="11">
        <v>1</v>
      </c>
      <c r="AH275" s="11">
        <v>1</v>
      </c>
      <c r="AI275" s="11">
        <v>1</v>
      </c>
      <c r="AJ275" s="11">
        <v>1</v>
      </c>
      <c r="AK275" s="11">
        <v>1</v>
      </c>
      <c r="AL275" s="11">
        <v>1</v>
      </c>
      <c r="AM275" s="11">
        <v>1</v>
      </c>
      <c r="AN275" s="72">
        <v>1</v>
      </c>
      <c r="AO275" s="72">
        <v>1</v>
      </c>
      <c r="AP275" s="72">
        <v>1</v>
      </c>
      <c r="AQ275" s="72">
        <v>1</v>
      </c>
      <c r="AR275" s="72">
        <v>1</v>
      </c>
      <c r="AS275" s="72">
        <v>1</v>
      </c>
      <c r="AT275" s="72">
        <v>1</v>
      </c>
      <c r="AU275" s="72">
        <v>1</v>
      </c>
      <c r="AV275" s="72">
        <v>2</v>
      </c>
      <c r="AW275" s="72">
        <v>2</v>
      </c>
      <c r="AX275" s="72">
        <v>2</v>
      </c>
      <c r="AY275" s="72">
        <v>2</v>
      </c>
      <c r="AZ275" s="72">
        <v>2</v>
      </c>
      <c r="BA275" s="72">
        <v>2</v>
      </c>
      <c r="BB275" s="72">
        <v>0</v>
      </c>
      <c r="BC275" s="72">
        <v>0</v>
      </c>
      <c r="BD275" s="72">
        <v>0</v>
      </c>
      <c r="BE275" s="72">
        <v>0</v>
      </c>
      <c r="BF275" s="72">
        <v>0</v>
      </c>
      <c r="BG275" s="72">
        <v>0</v>
      </c>
      <c r="BH275" s="72">
        <v>0</v>
      </c>
      <c r="BI275" s="72">
        <v>0</v>
      </c>
      <c r="BJ275" s="72">
        <v>0</v>
      </c>
      <c r="BK275" s="72">
        <v>0</v>
      </c>
      <c r="BL275" s="72">
        <v>0</v>
      </c>
      <c r="BM275" s="72">
        <v>0</v>
      </c>
      <c r="BN275" s="72">
        <v>0</v>
      </c>
      <c r="BO275" s="72">
        <v>0</v>
      </c>
      <c r="BP275" s="72">
        <v>0</v>
      </c>
      <c r="BQ275" s="72">
        <v>0</v>
      </c>
      <c r="BR275" s="72">
        <v>0</v>
      </c>
      <c r="BS275" s="72">
        <v>0</v>
      </c>
      <c r="BT275" s="72">
        <v>0</v>
      </c>
      <c r="BU275" s="72">
        <v>0</v>
      </c>
      <c r="BV275" s="72">
        <v>0</v>
      </c>
      <c r="BW275" s="72">
        <v>0</v>
      </c>
      <c r="BX275" s="72">
        <v>0</v>
      </c>
      <c r="BY275" s="72">
        <v>0</v>
      </c>
      <c r="BZ275" s="72">
        <v>0</v>
      </c>
      <c r="CA275" s="72">
        <v>0</v>
      </c>
      <c r="CB275" s="72">
        <v>0</v>
      </c>
      <c r="CC275" s="72">
        <v>0</v>
      </c>
      <c r="CD275" s="72">
        <v>0</v>
      </c>
      <c r="CE275" s="72">
        <v>0</v>
      </c>
      <c r="CF275" s="72">
        <v>0</v>
      </c>
      <c r="CG275" s="72">
        <v>0</v>
      </c>
      <c r="CH275" s="72">
        <v>0</v>
      </c>
      <c r="CI275" s="72">
        <v>0</v>
      </c>
      <c r="CJ275" s="72">
        <v>0</v>
      </c>
      <c r="CK275" s="72">
        <v>0</v>
      </c>
      <c r="CL275" s="72">
        <v>0</v>
      </c>
      <c r="CM275" s="72">
        <v>0</v>
      </c>
      <c r="CN275" s="72">
        <v>0</v>
      </c>
      <c r="CO275" s="72">
        <v>0</v>
      </c>
      <c r="CP275" s="72">
        <v>0</v>
      </c>
      <c r="CQ275" s="72">
        <v>0</v>
      </c>
      <c r="CR275" s="72">
        <v>0</v>
      </c>
      <c r="CS275" s="72">
        <v>0</v>
      </c>
      <c r="CT275" s="72">
        <v>0</v>
      </c>
      <c r="CU275" s="72">
        <v>0</v>
      </c>
      <c r="CV275" s="72">
        <v>0</v>
      </c>
      <c r="CW275" s="72">
        <v>0</v>
      </c>
      <c r="CX275" s="72">
        <v>0</v>
      </c>
      <c r="CY275" s="72">
        <v>0</v>
      </c>
      <c r="CZ275" s="72">
        <v>0</v>
      </c>
      <c r="DA275" s="72">
        <v>0</v>
      </c>
      <c r="DB275" s="72">
        <v>0</v>
      </c>
      <c r="DC275" s="72">
        <v>0</v>
      </c>
      <c r="DD275" s="72">
        <v>0</v>
      </c>
      <c r="DE275" s="72">
        <v>0</v>
      </c>
      <c r="DF275" s="72">
        <v>0</v>
      </c>
      <c r="DG275" s="72">
        <v>0</v>
      </c>
      <c r="DH275" s="72">
        <v>0</v>
      </c>
      <c r="DI275" s="72">
        <v>0</v>
      </c>
      <c r="DJ275" s="72">
        <v>0</v>
      </c>
      <c r="DK275" s="72">
        <v>0</v>
      </c>
      <c r="DL275" s="72">
        <v>0</v>
      </c>
      <c r="DM275" s="72">
        <v>0</v>
      </c>
    </row>
    <row r="276" spans="1:117" x14ac:dyDescent="0.35">
      <c r="A276" s="7"/>
      <c r="B276" s="8" t="s">
        <v>504</v>
      </c>
      <c r="C276" s="9" t="s">
        <v>505</v>
      </c>
      <c r="D276" s="10" t="s">
        <v>499</v>
      </c>
      <c r="E276" s="8" t="s">
        <v>1223</v>
      </c>
      <c r="F276" s="10">
        <v>1002</v>
      </c>
      <c r="G276" s="10" t="s">
        <v>40</v>
      </c>
      <c r="H276" s="10" t="s">
        <v>41</v>
      </c>
      <c r="I276" s="11">
        <v>0</v>
      </c>
      <c r="J276" s="10"/>
      <c r="K276" s="10" t="s">
        <v>42</v>
      </c>
      <c r="L276" s="8"/>
      <c r="M276" s="12"/>
      <c r="N276" s="12">
        <f t="shared" si="6"/>
        <v>0</v>
      </c>
      <c r="O276" s="11"/>
      <c r="P276" s="11"/>
      <c r="Q276" s="11"/>
      <c r="R276" s="11"/>
      <c r="S276" s="11"/>
      <c r="T276" s="11"/>
      <c r="U276" s="11"/>
      <c r="V276" s="11"/>
      <c r="W276" s="11"/>
      <c r="X276" s="11"/>
      <c r="Y276" s="11"/>
      <c r="Z276" s="11"/>
      <c r="AA276" s="11"/>
      <c r="AB276" s="11">
        <v>0</v>
      </c>
      <c r="AC276" s="11">
        <v>0</v>
      </c>
      <c r="AD276" s="11">
        <v>0</v>
      </c>
      <c r="AE276" s="11">
        <v>0</v>
      </c>
      <c r="AF276" s="11">
        <v>0</v>
      </c>
      <c r="AG276" s="11">
        <v>0</v>
      </c>
      <c r="AH276" s="11">
        <v>0</v>
      </c>
      <c r="AI276" s="11">
        <v>0</v>
      </c>
      <c r="AJ276" s="11">
        <v>0</v>
      </c>
      <c r="AK276" s="11">
        <v>0</v>
      </c>
      <c r="AL276" s="11">
        <v>0</v>
      </c>
      <c r="AM276" s="11">
        <v>0</v>
      </c>
      <c r="AN276" s="72">
        <v>0</v>
      </c>
      <c r="AO276" s="72">
        <v>0</v>
      </c>
      <c r="AP276" s="72">
        <v>0</v>
      </c>
      <c r="AQ276" s="72">
        <v>0</v>
      </c>
      <c r="AR276" s="72">
        <v>0</v>
      </c>
      <c r="AS276" s="72">
        <v>0</v>
      </c>
      <c r="AT276" s="72">
        <v>0</v>
      </c>
      <c r="AU276" s="72">
        <v>0</v>
      </c>
      <c r="AV276" s="72">
        <v>0</v>
      </c>
      <c r="AW276" s="72">
        <v>0</v>
      </c>
      <c r="AX276" s="72">
        <v>0</v>
      </c>
      <c r="AY276" s="72">
        <v>0</v>
      </c>
      <c r="AZ276" s="72">
        <v>0</v>
      </c>
      <c r="BA276" s="72">
        <v>0</v>
      </c>
      <c r="BB276" s="72">
        <v>0</v>
      </c>
      <c r="BC276" s="72">
        <v>0</v>
      </c>
      <c r="BD276" s="72">
        <v>0</v>
      </c>
      <c r="BE276" s="72">
        <v>0</v>
      </c>
      <c r="BF276" s="72">
        <v>0</v>
      </c>
      <c r="BG276" s="72">
        <v>0</v>
      </c>
      <c r="BH276" s="72">
        <v>0</v>
      </c>
      <c r="BI276" s="72">
        <v>0</v>
      </c>
      <c r="BJ276" s="72">
        <v>0</v>
      </c>
      <c r="BK276" s="72">
        <v>0</v>
      </c>
      <c r="BL276" s="72">
        <v>0</v>
      </c>
      <c r="BM276" s="72">
        <v>0</v>
      </c>
      <c r="BN276" s="72">
        <v>0</v>
      </c>
      <c r="BO276" s="72">
        <v>0</v>
      </c>
      <c r="BP276" s="72">
        <v>0</v>
      </c>
      <c r="BQ276" s="72">
        <v>0</v>
      </c>
      <c r="BR276" s="72">
        <v>0</v>
      </c>
      <c r="BS276" s="72">
        <v>0</v>
      </c>
      <c r="BT276" s="72">
        <v>0</v>
      </c>
      <c r="BU276" s="72">
        <v>0</v>
      </c>
      <c r="BV276" s="72">
        <v>0</v>
      </c>
      <c r="BW276" s="72">
        <v>0</v>
      </c>
      <c r="BX276" s="72">
        <v>0</v>
      </c>
      <c r="BY276" s="72">
        <v>0</v>
      </c>
      <c r="BZ276" s="72">
        <v>0</v>
      </c>
      <c r="CA276" s="72">
        <v>0</v>
      </c>
      <c r="CB276" s="72">
        <v>0</v>
      </c>
      <c r="CC276" s="72">
        <v>0</v>
      </c>
      <c r="CD276" s="72">
        <v>0</v>
      </c>
      <c r="CE276" s="72">
        <v>0</v>
      </c>
      <c r="CF276" s="72">
        <v>0</v>
      </c>
      <c r="CG276" s="72">
        <v>0</v>
      </c>
      <c r="CH276" s="72">
        <v>0</v>
      </c>
      <c r="CI276" s="72">
        <v>0</v>
      </c>
      <c r="CJ276" s="72">
        <v>0</v>
      </c>
      <c r="CK276" s="72">
        <v>1</v>
      </c>
      <c r="CL276" s="72">
        <v>1</v>
      </c>
      <c r="CM276" s="72">
        <v>1</v>
      </c>
      <c r="CN276" s="72">
        <v>1</v>
      </c>
      <c r="CO276" s="72">
        <v>0</v>
      </c>
      <c r="CP276" s="72">
        <v>0</v>
      </c>
      <c r="CQ276" s="72">
        <v>0</v>
      </c>
      <c r="CR276" s="72">
        <v>0</v>
      </c>
      <c r="CS276" s="72">
        <v>0</v>
      </c>
      <c r="CT276" s="72">
        <v>0</v>
      </c>
      <c r="CU276" s="72">
        <v>0</v>
      </c>
      <c r="CV276" s="72">
        <v>0</v>
      </c>
      <c r="CW276" s="72">
        <v>0</v>
      </c>
      <c r="CX276" s="72">
        <v>0</v>
      </c>
      <c r="CY276" s="72">
        <v>0</v>
      </c>
      <c r="CZ276" s="72">
        <v>0</v>
      </c>
      <c r="DA276" s="72">
        <v>0</v>
      </c>
      <c r="DB276" s="72">
        <v>0</v>
      </c>
      <c r="DC276" s="72">
        <v>0</v>
      </c>
      <c r="DD276" s="72">
        <v>0</v>
      </c>
      <c r="DE276" s="72">
        <v>0</v>
      </c>
      <c r="DF276" s="72">
        <v>0</v>
      </c>
      <c r="DG276" s="72">
        <v>0</v>
      </c>
      <c r="DH276" s="72">
        <v>0</v>
      </c>
      <c r="DI276" s="72">
        <v>0</v>
      </c>
      <c r="DJ276" s="72">
        <v>0</v>
      </c>
      <c r="DK276" s="72">
        <v>0</v>
      </c>
      <c r="DL276" s="72">
        <v>0</v>
      </c>
      <c r="DM276" s="72">
        <v>0</v>
      </c>
    </row>
    <row r="277" spans="1:117" x14ac:dyDescent="0.35">
      <c r="A277" s="7"/>
      <c r="B277" s="8" t="s">
        <v>506</v>
      </c>
      <c r="C277" s="9" t="s">
        <v>507</v>
      </c>
      <c r="D277" s="10" t="s">
        <v>499</v>
      </c>
      <c r="E277" s="8" t="s">
        <v>1223</v>
      </c>
      <c r="F277" s="10">
        <v>1002</v>
      </c>
      <c r="G277" s="10" t="s">
        <v>40</v>
      </c>
      <c r="H277" s="10" t="s">
        <v>41</v>
      </c>
      <c r="I277" s="11">
        <v>0</v>
      </c>
      <c r="J277" s="10"/>
      <c r="K277" s="10" t="s">
        <v>153</v>
      </c>
      <c r="L277" s="8"/>
      <c r="M277" s="12">
        <v>1350</v>
      </c>
      <c r="N277" s="12">
        <f t="shared" si="6"/>
        <v>0</v>
      </c>
      <c r="O277" s="11"/>
      <c r="P277" s="11"/>
      <c r="Q277" s="11"/>
      <c r="R277" s="11"/>
      <c r="S277" s="11"/>
      <c r="T277" s="11"/>
      <c r="U277" s="11"/>
      <c r="V277" s="11"/>
      <c r="W277" s="11"/>
      <c r="X277" s="11"/>
      <c r="Y277" s="11"/>
      <c r="Z277" s="11"/>
      <c r="AA277" s="11"/>
      <c r="AB277" s="11"/>
      <c r="AC277" s="11">
        <v>2</v>
      </c>
      <c r="AD277" s="11">
        <v>2</v>
      </c>
      <c r="AE277" s="11">
        <v>0</v>
      </c>
      <c r="AF277" s="11">
        <v>0</v>
      </c>
      <c r="AG277" s="11">
        <v>0</v>
      </c>
      <c r="AH277" s="11">
        <v>0</v>
      </c>
      <c r="AI277" s="11">
        <v>0</v>
      </c>
      <c r="AJ277" s="11">
        <v>0</v>
      </c>
      <c r="AK277" s="11">
        <v>0</v>
      </c>
      <c r="AL277" s="11">
        <v>0</v>
      </c>
      <c r="AM277" s="11">
        <v>0</v>
      </c>
      <c r="AN277" s="72">
        <v>0</v>
      </c>
      <c r="AO277" s="72">
        <v>0</v>
      </c>
      <c r="AP277" s="72">
        <v>0</v>
      </c>
      <c r="AQ277" s="72">
        <v>0</v>
      </c>
      <c r="AR277" s="72">
        <v>0</v>
      </c>
      <c r="AS277" s="72">
        <v>0</v>
      </c>
      <c r="AT277" s="72">
        <v>0</v>
      </c>
      <c r="AU277" s="72">
        <v>0</v>
      </c>
      <c r="AV277" s="72">
        <v>0</v>
      </c>
      <c r="AW277" s="72">
        <v>0</v>
      </c>
      <c r="AX277" s="72">
        <v>0</v>
      </c>
      <c r="AY277" s="72">
        <v>0</v>
      </c>
      <c r="AZ277" s="72">
        <v>0</v>
      </c>
      <c r="BA277" s="72">
        <v>0</v>
      </c>
      <c r="BB277" s="72">
        <v>0</v>
      </c>
      <c r="BC277" s="72">
        <v>0</v>
      </c>
      <c r="BD277" s="72">
        <v>0</v>
      </c>
      <c r="BE277" s="72">
        <v>0</v>
      </c>
      <c r="BF277" s="72">
        <v>0</v>
      </c>
      <c r="BG277" s="72">
        <v>0</v>
      </c>
      <c r="BH277" s="72">
        <v>0</v>
      </c>
      <c r="BI277" s="72">
        <v>0</v>
      </c>
      <c r="BJ277" s="72">
        <v>0</v>
      </c>
      <c r="BK277" s="72">
        <v>0</v>
      </c>
      <c r="BL277" s="72">
        <v>0</v>
      </c>
      <c r="BM277" s="72">
        <v>0</v>
      </c>
      <c r="BN277" s="72">
        <v>0</v>
      </c>
      <c r="BO277" s="72">
        <v>0</v>
      </c>
      <c r="BP277" s="72">
        <v>0</v>
      </c>
      <c r="BQ277" s="72">
        <v>0</v>
      </c>
      <c r="BR277" s="72">
        <v>0</v>
      </c>
      <c r="BS277" s="72">
        <v>0</v>
      </c>
      <c r="BT277" s="72">
        <v>0</v>
      </c>
      <c r="BU277" s="72">
        <v>0</v>
      </c>
      <c r="BV277" s="72">
        <v>0</v>
      </c>
      <c r="BW277" s="72">
        <v>0</v>
      </c>
      <c r="BX277" s="72">
        <v>0</v>
      </c>
      <c r="BY277" s="72">
        <v>0</v>
      </c>
      <c r="BZ277" s="72">
        <v>0</v>
      </c>
      <c r="CA277" s="72">
        <v>0</v>
      </c>
      <c r="CB277" s="72">
        <v>0</v>
      </c>
      <c r="CC277" s="72">
        <v>0</v>
      </c>
      <c r="CD277" s="72">
        <v>0</v>
      </c>
      <c r="CE277" s="72">
        <v>0</v>
      </c>
      <c r="CF277" s="72">
        <v>0</v>
      </c>
      <c r="CG277" s="72">
        <v>0</v>
      </c>
      <c r="CH277" s="72">
        <v>0</v>
      </c>
      <c r="CI277" s="72">
        <v>0</v>
      </c>
      <c r="CJ277" s="72">
        <v>0</v>
      </c>
      <c r="CK277" s="72">
        <v>0</v>
      </c>
      <c r="CL277" s="72">
        <v>0</v>
      </c>
      <c r="CM277" s="72">
        <v>0</v>
      </c>
      <c r="CN277" s="72">
        <v>0</v>
      </c>
      <c r="CO277" s="72">
        <v>0</v>
      </c>
      <c r="CP277" s="72">
        <v>0</v>
      </c>
      <c r="CQ277" s="72">
        <v>0</v>
      </c>
      <c r="CR277" s="72">
        <v>0</v>
      </c>
      <c r="CS277" s="72">
        <v>0</v>
      </c>
      <c r="CT277" s="72">
        <v>0</v>
      </c>
      <c r="CU277" s="72">
        <v>0</v>
      </c>
      <c r="CV277" s="72">
        <v>0</v>
      </c>
      <c r="CW277" s="72">
        <v>0</v>
      </c>
      <c r="CX277" s="72">
        <v>0</v>
      </c>
      <c r="CY277" s="72">
        <v>0</v>
      </c>
      <c r="CZ277" s="72">
        <v>0</v>
      </c>
      <c r="DA277" s="72">
        <v>0</v>
      </c>
      <c r="DB277" s="72">
        <v>0</v>
      </c>
      <c r="DC277" s="72">
        <v>0</v>
      </c>
      <c r="DD277" s="72">
        <v>0</v>
      </c>
      <c r="DE277" s="72">
        <v>0</v>
      </c>
      <c r="DF277" s="72">
        <v>0</v>
      </c>
      <c r="DG277" s="72">
        <v>0</v>
      </c>
      <c r="DH277" s="72">
        <v>0</v>
      </c>
      <c r="DI277" s="72">
        <v>0</v>
      </c>
      <c r="DJ277" s="72">
        <v>0</v>
      </c>
      <c r="DK277" s="72">
        <v>0</v>
      </c>
      <c r="DL277" s="72">
        <v>0</v>
      </c>
      <c r="DM277" s="72">
        <v>0</v>
      </c>
    </row>
    <row r="278" spans="1:117" x14ac:dyDescent="0.35">
      <c r="A278" s="7"/>
      <c r="B278" s="8" t="s">
        <v>508</v>
      </c>
      <c r="C278" s="9" t="s">
        <v>509</v>
      </c>
      <c r="D278" s="10" t="s">
        <v>499</v>
      </c>
      <c r="E278" s="8" t="s">
        <v>1223</v>
      </c>
      <c r="F278" s="10">
        <v>1002</v>
      </c>
      <c r="G278" s="10" t="s">
        <v>40</v>
      </c>
      <c r="H278" s="10" t="s">
        <v>41</v>
      </c>
      <c r="I278" s="11">
        <v>0</v>
      </c>
      <c r="J278" s="10"/>
      <c r="K278" s="10"/>
      <c r="L278" s="8"/>
      <c r="M278" s="12"/>
      <c r="N278" s="12">
        <f t="shared" si="6"/>
        <v>0</v>
      </c>
      <c r="O278" s="11">
        <v>1</v>
      </c>
      <c r="P278" s="11">
        <v>1</v>
      </c>
      <c r="Q278" s="11">
        <v>1</v>
      </c>
      <c r="R278" s="11">
        <v>1</v>
      </c>
      <c r="S278" s="11">
        <v>1</v>
      </c>
      <c r="T278" s="11">
        <v>0</v>
      </c>
      <c r="U278" s="11">
        <v>0</v>
      </c>
      <c r="V278" s="11">
        <v>0</v>
      </c>
      <c r="W278" s="11">
        <v>0</v>
      </c>
      <c r="X278" s="11">
        <v>0</v>
      </c>
      <c r="Y278" s="11">
        <v>0</v>
      </c>
      <c r="Z278" s="11">
        <v>0</v>
      </c>
      <c r="AA278" s="11">
        <v>0</v>
      </c>
      <c r="AB278" s="11">
        <v>0</v>
      </c>
      <c r="AC278" s="11">
        <v>0</v>
      </c>
      <c r="AD278" s="11">
        <v>0</v>
      </c>
      <c r="AE278" s="11">
        <v>0</v>
      </c>
      <c r="AF278" s="11">
        <v>0</v>
      </c>
      <c r="AG278" s="11">
        <v>0</v>
      </c>
      <c r="AH278" s="11">
        <v>0</v>
      </c>
      <c r="AI278" s="11">
        <v>0</v>
      </c>
      <c r="AJ278" s="11">
        <v>0</v>
      </c>
      <c r="AK278" s="11">
        <v>0</v>
      </c>
      <c r="AL278" s="11">
        <v>0</v>
      </c>
      <c r="AM278" s="11">
        <v>0</v>
      </c>
      <c r="AN278" s="72">
        <v>0</v>
      </c>
      <c r="AO278" s="72">
        <v>0</v>
      </c>
      <c r="AP278" s="72">
        <v>0</v>
      </c>
      <c r="AQ278" s="72">
        <v>0</v>
      </c>
      <c r="AR278" s="72">
        <v>0</v>
      </c>
      <c r="AS278" s="72">
        <v>0</v>
      </c>
      <c r="AT278" s="72">
        <v>0</v>
      </c>
      <c r="AU278" s="72">
        <v>0</v>
      </c>
      <c r="AV278" s="72">
        <v>0</v>
      </c>
      <c r="AW278" s="72">
        <v>0</v>
      </c>
      <c r="AX278" s="72">
        <v>0</v>
      </c>
      <c r="AY278" s="72">
        <v>0</v>
      </c>
      <c r="AZ278" s="72">
        <v>0</v>
      </c>
      <c r="BA278" s="72">
        <v>0</v>
      </c>
      <c r="BB278" s="72">
        <v>0</v>
      </c>
      <c r="BC278" s="72">
        <v>0</v>
      </c>
      <c r="BD278" s="72">
        <v>0</v>
      </c>
      <c r="BE278" s="72">
        <v>0</v>
      </c>
      <c r="BF278" s="72">
        <v>0</v>
      </c>
      <c r="BG278" s="72">
        <v>0</v>
      </c>
      <c r="BH278" s="72">
        <v>0</v>
      </c>
      <c r="BI278" s="72">
        <v>0</v>
      </c>
      <c r="BJ278" s="72">
        <v>0</v>
      </c>
      <c r="BK278" s="72">
        <v>0</v>
      </c>
      <c r="BL278" s="72">
        <v>0</v>
      </c>
      <c r="BM278" s="72">
        <v>0</v>
      </c>
      <c r="BN278" s="72">
        <v>0</v>
      </c>
      <c r="BO278" s="72">
        <v>0</v>
      </c>
      <c r="BP278" s="72">
        <v>0</v>
      </c>
      <c r="BQ278" s="72">
        <v>0</v>
      </c>
      <c r="BR278" s="72">
        <v>0</v>
      </c>
      <c r="BS278" s="72">
        <v>0</v>
      </c>
      <c r="BT278" s="72">
        <v>0</v>
      </c>
      <c r="BU278" s="72">
        <v>0</v>
      </c>
      <c r="BV278" s="72">
        <v>0</v>
      </c>
      <c r="BW278" s="72">
        <v>0</v>
      </c>
      <c r="BX278" s="72">
        <v>0</v>
      </c>
      <c r="BY278" s="72">
        <v>0</v>
      </c>
      <c r="BZ278" s="72">
        <v>0</v>
      </c>
      <c r="CA278" s="72">
        <v>0</v>
      </c>
      <c r="CB278" s="72">
        <v>0</v>
      </c>
      <c r="CC278" s="72">
        <v>0</v>
      </c>
      <c r="CD278" s="72">
        <v>0</v>
      </c>
      <c r="CE278" s="72">
        <v>0</v>
      </c>
      <c r="CF278" s="72">
        <v>0</v>
      </c>
      <c r="CG278" s="72">
        <v>0</v>
      </c>
      <c r="CH278" s="72">
        <v>0</v>
      </c>
      <c r="CI278" s="72">
        <v>0</v>
      </c>
      <c r="CJ278" s="72">
        <v>0</v>
      </c>
      <c r="CK278" s="72">
        <v>0</v>
      </c>
      <c r="CL278" s="72">
        <v>0</v>
      </c>
      <c r="CM278" s="72">
        <v>0</v>
      </c>
      <c r="CN278" s="72">
        <v>0</v>
      </c>
      <c r="CO278" s="72">
        <v>0</v>
      </c>
      <c r="CP278" s="72">
        <v>0</v>
      </c>
      <c r="CQ278" s="72">
        <v>0</v>
      </c>
      <c r="CR278" s="72">
        <v>0</v>
      </c>
      <c r="CS278" s="72">
        <v>0</v>
      </c>
      <c r="CT278" s="72">
        <v>0</v>
      </c>
      <c r="CU278" s="72">
        <v>0</v>
      </c>
      <c r="CV278" s="72">
        <v>0</v>
      </c>
      <c r="CW278" s="72">
        <v>0</v>
      </c>
      <c r="CX278" s="72">
        <v>0</v>
      </c>
      <c r="CY278" s="72">
        <v>0</v>
      </c>
      <c r="CZ278" s="72">
        <v>0</v>
      </c>
      <c r="DA278" s="72">
        <v>0</v>
      </c>
      <c r="DB278" s="72">
        <v>0</v>
      </c>
      <c r="DC278" s="72">
        <v>0</v>
      </c>
      <c r="DD278" s="72">
        <v>0</v>
      </c>
      <c r="DE278" s="72">
        <v>0</v>
      </c>
      <c r="DF278" s="72">
        <v>0</v>
      </c>
      <c r="DG278" s="72">
        <v>0</v>
      </c>
      <c r="DH278" s="72">
        <v>0</v>
      </c>
      <c r="DI278" s="72">
        <v>0</v>
      </c>
      <c r="DJ278" s="72">
        <v>0</v>
      </c>
      <c r="DK278" s="72">
        <v>0</v>
      </c>
      <c r="DL278" s="72">
        <v>0</v>
      </c>
      <c r="DM278" s="72">
        <v>0</v>
      </c>
    </row>
    <row r="279" spans="1:117" x14ac:dyDescent="0.35">
      <c r="A279" s="7"/>
      <c r="B279" s="8" t="s">
        <v>1254</v>
      </c>
      <c r="C279" s="9" t="s">
        <v>1258</v>
      </c>
      <c r="D279" s="10" t="s">
        <v>499</v>
      </c>
      <c r="E279" s="8" t="s">
        <v>1223</v>
      </c>
      <c r="F279" s="10"/>
      <c r="G279" s="10" t="s">
        <v>40</v>
      </c>
      <c r="H279" s="10" t="s">
        <v>41</v>
      </c>
      <c r="I279" s="11"/>
      <c r="J279" s="10"/>
      <c r="K279" s="10"/>
      <c r="L279" s="8"/>
      <c r="M279" s="119">
        <v>7609.76</v>
      </c>
      <c r="N279" s="12">
        <f t="shared" si="6"/>
        <v>0</v>
      </c>
      <c r="O279" s="11"/>
      <c r="P279" s="11"/>
      <c r="Q279" s="11"/>
      <c r="R279" s="11"/>
      <c r="S279" s="11"/>
      <c r="T279" s="11"/>
      <c r="U279" s="11"/>
      <c r="V279" s="11"/>
      <c r="W279" s="11"/>
      <c r="X279" s="11"/>
      <c r="Y279" s="11"/>
      <c r="Z279" s="11"/>
      <c r="AA279" s="11"/>
      <c r="AB279" s="11"/>
      <c r="AC279" s="11"/>
      <c r="AD279" s="11"/>
      <c r="AE279" s="11"/>
      <c r="AF279" s="11"/>
      <c r="AG279" s="11"/>
      <c r="AH279" s="11"/>
      <c r="AI279" s="11"/>
      <c r="AJ279" s="11"/>
      <c r="AK279" s="11"/>
      <c r="AL279" s="11"/>
      <c r="AM279" s="11"/>
      <c r="AN279" s="72"/>
      <c r="AO279" s="72"/>
      <c r="AP279" s="72"/>
      <c r="AQ279" s="72"/>
      <c r="AR279" s="72"/>
      <c r="AS279" s="72"/>
      <c r="AT279" s="72"/>
      <c r="AU279" s="72"/>
      <c r="AV279" s="72">
        <v>2</v>
      </c>
      <c r="AW279" s="72">
        <v>2</v>
      </c>
      <c r="AX279" s="72">
        <v>2</v>
      </c>
      <c r="AY279" s="72">
        <v>2</v>
      </c>
      <c r="AZ279" s="72">
        <v>2</v>
      </c>
      <c r="BA279" s="72">
        <v>2</v>
      </c>
      <c r="BB279" s="72">
        <v>0</v>
      </c>
      <c r="BC279" s="72">
        <v>0</v>
      </c>
      <c r="BD279" s="72">
        <v>0</v>
      </c>
      <c r="BE279" s="72">
        <v>0</v>
      </c>
      <c r="BF279" s="72">
        <v>0</v>
      </c>
      <c r="BG279" s="72">
        <v>0</v>
      </c>
      <c r="BH279" s="72">
        <v>0</v>
      </c>
      <c r="BI279" s="72">
        <v>0</v>
      </c>
      <c r="BJ279" s="72">
        <v>0</v>
      </c>
      <c r="BK279" s="72">
        <v>0</v>
      </c>
      <c r="BL279" s="72">
        <v>0</v>
      </c>
      <c r="BM279" s="72">
        <v>0</v>
      </c>
      <c r="BN279" s="72">
        <v>0</v>
      </c>
      <c r="BO279" s="72">
        <v>0</v>
      </c>
      <c r="BP279" s="72">
        <v>0</v>
      </c>
      <c r="BQ279" s="72">
        <v>0</v>
      </c>
      <c r="BR279" s="72">
        <v>0</v>
      </c>
      <c r="BS279" s="72">
        <v>0</v>
      </c>
      <c r="BT279" s="72">
        <v>0</v>
      </c>
      <c r="BU279" s="72">
        <v>0</v>
      </c>
      <c r="BV279" s="72">
        <v>0</v>
      </c>
      <c r="BW279" s="72">
        <v>0</v>
      </c>
      <c r="BX279" s="72">
        <v>0</v>
      </c>
      <c r="BY279" s="72">
        <v>0</v>
      </c>
      <c r="BZ279" s="72">
        <v>0</v>
      </c>
      <c r="CA279" s="72">
        <v>0</v>
      </c>
      <c r="CB279" s="72">
        <v>0</v>
      </c>
      <c r="CC279" s="72">
        <v>0</v>
      </c>
      <c r="CD279" s="72">
        <v>0</v>
      </c>
      <c r="CE279" s="72">
        <v>0</v>
      </c>
      <c r="CF279" s="72">
        <v>0</v>
      </c>
      <c r="CG279" s="72">
        <v>0</v>
      </c>
      <c r="CH279" s="72">
        <v>0</v>
      </c>
      <c r="CI279" s="72">
        <v>0</v>
      </c>
      <c r="CJ279" s="72">
        <v>0</v>
      </c>
      <c r="CK279" s="72">
        <v>0</v>
      </c>
      <c r="CL279" s="72">
        <v>0</v>
      </c>
      <c r="CM279" s="72">
        <v>0</v>
      </c>
      <c r="CN279" s="72">
        <v>0</v>
      </c>
      <c r="CO279" s="72">
        <v>0</v>
      </c>
      <c r="CP279" s="72">
        <v>0</v>
      </c>
      <c r="CQ279" s="72">
        <v>0</v>
      </c>
      <c r="CR279" s="72">
        <v>0</v>
      </c>
      <c r="CS279" s="72">
        <v>0</v>
      </c>
      <c r="CT279" s="72">
        <v>0</v>
      </c>
      <c r="CU279" s="72">
        <v>0</v>
      </c>
      <c r="CV279" s="72">
        <v>0</v>
      </c>
      <c r="CW279" s="72">
        <v>0</v>
      </c>
      <c r="CX279" s="72">
        <v>0</v>
      </c>
      <c r="CY279" s="72">
        <v>2</v>
      </c>
      <c r="CZ279" s="72">
        <v>2</v>
      </c>
      <c r="DA279" s="72">
        <v>1</v>
      </c>
      <c r="DB279" s="72">
        <v>1</v>
      </c>
      <c r="DC279" s="72">
        <v>1</v>
      </c>
      <c r="DD279" s="72">
        <v>0</v>
      </c>
      <c r="DE279" s="72">
        <v>0</v>
      </c>
      <c r="DF279" s="72">
        <v>0</v>
      </c>
      <c r="DG279" s="72">
        <v>0</v>
      </c>
      <c r="DH279" s="72">
        <v>0</v>
      </c>
      <c r="DI279" s="72">
        <v>0</v>
      </c>
      <c r="DJ279" s="72">
        <v>0</v>
      </c>
      <c r="DK279" s="72">
        <v>0</v>
      </c>
      <c r="DL279" s="72">
        <v>0</v>
      </c>
      <c r="DM279" s="72">
        <v>0</v>
      </c>
    </row>
    <row r="280" spans="1:117" x14ac:dyDescent="0.35">
      <c r="A280" s="7"/>
      <c r="B280" s="8" t="s">
        <v>510</v>
      </c>
      <c r="C280" s="9" t="s">
        <v>511</v>
      </c>
      <c r="D280" s="10" t="s">
        <v>499</v>
      </c>
      <c r="E280" s="8" t="s">
        <v>1205</v>
      </c>
      <c r="F280" s="10"/>
      <c r="G280" s="10" t="s">
        <v>40</v>
      </c>
      <c r="H280" s="10" t="s">
        <v>41</v>
      </c>
      <c r="I280" s="11">
        <v>1</v>
      </c>
      <c r="J280" s="10"/>
      <c r="K280" s="10" t="s">
        <v>153</v>
      </c>
      <c r="L280" s="8"/>
      <c r="M280" s="12"/>
      <c r="N280" s="12">
        <f t="shared" si="6"/>
        <v>0</v>
      </c>
      <c r="O280" s="11"/>
      <c r="P280" s="11"/>
      <c r="Q280" s="11"/>
      <c r="R280" s="11"/>
      <c r="S280" s="11"/>
      <c r="T280" s="11"/>
      <c r="U280" s="11"/>
      <c r="V280" s="11"/>
      <c r="W280" s="11"/>
      <c r="X280" s="11"/>
      <c r="Y280" s="11"/>
      <c r="Z280" s="11"/>
      <c r="AA280" s="11"/>
      <c r="AB280" s="11"/>
      <c r="AC280" s="11"/>
      <c r="AD280" s="11"/>
      <c r="AE280" s="11"/>
      <c r="AF280" s="11"/>
      <c r="AG280" s="11"/>
      <c r="AH280" s="11"/>
      <c r="AI280" s="11">
        <v>1</v>
      </c>
      <c r="AJ280" s="11">
        <v>1</v>
      </c>
      <c r="AK280" s="11">
        <v>1</v>
      </c>
      <c r="AL280" s="11">
        <v>1</v>
      </c>
      <c r="AM280" s="11">
        <v>1</v>
      </c>
      <c r="AN280" s="72">
        <v>1</v>
      </c>
      <c r="AO280" s="72">
        <v>1</v>
      </c>
      <c r="AP280" s="72">
        <v>1</v>
      </c>
      <c r="AQ280" s="72">
        <v>1</v>
      </c>
      <c r="AR280" s="72">
        <v>1</v>
      </c>
      <c r="AS280" s="72">
        <v>1</v>
      </c>
      <c r="AT280" s="72">
        <v>1</v>
      </c>
      <c r="AU280" s="72">
        <v>1</v>
      </c>
      <c r="AV280" s="72">
        <v>1</v>
      </c>
      <c r="AW280" s="72">
        <v>1</v>
      </c>
      <c r="AX280" s="72">
        <v>1</v>
      </c>
      <c r="AY280" s="72">
        <v>1</v>
      </c>
      <c r="AZ280" s="72">
        <v>1</v>
      </c>
      <c r="BA280" s="72">
        <v>1</v>
      </c>
      <c r="BB280" s="72">
        <v>1</v>
      </c>
      <c r="BC280" s="72">
        <v>1</v>
      </c>
      <c r="BD280" s="72">
        <v>1</v>
      </c>
      <c r="BE280" s="72">
        <v>1</v>
      </c>
      <c r="BF280" s="72">
        <v>1</v>
      </c>
      <c r="BG280" s="72">
        <v>1</v>
      </c>
      <c r="BH280" s="72">
        <v>1</v>
      </c>
      <c r="BI280" s="72">
        <v>1</v>
      </c>
      <c r="BJ280" s="72">
        <v>1</v>
      </c>
      <c r="BK280" s="72">
        <v>1</v>
      </c>
      <c r="BL280" s="72">
        <v>1</v>
      </c>
      <c r="BM280" s="72">
        <v>1</v>
      </c>
      <c r="BN280" s="72">
        <v>1</v>
      </c>
      <c r="BO280" s="72">
        <v>1</v>
      </c>
      <c r="BP280" s="72">
        <v>1</v>
      </c>
      <c r="BQ280" s="72">
        <v>1</v>
      </c>
      <c r="BR280" s="72">
        <v>1</v>
      </c>
      <c r="BS280" s="72">
        <v>1</v>
      </c>
      <c r="BT280" s="72">
        <v>1</v>
      </c>
      <c r="BU280" s="72">
        <v>1</v>
      </c>
      <c r="BV280" s="72">
        <v>1</v>
      </c>
      <c r="BW280" s="72">
        <v>1</v>
      </c>
      <c r="BX280" s="72">
        <v>1</v>
      </c>
      <c r="BY280" s="72">
        <v>1</v>
      </c>
      <c r="BZ280" s="72">
        <v>1</v>
      </c>
      <c r="CA280" s="72">
        <v>1</v>
      </c>
      <c r="CB280" s="72">
        <v>1</v>
      </c>
      <c r="CC280" s="72">
        <v>1</v>
      </c>
      <c r="CD280" s="72">
        <v>1</v>
      </c>
      <c r="CE280" s="72">
        <v>1</v>
      </c>
      <c r="CF280" s="72">
        <v>1</v>
      </c>
      <c r="CG280" s="72">
        <v>1</v>
      </c>
      <c r="CH280" s="72">
        <v>1</v>
      </c>
      <c r="CI280" s="72">
        <v>1</v>
      </c>
      <c r="CJ280" s="72">
        <v>1</v>
      </c>
      <c r="CK280" s="72">
        <v>1</v>
      </c>
      <c r="CL280" s="72">
        <v>1</v>
      </c>
      <c r="CM280" s="72">
        <v>1</v>
      </c>
      <c r="CN280" s="72">
        <v>1</v>
      </c>
      <c r="CO280" s="72">
        <v>1</v>
      </c>
      <c r="CP280" s="72">
        <v>1</v>
      </c>
      <c r="CQ280" s="72">
        <v>1</v>
      </c>
      <c r="CR280" s="72">
        <v>1</v>
      </c>
      <c r="CS280" s="72">
        <v>1</v>
      </c>
      <c r="CT280" s="72">
        <v>1</v>
      </c>
      <c r="CU280" s="72">
        <v>1</v>
      </c>
      <c r="CV280" s="72">
        <v>1</v>
      </c>
      <c r="CW280" s="72">
        <v>1</v>
      </c>
      <c r="CX280" s="72">
        <v>1</v>
      </c>
      <c r="CY280" s="72">
        <v>1</v>
      </c>
      <c r="CZ280" s="72">
        <v>1</v>
      </c>
      <c r="DA280" s="72">
        <v>1</v>
      </c>
      <c r="DB280" s="72">
        <v>1</v>
      </c>
      <c r="DC280" s="72">
        <v>1</v>
      </c>
      <c r="DD280" s="72">
        <v>1</v>
      </c>
      <c r="DE280" s="72">
        <v>1</v>
      </c>
      <c r="DF280" s="72">
        <v>1</v>
      </c>
      <c r="DG280" s="72">
        <v>1</v>
      </c>
      <c r="DH280" s="72">
        <v>1</v>
      </c>
      <c r="DI280" s="72">
        <v>1</v>
      </c>
      <c r="DJ280" s="72">
        <v>1</v>
      </c>
      <c r="DK280" s="72">
        <v>1</v>
      </c>
      <c r="DL280" s="72">
        <v>1</v>
      </c>
      <c r="DM280" s="72">
        <v>1</v>
      </c>
    </row>
    <row r="281" spans="1:117" x14ac:dyDescent="0.35">
      <c r="A281" s="7"/>
      <c r="B281" s="77" t="s">
        <v>1559</v>
      </c>
      <c r="C281" s="78" t="s">
        <v>1567</v>
      </c>
      <c r="D281" s="97" t="s">
        <v>1568</v>
      </c>
      <c r="E281" s="92" t="s">
        <v>183</v>
      </c>
      <c r="F281" s="10"/>
      <c r="G281" s="10"/>
      <c r="H281" s="10"/>
      <c r="I281" s="11"/>
      <c r="J281" s="10"/>
      <c r="K281" s="10" t="s">
        <v>566</v>
      </c>
      <c r="L281" s="8"/>
      <c r="M281" s="12">
        <v>2</v>
      </c>
      <c r="N281" s="12">
        <f t="shared" si="6"/>
        <v>6</v>
      </c>
      <c r="O281" s="11"/>
      <c r="P281" s="11"/>
      <c r="Q281" s="11"/>
      <c r="R281" s="11"/>
      <c r="S281" s="11"/>
      <c r="T281" s="11"/>
      <c r="U281" s="11"/>
      <c r="V281" s="11"/>
      <c r="W281" s="11"/>
      <c r="X281" s="11"/>
      <c r="Y281" s="11"/>
      <c r="Z281" s="11"/>
      <c r="AA281" s="11"/>
      <c r="AB281" s="11"/>
      <c r="AC281" s="11"/>
      <c r="AD281" s="11"/>
      <c r="AE281" s="11"/>
      <c r="AF281" s="11"/>
      <c r="AG281" s="11"/>
      <c r="AH281" s="11"/>
      <c r="AI281" s="11"/>
      <c r="AJ281" s="11"/>
      <c r="AK281" s="11"/>
      <c r="AL281" s="11"/>
      <c r="AM281" s="11"/>
      <c r="AN281" s="72"/>
      <c r="AO281" s="72"/>
      <c r="AP281" s="72"/>
      <c r="AQ281" s="72"/>
      <c r="AR281" s="72"/>
      <c r="AS281" s="72"/>
      <c r="AT281" s="72"/>
      <c r="AU281" s="72"/>
      <c r="AV281" s="72"/>
      <c r="AW281" s="72"/>
      <c r="AX281" s="72"/>
      <c r="AY281" s="72"/>
      <c r="AZ281" s="72"/>
      <c r="BA281" s="72"/>
      <c r="BB281" s="72"/>
      <c r="BC281" s="72"/>
      <c r="BD281" s="72"/>
      <c r="BE281" s="72"/>
      <c r="BF281" s="72"/>
      <c r="BG281" s="72"/>
      <c r="BH281" s="72"/>
      <c r="BI281" s="72"/>
      <c r="BJ281" s="72"/>
      <c r="BK281" s="72"/>
      <c r="BL281" s="72"/>
      <c r="BM281" s="72"/>
      <c r="BN281" s="72"/>
      <c r="BO281" s="72"/>
      <c r="BP281" s="72"/>
      <c r="BQ281" s="72"/>
      <c r="BR281" s="72"/>
      <c r="BS281" s="72"/>
      <c r="BT281" s="72"/>
      <c r="BU281" s="72"/>
      <c r="BV281" s="72"/>
      <c r="BW281" s="72"/>
      <c r="BX281" s="72"/>
      <c r="BY281" s="72"/>
      <c r="BZ281" s="72"/>
      <c r="CA281" s="72"/>
      <c r="CB281" s="72"/>
      <c r="CC281" s="72"/>
      <c r="CD281" s="72"/>
      <c r="CE281" s="72"/>
      <c r="CF281" s="72"/>
      <c r="CG281" s="72"/>
      <c r="CH281" s="72"/>
      <c r="CI281" s="72"/>
      <c r="CJ281" s="72"/>
      <c r="CK281" s="72"/>
      <c r="CL281" s="72"/>
      <c r="CM281" s="72"/>
      <c r="CN281" s="72"/>
      <c r="CO281" s="72"/>
      <c r="CP281" s="72"/>
      <c r="CQ281" s="72"/>
      <c r="CR281" s="72"/>
      <c r="CS281" s="72"/>
      <c r="CT281" s="72"/>
      <c r="CU281" s="72"/>
      <c r="CV281" s="72"/>
      <c r="CW281" s="72"/>
      <c r="CX281" s="72"/>
      <c r="CY281" s="72"/>
      <c r="CZ281" s="72"/>
      <c r="DA281" s="72"/>
      <c r="DB281" s="72"/>
      <c r="DC281" s="72"/>
      <c r="DD281" s="72"/>
      <c r="DE281" s="72"/>
      <c r="DF281" s="72"/>
      <c r="DG281" s="72"/>
      <c r="DH281" s="72"/>
      <c r="DI281" s="72"/>
      <c r="DJ281" s="72"/>
      <c r="DK281" s="72"/>
      <c r="DL281" s="72"/>
      <c r="DM281" s="72">
        <v>3</v>
      </c>
    </row>
    <row r="282" spans="1:117" x14ac:dyDescent="0.35">
      <c r="A282" s="7"/>
      <c r="B282" s="77" t="s">
        <v>1560</v>
      </c>
      <c r="C282" s="78" t="s">
        <v>1567</v>
      </c>
      <c r="D282" s="97" t="s">
        <v>1568</v>
      </c>
      <c r="E282" s="92" t="s">
        <v>183</v>
      </c>
      <c r="F282" s="10"/>
      <c r="G282" s="10"/>
      <c r="H282" s="10"/>
      <c r="I282" s="11"/>
      <c r="J282" s="10"/>
      <c r="K282" s="10" t="s">
        <v>553</v>
      </c>
      <c r="L282" s="8"/>
      <c r="M282" s="12">
        <v>2</v>
      </c>
      <c r="N282" s="12">
        <f t="shared" si="6"/>
        <v>10</v>
      </c>
      <c r="O282" s="11"/>
      <c r="P282" s="11"/>
      <c r="Q282" s="11"/>
      <c r="R282" s="11"/>
      <c r="S282" s="11"/>
      <c r="T282" s="11"/>
      <c r="U282" s="11"/>
      <c r="V282" s="11"/>
      <c r="W282" s="11"/>
      <c r="X282" s="11"/>
      <c r="Y282" s="11"/>
      <c r="Z282" s="11"/>
      <c r="AA282" s="11"/>
      <c r="AB282" s="11"/>
      <c r="AC282" s="11"/>
      <c r="AD282" s="11"/>
      <c r="AE282" s="11"/>
      <c r="AF282" s="11"/>
      <c r="AG282" s="11"/>
      <c r="AH282" s="11"/>
      <c r="AI282" s="11"/>
      <c r="AJ282" s="11"/>
      <c r="AK282" s="11"/>
      <c r="AL282" s="11"/>
      <c r="AM282" s="11"/>
      <c r="AN282" s="72"/>
      <c r="AO282" s="72"/>
      <c r="AP282" s="72"/>
      <c r="AQ282" s="72"/>
      <c r="AR282" s="72"/>
      <c r="AS282" s="72"/>
      <c r="AT282" s="72"/>
      <c r="AU282" s="72"/>
      <c r="AV282" s="72"/>
      <c r="AW282" s="72"/>
      <c r="AX282" s="72"/>
      <c r="AY282" s="72"/>
      <c r="AZ282" s="72"/>
      <c r="BA282" s="72"/>
      <c r="BB282" s="72"/>
      <c r="BC282" s="72"/>
      <c r="BD282" s="72"/>
      <c r="BE282" s="72"/>
      <c r="BF282" s="72"/>
      <c r="BG282" s="72"/>
      <c r="BH282" s="72"/>
      <c r="BI282" s="72"/>
      <c r="BJ282" s="72"/>
      <c r="BK282" s="72"/>
      <c r="BL282" s="72"/>
      <c r="BM282" s="72"/>
      <c r="BN282" s="72"/>
      <c r="BO282" s="72"/>
      <c r="BP282" s="72"/>
      <c r="BQ282" s="72"/>
      <c r="BR282" s="72"/>
      <c r="BS282" s="72"/>
      <c r="BT282" s="72"/>
      <c r="BU282" s="72"/>
      <c r="BV282" s="72"/>
      <c r="BW282" s="72"/>
      <c r="BX282" s="72"/>
      <c r="BY282" s="72"/>
      <c r="BZ282" s="72"/>
      <c r="CA282" s="72"/>
      <c r="CB282" s="72"/>
      <c r="CC282" s="72"/>
      <c r="CD282" s="72"/>
      <c r="CE282" s="72"/>
      <c r="CF282" s="72"/>
      <c r="CG282" s="72"/>
      <c r="CH282" s="72"/>
      <c r="CI282" s="72"/>
      <c r="CJ282" s="72"/>
      <c r="CK282" s="72"/>
      <c r="CL282" s="72"/>
      <c r="CM282" s="72"/>
      <c r="CN282" s="72"/>
      <c r="CO282" s="72"/>
      <c r="CP282" s="72"/>
      <c r="CQ282" s="72"/>
      <c r="CR282" s="72"/>
      <c r="CS282" s="72"/>
      <c r="CT282" s="72"/>
      <c r="CU282" s="72"/>
      <c r="CV282" s="72"/>
      <c r="CW282" s="72"/>
      <c r="CX282" s="72"/>
      <c r="CY282" s="72"/>
      <c r="CZ282" s="72"/>
      <c r="DA282" s="72"/>
      <c r="DB282" s="72"/>
      <c r="DC282" s="72"/>
      <c r="DD282" s="72"/>
      <c r="DE282" s="72"/>
      <c r="DF282" s="72"/>
      <c r="DG282" s="72"/>
      <c r="DH282" s="72"/>
      <c r="DI282" s="72"/>
      <c r="DJ282" s="72"/>
      <c r="DK282" s="72"/>
      <c r="DL282" s="72"/>
      <c r="DM282" s="72">
        <v>5</v>
      </c>
    </row>
    <row r="283" spans="1:117" x14ac:dyDescent="0.35">
      <c r="A283" s="7"/>
      <c r="B283" s="77" t="s">
        <v>1561</v>
      </c>
      <c r="C283" s="78" t="s">
        <v>1569</v>
      </c>
      <c r="D283" s="97" t="s">
        <v>1568</v>
      </c>
      <c r="E283" s="92" t="s">
        <v>183</v>
      </c>
      <c r="F283" s="10"/>
      <c r="G283" s="10"/>
      <c r="H283" s="10"/>
      <c r="I283" s="11"/>
      <c r="J283" s="10"/>
      <c r="K283" s="10" t="s">
        <v>566</v>
      </c>
      <c r="L283" s="8"/>
      <c r="M283" s="12">
        <v>4</v>
      </c>
      <c r="N283" s="12">
        <f t="shared" si="6"/>
        <v>76</v>
      </c>
      <c r="O283" s="11"/>
      <c r="P283" s="11"/>
      <c r="Q283" s="11"/>
      <c r="R283" s="11"/>
      <c r="S283" s="11"/>
      <c r="T283" s="11"/>
      <c r="U283" s="11"/>
      <c r="V283" s="11"/>
      <c r="W283" s="11"/>
      <c r="X283" s="11"/>
      <c r="Y283" s="11"/>
      <c r="Z283" s="11"/>
      <c r="AA283" s="11"/>
      <c r="AB283" s="11"/>
      <c r="AC283" s="11"/>
      <c r="AD283" s="11"/>
      <c r="AE283" s="11"/>
      <c r="AF283" s="11"/>
      <c r="AG283" s="11"/>
      <c r="AH283" s="11"/>
      <c r="AI283" s="11"/>
      <c r="AJ283" s="11"/>
      <c r="AK283" s="11"/>
      <c r="AL283" s="11"/>
      <c r="AM283" s="11"/>
      <c r="AN283" s="72"/>
      <c r="AO283" s="72"/>
      <c r="AP283" s="72"/>
      <c r="AQ283" s="72"/>
      <c r="AR283" s="72"/>
      <c r="AS283" s="72"/>
      <c r="AT283" s="72"/>
      <c r="AU283" s="72"/>
      <c r="AV283" s="72"/>
      <c r="AW283" s="72"/>
      <c r="AX283" s="72"/>
      <c r="AY283" s="72"/>
      <c r="AZ283" s="72"/>
      <c r="BA283" s="72"/>
      <c r="BB283" s="72"/>
      <c r="BC283" s="72"/>
      <c r="BD283" s="72"/>
      <c r="BE283" s="72"/>
      <c r="BF283" s="72"/>
      <c r="BG283" s="72"/>
      <c r="BH283" s="72"/>
      <c r="BI283" s="72"/>
      <c r="BJ283" s="72"/>
      <c r="BK283" s="72"/>
      <c r="BL283" s="72"/>
      <c r="BM283" s="72"/>
      <c r="BN283" s="72"/>
      <c r="BO283" s="72"/>
      <c r="BP283" s="72"/>
      <c r="BQ283" s="72"/>
      <c r="BR283" s="72"/>
      <c r="BS283" s="72"/>
      <c r="BT283" s="72"/>
      <c r="BU283" s="72"/>
      <c r="BV283" s="72"/>
      <c r="BW283" s="72"/>
      <c r="BX283" s="72"/>
      <c r="BY283" s="72"/>
      <c r="BZ283" s="72"/>
      <c r="CA283" s="72"/>
      <c r="CB283" s="72"/>
      <c r="CC283" s="72"/>
      <c r="CD283" s="72"/>
      <c r="CE283" s="72"/>
      <c r="CF283" s="72"/>
      <c r="CG283" s="72"/>
      <c r="CH283" s="72"/>
      <c r="CI283" s="72"/>
      <c r="CJ283" s="72"/>
      <c r="CK283" s="72"/>
      <c r="CL283" s="72"/>
      <c r="CM283" s="72"/>
      <c r="CN283" s="72"/>
      <c r="CO283" s="72"/>
      <c r="CP283" s="72"/>
      <c r="CQ283" s="72"/>
      <c r="CR283" s="72"/>
      <c r="CS283" s="72"/>
      <c r="CT283" s="72"/>
      <c r="CU283" s="72"/>
      <c r="CV283" s="72"/>
      <c r="CW283" s="72"/>
      <c r="CX283" s="72"/>
      <c r="CY283" s="72"/>
      <c r="CZ283" s="72"/>
      <c r="DA283" s="72"/>
      <c r="DB283" s="72"/>
      <c r="DC283" s="72"/>
      <c r="DD283" s="72"/>
      <c r="DE283" s="72"/>
      <c r="DF283" s="72"/>
      <c r="DG283" s="72"/>
      <c r="DH283" s="72"/>
      <c r="DI283" s="72"/>
      <c r="DJ283" s="72"/>
      <c r="DK283" s="72"/>
      <c r="DL283" s="72"/>
      <c r="DM283" s="72">
        <v>19</v>
      </c>
    </row>
    <row r="284" spans="1:117" x14ac:dyDescent="0.35">
      <c r="A284" s="7"/>
      <c r="B284" s="77" t="s">
        <v>1562</v>
      </c>
      <c r="C284" s="78" t="s">
        <v>1569</v>
      </c>
      <c r="D284" s="97" t="s">
        <v>1568</v>
      </c>
      <c r="E284" s="92" t="s">
        <v>183</v>
      </c>
      <c r="F284" s="10"/>
      <c r="G284" s="10"/>
      <c r="H284" s="10"/>
      <c r="I284" s="11"/>
      <c r="J284" s="10"/>
      <c r="K284" s="10" t="s">
        <v>553</v>
      </c>
      <c r="L284" s="8"/>
      <c r="M284" s="12">
        <v>4</v>
      </c>
      <c r="N284" s="12">
        <f t="shared" si="6"/>
        <v>4</v>
      </c>
      <c r="O284" s="11"/>
      <c r="P284" s="11"/>
      <c r="Q284" s="11"/>
      <c r="R284" s="11"/>
      <c r="S284" s="11"/>
      <c r="T284" s="11"/>
      <c r="U284" s="11"/>
      <c r="V284" s="11"/>
      <c r="W284" s="11"/>
      <c r="X284" s="11"/>
      <c r="Y284" s="11"/>
      <c r="Z284" s="11"/>
      <c r="AA284" s="11"/>
      <c r="AB284" s="11"/>
      <c r="AC284" s="11"/>
      <c r="AD284" s="11"/>
      <c r="AE284" s="11"/>
      <c r="AF284" s="11"/>
      <c r="AG284" s="11"/>
      <c r="AH284" s="11"/>
      <c r="AI284" s="11"/>
      <c r="AJ284" s="11"/>
      <c r="AK284" s="11"/>
      <c r="AL284" s="11"/>
      <c r="AM284" s="11"/>
      <c r="AN284" s="72"/>
      <c r="AO284" s="72"/>
      <c r="AP284" s="72"/>
      <c r="AQ284" s="72"/>
      <c r="AR284" s="72"/>
      <c r="AS284" s="72"/>
      <c r="AT284" s="72"/>
      <c r="AU284" s="72"/>
      <c r="AV284" s="72"/>
      <c r="AW284" s="72"/>
      <c r="AX284" s="72"/>
      <c r="AY284" s="72"/>
      <c r="AZ284" s="72"/>
      <c r="BA284" s="72"/>
      <c r="BB284" s="72"/>
      <c r="BC284" s="72"/>
      <c r="BD284" s="72"/>
      <c r="BE284" s="72"/>
      <c r="BF284" s="72"/>
      <c r="BG284" s="72"/>
      <c r="BH284" s="72"/>
      <c r="BI284" s="72"/>
      <c r="BJ284" s="72"/>
      <c r="BK284" s="72"/>
      <c r="BL284" s="72"/>
      <c r="BM284" s="72"/>
      <c r="BN284" s="72"/>
      <c r="BO284" s="72"/>
      <c r="BP284" s="72"/>
      <c r="BQ284" s="72"/>
      <c r="BR284" s="72"/>
      <c r="BS284" s="72"/>
      <c r="BT284" s="72"/>
      <c r="BU284" s="72"/>
      <c r="BV284" s="72"/>
      <c r="BW284" s="72"/>
      <c r="BX284" s="72"/>
      <c r="BY284" s="72"/>
      <c r="BZ284" s="72"/>
      <c r="CA284" s="72"/>
      <c r="CB284" s="72"/>
      <c r="CC284" s="72"/>
      <c r="CD284" s="72"/>
      <c r="CE284" s="72"/>
      <c r="CF284" s="72"/>
      <c r="CG284" s="72"/>
      <c r="CH284" s="72"/>
      <c r="CI284" s="72"/>
      <c r="CJ284" s="72"/>
      <c r="CK284" s="72"/>
      <c r="CL284" s="72"/>
      <c r="CM284" s="72"/>
      <c r="CN284" s="72"/>
      <c r="CO284" s="72"/>
      <c r="CP284" s="72"/>
      <c r="CQ284" s="72"/>
      <c r="CR284" s="72"/>
      <c r="CS284" s="72"/>
      <c r="CT284" s="72"/>
      <c r="CU284" s="72"/>
      <c r="CV284" s="72"/>
      <c r="CW284" s="72"/>
      <c r="CX284" s="72"/>
      <c r="CY284" s="72"/>
      <c r="CZ284" s="72"/>
      <c r="DA284" s="72"/>
      <c r="DB284" s="72"/>
      <c r="DC284" s="72"/>
      <c r="DD284" s="72"/>
      <c r="DE284" s="72"/>
      <c r="DF284" s="72"/>
      <c r="DG284" s="72"/>
      <c r="DH284" s="72"/>
      <c r="DI284" s="72"/>
      <c r="DJ284" s="72"/>
      <c r="DK284" s="72"/>
      <c r="DL284" s="72"/>
      <c r="DM284" s="72">
        <v>1</v>
      </c>
    </row>
    <row r="285" spans="1:117" x14ac:dyDescent="0.35">
      <c r="A285" s="7"/>
      <c r="B285" s="77" t="s">
        <v>1563</v>
      </c>
      <c r="C285" s="78" t="s">
        <v>1570</v>
      </c>
      <c r="D285" s="97" t="s">
        <v>1568</v>
      </c>
      <c r="E285" s="92" t="s">
        <v>1213</v>
      </c>
      <c r="F285" s="10"/>
      <c r="G285" s="10"/>
      <c r="H285" s="10"/>
      <c r="I285" s="11"/>
      <c r="J285" s="10"/>
      <c r="K285" s="10" t="s">
        <v>1571</v>
      </c>
      <c r="L285" s="8" t="s">
        <v>1572</v>
      </c>
      <c r="M285" s="12"/>
      <c r="N285" s="12">
        <f t="shared" si="6"/>
        <v>0</v>
      </c>
      <c r="O285" s="11"/>
      <c r="P285" s="11"/>
      <c r="Q285" s="11"/>
      <c r="R285" s="11"/>
      <c r="S285" s="11"/>
      <c r="T285" s="11"/>
      <c r="U285" s="11"/>
      <c r="V285" s="11"/>
      <c r="W285" s="11"/>
      <c r="X285" s="11"/>
      <c r="Y285" s="11"/>
      <c r="Z285" s="11"/>
      <c r="AA285" s="11"/>
      <c r="AB285" s="11"/>
      <c r="AC285" s="11"/>
      <c r="AD285" s="11"/>
      <c r="AE285" s="11"/>
      <c r="AF285" s="11"/>
      <c r="AG285" s="11"/>
      <c r="AH285" s="11"/>
      <c r="AI285" s="11"/>
      <c r="AJ285" s="11"/>
      <c r="AK285" s="11"/>
      <c r="AL285" s="11"/>
      <c r="AM285" s="11"/>
      <c r="AN285" s="72"/>
      <c r="AO285" s="72"/>
      <c r="AP285" s="72"/>
      <c r="AQ285" s="72"/>
      <c r="AR285" s="72"/>
      <c r="AS285" s="72"/>
      <c r="AT285" s="72"/>
      <c r="AU285" s="72"/>
      <c r="AV285" s="72"/>
      <c r="AW285" s="72"/>
      <c r="AX285" s="72"/>
      <c r="AY285" s="72"/>
      <c r="AZ285" s="72"/>
      <c r="BA285" s="72"/>
      <c r="BB285" s="72"/>
      <c r="BC285" s="72"/>
      <c r="BD285" s="72"/>
      <c r="BE285" s="72"/>
      <c r="BF285" s="72"/>
      <c r="BG285" s="72"/>
      <c r="BH285" s="72"/>
      <c r="BI285" s="72"/>
      <c r="BJ285" s="72"/>
      <c r="BK285" s="72"/>
      <c r="BL285" s="72"/>
      <c r="BM285" s="72"/>
      <c r="BN285" s="72"/>
      <c r="BO285" s="72"/>
      <c r="BP285" s="72"/>
      <c r="BQ285" s="72"/>
      <c r="BR285" s="72"/>
      <c r="BS285" s="72"/>
      <c r="BT285" s="72"/>
      <c r="BU285" s="72"/>
      <c r="BV285" s="72"/>
      <c r="BW285" s="72"/>
      <c r="BX285" s="72"/>
      <c r="BY285" s="72"/>
      <c r="BZ285" s="72"/>
      <c r="CA285" s="72"/>
      <c r="CB285" s="72"/>
      <c r="CC285" s="72"/>
      <c r="CD285" s="72"/>
      <c r="CE285" s="72"/>
      <c r="CF285" s="72"/>
      <c r="CG285" s="72"/>
      <c r="CH285" s="72"/>
      <c r="CI285" s="72"/>
      <c r="CJ285" s="72"/>
      <c r="CK285" s="72"/>
      <c r="CL285" s="72"/>
      <c r="CM285" s="72"/>
      <c r="CN285" s="72"/>
      <c r="CO285" s="72"/>
      <c r="CP285" s="72"/>
      <c r="CQ285" s="72"/>
      <c r="CR285" s="72"/>
      <c r="CS285" s="72"/>
      <c r="CT285" s="72"/>
      <c r="CU285" s="72"/>
      <c r="CV285" s="72"/>
      <c r="CW285" s="72"/>
      <c r="CX285" s="72"/>
      <c r="CY285" s="72"/>
      <c r="CZ285" s="72"/>
      <c r="DA285" s="72"/>
      <c r="DB285" s="72"/>
      <c r="DC285" s="72"/>
      <c r="DD285" s="72"/>
      <c r="DE285" s="72"/>
      <c r="DF285" s="72"/>
      <c r="DG285" s="72"/>
      <c r="DH285" s="72"/>
      <c r="DI285" s="72"/>
      <c r="DJ285" s="72"/>
      <c r="DK285" s="72"/>
      <c r="DL285" s="72"/>
      <c r="DM285" s="72">
        <v>1</v>
      </c>
    </row>
    <row r="286" spans="1:117" x14ac:dyDescent="0.35">
      <c r="A286" s="7"/>
      <c r="B286" s="8" t="s">
        <v>512</v>
      </c>
      <c r="C286" s="9" t="s">
        <v>1162</v>
      </c>
      <c r="D286" s="10" t="s">
        <v>513</v>
      </c>
      <c r="E286" s="8" t="s">
        <v>1214</v>
      </c>
      <c r="F286" s="10">
        <v>1003</v>
      </c>
      <c r="G286" s="10" t="s">
        <v>40</v>
      </c>
      <c r="H286" s="10" t="s">
        <v>41</v>
      </c>
      <c r="I286" s="11"/>
      <c r="J286" s="10"/>
      <c r="K286" s="10" t="s">
        <v>514</v>
      </c>
      <c r="L286" s="8" t="s">
        <v>515</v>
      </c>
      <c r="M286" s="12"/>
      <c r="N286" s="12">
        <f t="shared" si="6"/>
        <v>0</v>
      </c>
      <c r="O286" s="11"/>
      <c r="P286" s="11"/>
      <c r="Q286" s="11"/>
      <c r="R286" s="11"/>
      <c r="S286" s="11"/>
      <c r="T286" s="11"/>
      <c r="U286" s="11"/>
      <c r="V286" s="11"/>
      <c r="W286" s="11"/>
      <c r="X286" s="11"/>
      <c r="Y286" s="11"/>
      <c r="Z286" s="11"/>
      <c r="AA286" s="11"/>
      <c r="AB286" s="11"/>
      <c r="AC286" s="11"/>
      <c r="AD286" s="11"/>
      <c r="AE286" s="11"/>
      <c r="AF286" s="11"/>
      <c r="AG286" s="11"/>
      <c r="AH286" s="11"/>
      <c r="AI286" s="11"/>
      <c r="AJ286" s="11"/>
      <c r="AK286" s="11"/>
      <c r="AL286" s="11"/>
      <c r="AM286" s="11"/>
      <c r="AN286" s="72"/>
      <c r="AO286" s="72"/>
      <c r="AP286" s="72"/>
      <c r="AQ286" s="72"/>
      <c r="AR286" s="72"/>
      <c r="AS286" s="72"/>
      <c r="AT286" s="72"/>
      <c r="AU286" s="72"/>
      <c r="AV286" s="72">
        <v>0</v>
      </c>
      <c r="AW286" s="72">
        <v>0</v>
      </c>
      <c r="AX286" s="72">
        <v>0</v>
      </c>
      <c r="AY286" s="72">
        <v>0</v>
      </c>
      <c r="AZ286" s="72">
        <v>0</v>
      </c>
      <c r="BA286" s="72">
        <v>0</v>
      </c>
      <c r="BB286" s="72">
        <v>0</v>
      </c>
      <c r="BC286" s="72">
        <v>0</v>
      </c>
      <c r="BD286" s="72">
        <v>0</v>
      </c>
      <c r="BE286" s="72">
        <v>0</v>
      </c>
      <c r="BF286" s="72">
        <v>0</v>
      </c>
      <c r="BG286" s="72">
        <v>0</v>
      </c>
      <c r="BH286" s="72">
        <v>0</v>
      </c>
      <c r="BI286" s="72">
        <v>0</v>
      </c>
      <c r="BJ286" s="72">
        <v>0</v>
      </c>
      <c r="BK286" s="72">
        <v>0</v>
      </c>
      <c r="BL286" s="72">
        <v>0</v>
      </c>
      <c r="BM286" s="72">
        <v>0</v>
      </c>
      <c r="BN286" s="72">
        <v>0</v>
      </c>
      <c r="BO286" s="72">
        <v>0</v>
      </c>
      <c r="BP286" s="72">
        <v>0</v>
      </c>
      <c r="BQ286" s="72">
        <v>0</v>
      </c>
      <c r="BR286" s="72">
        <v>0</v>
      </c>
      <c r="BS286" s="72">
        <v>0</v>
      </c>
      <c r="BT286" s="72">
        <v>0</v>
      </c>
      <c r="BU286" s="72">
        <v>0</v>
      </c>
      <c r="BV286" s="72">
        <v>0</v>
      </c>
      <c r="BW286" s="72">
        <v>0</v>
      </c>
      <c r="BX286" s="72">
        <v>0</v>
      </c>
      <c r="BY286" s="72">
        <v>0</v>
      </c>
      <c r="BZ286" s="72">
        <v>0</v>
      </c>
      <c r="CA286" s="72">
        <v>0</v>
      </c>
      <c r="CB286" s="72">
        <v>0</v>
      </c>
      <c r="CC286" s="72">
        <v>0</v>
      </c>
      <c r="CD286" s="72">
        <v>0</v>
      </c>
      <c r="CE286" s="72">
        <v>0</v>
      </c>
      <c r="CF286" s="72">
        <v>0</v>
      </c>
      <c r="CG286" s="72">
        <v>0</v>
      </c>
      <c r="CH286" s="72">
        <v>0</v>
      </c>
      <c r="CI286" s="72">
        <v>0</v>
      </c>
      <c r="CJ286" s="72">
        <v>0</v>
      </c>
      <c r="CK286" s="72">
        <v>0</v>
      </c>
      <c r="CL286" s="72">
        <v>0</v>
      </c>
      <c r="CM286" s="72">
        <v>0</v>
      </c>
      <c r="CN286" s="72">
        <v>0</v>
      </c>
      <c r="CO286" s="72">
        <v>0</v>
      </c>
      <c r="CP286" s="72">
        <v>0</v>
      </c>
      <c r="CQ286" s="72">
        <v>0</v>
      </c>
      <c r="CR286" s="72">
        <v>0</v>
      </c>
      <c r="CS286" s="72">
        <v>0</v>
      </c>
      <c r="CT286" s="72">
        <v>0</v>
      </c>
      <c r="CU286" s="72">
        <v>0</v>
      </c>
      <c r="CV286" s="72">
        <v>0</v>
      </c>
      <c r="CW286" s="72">
        <v>0</v>
      </c>
      <c r="CX286" s="72">
        <v>0</v>
      </c>
      <c r="CY286" s="72">
        <v>0</v>
      </c>
      <c r="CZ286" s="72">
        <v>0</v>
      </c>
      <c r="DA286" s="72">
        <v>0</v>
      </c>
      <c r="DB286" s="72">
        <v>0</v>
      </c>
      <c r="DC286" s="72">
        <v>0</v>
      </c>
      <c r="DD286" s="72">
        <v>0</v>
      </c>
      <c r="DE286" s="72">
        <v>0</v>
      </c>
      <c r="DF286" s="72">
        <v>0</v>
      </c>
      <c r="DG286" s="72">
        <v>0</v>
      </c>
      <c r="DH286" s="72">
        <v>0</v>
      </c>
      <c r="DI286" s="72">
        <v>0</v>
      </c>
      <c r="DJ286" s="72">
        <v>0</v>
      </c>
      <c r="DK286" s="72">
        <v>0</v>
      </c>
      <c r="DL286" s="72">
        <v>0</v>
      </c>
      <c r="DM286" s="72">
        <v>0</v>
      </c>
    </row>
    <row r="287" spans="1:117" x14ac:dyDescent="0.35">
      <c r="A287" s="7"/>
      <c r="B287" s="8" t="s">
        <v>516</v>
      </c>
      <c r="C287" s="9" t="s">
        <v>517</v>
      </c>
      <c r="D287" s="10" t="s">
        <v>513</v>
      </c>
      <c r="E287" s="8" t="s">
        <v>1205</v>
      </c>
      <c r="F287" s="10">
        <v>1002</v>
      </c>
      <c r="G287" s="10" t="s">
        <v>40</v>
      </c>
      <c r="H287" s="10" t="s">
        <v>41</v>
      </c>
      <c r="I287" s="11">
        <v>2</v>
      </c>
      <c r="J287" s="10"/>
      <c r="K287" s="10"/>
      <c r="L287" s="8"/>
      <c r="M287" s="12">
        <v>1300</v>
      </c>
      <c r="N287" s="12">
        <f t="shared" si="6"/>
        <v>2600</v>
      </c>
      <c r="O287" s="11">
        <v>2</v>
      </c>
      <c r="P287" s="11">
        <v>2</v>
      </c>
      <c r="Q287" s="11">
        <v>2</v>
      </c>
      <c r="R287" s="11">
        <v>2</v>
      </c>
      <c r="S287" s="11">
        <v>2</v>
      </c>
      <c r="T287" s="11">
        <v>2</v>
      </c>
      <c r="U287" s="11">
        <v>2</v>
      </c>
      <c r="V287" s="11">
        <v>2</v>
      </c>
      <c r="W287" s="11">
        <v>2</v>
      </c>
      <c r="X287" s="11">
        <v>2</v>
      </c>
      <c r="Y287" s="11">
        <v>2</v>
      </c>
      <c r="Z287" s="11">
        <v>2</v>
      </c>
      <c r="AA287" s="11">
        <v>2</v>
      </c>
      <c r="AB287" s="11">
        <v>2</v>
      </c>
      <c r="AC287" s="11">
        <v>2</v>
      </c>
      <c r="AD287" s="11">
        <v>2</v>
      </c>
      <c r="AE287" s="11">
        <v>2</v>
      </c>
      <c r="AF287" s="11">
        <v>2</v>
      </c>
      <c r="AG287" s="11">
        <v>2</v>
      </c>
      <c r="AH287" s="11">
        <v>2</v>
      </c>
      <c r="AI287" s="11">
        <v>2</v>
      </c>
      <c r="AJ287" s="11">
        <v>2</v>
      </c>
      <c r="AK287" s="11">
        <v>2</v>
      </c>
      <c r="AL287" s="11">
        <v>2</v>
      </c>
      <c r="AM287" s="11">
        <v>2</v>
      </c>
      <c r="AN287" s="72">
        <v>2</v>
      </c>
      <c r="AO287" s="72">
        <v>2</v>
      </c>
      <c r="AP287" s="72">
        <v>2</v>
      </c>
      <c r="AQ287" s="72">
        <v>2</v>
      </c>
      <c r="AR287" s="72">
        <v>2</v>
      </c>
      <c r="AS287" s="72">
        <v>2</v>
      </c>
      <c r="AT287" s="72">
        <v>2</v>
      </c>
      <c r="AU287" s="72">
        <v>2</v>
      </c>
      <c r="AV287" s="72">
        <v>2</v>
      </c>
      <c r="AW287" s="72">
        <v>2</v>
      </c>
      <c r="AX287" s="72">
        <v>2</v>
      </c>
      <c r="AY287" s="72">
        <v>2</v>
      </c>
      <c r="AZ287" s="72">
        <v>2</v>
      </c>
      <c r="BA287" s="72">
        <v>2</v>
      </c>
      <c r="BB287" s="72">
        <v>2</v>
      </c>
      <c r="BC287" s="72">
        <v>2</v>
      </c>
      <c r="BD287" s="72">
        <v>2</v>
      </c>
      <c r="BE287" s="72">
        <v>2</v>
      </c>
      <c r="BF287" s="72">
        <v>2</v>
      </c>
      <c r="BG287" s="72">
        <v>2</v>
      </c>
      <c r="BH287" s="72">
        <v>2</v>
      </c>
      <c r="BI287" s="72">
        <v>2</v>
      </c>
      <c r="BJ287" s="72">
        <v>2</v>
      </c>
      <c r="BK287" s="72">
        <v>2</v>
      </c>
      <c r="BL287" s="72">
        <v>2</v>
      </c>
      <c r="BM287" s="72">
        <v>2</v>
      </c>
      <c r="BN287" s="72">
        <v>2</v>
      </c>
      <c r="BO287" s="72">
        <v>2</v>
      </c>
      <c r="BP287" s="72">
        <v>2</v>
      </c>
      <c r="BQ287" s="72">
        <v>2</v>
      </c>
      <c r="BR287" s="72">
        <v>2</v>
      </c>
      <c r="BS287" s="72">
        <v>2</v>
      </c>
      <c r="BT287" s="72">
        <v>2</v>
      </c>
      <c r="BU287" s="72">
        <v>2</v>
      </c>
      <c r="BV287" s="72">
        <v>2</v>
      </c>
      <c r="BW287" s="72">
        <v>2</v>
      </c>
      <c r="BX287" s="72">
        <v>2</v>
      </c>
      <c r="BY287" s="72">
        <v>2</v>
      </c>
      <c r="BZ287" s="72">
        <v>2</v>
      </c>
      <c r="CA287" s="72">
        <v>2</v>
      </c>
      <c r="CB287" s="72">
        <v>2</v>
      </c>
      <c r="CC287" s="72">
        <v>2</v>
      </c>
      <c r="CD287" s="72">
        <v>2</v>
      </c>
      <c r="CE287" s="72">
        <v>2</v>
      </c>
      <c r="CF287" s="72">
        <v>2</v>
      </c>
      <c r="CG287" s="72">
        <v>2</v>
      </c>
      <c r="CH287" s="72">
        <v>2</v>
      </c>
      <c r="CI287" s="72">
        <v>2</v>
      </c>
      <c r="CJ287" s="72">
        <v>2</v>
      </c>
      <c r="CK287" s="72">
        <v>2</v>
      </c>
      <c r="CL287" s="72">
        <v>2</v>
      </c>
      <c r="CM287" s="72">
        <v>2</v>
      </c>
      <c r="CN287" s="72">
        <v>2</v>
      </c>
      <c r="CO287" s="72">
        <v>2</v>
      </c>
      <c r="CP287" s="72">
        <v>2</v>
      </c>
      <c r="CQ287" s="72">
        <v>2</v>
      </c>
      <c r="CR287" s="72">
        <v>2</v>
      </c>
      <c r="CS287" s="72">
        <v>2</v>
      </c>
      <c r="CT287" s="72">
        <v>2</v>
      </c>
      <c r="CU287" s="72">
        <v>2</v>
      </c>
      <c r="CV287" s="72">
        <v>2</v>
      </c>
      <c r="CW287" s="72">
        <v>2</v>
      </c>
      <c r="CX287" s="72">
        <v>2</v>
      </c>
      <c r="CY287" s="72">
        <v>2</v>
      </c>
      <c r="CZ287" s="72">
        <v>2</v>
      </c>
      <c r="DA287" s="72">
        <v>2</v>
      </c>
      <c r="DB287" s="72">
        <v>2</v>
      </c>
      <c r="DC287" s="72">
        <v>2</v>
      </c>
      <c r="DD287" s="72">
        <v>2</v>
      </c>
      <c r="DE287" s="72">
        <v>2</v>
      </c>
      <c r="DF287" s="72">
        <v>2</v>
      </c>
      <c r="DG287" s="72">
        <v>2</v>
      </c>
      <c r="DH287" s="72">
        <v>2</v>
      </c>
      <c r="DI287" s="72">
        <v>2</v>
      </c>
      <c r="DJ287" s="72">
        <v>2</v>
      </c>
      <c r="DK287" s="72">
        <v>2</v>
      </c>
      <c r="DL287" s="72">
        <v>2</v>
      </c>
      <c r="DM287" s="72">
        <v>2</v>
      </c>
    </row>
    <row r="288" spans="1:117" x14ac:dyDescent="0.35">
      <c r="A288" s="7"/>
      <c r="B288" s="8" t="s">
        <v>518</v>
      </c>
      <c r="C288" s="9" t="s">
        <v>519</v>
      </c>
      <c r="D288" s="10" t="s">
        <v>513</v>
      </c>
      <c r="E288" s="8" t="s">
        <v>1224</v>
      </c>
      <c r="F288" s="10">
        <v>1005</v>
      </c>
      <c r="G288" s="10" t="s">
        <v>40</v>
      </c>
      <c r="H288" s="10" t="s">
        <v>41</v>
      </c>
      <c r="I288" s="11">
        <v>0</v>
      </c>
      <c r="J288" s="10"/>
      <c r="K288" s="10" t="s">
        <v>520</v>
      </c>
      <c r="L288" s="8"/>
      <c r="M288" s="12"/>
      <c r="N288" s="12">
        <f t="shared" si="6"/>
        <v>0</v>
      </c>
      <c r="O288" s="11"/>
      <c r="P288" s="11"/>
      <c r="Q288" s="11">
        <v>7</v>
      </c>
      <c r="R288" s="11">
        <v>7</v>
      </c>
      <c r="S288" s="11">
        <v>7</v>
      </c>
      <c r="T288" s="11">
        <v>7</v>
      </c>
      <c r="U288" s="11">
        <v>0</v>
      </c>
      <c r="V288" s="11">
        <v>0</v>
      </c>
      <c r="W288" s="11">
        <v>0</v>
      </c>
      <c r="X288" s="11">
        <v>0</v>
      </c>
      <c r="Y288" s="11">
        <v>0</v>
      </c>
      <c r="Z288" s="11">
        <v>0</v>
      </c>
      <c r="AA288" s="11">
        <v>0</v>
      </c>
      <c r="AB288" s="11">
        <v>0</v>
      </c>
      <c r="AC288" s="11">
        <v>0</v>
      </c>
      <c r="AD288" s="11">
        <v>0</v>
      </c>
      <c r="AE288" s="11">
        <v>0</v>
      </c>
      <c r="AF288" s="11">
        <v>0</v>
      </c>
      <c r="AG288" s="11">
        <v>0</v>
      </c>
      <c r="AH288" s="11">
        <v>0</v>
      </c>
      <c r="AI288" s="11">
        <v>0</v>
      </c>
      <c r="AJ288" s="11">
        <v>0</v>
      </c>
      <c r="AK288" s="11">
        <v>0</v>
      </c>
      <c r="AL288" s="11">
        <v>0</v>
      </c>
      <c r="AM288" s="11">
        <v>0</v>
      </c>
      <c r="AN288" s="72">
        <v>0</v>
      </c>
      <c r="AO288" s="72">
        <v>0</v>
      </c>
      <c r="AP288" s="72">
        <v>0</v>
      </c>
      <c r="AQ288" s="72">
        <v>0</v>
      </c>
      <c r="AR288" s="72">
        <v>0</v>
      </c>
      <c r="AS288" s="72">
        <v>0</v>
      </c>
      <c r="AT288" s="72">
        <v>0</v>
      </c>
      <c r="AU288" s="72">
        <v>0</v>
      </c>
      <c r="AV288" s="72">
        <v>0</v>
      </c>
      <c r="AW288" s="72">
        <v>0</v>
      </c>
      <c r="AX288" s="72">
        <v>0</v>
      </c>
      <c r="AY288" s="72">
        <v>0</v>
      </c>
      <c r="AZ288" s="72">
        <v>0</v>
      </c>
      <c r="BA288" s="72">
        <v>0</v>
      </c>
      <c r="BB288" s="72">
        <v>0</v>
      </c>
      <c r="BC288" s="72">
        <v>0</v>
      </c>
      <c r="BD288" s="72">
        <v>0</v>
      </c>
      <c r="BE288" s="72">
        <v>0</v>
      </c>
      <c r="BF288" s="72">
        <v>0</v>
      </c>
      <c r="BG288" s="72">
        <v>0</v>
      </c>
      <c r="BH288" s="72">
        <v>0</v>
      </c>
      <c r="BI288" s="72">
        <v>0</v>
      </c>
      <c r="BJ288" s="72">
        <v>0</v>
      </c>
      <c r="BK288" s="72">
        <v>0</v>
      </c>
      <c r="BL288" s="72">
        <v>0</v>
      </c>
      <c r="BM288" s="72">
        <v>0</v>
      </c>
      <c r="BN288" s="72">
        <v>0</v>
      </c>
      <c r="BO288" s="72">
        <v>0</v>
      </c>
      <c r="BP288" s="72">
        <v>0</v>
      </c>
      <c r="BQ288" s="72">
        <v>0</v>
      </c>
      <c r="BR288" s="72">
        <v>0</v>
      </c>
      <c r="BS288" s="72">
        <v>0</v>
      </c>
      <c r="BT288" s="72">
        <v>0</v>
      </c>
      <c r="BU288" s="72">
        <v>0</v>
      </c>
      <c r="BV288" s="72">
        <v>0</v>
      </c>
      <c r="BW288" s="72">
        <v>0</v>
      </c>
      <c r="BX288" s="72">
        <v>0</v>
      </c>
      <c r="BY288" s="72">
        <v>0</v>
      </c>
      <c r="BZ288" s="72">
        <v>0</v>
      </c>
      <c r="CA288" s="72">
        <v>0</v>
      </c>
      <c r="CB288" s="72">
        <v>0</v>
      </c>
      <c r="CC288" s="72">
        <v>0</v>
      </c>
      <c r="CD288" s="72">
        <v>0</v>
      </c>
      <c r="CE288" s="72">
        <v>0</v>
      </c>
      <c r="CF288" s="72">
        <v>0</v>
      </c>
      <c r="CG288" s="72">
        <v>0</v>
      </c>
      <c r="CH288" s="72">
        <v>0</v>
      </c>
      <c r="CI288" s="72">
        <v>0</v>
      </c>
      <c r="CJ288" s="72">
        <v>0</v>
      </c>
      <c r="CK288" s="72">
        <v>0</v>
      </c>
      <c r="CL288" s="72">
        <v>0</v>
      </c>
      <c r="CM288" s="72">
        <v>0</v>
      </c>
      <c r="CN288" s="72">
        <v>0</v>
      </c>
      <c r="CO288" s="72">
        <v>0</v>
      </c>
      <c r="CP288" s="72">
        <v>0</v>
      </c>
      <c r="CQ288" s="72">
        <v>0</v>
      </c>
      <c r="CR288" s="72">
        <v>0</v>
      </c>
      <c r="CS288" s="72">
        <v>0</v>
      </c>
      <c r="CT288" s="72">
        <v>0</v>
      </c>
      <c r="CU288" s="72">
        <v>0</v>
      </c>
      <c r="CV288" s="72">
        <v>0</v>
      </c>
      <c r="CW288" s="72">
        <v>0</v>
      </c>
      <c r="CX288" s="72">
        <v>0</v>
      </c>
      <c r="CY288" s="72">
        <v>0</v>
      </c>
      <c r="CZ288" s="72">
        <v>0</v>
      </c>
      <c r="DA288" s="72">
        <v>0</v>
      </c>
      <c r="DB288" s="72">
        <v>0</v>
      </c>
      <c r="DC288" s="72">
        <v>0</v>
      </c>
      <c r="DD288" s="72">
        <v>0</v>
      </c>
      <c r="DE288" s="72">
        <v>0</v>
      </c>
      <c r="DF288" s="72">
        <v>0</v>
      </c>
      <c r="DG288" s="72">
        <v>0</v>
      </c>
      <c r="DH288" s="72">
        <v>0</v>
      </c>
      <c r="DI288" s="72">
        <v>0</v>
      </c>
      <c r="DJ288" s="72">
        <v>0</v>
      </c>
      <c r="DK288" s="72">
        <v>0</v>
      </c>
      <c r="DL288" s="72">
        <v>0</v>
      </c>
      <c r="DM288" s="72">
        <v>0</v>
      </c>
    </row>
    <row r="289" spans="1:117" x14ac:dyDescent="0.35">
      <c r="A289" s="7"/>
      <c r="B289" s="8" t="s">
        <v>521</v>
      </c>
      <c r="C289" s="9" t="s">
        <v>522</v>
      </c>
      <c r="D289" s="10" t="s">
        <v>513</v>
      </c>
      <c r="E289" s="8" t="s">
        <v>1224</v>
      </c>
      <c r="F289" s="10">
        <v>1005</v>
      </c>
      <c r="G289" s="10" t="s">
        <v>40</v>
      </c>
      <c r="H289" s="10" t="s">
        <v>41</v>
      </c>
      <c r="I289" s="11">
        <v>0</v>
      </c>
      <c r="J289" s="10"/>
      <c r="K289" s="10" t="s">
        <v>520</v>
      </c>
      <c r="L289" s="8"/>
      <c r="M289" s="12"/>
      <c r="N289" s="12">
        <f t="shared" si="6"/>
        <v>0</v>
      </c>
      <c r="O289" s="11"/>
      <c r="P289" s="11"/>
      <c r="Q289" s="11">
        <v>2</v>
      </c>
      <c r="R289" s="11">
        <v>2</v>
      </c>
      <c r="S289" s="11">
        <v>2</v>
      </c>
      <c r="T289" s="11">
        <v>2</v>
      </c>
      <c r="U289" s="11">
        <v>0</v>
      </c>
      <c r="V289" s="11">
        <v>0</v>
      </c>
      <c r="W289" s="11">
        <v>0</v>
      </c>
      <c r="X289" s="11">
        <v>0</v>
      </c>
      <c r="Y289" s="11">
        <v>0</v>
      </c>
      <c r="Z289" s="11">
        <v>0</v>
      </c>
      <c r="AA289" s="11">
        <v>0</v>
      </c>
      <c r="AB289" s="11">
        <v>0</v>
      </c>
      <c r="AC289" s="11">
        <v>0</v>
      </c>
      <c r="AD289" s="11">
        <v>0</v>
      </c>
      <c r="AE289" s="11">
        <v>0</v>
      </c>
      <c r="AF289" s="11">
        <v>0</v>
      </c>
      <c r="AG289" s="11">
        <v>0</v>
      </c>
      <c r="AH289" s="11">
        <v>0</v>
      </c>
      <c r="AI289" s="11">
        <v>0</v>
      </c>
      <c r="AJ289" s="11">
        <v>0</v>
      </c>
      <c r="AK289" s="11">
        <v>0</v>
      </c>
      <c r="AL289" s="11">
        <v>0</v>
      </c>
      <c r="AM289" s="11">
        <v>0</v>
      </c>
      <c r="AN289" s="72">
        <v>0</v>
      </c>
      <c r="AO289" s="72">
        <v>0</v>
      </c>
      <c r="AP289" s="72">
        <v>0</v>
      </c>
      <c r="AQ289" s="72">
        <v>0</v>
      </c>
      <c r="AR289" s="72">
        <v>0</v>
      </c>
      <c r="AS289" s="72">
        <v>0</v>
      </c>
      <c r="AT289" s="72">
        <v>0</v>
      </c>
      <c r="AU289" s="72">
        <v>0</v>
      </c>
      <c r="AV289" s="72">
        <v>0</v>
      </c>
      <c r="AW289" s="72">
        <v>0</v>
      </c>
      <c r="AX289" s="72">
        <v>0</v>
      </c>
      <c r="AY289" s="72">
        <v>0</v>
      </c>
      <c r="AZ289" s="72">
        <v>0</v>
      </c>
      <c r="BA289" s="72">
        <v>0</v>
      </c>
      <c r="BB289" s="72">
        <v>0</v>
      </c>
      <c r="BC289" s="72">
        <v>0</v>
      </c>
      <c r="BD289" s="72">
        <v>0</v>
      </c>
      <c r="BE289" s="72">
        <v>0</v>
      </c>
      <c r="BF289" s="72">
        <v>0</v>
      </c>
      <c r="BG289" s="72">
        <v>0</v>
      </c>
      <c r="BH289" s="72">
        <v>0</v>
      </c>
      <c r="BI289" s="72">
        <v>0</v>
      </c>
      <c r="BJ289" s="72">
        <v>0</v>
      </c>
      <c r="BK289" s="72">
        <v>0</v>
      </c>
      <c r="BL289" s="72">
        <v>0</v>
      </c>
      <c r="BM289" s="72">
        <v>0</v>
      </c>
      <c r="BN289" s="72">
        <v>0</v>
      </c>
      <c r="BO289" s="72">
        <v>0</v>
      </c>
      <c r="BP289" s="72">
        <v>0</v>
      </c>
      <c r="BQ289" s="72">
        <v>0</v>
      </c>
      <c r="BR289" s="72">
        <v>0</v>
      </c>
      <c r="BS289" s="72">
        <v>0</v>
      </c>
      <c r="BT289" s="72">
        <v>0</v>
      </c>
      <c r="BU289" s="72">
        <v>0</v>
      </c>
      <c r="BV289" s="72">
        <v>0</v>
      </c>
      <c r="BW289" s="72">
        <v>0</v>
      </c>
      <c r="BX289" s="72">
        <v>0</v>
      </c>
      <c r="BY289" s="72">
        <v>0</v>
      </c>
      <c r="BZ289" s="72">
        <v>0</v>
      </c>
      <c r="CA289" s="72">
        <v>0</v>
      </c>
      <c r="CB289" s="72">
        <v>0</v>
      </c>
      <c r="CC289" s="72">
        <v>0</v>
      </c>
      <c r="CD289" s="72">
        <v>0</v>
      </c>
      <c r="CE289" s="72">
        <v>0</v>
      </c>
      <c r="CF289" s="72">
        <v>0</v>
      </c>
      <c r="CG289" s="72">
        <v>0</v>
      </c>
      <c r="CH289" s="72">
        <v>0</v>
      </c>
      <c r="CI289" s="72">
        <v>0</v>
      </c>
      <c r="CJ289" s="72">
        <v>0</v>
      </c>
      <c r="CK289" s="72">
        <v>0</v>
      </c>
      <c r="CL289" s="72">
        <v>0</v>
      </c>
      <c r="CM289" s="72">
        <v>0</v>
      </c>
      <c r="CN289" s="72">
        <v>0</v>
      </c>
      <c r="CO289" s="72">
        <v>0</v>
      </c>
      <c r="CP289" s="72">
        <v>0</v>
      </c>
      <c r="CQ289" s="72">
        <v>0</v>
      </c>
      <c r="CR289" s="72">
        <v>0</v>
      </c>
      <c r="CS289" s="72">
        <v>0</v>
      </c>
      <c r="CT289" s="72">
        <v>0</v>
      </c>
      <c r="CU289" s="72">
        <v>0</v>
      </c>
      <c r="CV289" s="72">
        <v>0</v>
      </c>
      <c r="CW289" s="72">
        <v>0</v>
      </c>
      <c r="CX289" s="72">
        <v>0</v>
      </c>
      <c r="CY289" s="72">
        <v>0</v>
      </c>
      <c r="CZ289" s="72">
        <v>0</v>
      </c>
      <c r="DA289" s="72">
        <v>0</v>
      </c>
      <c r="DB289" s="72">
        <v>0</v>
      </c>
      <c r="DC289" s="72">
        <v>0</v>
      </c>
      <c r="DD289" s="72">
        <v>0</v>
      </c>
      <c r="DE289" s="72">
        <v>0</v>
      </c>
      <c r="DF289" s="72">
        <v>0</v>
      </c>
      <c r="DG289" s="72">
        <v>0</v>
      </c>
      <c r="DH289" s="72">
        <v>0</v>
      </c>
      <c r="DI289" s="72">
        <v>0</v>
      </c>
      <c r="DJ289" s="72">
        <v>0</v>
      </c>
      <c r="DK289" s="72">
        <v>0</v>
      </c>
      <c r="DL289" s="72">
        <v>0</v>
      </c>
      <c r="DM289" s="72">
        <v>0</v>
      </c>
    </row>
    <row r="290" spans="1:117" x14ac:dyDescent="0.35">
      <c r="A290" s="7"/>
      <c r="B290" s="8" t="s">
        <v>523</v>
      </c>
      <c r="C290" s="9" t="s">
        <v>524</v>
      </c>
      <c r="D290" s="10" t="s">
        <v>525</v>
      </c>
      <c r="E290" s="8" t="s">
        <v>1214</v>
      </c>
      <c r="F290" s="10">
        <v>1003</v>
      </c>
      <c r="G290" s="10" t="s">
        <v>40</v>
      </c>
      <c r="H290" s="10" t="s">
        <v>41</v>
      </c>
      <c r="I290" s="11"/>
      <c r="J290" s="10">
        <v>1</v>
      </c>
      <c r="K290" s="10" t="s">
        <v>526</v>
      </c>
      <c r="L290" s="8" t="s">
        <v>527</v>
      </c>
      <c r="M290" s="12"/>
      <c r="N290" s="12">
        <f t="shared" si="6"/>
        <v>0</v>
      </c>
      <c r="O290" s="11"/>
      <c r="P290" s="11"/>
      <c r="Q290" s="11"/>
      <c r="R290" s="11"/>
      <c r="S290" s="11"/>
      <c r="T290" s="11"/>
      <c r="U290" s="11"/>
      <c r="V290" s="11"/>
      <c r="W290" s="11"/>
      <c r="X290" s="11"/>
      <c r="Y290" s="11"/>
      <c r="Z290" s="11"/>
      <c r="AA290" s="11"/>
      <c r="AB290" s="11"/>
      <c r="AC290" s="11"/>
      <c r="AD290" s="11"/>
      <c r="AE290" s="11"/>
      <c r="AF290" s="11"/>
      <c r="AG290" s="11"/>
      <c r="AH290" s="11"/>
      <c r="AI290" s="11"/>
      <c r="AJ290" s="11"/>
      <c r="AK290" s="11"/>
      <c r="AL290" s="11"/>
      <c r="AM290" s="11"/>
      <c r="AN290" s="72"/>
      <c r="AO290" s="72"/>
      <c r="AP290" s="72"/>
      <c r="AQ290" s="72"/>
      <c r="AR290" s="72"/>
      <c r="AS290" s="72"/>
      <c r="AT290" s="72"/>
      <c r="AU290" s="72"/>
      <c r="AV290" s="72"/>
      <c r="AW290" s="72"/>
      <c r="AX290" s="72"/>
      <c r="AY290" s="72"/>
      <c r="AZ290" s="72"/>
      <c r="BA290" s="72"/>
      <c r="BB290" s="72"/>
      <c r="BC290" s="72"/>
      <c r="BD290" s="72"/>
      <c r="BE290" s="72"/>
      <c r="BF290" s="72"/>
      <c r="BG290" s="72"/>
      <c r="BH290" s="72">
        <v>0</v>
      </c>
      <c r="BI290" s="72">
        <v>0</v>
      </c>
      <c r="BJ290" s="72">
        <v>0</v>
      </c>
      <c r="BK290" s="72">
        <v>0</v>
      </c>
      <c r="BL290" s="72">
        <v>0</v>
      </c>
      <c r="BM290" s="72">
        <v>0</v>
      </c>
      <c r="BN290" s="72">
        <v>0</v>
      </c>
      <c r="BO290" s="72">
        <v>0</v>
      </c>
      <c r="BP290" s="72">
        <v>0</v>
      </c>
      <c r="BQ290" s="72">
        <v>0</v>
      </c>
      <c r="BR290" s="72">
        <v>0</v>
      </c>
      <c r="BS290" s="72">
        <v>0</v>
      </c>
      <c r="BT290" s="72">
        <v>0</v>
      </c>
      <c r="BU290" s="72">
        <v>0</v>
      </c>
      <c r="BV290" s="72">
        <v>0</v>
      </c>
      <c r="BW290" s="72">
        <v>0</v>
      </c>
      <c r="BX290" s="72">
        <v>0</v>
      </c>
      <c r="BY290" s="72">
        <v>0</v>
      </c>
      <c r="BZ290" s="72">
        <v>0</v>
      </c>
      <c r="CA290" s="72">
        <v>0</v>
      </c>
      <c r="CB290" s="72">
        <v>0</v>
      </c>
      <c r="CC290" s="72">
        <v>0</v>
      </c>
      <c r="CD290" s="72">
        <v>0</v>
      </c>
      <c r="CE290" s="72">
        <v>0</v>
      </c>
      <c r="CF290" s="72">
        <v>0</v>
      </c>
      <c r="CG290" s="72">
        <v>0</v>
      </c>
      <c r="CH290" s="72">
        <v>0</v>
      </c>
      <c r="CI290" s="72">
        <v>0</v>
      </c>
      <c r="CJ290" s="72">
        <v>0</v>
      </c>
      <c r="CK290" s="72">
        <v>0</v>
      </c>
      <c r="CL290" s="72">
        <v>0</v>
      </c>
      <c r="CM290" s="72">
        <v>0</v>
      </c>
      <c r="CN290" s="72">
        <v>0</v>
      </c>
      <c r="CO290" s="72">
        <v>0</v>
      </c>
      <c r="CP290" s="72">
        <v>0</v>
      </c>
      <c r="CQ290" s="72">
        <v>0</v>
      </c>
      <c r="CR290" s="72">
        <v>0</v>
      </c>
      <c r="CS290" s="72">
        <v>0</v>
      </c>
      <c r="CT290" s="72">
        <v>0</v>
      </c>
      <c r="CU290" s="72">
        <v>0</v>
      </c>
      <c r="CV290" s="72">
        <v>0</v>
      </c>
      <c r="CW290" s="72">
        <v>0</v>
      </c>
      <c r="CX290" s="72">
        <v>0</v>
      </c>
      <c r="CY290" s="72">
        <v>0</v>
      </c>
      <c r="CZ290" s="72">
        <v>0</v>
      </c>
      <c r="DA290" s="72">
        <v>0</v>
      </c>
      <c r="DB290" s="72">
        <v>0</v>
      </c>
      <c r="DC290" s="72">
        <v>0</v>
      </c>
      <c r="DD290" s="72">
        <v>0</v>
      </c>
      <c r="DE290" s="72">
        <v>0</v>
      </c>
      <c r="DF290" s="72">
        <v>0</v>
      </c>
      <c r="DG290" s="72">
        <v>0</v>
      </c>
      <c r="DH290" s="72">
        <v>0</v>
      </c>
      <c r="DI290" s="72">
        <v>0</v>
      </c>
      <c r="DJ290" s="72">
        <v>0</v>
      </c>
      <c r="DK290" s="72">
        <v>0</v>
      </c>
      <c r="DL290" s="72">
        <v>0</v>
      </c>
      <c r="DM290" s="72">
        <v>0</v>
      </c>
    </row>
    <row r="291" spans="1:117" x14ac:dyDescent="0.35">
      <c r="A291" s="7"/>
      <c r="B291" s="8" t="s">
        <v>528</v>
      </c>
      <c r="C291" s="9" t="s">
        <v>529</v>
      </c>
      <c r="D291" s="10" t="s">
        <v>525</v>
      </c>
      <c r="E291" s="8" t="s">
        <v>1225</v>
      </c>
      <c r="F291" s="10">
        <v>1003</v>
      </c>
      <c r="G291" s="10" t="s">
        <v>40</v>
      </c>
      <c r="H291" s="10" t="s">
        <v>41</v>
      </c>
      <c r="I291" s="11">
        <v>4</v>
      </c>
      <c r="J291" s="10"/>
      <c r="K291" s="10"/>
      <c r="L291" s="8"/>
      <c r="M291" s="12"/>
      <c r="N291" s="12">
        <f t="shared" si="6"/>
        <v>0</v>
      </c>
      <c r="O291" s="11"/>
      <c r="P291" s="11"/>
      <c r="Q291" s="11"/>
      <c r="R291" s="11"/>
      <c r="S291" s="11"/>
      <c r="T291" s="11"/>
      <c r="U291" s="11"/>
      <c r="V291" s="11"/>
      <c r="W291" s="11"/>
      <c r="X291" s="11"/>
      <c r="Y291" s="11"/>
      <c r="Z291" s="11"/>
      <c r="AA291" s="11"/>
      <c r="AB291" s="11"/>
      <c r="AC291" s="11"/>
      <c r="AD291" s="11"/>
      <c r="AE291" s="11"/>
      <c r="AF291" s="11"/>
      <c r="AG291" s="11">
        <v>4</v>
      </c>
      <c r="AH291" s="11">
        <v>4</v>
      </c>
      <c r="AI291" s="11">
        <v>4</v>
      </c>
      <c r="AJ291" s="11">
        <v>4</v>
      </c>
      <c r="AK291" s="11">
        <v>4</v>
      </c>
      <c r="AL291" s="11">
        <v>4</v>
      </c>
      <c r="AM291" s="11">
        <v>3</v>
      </c>
      <c r="AN291" s="72">
        <v>3</v>
      </c>
      <c r="AO291" s="72">
        <v>0</v>
      </c>
      <c r="AP291" s="72">
        <v>0</v>
      </c>
      <c r="AQ291" s="72">
        <v>0</v>
      </c>
      <c r="AR291" s="72">
        <v>0</v>
      </c>
      <c r="AS291" s="72">
        <v>0</v>
      </c>
      <c r="AT291" s="72">
        <v>0</v>
      </c>
      <c r="AU291" s="72">
        <v>0</v>
      </c>
      <c r="AV291" s="72">
        <v>0</v>
      </c>
      <c r="AW291" s="72">
        <v>0</v>
      </c>
      <c r="AX291" s="72">
        <v>0</v>
      </c>
      <c r="AY291" s="72">
        <v>0</v>
      </c>
      <c r="AZ291" s="72">
        <v>0</v>
      </c>
      <c r="BA291" s="72">
        <v>0</v>
      </c>
      <c r="BB291" s="72">
        <v>0</v>
      </c>
      <c r="BC291" s="72">
        <v>0</v>
      </c>
      <c r="BD291" s="72">
        <v>0</v>
      </c>
      <c r="BE291" s="72">
        <v>0</v>
      </c>
      <c r="BF291" s="72">
        <v>0</v>
      </c>
      <c r="BG291" s="72">
        <v>0</v>
      </c>
      <c r="BH291" s="72">
        <v>0</v>
      </c>
      <c r="BI291" s="72">
        <v>0</v>
      </c>
      <c r="BJ291" s="72">
        <v>0</v>
      </c>
      <c r="BK291" s="72">
        <v>0</v>
      </c>
      <c r="BL291" s="72">
        <v>0</v>
      </c>
      <c r="BM291" s="72">
        <v>0</v>
      </c>
      <c r="BN291" s="72">
        <v>0</v>
      </c>
      <c r="BO291" s="72">
        <v>0</v>
      </c>
      <c r="BP291" s="72">
        <v>0</v>
      </c>
      <c r="BQ291" s="72">
        <v>0</v>
      </c>
      <c r="BR291" s="72">
        <v>0</v>
      </c>
      <c r="BS291" s="72">
        <v>0</v>
      </c>
      <c r="BT291" s="72">
        <v>0</v>
      </c>
      <c r="BU291" s="72">
        <v>0</v>
      </c>
      <c r="BV291" s="72">
        <v>0</v>
      </c>
      <c r="BW291" s="72">
        <v>0</v>
      </c>
      <c r="BX291" s="72">
        <v>0</v>
      </c>
      <c r="BY291" s="72">
        <v>0</v>
      </c>
      <c r="BZ291" s="72">
        <v>0</v>
      </c>
      <c r="CA291" s="72">
        <v>0</v>
      </c>
      <c r="CB291" s="72">
        <v>0</v>
      </c>
      <c r="CC291" s="72">
        <v>0</v>
      </c>
      <c r="CD291" s="72">
        <v>0</v>
      </c>
      <c r="CE291" s="72">
        <v>0</v>
      </c>
      <c r="CF291" s="72">
        <v>0</v>
      </c>
      <c r="CG291" s="72">
        <v>0</v>
      </c>
      <c r="CH291" s="72">
        <v>0</v>
      </c>
      <c r="CI291" s="72">
        <v>0</v>
      </c>
      <c r="CJ291" s="72">
        <v>0</v>
      </c>
      <c r="CK291" s="72">
        <v>0</v>
      </c>
      <c r="CL291" s="72">
        <v>0</v>
      </c>
      <c r="CM291" s="72">
        <v>0</v>
      </c>
      <c r="CN291" s="72">
        <v>0</v>
      </c>
      <c r="CO291" s="72">
        <v>0</v>
      </c>
      <c r="CP291" s="72">
        <v>0</v>
      </c>
      <c r="CQ291" s="72">
        <v>0</v>
      </c>
      <c r="CR291" s="72">
        <v>0</v>
      </c>
      <c r="CS291" s="72">
        <v>0</v>
      </c>
      <c r="CT291" s="72">
        <v>0</v>
      </c>
      <c r="CU291" s="72">
        <v>0</v>
      </c>
      <c r="CV291" s="72">
        <v>0</v>
      </c>
      <c r="CW291" s="72">
        <v>0</v>
      </c>
      <c r="CX291" s="72">
        <v>0</v>
      </c>
      <c r="CY291" s="72">
        <v>0</v>
      </c>
      <c r="CZ291" s="72">
        <v>0</v>
      </c>
      <c r="DA291" s="72">
        <v>0</v>
      </c>
      <c r="DB291" s="72">
        <v>0</v>
      </c>
      <c r="DC291" s="72">
        <v>0</v>
      </c>
      <c r="DD291" s="72">
        <v>0</v>
      </c>
      <c r="DE291" s="72">
        <v>0</v>
      </c>
      <c r="DF291" s="72">
        <v>0</v>
      </c>
      <c r="DG291" s="72">
        <v>0</v>
      </c>
      <c r="DH291" s="72">
        <v>0</v>
      </c>
      <c r="DI291" s="72">
        <v>0</v>
      </c>
      <c r="DJ291" s="72">
        <v>0</v>
      </c>
      <c r="DK291" s="72">
        <v>0</v>
      </c>
      <c r="DL291" s="72">
        <v>0</v>
      </c>
      <c r="DM291" s="72">
        <v>0</v>
      </c>
    </row>
    <row r="292" spans="1:117" x14ac:dyDescent="0.35">
      <c r="A292" s="7"/>
      <c r="B292" s="77" t="s">
        <v>1264</v>
      </c>
      <c r="C292" s="9" t="s">
        <v>1274</v>
      </c>
      <c r="D292" s="10" t="s">
        <v>525</v>
      </c>
      <c r="E292" s="8" t="s">
        <v>1225</v>
      </c>
      <c r="F292" s="10"/>
      <c r="G292" s="10"/>
      <c r="H292" s="10" t="s">
        <v>41</v>
      </c>
      <c r="I292" s="11"/>
      <c r="J292" s="10"/>
      <c r="K292" s="10"/>
      <c r="L292" s="8"/>
      <c r="M292" s="12"/>
      <c r="N292" s="12">
        <f t="shared" si="6"/>
        <v>0</v>
      </c>
      <c r="O292" s="11"/>
      <c r="P292" s="11"/>
      <c r="Q292" s="11"/>
      <c r="R292" s="11"/>
      <c r="S292" s="11"/>
      <c r="T292" s="11"/>
      <c r="U292" s="11"/>
      <c r="V292" s="11"/>
      <c r="W292" s="11"/>
      <c r="X292" s="11"/>
      <c r="Y292" s="11"/>
      <c r="Z292" s="11"/>
      <c r="AA292" s="11"/>
      <c r="AB292" s="11"/>
      <c r="AC292" s="11"/>
      <c r="AD292" s="11"/>
      <c r="AE292" s="11"/>
      <c r="AF292" s="11"/>
      <c r="AG292" s="11"/>
      <c r="AH292" s="11"/>
      <c r="AI292" s="11"/>
      <c r="AJ292" s="11"/>
      <c r="AK292" s="11"/>
      <c r="AL292" s="11"/>
      <c r="AM292" s="11"/>
      <c r="AN292" s="72"/>
      <c r="AO292" s="72"/>
      <c r="AP292" s="72"/>
      <c r="AQ292" s="72"/>
      <c r="AR292" s="72"/>
      <c r="AS292" s="72"/>
      <c r="AT292" s="72"/>
      <c r="AU292" s="72"/>
      <c r="AV292" s="72"/>
      <c r="AW292" s="72">
        <v>1</v>
      </c>
      <c r="AX292" s="72">
        <v>1</v>
      </c>
      <c r="AY292" s="72">
        <v>0</v>
      </c>
      <c r="AZ292" s="72">
        <v>0</v>
      </c>
      <c r="BA292" s="72">
        <v>0</v>
      </c>
      <c r="BB292" s="72">
        <v>0</v>
      </c>
      <c r="BC292" s="72">
        <v>0</v>
      </c>
      <c r="BD292" s="72">
        <v>0</v>
      </c>
      <c r="BE292" s="72">
        <v>0</v>
      </c>
      <c r="BF292" s="72">
        <v>0</v>
      </c>
      <c r="BG292" s="72">
        <v>0</v>
      </c>
      <c r="BH292" s="72">
        <v>0</v>
      </c>
      <c r="BI292" s="72">
        <v>0</v>
      </c>
      <c r="BJ292" s="72">
        <v>0</v>
      </c>
      <c r="BK292" s="72">
        <v>0</v>
      </c>
      <c r="BL292" s="72">
        <v>0</v>
      </c>
      <c r="BM292" s="72">
        <v>0</v>
      </c>
      <c r="BN292" s="72">
        <v>0</v>
      </c>
      <c r="BO292" s="72">
        <v>0</v>
      </c>
      <c r="BP292" s="72">
        <v>0</v>
      </c>
      <c r="BQ292" s="72">
        <v>0</v>
      </c>
      <c r="BR292" s="72">
        <v>0</v>
      </c>
      <c r="BS292" s="72">
        <v>0</v>
      </c>
      <c r="BT292" s="72">
        <v>0</v>
      </c>
      <c r="BU292" s="72">
        <v>0</v>
      </c>
      <c r="BV292" s="72">
        <v>0</v>
      </c>
      <c r="BW292" s="72">
        <v>0</v>
      </c>
      <c r="BX292" s="72">
        <v>0</v>
      </c>
      <c r="BY292" s="72">
        <v>0</v>
      </c>
      <c r="BZ292" s="72">
        <v>0</v>
      </c>
      <c r="CA292" s="72">
        <v>0</v>
      </c>
      <c r="CB292" s="72">
        <v>0</v>
      </c>
      <c r="CC292" s="72">
        <v>0</v>
      </c>
      <c r="CD292" s="72">
        <v>0</v>
      </c>
      <c r="CE292" s="72">
        <v>0</v>
      </c>
      <c r="CF292" s="72">
        <v>0</v>
      </c>
      <c r="CG292" s="72">
        <v>0</v>
      </c>
      <c r="CH292" s="72">
        <v>0</v>
      </c>
      <c r="CI292" s="72">
        <v>0</v>
      </c>
      <c r="CJ292" s="72">
        <v>0</v>
      </c>
      <c r="CK292" s="72">
        <v>0</v>
      </c>
      <c r="CL292" s="72">
        <v>0</v>
      </c>
      <c r="CM292" s="72">
        <v>0</v>
      </c>
      <c r="CN292" s="72">
        <v>0</v>
      </c>
      <c r="CO292" s="72">
        <v>0</v>
      </c>
      <c r="CP292" s="72">
        <v>0</v>
      </c>
      <c r="CQ292" s="72">
        <v>0</v>
      </c>
      <c r="CR292" s="72">
        <v>0</v>
      </c>
      <c r="CS292" s="72">
        <v>0</v>
      </c>
      <c r="CT292" s="72">
        <v>0</v>
      </c>
      <c r="CU292" s="72">
        <v>0</v>
      </c>
      <c r="CV292" s="72">
        <v>0</v>
      </c>
      <c r="CW292" s="72">
        <v>0</v>
      </c>
      <c r="CX292" s="72">
        <v>0</v>
      </c>
      <c r="CY292" s="72">
        <v>0</v>
      </c>
      <c r="CZ292" s="72">
        <v>0</v>
      </c>
      <c r="DA292" s="72">
        <v>0</v>
      </c>
      <c r="DB292" s="72">
        <v>0</v>
      </c>
      <c r="DC292" s="72">
        <v>0</v>
      </c>
      <c r="DD292" s="72">
        <v>0</v>
      </c>
      <c r="DE292" s="72">
        <v>0</v>
      </c>
      <c r="DF292" s="72">
        <v>0</v>
      </c>
      <c r="DG292" s="72">
        <v>0</v>
      </c>
      <c r="DH292" s="72">
        <v>0</v>
      </c>
      <c r="DI292" s="72">
        <v>0</v>
      </c>
      <c r="DJ292" s="72">
        <v>0</v>
      </c>
      <c r="DK292" s="72">
        <v>0</v>
      </c>
      <c r="DL292" s="72">
        <v>0</v>
      </c>
      <c r="DM292" s="72">
        <v>0</v>
      </c>
    </row>
    <row r="293" spans="1:117" x14ac:dyDescent="0.35">
      <c r="A293" s="7"/>
      <c r="B293" s="8" t="s">
        <v>530</v>
      </c>
      <c r="C293" s="9" t="s">
        <v>531</v>
      </c>
      <c r="D293" s="10" t="s">
        <v>525</v>
      </c>
      <c r="E293" s="8" t="s">
        <v>1225</v>
      </c>
      <c r="F293" s="10">
        <v>1003</v>
      </c>
      <c r="G293" s="10" t="s">
        <v>40</v>
      </c>
      <c r="H293" s="10" t="s">
        <v>41</v>
      </c>
      <c r="I293" s="11">
        <v>4</v>
      </c>
      <c r="J293" s="10"/>
      <c r="K293" s="10"/>
      <c r="L293" s="8"/>
      <c r="M293" s="12"/>
      <c r="N293" s="12">
        <f t="shared" si="6"/>
        <v>0</v>
      </c>
      <c r="O293" s="11"/>
      <c r="P293" s="11"/>
      <c r="Q293" s="11"/>
      <c r="R293" s="11"/>
      <c r="S293" s="11"/>
      <c r="T293" s="11"/>
      <c r="U293" s="11"/>
      <c r="V293" s="11"/>
      <c r="W293" s="11"/>
      <c r="X293" s="11"/>
      <c r="Y293" s="11"/>
      <c r="Z293" s="11"/>
      <c r="AA293" s="11"/>
      <c r="AB293" s="11"/>
      <c r="AC293" s="11"/>
      <c r="AD293" s="11"/>
      <c r="AE293" s="11"/>
      <c r="AF293" s="11"/>
      <c r="AG293" s="11">
        <v>4</v>
      </c>
      <c r="AH293" s="11">
        <v>4</v>
      </c>
      <c r="AI293" s="11">
        <v>4</v>
      </c>
      <c r="AJ293" s="11">
        <v>4</v>
      </c>
      <c r="AK293" s="11">
        <v>4</v>
      </c>
      <c r="AL293" s="11">
        <v>4</v>
      </c>
      <c r="AM293" s="11">
        <v>4</v>
      </c>
      <c r="AN293" s="72">
        <v>4</v>
      </c>
      <c r="AO293" s="72">
        <v>0</v>
      </c>
      <c r="AP293" s="72">
        <v>0</v>
      </c>
      <c r="AQ293" s="72">
        <v>0</v>
      </c>
      <c r="AR293" s="72">
        <v>0</v>
      </c>
      <c r="AS293" s="72">
        <v>0</v>
      </c>
      <c r="AT293" s="72">
        <v>0</v>
      </c>
      <c r="AU293" s="72">
        <v>0</v>
      </c>
      <c r="AV293" s="72">
        <v>0</v>
      </c>
      <c r="AW293" s="72">
        <v>0</v>
      </c>
      <c r="AX293" s="72">
        <v>0</v>
      </c>
      <c r="AY293" s="72">
        <v>0</v>
      </c>
      <c r="AZ293" s="72">
        <v>0</v>
      </c>
      <c r="BA293" s="72">
        <v>0</v>
      </c>
      <c r="BB293" s="72">
        <v>0</v>
      </c>
      <c r="BC293" s="72">
        <v>0</v>
      </c>
      <c r="BD293" s="72">
        <v>0</v>
      </c>
      <c r="BE293" s="72">
        <v>0</v>
      </c>
      <c r="BF293" s="72">
        <v>0</v>
      </c>
      <c r="BG293" s="72">
        <v>0</v>
      </c>
      <c r="BH293" s="72">
        <v>0</v>
      </c>
      <c r="BI293" s="72">
        <v>0</v>
      </c>
      <c r="BJ293" s="72">
        <v>0</v>
      </c>
      <c r="BK293" s="72">
        <v>0</v>
      </c>
      <c r="BL293" s="72">
        <v>0</v>
      </c>
      <c r="BM293" s="72">
        <v>0</v>
      </c>
      <c r="BN293" s="72">
        <v>0</v>
      </c>
      <c r="BO293" s="72">
        <v>0</v>
      </c>
      <c r="BP293" s="72">
        <v>0</v>
      </c>
      <c r="BQ293" s="72">
        <v>0</v>
      </c>
      <c r="BR293" s="72">
        <v>0</v>
      </c>
      <c r="BS293" s="72">
        <v>0</v>
      </c>
      <c r="BT293" s="72">
        <v>0</v>
      </c>
      <c r="BU293" s="72">
        <v>0</v>
      </c>
      <c r="BV293" s="72">
        <v>0</v>
      </c>
      <c r="BW293" s="72">
        <v>0</v>
      </c>
      <c r="BX293" s="72">
        <v>0</v>
      </c>
      <c r="BY293" s="72">
        <v>0</v>
      </c>
      <c r="BZ293" s="72">
        <v>0</v>
      </c>
      <c r="CA293" s="72">
        <v>0</v>
      </c>
      <c r="CB293" s="72">
        <v>0</v>
      </c>
      <c r="CC293" s="72">
        <v>0</v>
      </c>
      <c r="CD293" s="72">
        <v>0</v>
      </c>
      <c r="CE293" s="72">
        <v>0</v>
      </c>
      <c r="CF293" s="72">
        <v>0</v>
      </c>
      <c r="CG293" s="72">
        <v>0</v>
      </c>
      <c r="CH293" s="72">
        <v>0</v>
      </c>
      <c r="CI293" s="72">
        <v>0</v>
      </c>
      <c r="CJ293" s="72">
        <v>0</v>
      </c>
      <c r="CK293" s="72">
        <v>0</v>
      </c>
      <c r="CL293" s="72">
        <v>0</v>
      </c>
      <c r="CM293" s="72">
        <v>0</v>
      </c>
      <c r="CN293" s="72">
        <v>0</v>
      </c>
      <c r="CO293" s="72">
        <v>0</v>
      </c>
      <c r="CP293" s="72">
        <v>0</v>
      </c>
      <c r="CQ293" s="72">
        <v>0</v>
      </c>
      <c r="CR293" s="72">
        <v>0</v>
      </c>
      <c r="CS293" s="72">
        <v>0</v>
      </c>
      <c r="CT293" s="72">
        <v>0</v>
      </c>
      <c r="CU293" s="72">
        <v>0</v>
      </c>
      <c r="CV293" s="72">
        <v>0</v>
      </c>
      <c r="CW293" s="72">
        <v>0</v>
      </c>
      <c r="CX293" s="72">
        <v>0</v>
      </c>
      <c r="CY293" s="72">
        <v>0</v>
      </c>
      <c r="CZ293" s="72">
        <v>0</v>
      </c>
      <c r="DA293" s="72">
        <v>0</v>
      </c>
      <c r="DB293" s="72">
        <v>0</v>
      </c>
      <c r="DC293" s="72">
        <v>0</v>
      </c>
      <c r="DD293" s="72">
        <v>0</v>
      </c>
      <c r="DE293" s="72">
        <v>0</v>
      </c>
      <c r="DF293" s="72">
        <v>0</v>
      </c>
      <c r="DG293" s="72">
        <v>0</v>
      </c>
      <c r="DH293" s="72">
        <v>0</v>
      </c>
      <c r="DI293" s="72">
        <v>0</v>
      </c>
      <c r="DJ293" s="72">
        <v>0</v>
      </c>
      <c r="DK293" s="72">
        <v>0</v>
      </c>
      <c r="DL293" s="72">
        <v>0</v>
      </c>
      <c r="DM293" s="72">
        <v>0</v>
      </c>
    </row>
    <row r="294" spans="1:117" x14ac:dyDescent="0.35">
      <c r="A294" s="7"/>
      <c r="B294" s="8" t="s">
        <v>532</v>
      </c>
      <c r="C294" s="9" t="s">
        <v>1161</v>
      </c>
      <c r="D294" s="10" t="s">
        <v>533</v>
      </c>
      <c r="E294" s="8" t="s">
        <v>1227</v>
      </c>
      <c r="F294" s="10"/>
      <c r="G294" s="10" t="s">
        <v>40</v>
      </c>
      <c r="H294" s="10" t="s">
        <v>41</v>
      </c>
      <c r="I294" s="11">
        <v>1</v>
      </c>
      <c r="J294" s="10"/>
      <c r="K294" s="10"/>
      <c r="L294" s="8"/>
      <c r="M294" s="12">
        <v>26</v>
      </c>
      <c r="N294" s="12">
        <f t="shared" si="6"/>
        <v>26</v>
      </c>
      <c r="O294" s="11"/>
      <c r="P294" s="11"/>
      <c r="Q294" s="11"/>
      <c r="R294" s="11"/>
      <c r="S294" s="11"/>
      <c r="T294" s="11"/>
      <c r="U294" s="11"/>
      <c r="V294" s="11"/>
      <c r="W294" s="11"/>
      <c r="X294" s="11"/>
      <c r="Y294" s="11"/>
      <c r="Z294" s="11"/>
      <c r="AA294" s="11"/>
      <c r="AB294" s="11"/>
      <c r="AC294" s="11"/>
      <c r="AD294" s="11"/>
      <c r="AE294" s="11"/>
      <c r="AF294" s="11"/>
      <c r="AG294" s="11"/>
      <c r="AH294" s="11"/>
      <c r="AI294" s="11"/>
      <c r="AJ294" s="11">
        <v>1</v>
      </c>
      <c r="AK294" s="11">
        <v>1</v>
      </c>
      <c r="AL294" s="11">
        <v>1</v>
      </c>
      <c r="AM294" s="11">
        <v>1</v>
      </c>
      <c r="AN294" s="72">
        <v>1</v>
      </c>
      <c r="AO294" s="72">
        <v>1</v>
      </c>
      <c r="AP294" s="72">
        <v>1</v>
      </c>
      <c r="AQ294" s="72">
        <v>1</v>
      </c>
      <c r="AR294" s="72">
        <v>1</v>
      </c>
      <c r="AS294" s="72">
        <v>1</v>
      </c>
      <c r="AT294" s="72">
        <v>1</v>
      </c>
      <c r="AU294" s="72">
        <v>1</v>
      </c>
      <c r="AV294" s="72">
        <v>1</v>
      </c>
      <c r="AW294" s="72">
        <v>1</v>
      </c>
      <c r="AX294" s="72">
        <v>1</v>
      </c>
      <c r="AY294" s="72">
        <v>1</v>
      </c>
      <c r="AZ294" s="72">
        <v>1</v>
      </c>
      <c r="BA294" s="72">
        <v>1</v>
      </c>
      <c r="BB294" s="72">
        <v>1</v>
      </c>
      <c r="BC294" s="72">
        <v>1</v>
      </c>
      <c r="BD294" s="72">
        <v>1</v>
      </c>
      <c r="BE294" s="72">
        <v>1</v>
      </c>
      <c r="BF294" s="72">
        <v>1</v>
      </c>
      <c r="BG294" s="72">
        <v>1</v>
      </c>
      <c r="BH294" s="72">
        <v>1</v>
      </c>
      <c r="BI294" s="72">
        <v>1</v>
      </c>
      <c r="BJ294" s="72">
        <v>1</v>
      </c>
      <c r="BK294" s="72">
        <v>1</v>
      </c>
      <c r="BL294" s="72">
        <v>1</v>
      </c>
      <c r="BM294" s="72">
        <v>1</v>
      </c>
      <c r="BN294" s="72">
        <v>1</v>
      </c>
      <c r="BO294" s="72">
        <v>1</v>
      </c>
      <c r="BP294" s="72">
        <v>1</v>
      </c>
      <c r="BQ294" s="72">
        <v>1</v>
      </c>
      <c r="BR294" s="72">
        <v>1</v>
      </c>
      <c r="BS294" s="72">
        <v>1</v>
      </c>
      <c r="BT294" s="72">
        <v>1</v>
      </c>
      <c r="BU294" s="72">
        <v>1</v>
      </c>
      <c r="BV294" s="72">
        <v>1</v>
      </c>
      <c r="BW294" s="72">
        <v>1</v>
      </c>
      <c r="BX294" s="72">
        <v>1</v>
      </c>
      <c r="BY294" s="72">
        <v>1</v>
      </c>
      <c r="BZ294" s="72">
        <v>1</v>
      </c>
      <c r="CA294" s="72">
        <v>1</v>
      </c>
      <c r="CB294" s="72">
        <v>1</v>
      </c>
      <c r="CC294" s="72">
        <v>1</v>
      </c>
      <c r="CD294" s="72">
        <v>1</v>
      </c>
      <c r="CE294" s="72">
        <v>1</v>
      </c>
      <c r="CF294" s="72">
        <v>1</v>
      </c>
      <c r="CG294" s="72">
        <v>1</v>
      </c>
      <c r="CH294" s="72">
        <v>1</v>
      </c>
      <c r="CI294" s="72">
        <v>1</v>
      </c>
      <c r="CJ294" s="72">
        <v>1</v>
      </c>
      <c r="CK294" s="72">
        <v>1</v>
      </c>
      <c r="CL294" s="72">
        <v>1</v>
      </c>
      <c r="CM294" s="72">
        <v>1</v>
      </c>
      <c r="CN294" s="72">
        <v>1</v>
      </c>
      <c r="CO294" s="72">
        <v>1</v>
      </c>
      <c r="CP294" s="72">
        <v>1</v>
      </c>
      <c r="CQ294" s="72">
        <v>1</v>
      </c>
      <c r="CR294" s="72">
        <v>1</v>
      </c>
      <c r="CS294" s="72">
        <v>1</v>
      </c>
      <c r="CT294" s="72">
        <v>1</v>
      </c>
      <c r="CU294" s="72">
        <v>1</v>
      </c>
      <c r="CV294" s="72">
        <v>1</v>
      </c>
      <c r="CW294" s="72">
        <v>1</v>
      </c>
      <c r="CX294" s="72">
        <v>1</v>
      </c>
      <c r="CY294" s="72">
        <v>1</v>
      </c>
      <c r="CZ294" s="72">
        <v>1</v>
      </c>
      <c r="DA294" s="72">
        <v>1</v>
      </c>
      <c r="DB294" s="72">
        <v>1</v>
      </c>
      <c r="DC294" s="72">
        <v>1</v>
      </c>
      <c r="DD294" s="72">
        <v>1</v>
      </c>
      <c r="DE294" s="72">
        <v>1</v>
      </c>
      <c r="DF294" s="72">
        <v>1</v>
      </c>
      <c r="DG294" s="72">
        <v>1</v>
      </c>
      <c r="DH294" s="72">
        <v>1</v>
      </c>
      <c r="DI294" s="72">
        <v>1</v>
      </c>
      <c r="DJ294" s="72">
        <v>1</v>
      </c>
      <c r="DK294" s="72">
        <v>1</v>
      </c>
      <c r="DL294" s="72">
        <v>1</v>
      </c>
      <c r="DM294" s="72">
        <v>1</v>
      </c>
    </row>
    <row r="295" spans="1:117" x14ac:dyDescent="0.35">
      <c r="A295" s="7"/>
      <c r="B295" s="77" t="s">
        <v>1457</v>
      </c>
      <c r="C295" s="9" t="s">
        <v>1463</v>
      </c>
      <c r="D295" s="10" t="s">
        <v>1461</v>
      </c>
      <c r="E295" s="8" t="s">
        <v>1462</v>
      </c>
      <c r="F295" s="10"/>
      <c r="G295" s="10"/>
      <c r="H295" s="10" t="s">
        <v>41</v>
      </c>
      <c r="I295" s="11"/>
      <c r="J295" s="10"/>
      <c r="K295" s="10"/>
      <c r="L295" s="8"/>
      <c r="M295" s="12"/>
      <c r="N295" s="12">
        <f t="shared" si="6"/>
        <v>0</v>
      </c>
      <c r="O295" s="11"/>
      <c r="P295" s="11"/>
      <c r="Q295" s="11"/>
      <c r="R295" s="11"/>
      <c r="S295" s="11"/>
      <c r="T295" s="11"/>
      <c r="U295" s="11"/>
      <c r="V295" s="11"/>
      <c r="W295" s="11"/>
      <c r="X295" s="11"/>
      <c r="Y295" s="11"/>
      <c r="Z295" s="11"/>
      <c r="AA295" s="11"/>
      <c r="AB295" s="11"/>
      <c r="AC295" s="11"/>
      <c r="AD295" s="11"/>
      <c r="AE295" s="11"/>
      <c r="AF295" s="11"/>
      <c r="AG295" s="11"/>
      <c r="AH295" s="11"/>
      <c r="AI295" s="11"/>
      <c r="AJ295" s="11"/>
      <c r="AK295" s="11"/>
      <c r="AL295" s="11"/>
      <c r="AM295" s="11"/>
      <c r="AN295" s="72"/>
      <c r="AO295" s="72"/>
      <c r="AP295" s="72"/>
      <c r="AQ295" s="72"/>
      <c r="AR295" s="72"/>
      <c r="AS295" s="72"/>
      <c r="AT295" s="72"/>
      <c r="AU295" s="72"/>
      <c r="AV295" s="72"/>
      <c r="AW295" s="72"/>
      <c r="AX295" s="72"/>
      <c r="AY295" s="72"/>
      <c r="AZ295" s="72"/>
      <c r="BA295" s="72"/>
      <c r="BB295" s="72"/>
      <c r="BC295" s="72"/>
      <c r="BD295" s="72"/>
      <c r="BE295" s="72"/>
      <c r="BF295" s="72"/>
      <c r="BG295" s="72"/>
      <c r="BH295" s="72"/>
      <c r="BI295" s="72"/>
      <c r="BJ295" s="72"/>
      <c r="BK295" s="72"/>
      <c r="BL295" s="72"/>
      <c r="BM295" s="72"/>
      <c r="BN295" s="72"/>
      <c r="BO295" s="72"/>
      <c r="BP295" s="72"/>
      <c r="BQ295" s="72"/>
      <c r="BR295" s="72"/>
      <c r="BS295" s="72"/>
      <c r="BT295" s="72"/>
      <c r="BU295" s="72"/>
      <c r="BV295" s="72"/>
      <c r="BW295" s="72"/>
      <c r="BX295" s="72"/>
      <c r="BY295" s="72"/>
      <c r="BZ295" s="72"/>
      <c r="CA295" s="72">
        <v>0</v>
      </c>
      <c r="CB295" s="72"/>
      <c r="CC295" s="72"/>
      <c r="CD295" s="72"/>
      <c r="CE295" s="72"/>
      <c r="CF295" s="72"/>
      <c r="CG295" s="72"/>
      <c r="CH295" s="72"/>
      <c r="CI295" s="72"/>
      <c r="CJ295" s="72"/>
      <c r="CK295" s="72"/>
      <c r="CL295" s="72"/>
      <c r="CM295" s="72"/>
      <c r="CN295" s="72"/>
      <c r="CO295" s="72"/>
      <c r="CP295" s="72"/>
      <c r="CQ295" s="72"/>
      <c r="CR295" s="72"/>
      <c r="CS295" s="72"/>
      <c r="CT295" s="72"/>
      <c r="CU295" s="72"/>
      <c r="CV295" s="72"/>
      <c r="CW295" s="72"/>
      <c r="CX295" s="72"/>
      <c r="CY295" s="72"/>
      <c r="CZ295" s="72"/>
      <c r="DA295" s="72"/>
      <c r="DB295" s="72"/>
      <c r="DC295" s="72"/>
      <c r="DD295" s="72"/>
      <c r="DE295" s="72"/>
      <c r="DF295" s="72"/>
      <c r="DG295" s="72"/>
      <c r="DH295" s="72"/>
      <c r="DI295" s="72"/>
      <c r="DJ295" s="72"/>
      <c r="DK295" s="72"/>
      <c r="DL295" s="72"/>
      <c r="DM295" s="72"/>
    </row>
    <row r="296" spans="1:117" x14ac:dyDescent="0.35">
      <c r="A296" s="7"/>
      <c r="B296" s="77" t="s">
        <v>1234</v>
      </c>
      <c r="C296" s="78" t="s">
        <v>1240</v>
      </c>
      <c r="D296" s="10" t="s">
        <v>773</v>
      </c>
      <c r="E296" s="8" t="s">
        <v>1221</v>
      </c>
      <c r="F296" s="10"/>
      <c r="G296" s="10" t="s">
        <v>40</v>
      </c>
      <c r="H296" s="10" t="s">
        <v>41</v>
      </c>
      <c r="I296" s="11"/>
      <c r="J296" s="10"/>
      <c r="K296" s="10"/>
      <c r="L296" s="8"/>
      <c r="M296" s="12"/>
      <c r="N296" s="12">
        <f t="shared" si="6"/>
        <v>0</v>
      </c>
      <c r="O296" s="11"/>
      <c r="P296" s="11"/>
      <c r="Q296" s="11"/>
      <c r="R296" s="11"/>
      <c r="S296" s="11"/>
      <c r="T296" s="11"/>
      <c r="U296" s="11"/>
      <c r="V296" s="11"/>
      <c r="W296" s="11"/>
      <c r="X296" s="11"/>
      <c r="Y296" s="11"/>
      <c r="Z296" s="11"/>
      <c r="AA296" s="11"/>
      <c r="AB296" s="11"/>
      <c r="AC296" s="11"/>
      <c r="AD296" s="11"/>
      <c r="AE296" s="11"/>
      <c r="AF296" s="11"/>
      <c r="AG296" s="11"/>
      <c r="AH296" s="11"/>
      <c r="AI296" s="11"/>
      <c r="AJ296" s="11"/>
      <c r="AK296" s="11"/>
      <c r="AL296" s="11"/>
      <c r="AM296" s="11"/>
      <c r="AN296" s="72"/>
      <c r="AO296" s="72"/>
      <c r="AP296" s="72"/>
      <c r="AQ296" s="72"/>
      <c r="AR296" s="72">
        <v>2</v>
      </c>
      <c r="AS296" s="72">
        <v>2</v>
      </c>
      <c r="AT296" s="72">
        <v>2</v>
      </c>
      <c r="AU296" s="72">
        <v>2</v>
      </c>
      <c r="AV296" s="72">
        <v>2</v>
      </c>
      <c r="AW296" s="72">
        <v>0</v>
      </c>
      <c r="AX296" s="72">
        <v>0</v>
      </c>
      <c r="AY296" s="72">
        <v>0</v>
      </c>
      <c r="AZ296" s="72">
        <v>0</v>
      </c>
      <c r="BA296" s="72">
        <v>0</v>
      </c>
      <c r="BB296" s="72">
        <v>0</v>
      </c>
      <c r="BC296" s="72">
        <v>0</v>
      </c>
      <c r="BD296" s="72">
        <v>0</v>
      </c>
      <c r="BE296" s="72">
        <v>0</v>
      </c>
      <c r="BF296" s="72">
        <v>0</v>
      </c>
      <c r="BG296" s="72">
        <v>0</v>
      </c>
      <c r="BH296" s="72">
        <v>0</v>
      </c>
      <c r="BI296" s="72">
        <v>0</v>
      </c>
      <c r="BJ296" s="72">
        <v>0</v>
      </c>
      <c r="BK296" s="72">
        <v>0</v>
      </c>
      <c r="BL296" s="72">
        <v>0</v>
      </c>
      <c r="BM296" s="72">
        <v>0</v>
      </c>
      <c r="BN296" s="72">
        <v>0</v>
      </c>
      <c r="BO296" s="72">
        <v>0</v>
      </c>
      <c r="BP296" s="72">
        <v>0</v>
      </c>
      <c r="BQ296" s="72">
        <v>0</v>
      </c>
      <c r="BR296" s="72">
        <v>0</v>
      </c>
      <c r="BS296" s="72">
        <v>0</v>
      </c>
      <c r="BT296" s="72">
        <v>0</v>
      </c>
      <c r="BU296" s="72">
        <v>0</v>
      </c>
      <c r="BV296" s="72">
        <v>0</v>
      </c>
      <c r="BW296" s="72">
        <v>0</v>
      </c>
      <c r="BX296" s="72">
        <v>0</v>
      </c>
      <c r="BY296" s="72">
        <v>0</v>
      </c>
      <c r="BZ296" s="72">
        <v>0</v>
      </c>
      <c r="CA296" s="72">
        <v>0</v>
      </c>
      <c r="CB296" s="72">
        <v>0</v>
      </c>
      <c r="CC296" s="72">
        <v>0</v>
      </c>
      <c r="CD296" s="72">
        <v>0</v>
      </c>
      <c r="CE296" s="72">
        <v>0</v>
      </c>
      <c r="CF296" s="72">
        <v>0</v>
      </c>
      <c r="CG296" s="72">
        <v>0</v>
      </c>
      <c r="CH296" s="72">
        <v>0</v>
      </c>
      <c r="CI296" s="72">
        <v>0</v>
      </c>
      <c r="CJ296" s="72">
        <v>0</v>
      </c>
      <c r="CK296" s="72">
        <v>0</v>
      </c>
      <c r="CL296" s="72">
        <v>0</v>
      </c>
      <c r="CM296" s="72">
        <v>0</v>
      </c>
      <c r="CN296" s="72">
        <v>0</v>
      </c>
      <c r="CO296" s="72">
        <v>0</v>
      </c>
      <c r="CP296" s="72">
        <v>0</v>
      </c>
      <c r="CQ296" s="72">
        <v>0</v>
      </c>
      <c r="CR296" s="72">
        <v>0</v>
      </c>
      <c r="CS296" s="72">
        <v>0</v>
      </c>
      <c r="CT296" s="72">
        <v>0</v>
      </c>
      <c r="CU296" s="72">
        <v>0</v>
      </c>
      <c r="CV296" s="72">
        <v>0</v>
      </c>
      <c r="CW296" s="72">
        <v>0</v>
      </c>
      <c r="CX296" s="72">
        <v>0</v>
      </c>
      <c r="CY296" s="72">
        <v>0</v>
      </c>
      <c r="CZ296" s="72">
        <v>0</v>
      </c>
      <c r="DA296" s="72">
        <v>0</v>
      </c>
      <c r="DB296" s="72">
        <v>0</v>
      </c>
      <c r="DC296" s="72">
        <v>0</v>
      </c>
      <c r="DD296" s="72">
        <v>0</v>
      </c>
      <c r="DE296" s="72">
        <v>0</v>
      </c>
      <c r="DF296" s="72">
        <v>0</v>
      </c>
      <c r="DG296" s="72">
        <v>0</v>
      </c>
      <c r="DH296" s="72">
        <v>0</v>
      </c>
      <c r="DI296" s="72">
        <v>0</v>
      </c>
      <c r="DJ296" s="72">
        <v>0</v>
      </c>
      <c r="DK296" s="72">
        <v>0</v>
      </c>
      <c r="DL296" s="72">
        <v>0</v>
      </c>
      <c r="DM296" s="72">
        <v>0</v>
      </c>
    </row>
    <row r="297" spans="1:117" x14ac:dyDescent="0.35">
      <c r="A297" s="7"/>
      <c r="B297" s="77" t="s">
        <v>1235</v>
      </c>
      <c r="C297" s="78" t="s">
        <v>1241</v>
      </c>
      <c r="D297" s="10" t="s">
        <v>773</v>
      </c>
      <c r="E297" s="8" t="s">
        <v>1203</v>
      </c>
      <c r="F297" s="10">
        <v>1002</v>
      </c>
      <c r="G297" s="10" t="s">
        <v>40</v>
      </c>
      <c r="H297" s="10" t="s">
        <v>41</v>
      </c>
      <c r="I297" s="11"/>
      <c r="J297" s="10"/>
      <c r="K297" s="10"/>
      <c r="L297" s="8"/>
      <c r="M297" s="12"/>
      <c r="N297" s="12">
        <f t="shared" si="6"/>
        <v>0</v>
      </c>
      <c r="O297" s="11"/>
      <c r="P297" s="11"/>
      <c r="Q297" s="11"/>
      <c r="R297" s="11"/>
      <c r="S297" s="11"/>
      <c r="T297" s="11"/>
      <c r="U297" s="11"/>
      <c r="V297" s="11"/>
      <c r="W297" s="11"/>
      <c r="X297" s="11"/>
      <c r="Y297" s="11"/>
      <c r="Z297" s="11"/>
      <c r="AA297" s="11"/>
      <c r="AB297" s="11"/>
      <c r="AC297" s="11"/>
      <c r="AD297" s="11"/>
      <c r="AE297" s="11"/>
      <c r="AF297" s="11"/>
      <c r="AG297" s="11"/>
      <c r="AH297" s="11"/>
      <c r="AI297" s="11"/>
      <c r="AJ297" s="11"/>
      <c r="AK297" s="11"/>
      <c r="AL297" s="11"/>
      <c r="AM297" s="11"/>
      <c r="AN297" s="72"/>
      <c r="AO297" s="72"/>
      <c r="AP297" s="72"/>
      <c r="AQ297" s="72"/>
      <c r="AR297" s="72">
        <v>2</v>
      </c>
      <c r="AS297" s="72">
        <v>2</v>
      </c>
      <c r="AT297" s="72">
        <v>2</v>
      </c>
      <c r="AU297" s="72">
        <v>2</v>
      </c>
      <c r="AV297" s="72">
        <v>2</v>
      </c>
      <c r="AW297" s="72">
        <v>0</v>
      </c>
      <c r="AX297" s="72">
        <v>0</v>
      </c>
      <c r="AY297" s="72">
        <v>0</v>
      </c>
      <c r="AZ297" s="72">
        <v>0</v>
      </c>
      <c r="BA297" s="72">
        <v>0</v>
      </c>
      <c r="BB297" s="72">
        <v>0</v>
      </c>
      <c r="BC297" s="72">
        <v>0</v>
      </c>
      <c r="BD297" s="72">
        <v>0</v>
      </c>
      <c r="BE297" s="72">
        <v>0</v>
      </c>
      <c r="BF297" s="72">
        <v>0</v>
      </c>
      <c r="BG297" s="72">
        <v>0</v>
      </c>
      <c r="BH297" s="72">
        <v>0</v>
      </c>
      <c r="BI297" s="72">
        <v>0</v>
      </c>
      <c r="BJ297" s="72">
        <v>0</v>
      </c>
      <c r="BK297" s="72">
        <v>0</v>
      </c>
      <c r="BL297" s="72">
        <v>0</v>
      </c>
      <c r="BM297" s="72">
        <v>0</v>
      </c>
      <c r="BN297" s="72">
        <v>0</v>
      </c>
      <c r="BO297" s="72">
        <v>0</v>
      </c>
      <c r="BP297" s="72">
        <v>0</v>
      </c>
      <c r="BQ297" s="72">
        <v>0</v>
      </c>
      <c r="BR297" s="72">
        <v>0</v>
      </c>
      <c r="BS297" s="72">
        <v>0</v>
      </c>
      <c r="BT297" s="72">
        <v>0</v>
      </c>
      <c r="BU297" s="72">
        <v>0</v>
      </c>
      <c r="BV297" s="72">
        <v>0</v>
      </c>
      <c r="BW297" s="72">
        <v>0</v>
      </c>
      <c r="BX297" s="72">
        <v>0</v>
      </c>
      <c r="BY297" s="72">
        <v>0</v>
      </c>
      <c r="BZ297" s="72">
        <v>0</v>
      </c>
      <c r="CA297" s="72">
        <v>0</v>
      </c>
      <c r="CB297" s="72">
        <v>0</v>
      </c>
      <c r="CC297" s="72">
        <v>0</v>
      </c>
      <c r="CD297" s="72">
        <v>0</v>
      </c>
      <c r="CE297" s="72">
        <v>0</v>
      </c>
      <c r="CF297" s="72">
        <v>0</v>
      </c>
      <c r="CG297" s="72">
        <v>0</v>
      </c>
      <c r="CH297" s="72">
        <v>0</v>
      </c>
      <c r="CI297" s="72">
        <v>0</v>
      </c>
      <c r="CJ297" s="72">
        <v>0</v>
      </c>
      <c r="CK297" s="72">
        <v>0</v>
      </c>
      <c r="CL297" s="72">
        <v>0</v>
      </c>
      <c r="CM297" s="72">
        <v>0</v>
      </c>
      <c r="CN297" s="72">
        <v>0</v>
      </c>
      <c r="CO297" s="72">
        <v>0</v>
      </c>
      <c r="CP297" s="72">
        <v>0</v>
      </c>
      <c r="CQ297" s="72">
        <v>0</v>
      </c>
      <c r="CR297" s="72">
        <v>0</v>
      </c>
      <c r="CS297" s="72">
        <v>0</v>
      </c>
      <c r="CT297" s="72">
        <v>0</v>
      </c>
      <c r="CU297" s="72">
        <v>0</v>
      </c>
      <c r="CV297" s="72">
        <v>0</v>
      </c>
      <c r="CW297" s="72">
        <v>0</v>
      </c>
      <c r="CX297" s="72">
        <v>0</v>
      </c>
      <c r="CY297" s="72">
        <v>0</v>
      </c>
      <c r="CZ297" s="72">
        <v>0</v>
      </c>
      <c r="DA297" s="72">
        <v>0</v>
      </c>
      <c r="DB297" s="72">
        <v>0</v>
      </c>
      <c r="DC297" s="72">
        <v>0</v>
      </c>
      <c r="DD297" s="72">
        <v>0</v>
      </c>
      <c r="DE297" s="72">
        <v>0</v>
      </c>
      <c r="DF297" s="72">
        <v>0</v>
      </c>
      <c r="DG297" s="72">
        <v>0</v>
      </c>
      <c r="DH297" s="72">
        <v>0</v>
      </c>
      <c r="DI297" s="72">
        <v>0</v>
      </c>
      <c r="DJ297" s="72">
        <v>0</v>
      </c>
      <c r="DK297" s="72">
        <v>0</v>
      </c>
      <c r="DL297" s="72">
        <v>0</v>
      </c>
      <c r="DM297" s="72">
        <v>0</v>
      </c>
    </row>
    <row r="298" spans="1:117" x14ac:dyDescent="0.35">
      <c r="A298" s="7"/>
      <c r="B298" s="77" t="s">
        <v>1236</v>
      </c>
      <c r="C298" s="78" t="s">
        <v>1242</v>
      </c>
      <c r="D298" s="10" t="s">
        <v>773</v>
      </c>
      <c r="E298" s="8" t="s">
        <v>1205</v>
      </c>
      <c r="F298" s="10"/>
      <c r="G298" s="10" t="s">
        <v>40</v>
      </c>
      <c r="H298" s="10" t="s">
        <v>41</v>
      </c>
      <c r="I298" s="11"/>
      <c r="J298" s="10"/>
      <c r="K298" s="10"/>
      <c r="L298" s="8"/>
      <c r="M298" s="12"/>
      <c r="N298" s="12">
        <f t="shared" si="6"/>
        <v>0</v>
      </c>
      <c r="O298" s="11"/>
      <c r="P298" s="11"/>
      <c r="Q298" s="11"/>
      <c r="R298" s="11"/>
      <c r="S298" s="11"/>
      <c r="T298" s="11"/>
      <c r="U298" s="11"/>
      <c r="V298" s="11"/>
      <c r="W298" s="11"/>
      <c r="X298" s="11"/>
      <c r="Y298" s="11"/>
      <c r="Z298" s="11"/>
      <c r="AA298" s="11"/>
      <c r="AB298" s="11"/>
      <c r="AC298" s="11"/>
      <c r="AD298" s="11"/>
      <c r="AE298" s="11"/>
      <c r="AF298" s="11"/>
      <c r="AG298" s="11"/>
      <c r="AH298" s="11"/>
      <c r="AI298" s="11"/>
      <c r="AJ298" s="11"/>
      <c r="AK298" s="11"/>
      <c r="AL298" s="11"/>
      <c r="AM298" s="11"/>
      <c r="AN298" s="72"/>
      <c r="AO298" s="72"/>
      <c r="AP298" s="72"/>
      <c r="AQ298" s="72"/>
      <c r="AR298" s="72">
        <v>2</v>
      </c>
      <c r="AS298" s="72">
        <v>2</v>
      </c>
      <c r="AT298" s="72">
        <v>2</v>
      </c>
      <c r="AU298" s="72">
        <v>2</v>
      </c>
      <c r="AV298" s="72">
        <v>2</v>
      </c>
      <c r="AW298" s="72">
        <v>0</v>
      </c>
      <c r="AX298" s="72">
        <v>0</v>
      </c>
      <c r="AY298" s="72">
        <v>0</v>
      </c>
      <c r="AZ298" s="72">
        <v>0</v>
      </c>
      <c r="BA298" s="72">
        <v>0</v>
      </c>
      <c r="BB298" s="72">
        <v>0</v>
      </c>
      <c r="BC298" s="72">
        <v>0</v>
      </c>
      <c r="BD298" s="72">
        <v>0</v>
      </c>
      <c r="BE298" s="72">
        <v>0</v>
      </c>
      <c r="BF298" s="72">
        <v>0</v>
      </c>
      <c r="BG298" s="72">
        <v>0</v>
      </c>
      <c r="BH298" s="72">
        <v>0</v>
      </c>
      <c r="BI298" s="72">
        <v>0</v>
      </c>
      <c r="BJ298" s="72">
        <v>0</v>
      </c>
      <c r="BK298" s="72">
        <v>0</v>
      </c>
      <c r="BL298" s="72">
        <v>0</v>
      </c>
      <c r="BM298" s="72">
        <v>0</v>
      </c>
      <c r="BN298" s="72">
        <v>0</v>
      </c>
      <c r="BO298" s="72">
        <v>0</v>
      </c>
      <c r="BP298" s="72">
        <v>0</v>
      </c>
      <c r="BQ298" s="72">
        <v>0</v>
      </c>
      <c r="BR298" s="72">
        <v>0</v>
      </c>
      <c r="BS298" s="72">
        <v>0</v>
      </c>
      <c r="BT298" s="72">
        <v>0</v>
      </c>
      <c r="BU298" s="72">
        <v>0</v>
      </c>
      <c r="BV298" s="72">
        <v>0</v>
      </c>
      <c r="BW298" s="72">
        <v>0</v>
      </c>
      <c r="BX298" s="72">
        <v>0</v>
      </c>
      <c r="BY298" s="72">
        <v>0</v>
      </c>
      <c r="BZ298" s="72">
        <v>0</v>
      </c>
      <c r="CA298" s="72">
        <v>0</v>
      </c>
      <c r="CB298" s="72">
        <v>0</v>
      </c>
      <c r="CC298" s="72">
        <v>0</v>
      </c>
      <c r="CD298" s="72">
        <v>0</v>
      </c>
      <c r="CE298" s="72">
        <v>0</v>
      </c>
      <c r="CF298" s="72">
        <v>0</v>
      </c>
      <c r="CG298" s="72">
        <v>0</v>
      </c>
      <c r="CH298" s="72">
        <v>0</v>
      </c>
      <c r="CI298" s="72">
        <v>0</v>
      </c>
      <c r="CJ298" s="72">
        <v>0</v>
      </c>
      <c r="CK298" s="72">
        <v>0</v>
      </c>
      <c r="CL298" s="72">
        <v>0</v>
      </c>
      <c r="CM298" s="72">
        <v>0</v>
      </c>
      <c r="CN298" s="72">
        <v>0</v>
      </c>
      <c r="CO298" s="72">
        <v>0</v>
      </c>
      <c r="CP298" s="72">
        <v>0</v>
      </c>
      <c r="CQ298" s="72">
        <v>0</v>
      </c>
      <c r="CR298" s="72">
        <v>0</v>
      </c>
      <c r="CS298" s="72">
        <v>0</v>
      </c>
      <c r="CT298" s="72">
        <v>0</v>
      </c>
      <c r="CU298" s="72">
        <v>0</v>
      </c>
      <c r="CV298" s="72">
        <v>0</v>
      </c>
      <c r="CW298" s="72">
        <v>0</v>
      </c>
      <c r="CX298" s="72">
        <v>0</v>
      </c>
      <c r="CY298" s="72">
        <v>0</v>
      </c>
      <c r="CZ298" s="72">
        <v>0</v>
      </c>
      <c r="DA298" s="72">
        <v>0</v>
      </c>
      <c r="DB298" s="72">
        <v>0</v>
      </c>
      <c r="DC298" s="72">
        <v>0</v>
      </c>
      <c r="DD298" s="72">
        <v>0</v>
      </c>
      <c r="DE298" s="72">
        <v>0</v>
      </c>
      <c r="DF298" s="72">
        <v>0</v>
      </c>
      <c r="DG298" s="72">
        <v>0</v>
      </c>
      <c r="DH298" s="72">
        <v>0</v>
      </c>
      <c r="DI298" s="72">
        <v>0</v>
      </c>
      <c r="DJ298" s="72">
        <v>0</v>
      </c>
      <c r="DK298" s="72">
        <v>0</v>
      </c>
      <c r="DL298" s="72">
        <v>0</v>
      </c>
      <c r="DM298" s="72">
        <v>0</v>
      </c>
    </row>
    <row r="299" spans="1:117" x14ac:dyDescent="0.35">
      <c r="A299" s="7"/>
      <c r="B299" s="8">
        <v>638213</v>
      </c>
      <c r="C299" s="9" t="s">
        <v>534</v>
      </c>
      <c r="D299" s="10" t="s">
        <v>535</v>
      </c>
      <c r="E299" s="8" t="s">
        <v>1226</v>
      </c>
      <c r="F299" s="10">
        <v>1104</v>
      </c>
      <c r="G299" s="10" t="s">
        <v>40</v>
      </c>
      <c r="H299" s="10" t="s">
        <v>95</v>
      </c>
      <c r="I299" s="11">
        <v>0</v>
      </c>
      <c r="J299" s="10"/>
      <c r="K299" s="10"/>
      <c r="L299" s="8"/>
      <c r="M299" s="12"/>
      <c r="N299" s="12">
        <f t="shared" si="6"/>
        <v>0</v>
      </c>
      <c r="O299" s="11">
        <v>66</v>
      </c>
      <c r="P299" s="11">
        <v>66</v>
      </c>
      <c r="Q299" s="11">
        <v>66</v>
      </c>
      <c r="R299" s="11">
        <v>56</v>
      </c>
      <c r="S299" s="11">
        <v>56</v>
      </c>
      <c r="T299" s="11">
        <v>48</v>
      </c>
      <c r="U299" s="11">
        <v>33</v>
      </c>
      <c r="V299" s="11">
        <v>0</v>
      </c>
      <c r="W299" s="11">
        <v>0</v>
      </c>
      <c r="X299" s="11">
        <v>0</v>
      </c>
      <c r="Y299" s="11">
        <v>0</v>
      </c>
      <c r="Z299" s="11">
        <v>0</v>
      </c>
      <c r="AA299" s="11">
        <v>0</v>
      </c>
      <c r="AB299" s="11">
        <v>0</v>
      </c>
      <c r="AC299" s="11">
        <v>0</v>
      </c>
      <c r="AD299" s="11">
        <v>0</v>
      </c>
      <c r="AE299" s="11">
        <v>0</v>
      </c>
      <c r="AF299" s="11">
        <v>0</v>
      </c>
      <c r="AG299" s="11">
        <v>0</v>
      </c>
      <c r="AH299" s="11">
        <v>0</v>
      </c>
      <c r="AI299" s="11">
        <v>0</v>
      </c>
      <c r="AJ299" s="11">
        <v>0</v>
      </c>
      <c r="AK299" s="11">
        <v>0</v>
      </c>
      <c r="AL299" s="11">
        <v>0</v>
      </c>
      <c r="AM299" s="11">
        <v>0</v>
      </c>
      <c r="AN299" s="72">
        <v>0</v>
      </c>
      <c r="AO299" s="72">
        <v>0</v>
      </c>
      <c r="AP299" s="72">
        <v>0</v>
      </c>
      <c r="AQ299" s="72">
        <v>0</v>
      </c>
      <c r="AR299" s="72">
        <v>0</v>
      </c>
      <c r="AS299" s="72">
        <v>0</v>
      </c>
      <c r="AT299" s="72">
        <v>0</v>
      </c>
      <c r="AU299" s="72">
        <v>0</v>
      </c>
      <c r="AV299" s="72">
        <v>0</v>
      </c>
      <c r="AW299" s="72">
        <v>0</v>
      </c>
      <c r="AX299" s="72">
        <v>0</v>
      </c>
      <c r="AY299" s="72">
        <v>0</v>
      </c>
      <c r="AZ299" s="72">
        <v>0</v>
      </c>
      <c r="BA299" s="72">
        <v>0</v>
      </c>
      <c r="BB299" s="72">
        <v>0</v>
      </c>
      <c r="BC299" s="72">
        <v>0</v>
      </c>
      <c r="BD299" s="72">
        <v>0</v>
      </c>
      <c r="BE299" s="72">
        <v>0</v>
      </c>
      <c r="BF299" s="72">
        <v>0</v>
      </c>
      <c r="BG299" s="72">
        <v>0</v>
      </c>
      <c r="BH299" s="72">
        <v>0</v>
      </c>
      <c r="BI299" s="72">
        <v>0</v>
      </c>
      <c r="BJ299" s="72">
        <v>0</v>
      </c>
      <c r="BK299" s="72">
        <v>0</v>
      </c>
      <c r="BL299" s="72">
        <v>0</v>
      </c>
      <c r="BM299" s="72">
        <v>0</v>
      </c>
      <c r="BN299" s="72">
        <v>0</v>
      </c>
      <c r="BO299" s="72">
        <v>0</v>
      </c>
      <c r="BP299" s="72">
        <v>0</v>
      </c>
      <c r="BQ299" s="72">
        <v>0</v>
      </c>
      <c r="BR299" s="72">
        <v>0</v>
      </c>
      <c r="BS299" s="72">
        <v>0</v>
      </c>
      <c r="BT299" s="72">
        <v>0</v>
      </c>
      <c r="BU299" s="72">
        <v>0</v>
      </c>
      <c r="BV299" s="72">
        <v>0</v>
      </c>
      <c r="BW299" s="72">
        <v>0</v>
      </c>
      <c r="BX299" s="72">
        <v>0</v>
      </c>
      <c r="BY299" s="72">
        <v>0</v>
      </c>
      <c r="BZ299" s="72">
        <v>0</v>
      </c>
      <c r="CA299" s="72">
        <v>0</v>
      </c>
      <c r="CB299" s="72">
        <v>0</v>
      </c>
      <c r="CC299" s="72">
        <v>0</v>
      </c>
      <c r="CD299" s="72">
        <v>0</v>
      </c>
      <c r="CE299" s="72">
        <v>0</v>
      </c>
      <c r="CF299" s="72">
        <v>0</v>
      </c>
      <c r="CG299" s="72">
        <v>0</v>
      </c>
      <c r="CH299" s="72">
        <v>0</v>
      </c>
      <c r="CI299" s="72">
        <v>0</v>
      </c>
      <c r="CJ299" s="72">
        <v>0</v>
      </c>
      <c r="CK299" s="72">
        <v>0</v>
      </c>
      <c r="CL299" s="72">
        <v>0</v>
      </c>
      <c r="CM299" s="72">
        <v>0</v>
      </c>
      <c r="CN299" s="72">
        <v>0</v>
      </c>
      <c r="CO299" s="72">
        <v>0</v>
      </c>
      <c r="CP299" s="72">
        <v>0</v>
      </c>
      <c r="CQ299" s="72">
        <v>0</v>
      </c>
      <c r="CR299" s="72">
        <v>0</v>
      </c>
      <c r="CS299" s="72">
        <v>0</v>
      </c>
      <c r="CT299" s="72">
        <v>0</v>
      </c>
      <c r="CU299" s="72">
        <v>0</v>
      </c>
      <c r="CV299" s="72">
        <v>0</v>
      </c>
      <c r="CW299" s="72">
        <v>0</v>
      </c>
      <c r="CX299" s="72">
        <v>0</v>
      </c>
      <c r="CY299" s="72">
        <v>0</v>
      </c>
      <c r="CZ299" s="72">
        <v>0</v>
      </c>
      <c r="DA299" s="72">
        <v>0</v>
      </c>
      <c r="DB299" s="72">
        <v>0</v>
      </c>
      <c r="DC299" s="72">
        <v>0</v>
      </c>
      <c r="DD299" s="72">
        <v>0</v>
      </c>
      <c r="DE299" s="72">
        <v>0</v>
      </c>
      <c r="DF299" s="72">
        <v>0</v>
      </c>
      <c r="DG299" s="72">
        <v>0</v>
      </c>
      <c r="DH299" s="72">
        <v>0</v>
      </c>
      <c r="DI299" s="72">
        <v>0</v>
      </c>
      <c r="DJ299" s="72">
        <v>0</v>
      </c>
      <c r="DK299" s="72">
        <v>0</v>
      </c>
      <c r="DL299" s="72">
        <v>0</v>
      </c>
      <c r="DM299" s="72">
        <v>0</v>
      </c>
    </row>
    <row r="300" spans="1:117" x14ac:dyDescent="0.35">
      <c r="A300" s="7"/>
      <c r="B300" s="8" t="s">
        <v>1381</v>
      </c>
      <c r="C300" s="9" t="s">
        <v>1383</v>
      </c>
      <c r="D300" s="10" t="s">
        <v>535</v>
      </c>
      <c r="E300" s="8" t="s">
        <v>1211</v>
      </c>
      <c r="F300" s="10"/>
      <c r="G300" s="10"/>
      <c r="H300" s="10" t="s">
        <v>95</v>
      </c>
      <c r="I300" s="11">
        <v>0</v>
      </c>
      <c r="J300" s="10"/>
      <c r="K300" s="10"/>
      <c r="L300" s="8"/>
      <c r="M300" s="12">
        <v>0.42</v>
      </c>
      <c r="N300" s="12">
        <f t="shared" si="6"/>
        <v>105.83999999999999</v>
      </c>
      <c r="O300" s="11">
        <v>0</v>
      </c>
      <c r="P300" s="11">
        <v>0</v>
      </c>
      <c r="Q300" s="11">
        <v>0</v>
      </c>
      <c r="R300" s="11">
        <v>0</v>
      </c>
      <c r="S300" s="11">
        <v>0</v>
      </c>
      <c r="T300" s="11">
        <v>0</v>
      </c>
      <c r="U300" s="11">
        <v>0</v>
      </c>
      <c r="V300" s="11">
        <v>0</v>
      </c>
      <c r="W300" s="11">
        <v>0</v>
      </c>
      <c r="X300" s="11">
        <v>0</v>
      </c>
      <c r="Y300" s="11">
        <v>0</v>
      </c>
      <c r="Z300" s="11">
        <v>0</v>
      </c>
      <c r="AA300" s="11">
        <v>0</v>
      </c>
      <c r="AB300" s="11">
        <v>0</v>
      </c>
      <c r="AC300" s="11">
        <v>0</v>
      </c>
      <c r="AD300" s="11">
        <v>0</v>
      </c>
      <c r="AE300" s="11">
        <v>0</v>
      </c>
      <c r="AF300" s="11">
        <v>0</v>
      </c>
      <c r="AG300" s="11">
        <v>0</v>
      </c>
      <c r="AH300" s="11">
        <v>0</v>
      </c>
      <c r="AI300" s="11">
        <v>0</v>
      </c>
      <c r="AJ300" s="11">
        <v>0</v>
      </c>
      <c r="AK300" s="11">
        <v>0</v>
      </c>
      <c r="AL300" s="11">
        <v>0</v>
      </c>
      <c r="AM300" s="11">
        <v>0</v>
      </c>
      <c r="AN300" s="72">
        <v>0</v>
      </c>
      <c r="AO300" s="72">
        <v>0</v>
      </c>
      <c r="AP300" s="72">
        <v>0</v>
      </c>
      <c r="AQ300" s="72">
        <v>0</v>
      </c>
      <c r="AR300" s="72">
        <v>0</v>
      </c>
      <c r="AS300" s="72">
        <v>0</v>
      </c>
      <c r="AT300" s="72">
        <v>0</v>
      </c>
      <c r="AU300" s="72">
        <v>0</v>
      </c>
      <c r="AV300" s="72">
        <v>0</v>
      </c>
      <c r="AW300" s="72">
        <v>0</v>
      </c>
      <c r="AX300" s="72">
        <v>0</v>
      </c>
      <c r="AY300" s="72">
        <v>0</v>
      </c>
      <c r="AZ300" s="72">
        <v>0</v>
      </c>
      <c r="BA300" s="72">
        <v>0</v>
      </c>
      <c r="BB300" s="72">
        <v>0</v>
      </c>
      <c r="BC300" s="72">
        <v>0</v>
      </c>
      <c r="BD300" s="72">
        <v>0</v>
      </c>
      <c r="BE300" s="72">
        <v>0</v>
      </c>
      <c r="BF300" s="72">
        <v>0</v>
      </c>
      <c r="BG300" s="72">
        <v>0</v>
      </c>
      <c r="BH300" s="72">
        <v>0</v>
      </c>
      <c r="BI300" s="72">
        <v>0</v>
      </c>
      <c r="BJ300" s="72">
        <v>0</v>
      </c>
      <c r="BK300" s="72">
        <v>0</v>
      </c>
      <c r="BL300" s="72">
        <v>0</v>
      </c>
      <c r="BM300" s="72">
        <v>0</v>
      </c>
      <c r="BN300" s="72">
        <v>0</v>
      </c>
      <c r="BO300" s="72">
        <v>0</v>
      </c>
      <c r="BP300" s="72">
        <v>0</v>
      </c>
      <c r="BQ300" s="72">
        <v>0</v>
      </c>
      <c r="BR300" s="72">
        <v>3000</v>
      </c>
      <c r="BS300" s="72">
        <v>500</v>
      </c>
      <c r="BT300" s="72">
        <v>500</v>
      </c>
      <c r="BU300" s="72">
        <v>500</v>
      </c>
      <c r="BV300" s="72">
        <v>500</v>
      </c>
      <c r="BW300" s="72">
        <v>500</v>
      </c>
      <c r="BX300" s="72">
        <v>500</v>
      </c>
      <c r="BY300" s="72">
        <v>500</v>
      </c>
      <c r="BZ300" s="72">
        <v>500</v>
      </c>
      <c r="CA300" s="72">
        <v>500</v>
      </c>
      <c r="CB300" s="72">
        <v>500</v>
      </c>
      <c r="CC300" s="72">
        <v>500</v>
      </c>
      <c r="CD300" s="72">
        <v>500</v>
      </c>
      <c r="CE300" s="72">
        <v>500</v>
      </c>
      <c r="CF300" s="72">
        <v>0</v>
      </c>
      <c r="CG300" s="72">
        <v>0</v>
      </c>
      <c r="CH300" s="72">
        <v>0</v>
      </c>
      <c r="CI300" s="72">
        <v>0</v>
      </c>
      <c r="CJ300" s="72">
        <v>0</v>
      </c>
      <c r="CK300" s="72">
        <v>0</v>
      </c>
      <c r="CL300" s="72">
        <v>0</v>
      </c>
      <c r="CM300" s="72">
        <v>0</v>
      </c>
      <c r="CN300" s="72">
        <v>0</v>
      </c>
      <c r="CO300" s="72">
        <v>0</v>
      </c>
      <c r="CP300" s="72">
        <v>0</v>
      </c>
      <c r="CQ300" s="72">
        <v>0</v>
      </c>
      <c r="CR300" s="72">
        <v>0</v>
      </c>
      <c r="CS300" s="72">
        <v>0</v>
      </c>
      <c r="CT300" s="72">
        <v>0</v>
      </c>
      <c r="CU300" s="72">
        <v>0</v>
      </c>
      <c r="CV300" s="72">
        <v>0</v>
      </c>
      <c r="CW300" s="72">
        <v>0</v>
      </c>
      <c r="CX300" s="72">
        <v>0</v>
      </c>
      <c r="CY300" s="72">
        <v>0</v>
      </c>
      <c r="CZ300" s="72">
        <v>0</v>
      </c>
      <c r="DA300" s="72">
        <v>0</v>
      </c>
      <c r="DB300" s="72">
        <v>0</v>
      </c>
      <c r="DC300" s="72">
        <v>0</v>
      </c>
      <c r="DD300" s="72">
        <v>0</v>
      </c>
      <c r="DE300" s="72">
        <v>2500</v>
      </c>
      <c r="DF300" s="72">
        <v>2500</v>
      </c>
      <c r="DG300" s="72">
        <v>2500</v>
      </c>
      <c r="DH300" s="72">
        <v>2252</v>
      </c>
      <c r="DI300" s="72">
        <v>2252</v>
      </c>
      <c r="DJ300" s="72">
        <v>252</v>
      </c>
      <c r="DK300" s="72">
        <v>252</v>
      </c>
      <c r="DL300" s="72">
        <v>252</v>
      </c>
      <c r="DM300" s="72">
        <v>252</v>
      </c>
    </row>
    <row r="301" spans="1:117" x14ac:dyDescent="0.35">
      <c r="A301" s="7"/>
      <c r="B301" s="8" t="s">
        <v>1509</v>
      </c>
      <c r="C301" s="9" t="s">
        <v>1513</v>
      </c>
      <c r="D301" s="10" t="s">
        <v>535</v>
      </c>
      <c r="E301" s="8" t="s">
        <v>1211</v>
      </c>
      <c r="F301" s="10">
        <v>1101</v>
      </c>
      <c r="G301" s="10" t="s">
        <v>40</v>
      </c>
      <c r="H301" s="10" t="s">
        <v>95</v>
      </c>
      <c r="I301" s="11"/>
      <c r="J301" s="10"/>
      <c r="K301" s="10"/>
      <c r="L301" s="8"/>
      <c r="M301" s="12">
        <v>0.74</v>
      </c>
      <c r="N301" s="12">
        <f t="shared" si="6"/>
        <v>0</v>
      </c>
      <c r="O301" s="11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  <c r="AA301" s="11"/>
      <c r="AB301" s="11"/>
      <c r="AC301" s="11"/>
      <c r="AD301" s="11"/>
      <c r="AE301" s="11"/>
      <c r="AF301" s="11"/>
      <c r="AG301" s="11"/>
      <c r="AH301" s="11"/>
      <c r="AI301" s="11"/>
      <c r="AJ301" s="11"/>
      <c r="AK301" s="11"/>
      <c r="AL301" s="11"/>
      <c r="AM301" s="11"/>
      <c r="AN301" s="72"/>
      <c r="AO301" s="72"/>
      <c r="AP301" s="72"/>
      <c r="AQ301" s="72"/>
      <c r="AR301" s="72"/>
      <c r="AS301" s="72"/>
      <c r="AT301" s="72"/>
      <c r="AU301" s="72"/>
      <c r="AV301" s="72"/>
      <c r="AW301" s="72"/>
      <c r="AX301" s="72"/>
      <c r="AY301" s="72"/>
      <c r="AZ301" s="72"/>
      <c r="BA301" s="72"/>
      <c r="BB301" s="72"/>
      <c r="BC301" s="72"/>
      <c r="BD301" s="72"/>
      <c r="BE301" s="72"/>
      <c r="BF301" s="72"/>
      <c r="BG301" s="72"/>
      <c r="BH301" s="72"/>
      <c r="BI301" s="72"/>
      <c r="BJ301" s="72"/>
      <c r="BK301" s="72"/>
      <c r="BL301" s="72"/>
      <c r="BM301" s="72"/>
      <c r="BN301" s="72"/>
      <c r="BO301" s="72"/>
      <c r="BP301" s="72"/>
      <c r="BQ301" s="72"/>
      <c r="BR301" s="72"/>
      <c r="BS301" s="72"/>
      <c r="BT301" s="72"/>
      <c r="BU301" s="72"/>
      <c r="BV301" s="72"/>
      <c r="BW301" s="72"/>
      <c r="BX301" s="72"/>
      <c r="BY301" s="72"/>
      <c r="BZ301" s="72"/>
      <c r="CA301" s="72"/>
      <c r="CB301" s="72"/>
      <c r="CC301" s="72"/>
      <c r="CD301" s="72"/>
      <c r="CE301" s="72"/>
      <c r="CF301" s="72"/>
      <c r="CG301" s="72"/>
      <c r="CH301" s="72"/>
      <c r="CI301" s="72"/>
      <c r="CJ301" s="72"/>
      <c r="CK301" s="72"/>
      <c r="CL301" s="72"/>
      <c r="CM301" s="72"/>
      <c r="CN301" s="72"/>
      <c r="CO301" s="72"/>
      <c r="CP301" s="72"/>
      <c r="CQ301" s="72"/>
      <c r="CR301" s="72"/>
      <c r="CS301" s="72"/>
      <c r="CT301" s="72"/>
      <c r="CU301" s="72"/>
      <c r="CV301" s="72">
        <v>240</v>
      </c>
      <c r="CW301" s="72">
        <v>240</v>
      </c>
      <c r="CX301" s="72">
        <v>240</v>
      </c>
      <c r="CY301" s="72">
        <v>240</v>
      </c>
      <c r="CZ301" s="72">
        <v>240</v>
      </c>
      <c r="DA301" s="72">
        <v>240</v>
      </c>
      <c r="DB301" s="72">
        <v>240</v>
      </c>
      <c r="DC301" s="72">
        <v>240</v>
      </c>
      <c r="DD301" s="72">
        <v>0</v>
      </c>
      <c r="DE301" s="72">
        <v>0</v>
      </c>
      <c r="DF301" s="72">
        <v>0</v>
      </c>
      <c r="DG301" s="72">
        <v>0</v>
      </c>
      <c r="DH301" s="72">
        <v>0</v>
      </c>
      <c r="DI301" s="72">
        <v>0</v>
      </c>
      <c r="DJ301" s="72">
        <v>0</v>
      </c>
      <c r="DK301" s="72">
        <v>0</v>
      </c>
      <c r="DL301" s="72">
        <v>0</v>
      </c>
      <c r="DM301" s="72">
        <v>0</v>
      </c>
    </row>
    <row r="302" spans="1:117" x14ac:dyDescent="0.35">
      <c r="A302" s="7"/>
      <c r="B302" s="77" t="s">
        <v>1265</v>
      </c>
      <c r="C302" s="9" t="s">
        <v>1275</v>
      </c>
      <c r="D302" s="10" t="s">
        <v>537</v>
      </c>
      <c r="E302" s="8" t="s">
        <v>1224</v>
      </c>
      <c r="F302" s="10"/>
      <c r="G302" s="10"/>
      <c r="H302" s="10" t="s">
        <v>41</v>
      </c>
      <c r="I302" s="11"/>
      <c r="J302" s="10"/>
      <c r="K302" s="10"/>
      <c r="L302" s="8"/>
      <c r="M302" s="12"/>
      <c r="N302" s="12">
        <f t="shared" si="6"/>
        <v>0</v>
      </c>
      <c r="O302" s="11"/>
      <c r="P302" s="11"/>
      <c r="Q302" s="11"/>
      <c r="R302" s="11"/>
      <c r="S302" s="11"/>
      <c r="T302" s="11"/>
      <c r="U302" s="11"/>
      <c r="V302" s="11"/>
      <c r="W302" s="11"/>
      <c r="X302" s="11"/>
      <c r="Y302" s="11"/>
      <c r="Z302" s="11"/>
      <c r="AA302" s="11"/>
      <c r="AB302" s="11"/>
      <c r="AC302" s="11"/>
      <c r="AD302" s="11"/>
      <c r="AE302" s="11"/>
      <c r="AF302" s="11"/>
      <c r="AG302" s="11"/>
      <c r="AH302" s="11"/>
      <c r="AI302" s="11"/>
      <c r="AJ302" s="11"/>
      <c r="AK302" s="11"/>
      <c r="AL302" s="11"/>
      <c r="AM302" s="11"/>
      <c r="AN302" s="72"/>
      <c r="AO302" s="72"/>
      <c r="AP302" s="72"/>
      <c r="AQ302" s="72"/>
      <c r="AR302" s="72"/>
      <c r="AS302" s="72"/>
      <c r="AT302" s="72"/>
      <c r="AU302" s="72"/>
      <c r="AV302" s="72"/>
      <c r="AW302" s="72">
        <v>1</v>
      </c>
      <c r="AX302" s="72">
        <v>1</v>
      </c>
      <c r="AY302" s="72">
        <v>1</v>
      </c>
      <c r="AZ302" s="72">
        <v>1</v>
      </c>
      <c r="BA302" s="72">
        <v>1</v>
      </c>
      <c r="BB302" s="72">
        <v>0</v>
      </c>
      <c r="BC302" s="72">
        <v>0</v>
      </c>
      <c r="BD302" s="72">
        <v>0</v>
      </c>
      <c r="BE302" s="72">
        <v>0</v>
      </c>
      <c r="BF302" s="72">
        <v>0</v>
      </c>
      <c r="BG302" s="72">
        <v>0</v>
      </c>
      <c r="BH302" s="72">
        <v>0</v>
      </c>
      <c r="BI302" s="72">
        <v>0</v>
      </c>
      <c r="BJ302" s="72">
        <v>0</v>
      </c>
      <c r="BK302" s="72">
        <v>0</v>
      </c>
      <c r="BL302" s="72">
        <v>0</v>
      </c>
      <c r="BM302" s="72">
        <v>0</v>
      </c>
      <c r="BN302" s="72">
        <v>0</v>
      </c>
      <c r="BO302" s="72">
        <v>0</v>
      </c>
      <c r="BP302" s="72">
        <v>0</v>
      </c>
      <c r="BQ302" s="72">
        <v>0</v>
      </c>
      <c r="BR302" s="72">
        <v>0</v>
      </c>
      <c r="BS302" s="72">
        <v>0</v>
      </c>
      <c r="BT302" s="72">
        <v>0</v>
      </c>
      <c r="BU302" s="72">
        <v>0</v>
      </c>
      <c r="BV302" s="72">
        <v>0</v>
      </c>
      <c r="BW302" s="72">
        <v>0</v>
      </c>
      <c r="BX302" s="72">
        <v>0</v>
      </c>
      <c r="BY302" s="72">
        <v>0</v>
      </c>
      <c r="BZ302" s="72">
        <v>0</v>
      </c>
      <c r="CA302" s="72">
        <v>0</v>
      </c>
      <c r="CB302" s="72">
        <v>0</v>
      </c>
      <c r="CC302" s="72">
        <v>0</v>
      </c>
      <c r="CD302" s="72">
        <v>0</v>
      </c>
      <c r="CE302" s="72">
        <v>0</v>
      </c>
      <c r="CF302" s="72">
        <v>0</v>
      </c>
      <c r="CG302" s="72">
        <v>0</v>
      </c>
      <c r="CH302" s="72">
        <v>0</v>
      </c>
      <c r="CI302" s="72">
        <v>0</v>
      </c>
      <c r="CJ302" s="72">
        <v>0</v>
      </c>
      <c r="CK302" s="72">
        <v>0</v>
      </c>
      <c r="CL302" s="72">
        <v>0</v>
      </c>
      <c r="CM302" s="72">
        <v>0</v>
      </c>
      <c r="CN302" s="72">
        <v>0</v>
      </c>
      <c r="CO302" s="72">
        <v>0</v>
      </c>
      <c r="CP302" s="72">
        <v>0</v>
      </c>
      <c r="CQ302" s="72">
        <v>0</v>
      </c>
      <c r="CR302" s="72">
        <v>0</v>
      </c>
      <c r="CS302" s="72">
        <v>0</v>
      </c>
      <c r="CT302" s="72">
        <v>0</v>
      </c>
      <c r="CU302" s="72">
        <v>0</v>
      </c>
      <c r="CV302" s="72">
        <v>0</v>
      </c>
      <c r="CW302" s="72">
        <v>0</v>
      </c>
      <c r="CX302" s="72">
        <v>0</v>
      </c>
      <c r="CY302" s="72">
        <v>0</v>
      </c>
      <c r="CZ302" s="72">
        <v>0</v>
      </c>
      <c r="DA302" s="72">
        <v>0</v>
      </c>
      <c r="DB302" s="72">
        <v>0</v>
      </c>
      <c r="DC302" s="72">
        <v>0</v>
      </c>
      <c r="DD302" s="72">
        <v>0</v>
      </c>
      <c r="DE302" s="72">
        <v>0</v>
      </c>
      <c r="DF302" s="72">
        <v>0</v>
      </c>
      <c r="DG302" s="72">
        <v>0</v>
      </c>
      <c r="DH302" s="72">
        <v>0</v>
      </c>
      <c r="DI302" s="72">
        <v>0</v>
      </c>
      <c r="DJ302" s="72">
        <v>0</v>
      </c>
      <c r="DK302" s="72">
        <v>0</v>
      </c>
      <c r="DL302" s="72">
        <v>0</v>
      </c>
      <c r="DM302" s="72">
        <v>0</v>
      </c>
    </row>
    <row r="303" spans="1:117" ht="26.55" x14ac:dyDescent="0.35">
      <c r="A303" s="7"/>
      <c r="B303" s="8" t="s">
        <v>536</v>
      </c>
      <c r="C303" s="78" t="s">
        <v>1345</v>
      </c>
      <c r="D303" s="10" t="s">
        <v>537</v>
      </c>
      <c r="E303" s="8" t="s">
        <v>1229</v>
      </c>
      <c r="F303" s="10"/>
      <c r="G303" s="10" t="s">
        <v>40</v>
      </c>
      <c r="H303" s="10" t="s">
        <v>41</v>
      </c>
      <c r="I303" s="11">
        <v>2</v>
      </c>
      <c r="J303" s="10"/>
      <c r="K303" s="10"/>
      <c r="L303" s="8"/>
      <c r="M303" s="12"/>
      <c r="N303" s="12">
        <f t="shared" si="6"/>
        <v>0</v>
      </c>
      <c r="O303" s="11"/>
      <c r="P303" s="11"/>
      <c r="Q303" s="11"/>
      <c r="R303" s="11"/>
      <c r="S303" s="11"/>
      <c r="T303" s="11"/>
      <c r="U303" s="11"/>
      <c r="V303" s="11"/>
      <c r="W303" s="11"/>
      <c r="X303" s="11"/>
      <c r="Y303" s="11"/>
      <c r="Z303" s="11"/>
      <c r="AA303" s="11"/>
      <c r="AB303" s="11"/>
      <c r="AC303" s="11"/>
      <c r="AD303" s="11"/>
      <c r="AE303" s="11"/>
      <c r="AF303" s="11"/>
      <c r="AG303" s="11"/>
      <c r="AH303" s="11"/>
      <c r="AI303" s="11">
        <v>2</v>
      </c>
      <c r="AJ303" s="11">
        <v>2</v>
      </c>
      <c r="AK303" s="11">
        <v>2</v>
      </c>
      <c r="AL303" s="11">
        <v>2</v>
      </c>
      <c r="AM303" s="11">
        <v>2</v>
      </c>
      <c r="AN303" s="72">
        <v>2</v>
      </c>
      <c r="AO303" s="72">
        <v>2</v>
      </c>
      <c r="AP303" s="72">
        <v>2</v>
      </c>
      <c r="AQ303" s="72">
        <v>2</v>
      </c>
      <c r="AR303" s="72">
        <v>2</v>
      </c>
      <c r="AS303" s="72">
        <v>2</v>
      </c>
      <c r="AT303" s="72">
        <v>2</v>
      </c>
      <c r="AU303" s="72">
        <v>2</v>
      </c>
      <c r="AV303" s="72">
        <v>2</v>
      </c>
      <c r="AW303" s="72">
        <v>2</v>
      </c>
      <c r="AX303" s="72">
        <v>2</v>
      </c>
      <c r="AY303" s="72">
        <v>2</v>
      </c>
      <c r="AZ303" s="72">
        <v>2</v>
      </c>
      <c r="BA303" s="72">
        <v>2</v>
      </c>
      <c r="BB303" s="72">
        <v>2</v>
      </c>
      <c r="BC303" s="72">
        <v>2</v>
      </c>
      <c r="BD303" s="72">
        <v>2</v>
      </c>
      <c r="BE303" s="72">
        <v>2</v>
      </c>
      <c r="BF303" s="72">
        <v>2</v>
      </c>
      <c r="BG303" s="72">
        <v>2</v>
      </c>
      <c r="BH303" s="72">
        <v>2</v>
      </c>
      <c r="BI303" s="72">
        <v>2</v>
      </c>
      <c r="BJ303" s="72">
        <v>2</v>
      </c>
      <c r="BK303" s="72">
        <v>0</v>
      </c>
      <c r="BL303" s="72">
        <v>0</v>
      </c>
      <c r="BM303" s="72">
        <v>0</v>
      </c>
      <c r="BN303" s="72">
        <v>0</v>
      </c>
      <c r="BO303" s="72">
        <v>0</v>
      </c>
      <c r="BP303" s="72">
        <v>0</v>
      </c>
      <c r="BQ303" s="72">
        <v>0</v>
      </c>
      <c r="BR303" s="72">
        <v>0</v>
      </c>
      <c r="BS303" s="72">
        <v>0</v>
      </c>
      <c r="BT303" s="72">
        <v>0</v>
      </c>
      <c r="BU303" s="72">
        <v>0</v>
      </c>
      <c r="BV303" s="72">
        <v>0</v>
      </c>
      <c r="BW303" s="72">
        <v>0</v>
      </c>
      <c r="BX303" s="72">
        <v>0</v>
      </c>
      <c r="BY303" s="72">
        <v>0</v>
      </c>
      <c r="BZ303" s="72">
        <v>0</v>
      </c>
      <c r="CA303" s="72">
        <v>0</v>
      </c>
      <c r="CB303" s="72">
        <v>0</v>
      </c>
      <c r="CC303" s="72">
        <v>0</v>
      </c>
      <c r="CD303" s="72">
        <v>0</v>
      </c>
      <c r="CE303" s="72">
        <v>0</v>
      </c>
      <c r="CF303" s="72">
        <v>0</v>
      </c>
      <c r="CG303" s="72">
        <v>0</v>
      </c>
      <c r="CH303" s="72">
        <v>0</v>
      </c>
      <c r="CI303" s="72">
        <v>0</v>
      </c>
      <c r="CJ303" s="72">
        <v>0</v>
      </c>
      <c r="CK303" s="72">
        <v>0</v>
      </c>
      <c r="CL303" s="72">
        <v>0</v>
      </c>
      <c r="CM303" s="72">
        <v>0</v>
      </c>
      <c r="CN303" s="72">
        <v>0</v>
      </c>
      <c r="CO303" s="72">
        <v>0</v>
      </c>
      <c r="CP303" s="72">
        <v>0</v>
      </c>
      <c r="CQ303" s="72">
        <v>0</v>
      </c>
      <c r="CR303" s="72">
        <v>0</v>
      </c>
      <c r="CS303" s="72">
        <v>0</v>
      </c>
      <c r="CT303" s="72">
        <v>0</v>
      </c>
      <c r="CU303" s="72">
        <v>0</v>
      </c>
      <c r="CV303" s="72">
        <v>0</v>
      </c>
      <c r="CW303" s="72">
        <v>0</v>
      </c>
      <c r="CX303" s="72">
        <v>0</v>
      </c>
      <c r="CY303" s="72">
        <v>0</v>
      </c>
      <c r="CZ303" s="72">
        <v>0</v>
      </c>
      <c r="DA303" s="72">
        <v>0</v>
      </c>
      <c r="DB303" s="72">
        <v>0</v>
      </c>
      <c r="DC303" s="72">
        <v>0</v>
      </c>
      <c r="DD303" s="72">
        <v>0</v>
      </c>
      <c r="DE303" s="72">
        <v>0</v>
      </c>
      <c r="DF303" s="72">
        <v>0</v>
      </c>
      <c r="DG303" s="72">
        <v>0</v>
      </c>
      <c r="DH303" s="72">
        <v>0</v>
      </c>
      <c r="DI303" s="72">
        <v>0</v>
      </c>
      <c r="DJ303" s="72">
        <v>0</v>
      </c>
      <c r="DK303" s="72">
        <v>0</v>
      </c>
      <c r="DL303" s="72">
        <v>0</v>
      </c>
      <c r="DM303" s="72">
        <v>0</v>
      </c>
    </row>
    <row r="304" spans="1:117" x14ac:dyDescent="0.35">
      <c r="A304" s="7"/>
      <c r="B304" s="77" t="s">
        <v>1246</v>
      </c>
      <c r="C304" s="9" t="s">
        <v>1250</v>
      </c>
      <c r="D304" s="10" t="s">
        <v>537</v>
      </c>
      <c r="E304" s="8" t="s">
        <v>1251</v>
      </c>
      <c r="F304" s="10"/>
      <c r="G304" s="10" t="s">
        <v>40</v>
      </c>
      <c r="H304" s="10" t="s">
        <v>41</v>
      </c>
      <c r="I304" s="11"/>
      <c r="J304" s="10"/>
      <c r="K304" s="10"/>
      <c r="L304" s="8"/>
      <c r="M304" s="12"/>
      <c r="N304" s="12">
        <f t="shared" si="6"/>
        <v>0</v>
      </c>
      <c r="O304" s="11"/>
      <c r="P304" s="11"/>
      <c r="Q304" s="11"/>
      <c r="R304" s="11"/>
      <c r="S304" s="11"/>
      <c r="T304" s="11"/>
      <c r="U304" s="11"/>
      <c r="V304" s="11"/>
      <c r="W304" s="11"/>
      <c r="X304" s="11"/>
      <c r="Y304" s="11"/>
      <c r="Z304" s="11"/>
      <c r="AA304" s="11"/>
      <c r="AB304" s="11"/>
      <c r="AC304" s="11"/>
      <c r="AD304" s="11"/>
      <c r="AE304" s="11"/>
      <c r="AF304" s="11"/>
      <c r="AG304" s="11"/>
      <c r="AH304" s="11"/>
      <c r="AI304" s="11"/>
      <c r="AJ304" s="11"/>
      <c r="AK304" s="11"/>
      <c r="AL304" s="11"/>
      <c r="AM304" s="11"/>
      <c r="AN304" s="72"/>
      <c r="AO304" s="72"/>
      <c r="AP304" s="72"/>
      <c r="AQ304" s="72"/>
      <c r="AR304" s="72"/>
      <c r="AS304" s="72"/>
      <c r="AT304" s="72"/>
      <c r="AU304" s="72">
        <v>4</v>
      </c>
      <c r="AV304" s="72">
        <v>4</v>
      </c>
      <c r="AW304" s="72">
        <v>3</v>
      </c>
      <c r="AX304" s="72">
        <v>0</v>
      </c>
      <c r="AY304" s="72">
        <v>0</v>
      </c>
      <c r="AZ304" s="72">
        <v>0</v>
      </c>
      <c r="BA304" s="72">
        <v>0</v>
      </c>
      <c r="BB304" s="72">
        <v>0</v>
      </c>
      <c r="BC304" s="72">
        <v>0</v>
      </c>
      <c r="BD304" s="72">
        <v>0</v>
      </c>
      <c r="BE304" s="72">
        <v>0</v>
      </c>
      <c r="BF304" s="72">
        <v>0</v>
      </c>
      <c r="BG304" s="72">
        <v>0</v>
      </c>
      <c r="BH304" s="72">
        <v>0</v>
      </c>
      <c r="BI304" s="72">
        <v>0</v>
      </c>
      <c r="BJ304" s="72">
        <v>0</v>
      </c>
      <c r="BK304" s="72">
        <v>0</v>
      </c>
      <c r="BL304" s="72">
        <v>0</v>
      </c>
      <c r="BM304" s="72">
        <v>0</v>
      </c>
      <c r="BN304" s="72">
        <v>0</v>
      </c>
      <c r="BO304" s="72">
        <v>0</v>
      </c>
      <c r="BP304" s="72">
        <v>0</v>
      </c>
      <c r="BQ304" s="72">
        <v>0</v>
      </c>
      <c r="BR304" s="72">
        <v>0</v>
      </c>
      <c r="BS304" s="72">
        <v>0</v>
      </c>
      <c r="BT304" s="72">
        <v>0</v>
      </c>
      <c r="BU304" s="72">
        <v>0</v>
      </c>
      <c r="BV304" s="72">
        <v>0</v>
      </c>
      <c r="BW304" s="72">
        <v>0</v>
      </c>
      <c r="BX304" s="72">
        <v>0</v>
      </c>
      <c r="BY304" s="72">
        <v>0</v>
      </c>
      <c r="BZ304" s="72">
        <v>0</v>
      </c>
      <c r="CA304" s="72">
        <v>0</v>
      </c>
      <c r="CB304" s="72">
        <v>0</v>
      </c>
      <c r="CC304" s="72">
        <v>0</v>
      </c>
      <c r="CD304" s="72">
        <v>0</v>
      </c>
      <c r="CE304" s="72">
        <v>0</v>
      </c>
      <c r="CF304" s="72">
        <v>0</v>
      </c>
      <c r="CG304" s="72">
        <v>0</v>
      </c>
      <c r="CH304" s="72">
        <v>0</v>
      </c>
      <c r="CI304" s="72">
        <v>0</v>
      </c>
      <c r="CJ304" s="72">
        <v>0</v>
      </c>
      <c r="CK304" s="72">
        <v>0</v>
      </c>
      <c r="CL304" s="72">
        <v>0</v>
      </c>
      <c r="CM304" s="72">
        <v>0</v>
      </c>
      <c r="CN304" s="72">
        <v>0</v>
      </c>
      <c r="CO304" s="72">
        <v>0</v>
      </c>
      <c r="CP304" s="72">
        <v>0</v>
      </c>
      <c r="CQ304" s="72">
        <v>0</v>
      </c>
      <c r="CR304" s="72">
        <v>0</v>
      </c>
      <c r="CS304" s="72">
        <v>0</v>
      </c>
      <c r="CT304" s="72">
        <v>0</v>
      </c>
      <c r="CU304" s="72">
        <v>0</v>
      </c>
      <c r="CV304" s="72">
        <v>0</v>
      </c>
      <c r="CW304" s="72">
        <v>0</v>
      </c>
      <c r="CX304" s="72">
        <v>0</v>
      </c>
      <c r="CY304" s="72">
        <v>0</v>
      </c>
      <c r="CZ304" s="72">
        <v>0</v>
      </c>
      <c r="DA304" s="72">
        <v>0</v>
      </c>
      <c r="DB304" s="72">
        <v>0</v>
      </c>
      <c r="DC304" s="72">
        <v>0</v>
      </c>
      <c r="DD304" s="72">
        <v>0</v>
      </c>
      <c r="DE304" s="72">
        <v>0</v>
      </c>
      <c r="DF304" s="72">
        <v>0</v>
      </c>
      <c r="DG304" s="72">
        <v>0</v>
      </c>
      <c r="DH304" s="72">
        <v>0</v>
      </c>
      <c r="DI304" s="72">
        <v>0</v>
      </c>
      <c r="DJ304" s="72">
        <v>0</v>
      </c>
      <c r="DK304" s="72">
        <v>0</v>
      </c>
      <c r="DL304" s="72">
        <v>0</v>
      </c>
      <c r="DM304" s="72">
        <v>0</v>
      </c>
    </row>
    <row r="305" spans="1:117" x14ac:dyDescent="0.35">
      <c r="A305" s="7"/>
      <c r="B305" s="77" t="s">
        <v>1504</v>
      </c>
      <c r="C305" s="78" t="s">
        <v>542</v>
      </c>
      <c r="D305" s="97" t="s">
        <v>540</v>
      </c>
      <c r="E305" s="92" t="s">
        <v>1224</v>
      </c>
      <c r="F305" s="97">
        <v>1005</v>
      </c>
      <c r="G305" s="97" t="s">
        <v>40</v>
      </c>
      <c r="H305" s="97" t="s">
        <v>41</v>
      </c>
      <c r="I305" s="11">
        <v>0</v>
      </c>
      <c r="J305" s="10"/>
      <c r="K305" s="10" t="s">
        <v>520</v>
      </c>
      <c r="L305" s="8"/>
      <c r="M305" s="12">
        <v>1600</v>
      </c>
      <c r="N305" s="12">
        <f t="shared" si="6"/>
        <v>4800</v>
      </c>
      <c r="O305" s="11">
        <v>0</v>
      </c>
      <c r="P305" s="11">
        <v>0</v>
      </c>
      <c r="Q305" s="11">
        <v>0</v>
      </c>
      <c r="R305" s="11">
        <v>0</v>
      </c>
      <c r="S305" s="11">
        <v>0</v>
      </c>
      <c r="T305" s="11">
        <v>0</v>
      </c>
      <c r="U305" s="11">
        <v>0</v>
      </c>
      <c r="V305" s="11">
        <v>0</v>
      </c>
      <c r="W305" s="11">
        <v>0</v>
      </c>
      <c r="X305" s="11">
        <v>0</v>
      </c>
      <c r="Y305" s="11">
        <v>0</v>
      </c>
      <c r="Z305" s="11">
        <v>0</v>
      </c>
      <c r="AA305" s="11">
        <v>0</v>
      </c>
      <c r="AB305" s="11">
        <v>0</v>
      </c>
      <c r="AC305" s="11">
        <v>0</v>
      </c>
      <c r="AD305" s="11">
        <v>0</v>
      </c>
      <c r="AE305" s="11">
        <v>0</v>
      </c>
      <c r="AF305" s="11">
        <v>0</v>
      </c>
      <c r="AG305" s="11">
        <v>0</v>
      </c>
      <c r="AH305" s="11">
        <v>0</v>
      </c>
      <c r="AI305" s="11">
        <v>0</v>
      </c>
      <c r="AJ305" s="11">
        <v>0</v>
      </c>
      <c r="AK305" s="11">
        <v>0</v>
      </c>
      <c r="AL305" s="11">
        <v>0</v>
      </c>
      <c r="AM305" s="11">
        <v>0</v>
      </c>
      <c r="AN305" s="72">
        <v>0</v>
      </c>
      <c r="AO305" s="72">
        <v>0</v>
      </c>
      <c r="AP305" s="72">
        <v>0</v>
      </c>
      <c r="AQ305" s="72">
        <v>0</v>
      </c>
      <c r="AR305" s="72">
        <v>0</v>
      </c>
      <c r="AS305" s="72">
        <v>0</v>
      </c>
      <c r="AT305" s="72">
        <v>0</v>
      </c>
      <c r="AU305" s="72">
        <v>0</v>
      </c>
      <c r="AV305" s="72">
        <v>0</v>
      </c>
      <c r="AW305" s="72">
        <v>0</v>
      </c>
      <c r="AX305" s="72">
        <v>0</v>
      </c>
      <c r="AY305" s="72">
        <v>0</v>
      </c>
      <c r="AZ305" s="72">
        <v>0</v>
      </c>
      <c r="BA305" s="72">
        <v>0</v>
      </c>
      <c r="BB305" s="72">
        <v>0</v>
      </c>
      <c r="BC305" s="72">
        <v>0</v>
      </c>
      <c r="BD305" s="72">
        <v>0</v>
      </c>
      <c r="BE305" s="72">
        <v>0</v>
      </c>
      <c r="BF305" s="72">
        <v>0</v>
      </c>
      <c r="BG305" s="72">
        <v>0</v>
      </c>
      <c r="BH305" s="72">
        <v>0</v>
      </c>
      <c r="BI305" s="72">
        <v>0</v>
      </c>
      <c r="BJ305" s="72">
        <v>0</v>
      </c>
      <c r="BK305" s="72">
        <v>0</v>
      </c>
      <c r="BL305" s="72">
        <v>0</v>
      </c>
      <c r="BM305" s="72">
        <v>0</v>
      </c>
      <c r="BN305" s="72">
        <v>0</v>
      </c>
      <c r="BO305" s="72">
        <v>0</v>
      </c>
      <c r="BP305" s="72">
        <v>0</v>
      </c>
      <c r="BQ305" s="72">
        <v>0</v>
      </c>
      <c r="BR305" s="72">
        <v>0</v>
      </c>
      <c r="BS305" s="72">
        <v>0</v>
      </c>
      <c r="BT305" s="72">
        <v>0</v>
      </c>
      <c r="BU305" s="72">
        <v>0</v>
      </c>
      <c r="BV305" s="72">
        <v>0</v>
      </c>
      <c r="BW305" s="72">
        <v>0</v>
      </c>
      <c r="BX305" s="72">
        <v>0</v>
      </c>
      <c r="BY305" s="72">
        <v>0</v>
      </c>
      <c r="BZ305" s="72">
        <v>0</v>
      </c>
      <c r="CA305" s="72">
        <v>0</v>
      </c>
      <c r="CB305" s="72">
        <v>0</v>
      </c>
      <c r="CC305" s="72">
        <v>0</v>
      </c>
      <c r="CD305" s="72">
        <v>0</v>
      </c>
      <c r="CE305" s="72">
        <v>0</v>
      </c>
      <c r="CF305" s="72">
        <v>0</v>
      </c>
      <c r="CG305" s="72">
        <v>0</v>
      </c>
      <c r="CH305" s="72">
        <v>0</v>
      </c>
      <c r="CI305" s="72">
        <v>0</v>
      </c>
      <c r="CJ305" s="72">
        <v>0</v>
      </c>
      <c r="CK305" s="72">
        <v>0</v>
      </c>
      <c r="CL305" s="72">
        <v>0</v>
      </c>
      <c r="CM305" s="72">
        <v>0</v>
      </c>
      <c r="CN305" s="72">
        <v>0</v>
      </c>
      <c r="CO305" s="72">
        <v>0</v>
      </c>
      <c r="CP305" s="72">
        <v>0</v>
      </c>
      <c r="CQ305" s="72">
        <v>0</v>
      </c>
      <c r="CR305" s="72">
        <v>0</v>
      </c>
      <c r="CS305" s="72">
        <v>0</v>
      </c>
      <c r="CT305" s="72">
        <v>0</v>
      </c>
      <c r="CU305" s="72">
        <v>4</v>
      </c>
      <c r="CV305" s="72">
        <v>4</v>
      </c>
      <c r="CW305" s="72">
        <v>4</v>
      </c>
      <c r="CX305" s="72">
        <v>4</v>
      </c>
      <c r="CY305" s="72">
        <v>4</v>
      </c>
      <c r="CZ305" s="72">
        <v>4</v>
      </c>
      <c r="DA305" s="72">
        <v>3</v>
      </c>
      <c r="DB305" s="72">
        <v>3</v>
      </c>
      <c r="DC305" s="72">
        <v>3</v>
      </c>
      <c r="DD305" s="72">
        <v>3</v>
      </c>
      <c r="DE305" s="72">
        <v>3</v>
      </c>
      <c r="DF305" s="72">
        <v>3</v>
      </c>
      <c r="DG305" s="72">
        <v>3</v>
      </c>
      <c r="DH305" s="72">
        <v>3</v>
      </c>
      <c r="DI305" s="72">
        <v>3</v>
      </c>
      <c r="DJ305" s="72">
        <v>3</v>
      </c>
      <c r="DK305" s="72">
        <v>3</v>
      </c>
      <c r="DL305" s="72">
        <v>3</v>
      </c>
      <c r="DM305" s="72">
        <v>3</v>
      </c>
    </row>
    <row r="306" spans="1:117" x14ac:dyDescent="0.35">
      <c r="A306" s="7"/>
      <c r="B306" s="77" t="s">
        <v>1505</v>
      </c>
      <c r="C306" s="78" t="s">
        <v>539</v>
      </c>
      <c r="D306" s="97" t="s">
        <v>540</v>
      </c>
      <c r="E306" s="92" t="s">
        <v>1224</v>
      </c>
      <c r="F306" s="97">
        <v>1005</v>
      </c>
      <c r="G306" s="97" t="s">
        <v>40</v>
      </c>
      <c r="H306" s="97" t="s">
        <v>41</v>
      </c>
      <c r="I306" s="11">
        <v>0</v>
      </c>
      <c r="J306" s="10"/>
      <c r="K306" s="10" t="s">
        <v>520</v>
      </c>
      <c r="L306" s="8"/>
      <c r="M306" s="12">
        <v>1380</v>
      </c>
      <c r="N306" s="12">
        <f t="shared" si="6"/>
        <v>4140</v>
      </c>
      <c r="O306" s="11">
        <v>0</v>
      </c>
      <c r="P306" s="11">
        <v>0</v>
      </c>
      <c r="Q306" s="11">
        <v>0</v>
      </c>
      <c r="R306" s="11">
        <v>0</v>
      </c>
      <c r="S306" s="11">
        <v>0</v>
      </c>
      <c r="T306" s="11">
        <v>0</v>
      </c>
      <c r="U306" s="11">
        <v>0</v>
      </c>
      <c r="V306" s="11">
        <v>0</v>
      </c>
      <c r="W306" s="11">
        <v>0</v>
      </c>
      <c r="X306" s="11">
        <v>0</v>
      </c>
      <c r="Y306" s="11">
        <v>0</v>
      </c>
      <c r="Z306" s="11">
        <v>0</v>
      </c>
      <c r="AA306" s="11">
        <v>0</v>
      </c>
      <c r="AB306" s="11">
        <v>0</v>
      </c>
      <c r="AC306" s="11">
        <v>0</v>
      </c>
      <c r="AD306" s="11">
        <v>0</v>
      </c>
      <c r="AE306" s="11">
        <v>0</v>
      </c>
      <c r="AF306" s="11">
        <v>0</v>
      </c>
      <c r="AG306" s="11">
        <v>0</v>
      </c>
      <c r="AH306" s="11">
        <v>0</v>
      </c>
      <c r="AI306" s="11">
        <v>0</v>
      </c>
      <c r="AJ306" s="11">
        <v>0</v>
      </c>
      <c r="AK306" s="11">
        <v>0</v>
      </c>
      <c r="AL306" s="11">
        <v>0</v>
      </c>
      <c r="AM306" s="11">
        <v>0</v>
      </c>
      <c r="AN306" s="72">
        <v>0</v>
      </c>
      <c r="AO306" s="72">
        <v>0</v>
      </c>
      <c r="AP306" s="72">
        <v>0</v>
      </c>
      <c r="AQ306" s="72">
        <v>0</v>
      </c>
      <c r="AR306" s="72">
        <v>0</v>
      </c>
      <c r="AS306" s="72">
        <v>0</v>
      </c>
      <c r="AT306" s="72">
        <v>0</v>
      </c>
      <c r="AU306" s="72">
        <v>0</v>
      </c>
      <c r="AV306" s="72">
        <v>0</v>
      </c>
      <c r="AW306" s="72">
        <v>0</v>
      </c>
      <c r="AX306" s="72">
        <v>0</v>
      </c>
      <c r="AY306" s="72">
        <v>0</v>
      </c>
      <c r="AZ306" s="72">
        <v>0</v>
      </c>
      <c r="BA306" s="72">
        <v>0</v>
      </c>
      <c r="BB306" s="72">
        <v>0</v>
      </c>
      <c r="BC306" s="72">
        <v>0</v>
      </c>
      <c r="BD306" s="72">
        <v>0</v>
      </c>
      <c r="BE306" s="72">
        <v>0</v>
      </c>
      <c r="BF306" s="72">
        <v>0</v>
      </c>
      <c r="BG306" s="72">
        <v>0</v>
      </c>
      <c r="BH306" s="72">
        <v>0</v>
      </c>
      <c r="BI306" s="72">
        <v>0</v>
      </c>
      <c r="BJ306" s="72">
        <v>0</v>
      </c>
      <c r="BK306" s="72">
        <v>0</v>
      </c>
      <c r="BL306" s="72">
        <v>0</v>
      </c>
      <c r="BM306" s="72">
        <v>0</v>
      </c>
      <c r="BN306" s="72">
        <v>0</v>
      </c>
      <c r="BO306" s="72">
        <v>0</v>
      </c>
      <c r="BP306" s="72">
        <v>0</v>
      </c>
      <c r="BQ306" s="72">
        <v>0</v>
      </c>
      <c r="BR306" s="72">
        <v>0</v>
      </c>
      <c r="BS306" s="72">
        <v>0</v>
      </c>
      <c r="BT306" s="72">
        <v>0</v>
      </c>
      <c r="BU306" s="72">
        <v>0</v>
      </c>
      <c r="BV306" s="72">
        <v>0</v>
      </c>
      <c r="BW306" s="72">
        <v>0</v>
      </c>
      <c r="BX306" s="72">
        <v>0</v>
      </c>
      <c r="BY306" s="72">
        <v>0</v>
      </c>
      <c r="BZ306" s="72">
        <v>0</v>
      </c>
      <c r="CA306" s="72">
        <v>0</v>
      </c>
      <c r="CB306" s="72">
        <v>0</v>
      </c>
      <c r="CC306" s="72">
        <v>0</v>
      </c>
      <c r="CD306" s="72">
        <v>0</v>
      </c>
      <c r="CE306" s="72">
        <v>0</v>
      </c>
      <c r="CF306" s="72">
        <v>0</v>
      </c>
      <c r="CG306" s="72">
        <v>0</v>
      </c>
      <c r="CH306" s="72">
        <v>0</v>
      </c>
      <c r="CI306" s="72">
        <v>0</v>
      </c>
      <c r="CJ306" s="72">
        <v>0</v>
      </c>
      <c r="CK306" s="72">
        <v>0</v>
      </c>
      <c r="CL306" s="72">
        <v>0</v>
      </c>
      <c r="CM306" s="72">
        <v>0</v>
      </c>
      <c r="CN306" s="72">
        <v>0</v>
      </c>
      <c r="CO306" s="72">
        <v>0</v>
      </c>
      <c r="CP306" s="72">
        <v>0</v>
      </c>
      <c r="CQ306" s="72">
        <v>0</v>
      </c>
      <c r="CR306" s="72">
        <v>0</v>
      </c>
      <c r="CS306" s="72">
        <v>0</v>
      </c>
      <c r="CT306" s="72">
        <v>0</v>
      </c>
      <c r="CU306" s="72">
        <v>4</v>
      </c>
      <c r="CV306" s="72">
        <v>4</v>
      </c>
      <c r="CW306" s="72">
        <v>4</v>
      </c>
      <c r="CX306" s="72">
        <v>4</v>
      </c>
      <c r="CY306" s="72">
        <v>4</v>
      </c>
      <c r="CZ306" s="72">
        <v>4</v>
      </c>
      <c r="DA306" s="72">
        <v>3</v>
      </c>
      <c r="DB306" s="72">
        <v>3</v>
      </c>
      <c r="DC306" s="72">
        <v>3</v>
      </c>
      <c r="DD306" s="72">
        <v>3</v>
      </c>
      <c r="DE306" s="72">
        <v>3</v>
      </c>
      <c r="DF306" s="72">
        <v>3</v>
      </c>
      <c r="DG306" s="72">
        <v>3</v>
      </c>
      <c r="DH306" s="72">
        <v>3</v>
      </c>
      <c r="DI306" s="72">
        <v>3</v>
      </c>
      <c r="DJ306" s="72">
        <v>3</v>
      </c>
      <c r="DK306" s="72">
        <v>3</v>
      </c>
      <c r="DL306" s="72">
        <v>3</v>
      </c>
      <c r="DM306" s="72">
        <v>3</v>
      </c>
    </row>
    <row r="307" spans="1:117" x14ac:dyDescent="0.35">
      <c r="A307" s="7"/>
      <c r="B307" s="77" t="s">
        <v>1506</v>
      </c>
      <c r="C307" s="78" t="s">
        <v>547</v>
      </c>
      <c r="D307" s="97" t="s">
        <v>540</v>
      </c>
      <c r="E307" s="92" t="s">
        <v>1224</v>
      </c>
      <c r="F307" s="97">
        <v>1005</v>
      </c>
      <c r="G307" s="97" t="s">
        <v>40</v>
      </c>
      <c r="H307" s="97" t="s">
        <v>41</v>
      </c>
      <c r="I307" s="11">
        <v>0</v>
      </c>
      <c r="J307" s="10"/>
      <c r="K307" s="10" t="s">
        <v>520</v>
      </c>
      <c r="L307" s="8"/>
      <c r="M307" s="12">
        <v>520</v>
      </c>
      <c r="N307" s="12">
        <f t="shared" si="6"/>
        <v>520</v>
      </c>
      <c r="O307" s="11">
        <v>0</v>
      </c>
      <c r="P307" s="11">
        <v>0</v>
      </c>
      <c r="Q307" s="11">
        <v>0</v>
      </c>
      <c r="R307" s="11">
        <v>0</v>
      </c>
      <c r="S307" s="11">
        <v>0</v>
      </c>
      <c r="T307" s="11">
        <v>0</v>
      </c>
      <c r="U307" s="11">
        <v>0</v>
      </c>
      <c r="V307" s="11">
        <v>0</v>
      </c>
      <c r="W307" s="11">
        <v>0</v>
      </c>
      <c r="X307" s="11">
        <v>0</v>
      </c>
      <c r="Y307" s="11">
        <v>0</v>
      </c>
      <c r="Z307" s="11">
        <v>0</v>
      </c>
      <c r="AA307" s="11">
        <v>0</v>
      </c>
      <c r="AB307" s="11">
        <v>0</v>
      </c>
      <c r="AC307" s="11">
        <v>0</v>
      </c>
      <c r="AD307" s="11">
        <v>0</v>
      </c>
      <c r="AE307" s="11">
        <v>0</v>
      </c>
      <c r="AF307" s="11">
        <v>0</v>
      </c>
      <c r="AG307" s="11">
        <v>0</v>
      </c>
      <c r="AH307" s="11">
        <v>0</v>
      </c>
      <c r="AI307" s="11">
        <v>0</v>
      </c>
      <c r="AJ307" s="11">
        <v>0</v>
      </c>
      <c r="AK307" s="11">
        <v>0</v>
      </c>
      <c r="AL307" s="11">
        <v>0</v>
      </c>
      <c r="AM307" s="11">
        <v>0</v>
      </c>
      <c r="AN307" s="72">
        <v>0</v>
      </c>
      <c r="AO307" s="72">
        <v>0</v>
      </c>
      <c r="AP307" s="72">
        <v>0</v>
      </c>
      <c r="AQ307" s="72">
        <v>0</v>
      </c>
      <c r="AR307" s="72">
        <v>0</v>
      </c>
      <c r="AS307" s="72">
        <v>0</v>
      </c>
      <c r="AT307" s="72">
        <v>0</v>
      </c>
      <c r="AU307" s="72">
        <v>0</v>
      </c>
      <c r="AV307" s="72">
        <v>0</v>
      </c>
      <c r="AW307" s="72">
        <v>0</v>
      </c>
      <c r="AX307" s="72">
        <v>0</v>
      </c>
      <c r="AY307" s="72">
        <v>0</v>
      </c>
      <c r="AZ307" s="72">
        <v>0</v>
      </c>
      <c r="BA307" s="72">
        <v>0</v>
      </c>
      <c r="BB307" s="72">
        <v>0</v>
      </c>
      <c r="BC307" s="72">
        <v>0</v>
      </c>
      <c r="BD307" s="72">
        <v>0</v>
      </c>
      <c r="BE307" s="72">
        <v>0</v>
      </c>
      <c r="BF307" s="72">
        <v>0</v>
      </c>
      <c r="BG307" s="72">
        <v>0</v>
      </c>
      <c r="BH307" s="72">
        <v>0</v>
      </c>
      <c r="BI307" s="72">
        <v>0</v>
      </c>
      <c r="BJ307" s="72">
        <v>0</v>
      </c>
      <c r="BK307" s="72">
        <v>0</v>
      </c>
      <c r="BL307" s="72">
        <v>0</v>
      </c>
      <c r="BM307" s="72">
        <v>0</v>
      </c>
      <c r="BN307" s="72">
        <v>0</v>
      </c>
      <c r="BO307" s="72">
        <v>0</v>
      </c>
      <c r="BP307" s="72">
        <v>0</v>
      </c>
      <c r="BQ307" s="72">
        <v>0</v>
      </c>
      <c r="BR307" s="72">
        <v>0</v>
      </c>
      <c r="BS307" s="72">
        <v>0</v>
      </c>
      <c r="BT307" s="72">
        <v>0</v>
      </c>
      <c r="BU307" s="72">
        <v>0</v>
      </c>
      <c r="BV307" s="72">
        <v>0</v>
      </c>
      <c r="BW307" s="72">
        <v>0</v>
      </c>
      <c r="BX307" s="72">
        <v>0</v>
      </c>
      <c r="BY307" s="72">
        <v>0</v>
      </c>
      <c r="BZ307" s="72">
        <v>0</v>
      </c>
      <c r="CA307" s="72">
        <v>0</v>
      </c>
      <c r="CB307" s="72">
        <v>0</v>
      </c>
      <c r="CC307" s="72">
        <v>0</v>
      </c>
      <c r="CD307" s="72">
        <v>0</v>
      </c>
      <c r="CE307" s="72">
        <v>0</v>
      </c>
      <c r="CF307" s="72">
        <v>0</v>
      </c>
      <c r="CG307" s="72">
        <v>0</v>
      </c>
      <c r="CH307" s="72">
        <v>0</v>
      </c>
      <c r="CI307" s="72">
        <v>0</v>
      </c>
      <c r="CJ307" s="72">
        <v>0</v>
      </c>
      <c r="CK307" s="72">
        <v>0</v>
      </c>
      <c r="CL307" s="72">
        <v>0</v>
      </c>
      <c r="CM307" s="72">
        <v>0</v>
      </c>
      <c r="CN307" s="72">
        <v>0</v>
      </c>
      <c r="CO307" s="72">
        <v>0</v>
      </c>
      <c r="CP307" s="72">
        <v>0</v>
      </c>
      <c r="CQ307" s="72">
        <v>0</v>
      </c>
      <c r="CR307" s="72">
        <v>0</v>
      </c>
      <c r="CS307" s="72">
        <v>0</v>
      </c>
      <c r="CT307" s="72">
        <v>0</v>
      </c>
      <c r="CU307" s="72">
        <v>1</v>
      </c>
      <c r="CV307" s="72">
        <v>1</v>
      </c>
      <c r="CW307" s="72">
        <v>1</v>
      </c>
      <c r="CX307" s="72">
        <v>1</v>
      </c>
      <c r="CY307" s="72">
        <v>1</v>
      </c>
      <c r="CZ307" s="72">
        <v>1</v>
      </c>
      <c r="DA307" s="72">
        <v>1</v>
      </c>
      <c r="DB307" s="72">
        <v>1</v>
      </c>
      <c r="DC307" s="72">
        <v>1</v>
      </c>
      <c r="DD307" s="72">
        <v>1</v>
      </c>
      <c r="DE307" s="72">
        <v>1</v>
      </c>
      <c r="DF307" s="72">
        <v>1</v>
      </c>
      <c r="DG307" s="72">
        <v>1</v>
      </c>
      <c r="DH307" s="72">
        <v>1</v>
      </c>
      <c r="DI307" s="72">
        <v>1</v>
      </c>
      <c r="DJ307" s="72">
        <v>1</v>
      </c>
      <c r="DK307" s="72">
        <v>1</v>
      </c>
      <c r="DL307" s="72">
        <v>1</v>
      </c>
      <c r="DM307" s="72">
        <v>1</v>
      </c>
    </row>
    <row r="308" spans="1:117" x14ac:dyDescent="0.35">
      <c r="A308" s="7"/>
      <c r="B308" s="77" t="s">
        <v>1363</v>
      </c>
      <c r="C308" s="8" t="s">
        <v>548</v>
      </c>
      <c r="D308" s="10" t="s">
        <v>549</v>
      </c>
      <c r="E308" s="8" t="s">
        <v>1215</v>
      </c>
      <c r="F308" s="10"/>
      <c r="G308" s="10" t="s">
        <v>40</v>
      </c>
      <c r="H308" s="10" t="s">
        <v>41</v>
      </c>
      <c r="I308" s="11">
        <v>6</v>
      </c>
      <c r="J308" s="10">
        <v>1</v>
      </c>
      <c r="K308" s="10" t="s">
        <v>550</v>
      </c>
      <c r="L308" s="8" t="s">
        <v>551</v>
      </c>
      <c r="M308" s="12">
        <v>3800</v>
      </c>
      <c r="N308" s="12">
        <f t="shared" si="6"/>
        <v>0</v>
      </c>
      <c r="O308" s="11"/>
      <c r="P308" s="11"/>
      <c r="Q308" s="11"/>
      <c r="R308" s="11"/>
      <c r="S308" s="11"/>
      <c r="T308" s="11"/>
      <c r="U308" s="11"/>
      <c r="V308" s="11"/>
      <c r="W308" s="11"/>
      <c r="X308" s="11"/>
      <c r="Y308" s="11"/>
      <c r="Z308" s="11"/>
      <c r="AA308" s="11"/>
      <c r="AB308" s="11"/>
      <c r="AC308" s="11"/>
      <c r="AD308" s="11"/>
      <c r="AE308" s="11"/>
      <c r="AF308" s="11"/>
      <c r="AG308" s="11"/>
      <c r="AH308" s="11"/>
      <c r="AI308" s="11">
        <v>6</v>
      </c>
      <c r="AJ308" s="11">
        <v>6</v>
      </c>
      <c r="AK308" s="11">
        <v>6</v>
      </c>
      <c r="AL308" s="11">
        <v>6</v>
      </c>
      <c r="AM308" s="11">
        <v>6</v>
      </c>
      <c r="AN308" s="72">
        <v>5</v>
      </c>
      <c r="AO308" s="72">
        <v>5</v>
      </c>
      <c r="AP308" s="72">
        <v>5</v>
      </c>
      <c r="AQ308" s="72">
        <v>5</v>
      </c>
      <c r="AR308" s="72">
        <v>5</v>
      </c>
      <c r="AS308" s="72">
        <v>5</v>
      </c>
      <c r="AT308" s="72">
        <v>5</v>
      </c>
      <c r="AU308" s="72">
        <v>5</v>
      </c>
      <c r="AV308" s="72">
        <v>5</v>
      </c>
      <c r="AW308" s="72">
        <v>5</v>
      </c>
      <c r="AX308" s="72">
        <v>5</v>
      </c>
      <c r="AY308" s="72">
        <v>5</v>
      </c>
      <c r="AZ308" s="72">
        <v>5</v>
      </c>
      <c r="BA308" s="72">
        <v>5</v>
      </c>
      <c r="BB308" s="72">
        <v>5</v>
      </c>
      <c r="BC308" s="72">
        <v>5</v>
      </c>
      <c r="BD308" s="72">
        <v>4</v>
      </c>
      <c r="BE308" s="72">
        <v>5</v>
      </c>
      <c r="BF308" s="72">
        <v>5</v>
      </c>
      <c r="BG308" s="72">
        <v>5</v>
      </c>
      <c r="BH308" s="72">
        <v>5</v>
      </c>
      <c r="BI308" s="72">
        <v>5</v>
      </c>
      <c r="BJ308" s="72">
        <v>5</v>
      </c>
      <c r="BK308" s="72">
        <v>5</v>
      </c>
      <c r="BL308" s="72">
        <v>5</v>
      </c>
      <c r="BM308" s="72">
        <v>5</v>
      </c>
      <c r="BN308" s="72">
        <v>5</v>
      </c>
      <c r="BO308" s="72">
        <v>5</v>
      </c>
      <c r="BP308" s="72">
        <v>5</v>
      </c>
      <c r="BQ308" s="72">
        <v>5</v>
      </c>
      <c r="BR308" s="72">
        <v>5</v>
      </c>
      <c r="BS308" s="72">
        <v>3</v>
      </c>
      <c r="BT308" s="72">
        <v>3</v>
      </c>
      <c r="BU308" s="72">
        <v>3</v>
      </c>
      <c r="BV308" s="72">
        <v>3</v>
      </c>
      <c r="BW308" s="72">
        <v>3</v>
      </c>
      <c r="BX308" s="72">
        <v>3</v>
      </c>
      <c r="BY308" s="72">
        <v>3</v>
      </c>
      <c r="BZ308" s="72">
        <v>1</v>
      </c>
      <c r="CA308" s="72">
        <v>1</v>
      </c>
      <c r="CB308" s="72">
        <v>1</v>
      </c>
      <c r="CC308" s="72">
        <v>1</v>
      </c>
      <c r="CD308" s="72">
        <v>0</v>
      </c>
      <c r="CE308" s="72">
        <v>0</v>
      </c>
      <c r="CF308" s="72">
        <v>0</v>
      </c>
      <c r="CG308" s="72">
        <v>0</v>
      </c>
      <c r="CH308" s="72">
        <v>0</v>
      </c>
      <c r="CI308" s="72">
        <v>0</v>
      </c>
      <c r="CJ308" s="72">
        <v>0</v>
      </c>
      <c r="CK308" s="72">
        <v>0</v>
      </c>
      <c r="CL308" s="72">
        <v>0</v>
      </c>
      <c r="CM308" s="72">
        <v>0</v>
      </c>
      <c r="CN308" s="72">
        <v>0</v>
      </c>
      <c r="CO308" s="72">
        <v>0</v>
      </c>
      <c r="CP308" s="72">
        <v>0</v>
      </c>
      <c r="CQ308" s="72">
        <v>0</v>
      </c>
      <c r="CR308" s="72">
        <v>0</v>
      </c>
      <c r="CS308" s="72">
        <v>0</v>
      </c>
      <c r="CT308" s="72">
        <v>0</v>
      </c>
      <c r="CU308" s="72">
        <v>0</v>
      </c>
      <c r="CV308" s="72">
        <v>0</v>
      </c>
      <c r="CW308" s="72">
        <v>0</v>
      </c>
      <c r="CX308" s="72">
        <v>0</v>
      </c>
      <c r="CY308" s="72">
        <v>0</v>
      </c>
      <c r="CZ308" s="72">
        <v>0</v>
      </c>
      <c r="DA308" s="72">
        <v>0</v>
      </c>
      <c r="DB308" s="72">
        <v>0</v>
      </c>
      <c r="DC308" s="72">
        <v>0</v>
      </c>
      <c r="DD308" s="72">
        <v>0</v>
      </c>
      <c r="DE308" s="72">
        <v>0</v>
      </c>
      <c r="DF308" s="72">
        <v>0</v>
      </c>
      <c r="DG308" s="72">
        <v>0</v>
      </c>
      <c r="DH308" s="72">
        <v>0</v>
      </c>
      <c r="DI308" s="72">
        <v>0</v>
      </c>
      <c r="DJ308" s="72">
        <v>0</v>
      </c>
      <c r="DK308" s="72">
        <v>0</v>
      </c>
      <c r="DL308" s="72">
        <v>0</v>
      </c>
      <c r="DM308" s="72">
        <v>0</v>
      </c>
    </row>
    <row r="309" spans="1:117" x14ac:dyDescent="0.35">
      <c r="A309" s="7"/>
      <c r="B309" s="77" t="s">
        <v>1255</v>
      </c>
      <c r="C309" s="9" t="s">
        <v>552</v>
      </c>
      <c r="D309" s="10" t="s">
        <v>549</v>
      </c>
      <c r="E309" s="8" t="s">
        <v>1215</v>
      </c>
      <c r="F309" s="10"/>
      <c r="G309" s="10" t="s">
        <v>40</v>
      </c>
      <c r="H309" s="10" t="s">
        <v>41</v>
      </c>
      <c r="I309" s="11"/>
      <c r="J309" s="10"/>
      <c r="K309" s="10"/>
      <c r="L309" s="8"/>
      <c r="M309" s="12"/>
      <c r="N309" s="12">
        <f t="shared" si="6"/>
        <v>0</v>
      </c>
      <c r="O309" s="11"/>
      <c r="P309" s="11"/>
      <c r="Q309" s="11"/>
      <c r="R309" s="11"/>
      <c r="S309" s="11"/>
      <c r="T309" s="11"/>
      <c r="U309" s="11"/>
      <c r="V309" s="11"/>
      <c r="W309" s="11"/>
      <c r="X309" s="11"/>
      <c r="Y309" s="11"/>
      <c r="Z309" s="11"/>
      <c r="AA309" s="11"/>
      <c r="AB309" s="11"/>
      <c r="AC309" s="11"/>
      <c r="AD309" s="11"/>
      <c r="AE309" s="11"/>
      <c r="AF309" s="11"/>
      <c r="AG309" s="11"/>
      <c r="AH309" s="11"/>
      <c r="AI309" s="11"/>
      <c r="AJ309" s="11"/>
      <c r="AK309" s="11"/>
      <c r="AL309" s="11"/>
      <c r="AM309" s="11"/>
      <c r="AN309" s="72"/>
      <c r="AO309" s="72"/>
      <c r="AP309" s="72"/>
      <c r="AQ309" s="72"/>
      <c r="AR309" s="72"/>
      <c r="AS309" s="72"/>
      <c r="AT309" s="72"/>
      <c r="AU309" s="72"/>
      <c r="AV309" s="72">
        <v>0</v>
      </c>
      <c r="AW309" s="72">
        <v>0</v>
      </c>
      <c r="AX309" s="72">
        <v>0</v>
      </c>
      <c r="AY309" s="72">
        <v>0</v>
      </c>
      <c r="AZ309" s="72">
        <v>0</v>
      </c>
      <c r="BA309" s="72">
        <v>0</v>
      </c>
      <c r="BB309" s="72">
        <v>0</v>
      </c>
      <c r="BC309" s="72">
        <v>0</v>
      </c>
      <c r="BD309" s="72">
        <v>0</v>
      </c>
      <c r="BE309" s="72">
        <v>0</v>
      </c>
      <c r="BF309" s="72">
        <v>0</v>
      </c>
      <c r="BG309" s="72">
        <v>0</v>
      </c>
      <c r="BH309" s="72">
        <v>0</v>
      </c>
      <c r="BI309" s="72">
        <v>0</v>
      </c>
      <c r="BJ309" s="72">
        <v>0</v>
      </c>
      <c r="BK309" s="72">
        <v>0</v>
      </c>
      <c r="BL309" s="72">
        <v>0</v>
      </c>
      <c r="BM309" s="72">
        <v>0</v>
      </c>
      <c r="BN309" s="72">
        <v>0</v>
      </c>
      <c r="BO309" s="72">
        <v>0</v>
      </c>
      <c r="BP309" s="72">
        <v>0</v>
      </c>
      <c r="BQ309" s="72">
        <v>0</v>
      </c>
      <c r="BR309" s="72">
        <v>0</v>
      </c>
      <c r="BS309" s="72">
        <v>0</v>
      </c>
      <c r="BT309" s="72">
        <v>0</v>
      </c>
      <c r="BU309" s="72">
        <v>0</v>
      </c>
      <c r="BV309" s="72">
        <v>0</v>
      </c>
      <c r="BW309" s="72">
        <v>0</v>
      </c>
      <c r="BX309" s="72">
        <v>0</v>
      </c>
      <c r="BY309" s="72">
        <v>0</v>
      </c>
      <c r="BZ309" s="72">
        <v>0</v>
      </c>
      <c r="CA309" s="72">
        <v>0</v>
      </c>
      <c r="CB309" s="72">
        <v>0</v>
      </c>
      <c r="CC309" s="72">
        <v>0</v>
      </c>
      <c r="CD309" s="72">
        <v>0</v>
      </c>
      <c r="CE309" s="72">
        <v>0</v>
      </c>
      <c r="CF309" s="72">
        <v>0</v>
      </c>
      <c r="CG309" s="72">
        <v>0</v>
      </c>
      <c r="CH309" s="72">
        <v>0</v>
      </c>
      <c r="CI309" s="72">
        <v>0</v>
      </c>
      <c r="CJ309" s="72">
        <v>0</v>
      </c>
      <c r="CK309" s="72">
        <v>0</v>
      </c>
      <c r="CL309" s="72">
        <v>0</v>
      </c>
      <c r="CM309" s="72">
        <v>0</v>
      </c>
      <c r="CN309" s="72">
        <v>0</v>
      </c>
      <c r="CO309" s="72">
        <v>0</v>
      </c>
      <c r="CP309" s="72">
        <v>0</v>
      </c>
      <c r="CQ309" s="72">
        <v>0</v>
      </c>
      <c r="CR309" s="72">
        <v>0</v>
      </c>
      <c r="CS309" s="72">
        <v>0</v>
      </c>
      <c r="CT309" s="72">
        <v>0</v>
      </c>
      <c r="CU309" s="72">
        <v>0</v>
      </c>
      <c r="CV309" s="72">
        <v>0</v>
      </c>
      <c r="CW309" s="72">
        <v>0</v>
      </c>
      <c r="CX309" s="72">
        <v>0</v>
      </c>
      <c r="CY309" s="72">
        <v>0</v>
      </c>
      <c r="CZ309" s="72">
        <v>0</v>
      </c>
      <c r="DA309" s="72">
        <v>0</v>
      </c>
      <c r="DB309" s="72">
        <v>0</v>
      </c>
      <c r="DC309" s="72">
        <v>0</v>
      </c>
      <c r="DD309" s="72">
        <v>0</v>
      </c>
      <c r="DE309" s="72">
        <v>0</v>
      </c>
      <c r="DF309" s="72">
        <v>0</v>
      </c>
      <c r="DG309" s="72">
        <v>0</v>
      </c>
      <c r="DH309" s="72">
        <v>0</v>
      </c>
      <c r="DI309" s="72">
        <v>0</v>
      </c>
      <c r="DJ309" s="72">
        <v>0</v>
      </c>
      <c r="DK309" s="72">
        <v>0</v>
      </c>
      <c r="DL309" s="72">
        <v>0</v>
      </c>
      <c r="DM309" s="72">
        <v>0</v>
      </c>
    </row>
    <row r="310" spans="1:117" x14ac:dyDescent="0.35">
      <c r="A310" s="7"/>
      <c r="B310" s="8" t="s">
        <v>1256</v>
      </c>
      <c r="C310" s="78" t="s">
        <v>1346</v>
      </c>
      <c r="D310" s="10" t="s">
        <v>549</v>
      </c>
      <c r="E310" s="8" t="s">
        <v>1215</v>
      </c>
      <c r="F310" s="10">
        <v>1104</v>
      </c>
      <c r="G310" s="10" t="s">
        <v>92</v>
      </c>
      <c r="H310" s="10" t="s">
        <v>95</v>
      </c>
      <c r="I310" s="11">
        <v>100</v>
      </c>
      <c r="J310" s="10"/>
      <c r="K310" s="10"/>
      <c r="L310" s="8"/>
      <c r="M310" s="12"/>
      <c r="N310" s="12">
        <f t="shared" si="6"/>
        <v>0</v>
      </c>
      <c r="O310" s="11">
        <v>100</v>
      </c>
      <c r="P310" s="11">
        <v>100</v>
      </c>
      <c r="Q310" s="11">
        <v>100</v>
      </c>
      <c r="R310" s="11">
        <v>100</v>
      </c>
      <c r="S310" s="11">
        <v>100</v>
      </c>
      <c r="T310" s="11">
        <v>100</v>
      </c>
      <c r="U310" s="11">
        <v>100</v>
      </c>
      <c r="V310" s="11">
        <v>100</v>
      </c>
      <c r="W310" s="11">
        <v>100</v>
      </c>
      <c r="X310" s="11">
        <v>100</v>
      </c>
      <c r="Y310" s="11">
        <v>100</v>
      </c>
      <c r="Z310" s="11">
        <v>100</v>
      </c>
      <c r="AA310" s="11">
        <v>100</v>
      </c>
      <c r="AB310" s="11">
        <v>100</v>
      </c>
      <c r="AC310" s="11">
        <v>100</v>
      </c>
      <c r="AD310" s="11">
        <v>100</v>
      </c>
      <c r="AE310" s="11">
        <v>100</v>
      </c>
      <c r="AF310" s="11">
        <v>100</v>
      </c>
      <c r="AG310" s="11">
        <v>100</v>
      </c>
      <c r="AH310" s="11">
        <v>100</v>
      </c>
      <c r="AI310" s="11">
        <v>100</v>
      </c>
      <c r="AJ310" s="11">
        <v>100</v>
      </c>
      <c r="AK310" s="11">
        <v>100</v>
      </c>
      <c r="AL310" s="11">
        <v>100</v>
      </c>
      <c r="AM310" s="11">
        <v>100</v>
      </c>
      <c r="AN310" s="72">
        <v>100</v>
      </c>
      <c r="AO310" s="72">
        <v>100</v>
      </c>
      <c r="AP310" s="72">
        <v>100</v>
      </c>
      <c r="AQ310" s="72">
        <v>100</v>
      </c>
      <c r="AR310" s="72">
        <v>100</v>
      </c>
      <c r="AS310" s="72">
        <v>100</v>
      </c>
      <c r="AT310" s="72">
        <v>100</v>
      </c>
      <c r="AU310" s="72">
        <v>100</v>
      </c>
      <c r="AV310" s="72">
        <v>0</v>
      </c>
      <c r="AW310" s="72">
        <v>0</v>
      </c>
      <c r="AX310" s="72">
        <v>0</v>
      </c>
      <c r="AY310" s="72">
        <v>0</v>
      </c>
      <c r="AZ310" s="72">
        <v>0</v>
      </c>
      <c r="BA310" s="72">
        <v>0</v>
      </c>
      <c r="BB310" s="72">
        <v>0</v>
      </c>
      <c r="BC310" s="72">
        <v>0</v>
      </c>
      <c r="BD310" s="72">
        <v>0</v>
      </c>
      <c r="BE310" s="72">
        <v>0</v>
      </c>
      <c r="BF310" s="72">
        <v>0</v>
      </c>
      <c r="BG310" s="72">
        <v>0</v>
      </c>
      <c r="BH310" s="72">
        <v>0</v>
      </c>
      <c r="BI310" s="72">
        <v>0</v>
      </c>
      <c r="BJ310" s="72">
        <v>0</v>
      </c>
      <c r="BK310" s="72">
        <v>0</v>
      </c>
      <c r="BL310" s="72">
        <v>0</v>
      </c>
      <c r="BM310" s="72">
        <v>0</v>
      </c>
      <c r="BN310" s="72">
        <v>0</v>
      </c>
      <c r="BO310" s="72">
        <v>0</v>
      </c>
      <c r="BP310" s="72">
        <v>0</v>
      </c>
      <c r="BQ310" s="72">
        <v>0</v>
      </c>
      <c r="BR310" s="72">
        <v>0</v>
      </c>
      <c r="BS310" s="72">
        <v>0</v>
      </c>
      <c r="BT310" s="72">
        <v>0</v>
      </c>
      <c r="BU310" s="72">
        <v>0</v>
      </c>
      <c r="BV310" s="72">
        <v>0</v>
      </c>
      <c r="BW310" s="72">
        <v>0</v>
      </c>
      <c r="BX310" s="72">
        <v>0</v>
      </c>
      <c r="BY310" s="72">
        <v>0</v>
      </c>
      <c r="BZ310" s="72">
        <v>0</v>
      </c>
      <c r="CA310" s="72">
        <v>0</v>
      </c>
      <c r="CB310" s="72">
        <v>0</v>
      </c>
      <c r="CC310" s="72">
        <v>0</v>
      </c>
      <c r="CD310" s="72">
        <v>0</v>
      </c>
      <c r="CE310" s="72">
        <v>0</v>
      </c>
      <c r="CF310" s="72">
        <v>0</v>
      </c>
      <c r="CG310" s="72">
        <v>0</v>
      </c>
      <c r="CH310" s="72">
        <v>0</v>
      </c>
      <c r="CI310" s="72">
        <v>0</v>
      </c>
      <c r="CJ310" s="72">
        <v>0</v>
      </c>
      <c r="CK310" s="72">
        <v>0</v>
      </c>
      <c r="CL310" s="72">
        <v>0</v>
      </c>
      <c r="CM310" s="72">
        <v>0</v>
      </c>
      <c r="CN310" s="72">
        <v>0</v>
      </c>
      <c r="CO310" s="72">
        <v>0</v>
      </c>
      <c r="CP310" s="72">
        <v>0</v>
      </c>
      <c r="CQ310" s="72">
        <v>0</v>
      </c>
      <c r="CR310" s="72">
        <v>0</v>
      </c>
      <c r="CS310" s="72">
        <v>0</v>
      </c>
      <c r="CT310" s="72">
        <v>0</v>
      </c>
      <c r="CU310" s="72">
        <v>0</v>
      </c>
      <c r="CV310" s="72">
        <v>0</v>
      </c>
      <c r="CW310" s="72">
        <v>0</v>
      </c>
      <c r="CX310" s="72">
        <v>0</v>
      </c>
      <c r="CY310" s="72">
        <v>0</v>
      </c>
      <c r="CZ310" s="72">
        <v>0</v>
      </c>
      <c r="DA310" s="72">
        <v>0</v>
      </c>
      <c r="DB310" s="72">
        <v>0</v>
      </c>
      <c r="DC310" s="72">
        <v>0</v>
      </c>
      <c r="DD310" s="72">
        <v>0</v>
      </c>
      <c r="DE310" s="72">
        <v>0</v>
      </c>
      <c r="DF310" s="72">
        <v>0</v>
      </c>
      <c r="DG310" s="72">
        <v>0</v>
      </c>
      <c r="DH310" s="72">
        <v>0</v>
      </c>
      <c r="DI310" s="72">
        <v>0</v>
      </c>
      <c r="DJ310" s="72">
        <v>0</v>
      </c>
      <c r="DK310" s="72">
        <v>0</v>
      </c>
      <c r="DL310" s="72">
        <v>0</v>
      </c>
      <c r="DM310" s="72">
        <v>0</v>
      </c>
    </row>
    <row r="311" spans="1:117" x14ac:dyDescent="0.35">
      <c r="A311" s="7"/>
      <c r="B311" s="92" t="s">
        <v>1322</v>
      </c>
      <c r="C311" s="9" t="s">
        <v>1262</v>
      </c>
      <c r="D311" s="10" t="s">
        <v>549</v>
      </c>
      <c r="E311" s="8" t="s">
        <v>1215</v>
      </c>
      <c r="F311" s="10"/>
      <c r="G311" s="10" t="s">
        <v>92</v>
      </c>
      <c r="H311" s="10" t="s">
        <v>95</v>
      </c>
      <c r="I311" s="11">
        <v>50</v>
      </c>
      <c r="J311" s="10"/>
      <c r="K311" s="10" t="s">
        <v>553</v>
      </c>
      <c r="L311" s="8"/>
      <c r="M311" s="12"/>
      <c r="N311" s="12">
        <f t="shared" si="6"/>
        <v>0</v>
      </c>
      <c r="O311" s="11"/>
      <c r="P311" s="11"/>
      <c r="Q311" s="11"/>
      <c r="R311" s="11"/>
      <c r="S311" s="11"/>
      <c r="T311" s="11"/>
      <c r="U311" s="11">
        <v>50</v>
      </c>
      <c r="V311" s="11">
        <v>50</v>
      </c>
      <c r="W311" s="11">
        <v>50</v>
      </c>
      <c r="X311" s="11">
        <v>50</v>
      </c>
      <c r="Y311" s="11">
        <v>50</v>
      </c>
      <c r="Z311" s="11">
        <v>50</v>
      </c>
      <c r="AA311" s="11">
        <v>50</v>
      </c>
      <c r="AB311" s="11">
        <v>50</v>
      </c>
      <c r="AC311" s="11">
        <v>50</v>
      </c>
      <c r="AD311" s="11">
        <v>50</v>
      </c>
      <c r="AE311" s="11">
        <v>50</v>
      </c>
      <c r="AF311" s="11">
        <v>50</v>
      </c>
      <c r="AG311" s="11">
        <v>50</v>
      </c>
      <c r="AH311" s="11">
        <v>50</v>
      </c>
      <c r="AI311" s="11">
        <v>50</v>
      </c>
      <c r="AJ311" s="11">
        <v>50</v>
      </c>
      <c r="AK311" s="11">
        <v>50</v>
      </c>
      <c r="AL311" s="11">
        <v>50</v>
      </c>
      <c r="AM311" s="11">
        <v>50</v>
      </c>
      <c r="AN311" s="72">
        <v>50</v>
      </c>
      <c r="AO311" s="72">
        <v>50</v>
      </c>
      <c r="AP311" s="72">
        <v>50</v>
      </c>
      <c r="AQ311" s="72">
        <v>50</v>
      </c>
      <c r="AR311" s="72">
        <v>50</v>
      </c>
      <c r="AS311" s="72">
        <v>50</v>
      </c>
      <c r="AT311" s="72">
        <v>50</v>
      </c>
      <c r="AU311" s="72">
        <v>50</v>
      </c>
      <c r="AV311" s="72">
        <v>0</v>
      </c>
      <c r="AW311" s="72">
        <v>0</v>
      </c>
      <c r="AX311" s="72">
        <v>0</v>
      </c>
      <c r="AY311" s="72">
        <v>0</v>
      </c>
      <c r="AZ311" s="72">
        <v>0</v>
      </c>
      <c r="BA311" s="72">
        <v>0</v>
      </c>
      <c r="BB311" s="72">
        <v>0</v>
      </c>
      <c r="BC311" s="72">
        <v>0</v>
      </c>
      <c r="BD311" s="72">
        <v>0</v>
      </c>
      <c r="BE311" s="72">
        <v>0</v>
      </c>
      <c r="BF311" s="72">
        <v>0</v>
      </c>
      <c r="BG311" s="72">
        <v>0</v>
      </c>
      <c r="BH311" s="72">
        <v>0</v>
      </c>
      <c r="BI311" s="72">
        <v>0</v>
      </c>
      <c r="BJ311" s="72">
        <v>0</v>
      </c>
      <c r="BK311" s="72">
        <v>0</v>
      </c>
      <c r="BL311" s="72">
        <v>0</v>
      </c>
      <c r="BM311" s="72">
        <v>0</v>
      </c>
      <c r="BN311" s="72">
        <v>0</v>
      </c>
      <c r="BO311" s="72">
        <v>0</v>
      </c>
      <c r="BP311" s="72">
        <v>0</v>
      </c>
      <c r="BQ311" s="72">
        <v>0</v>
      </c>
      <c r="BR311" s="72">
        <v>0</v>
      </c>
      <c r="BS311" s="72">
        <v>0</v>
      </c>
      <c r="BT311" s="72">
        <v>0</v>
      </c>
      <c r="BU311" s="72">
        <v>0</v>
      </c>
      <c r="BV311" s="72">
        <v>0</v>
      </c>
      <c r="BW311" s="72">
        <v>0</v>
      </c>
      <c r="BX311" s="72">
        <v>0</v>
      </c>
      <c r="BY311" s="72">
        <v>0</v>
      </c>
      <c r="BZ311" s="72">
        <v>0</v>
      </c>
      <c r="CA311" s="72">
        <v>0</v>
      </c>
      <c r="CB311" s="72">
        <v>0</v>
      </c>
      <c r="CC311" s="72">
        <v>0</v>
      </c>
      <c r="CD311" s="72">
        <v>0</v>
      </c>
      <c r="CE311" s="72">
        <v>0</v>
      </c>
      <c r="CF311" s="72">
        <v>0</v>
      </c>
      <c r="CG311" s="72">
        <v>0</v>
      </c>
      <c r="CH311" s="72">
        <v>0</v>
      </c>
      <c r="CI311" s="72">
        <v>0</v>
      </c>
      <c r="CJ311" s="72">
        <v>0</v>
      </c>
      <c r="CK311" s="72">
        <v>0</v>
      </c>
      <c r="CL311" s="72">
        <v>0</v>
      </c>
      <c r="CM311" s="72">
        <v>0</v>
      </c>
      <c r="CN311" s="72">
        <v>0</v>
      </c>
      <c r="CO311" s="72">
        <v>0</v>
      </c>
      <c r="CP311" s="72">
        <v>0</v>
      </c>
      <c r="CQ311" s="72">
        <v>0</v>
      </c>
      <c r="CR311" s="72">
        <v>0</v>
      </c>
      <c r="CS311" s="72">
        <v>0</v>
      </c>
      <c r="CT311" s="72">
        <v>0</v>
      </c>
      <c r="CU311" s="72">
        <v>0</v>
      </c>
      <c r="CV311" s="72">
        <v>0</v>
      </c>
      <c r="CW311" s="72">
        <v>0</v>
      </c>
      <c r="CX311" s="72">
        <v>0</v>
      </c>
      <c r="CY311" s="72">
        <v>0</v>
      </c>
      <c r="CZ311" s="72">
        <v>0</v>
      </c>
      <c r="DA311" s="72">
        <v>0</v>
      </c>
      <c r="DB311" s="72">
        <v>0</v>
      </c>
      <c r="DC311" s="72">
        <v>0</v>
      </c>
      <c r="DD311" s="72">
        <v>0</v>
      </c>
      <c r="DE311" s="72">
        <v>0</v>
      </c>
      <c r="DF311" s="72">
        <v>0</v>
      </c>
      <c r="DG311" s="72">
        <v>0</v>
      </c>
      <c r="DH311" s="72">
        <v>0</v>
      </c>
      <c r="DI311" s="72">
        <v>0</v>
      </c>
      <c r="DJ311" s="72">
        <v>0</v>
      </c>
      <c r="DK311" s="72">
        <v>0</v>
      </c>
      <c r="DL311" s="72">
        <v>0</v>
      </c>
      <c r="DM311" s="72">
        <v>0</v>
      </c>
    </row>
    <row r="312" spans="1:117" x14ac:dyDescent="0.35">
      <c r="A312" s="7"/>
      <c r="B312" s="8" t="s">
        <v>554</v>
      </c>
      <c r="C312" s="9"/>
      <c r="D312" s="10" t="s">
        <v>549</v>
      </c>
      <c r="E312" s="8" t="s">
        <v>1215</v>
      </c>
      <c r="F312" s="10">
        <v>1104</v>
      </c>
      <c r="G312" s="10" t="s">
        <v>40</v>
      </c>
      <c r="H312" s="10" t="s">
        <v>41</v>
      </c>
      <c r="I312" s="11">
        <v>1</v>
      </c>
      <c r="J312" s="10"/>
      <c r="K312" s="10"/>
      <c r="L312" s="8"/>
      <c r="M312" s="12"/>
      <c r="N312" s="12">
        <f t="shared" si="6"/>
        <v>0</v>
      </c>
      <c r="O312" s="11">
        <v>1</v>
      </c>
      <c r="P312" s="11">
        <v>1</v>
      </c>
      <c r="Q312" s="11">
        <v>1</v>
      </c>
      <c r="R312" s="11">
        <v>1</v>
      </c>
      <c r="S312" s="11">
        <v>1</v>
      </c>
      <c r="T312" s="11">
        <v>1</v>
      </c>
      <c r="U312" s="11">
        <v>1</v>
      </c>
      <c r="V312" s="11">
        <v>1</v>
      </c>
      <c r="W312" s="11">
        <v>1</v>
      </c>
      <c r="X312" s="11">
        <v>1</v>
      </c>
      <c r="Y312" s="11">
        <v>1</v>
      </c>
      <c r="Z312" s="11">
        <v>1</v>
      </c>
      <c r="AA312" s="11">
        <v>1</v>
      </c>
      <c r="AB312" s="11">
        <v>1</v>
      </c>
      <c r="AC312" s="11">
        <v>1</v>
      </c>
      <c r="AD312" s="11">
        <v>1</v>
      </c>
      <c r="AE312" s="11">
        <v>1</v>
      </c>
      <c r="AF312" s="11">
        <v>1</v>
      </c>
      <c r="AG312" s="11">
        <v>1</v>
      </c>
      <c r="AH312" s="11">
        <v>1</v>
      </c>
      <c r="AI312" s="11">
        <v>1</v>
      </c>
      <c r="AJ312" s="11">
        <v>1</v>
      </c>
      <c r="AK312" s="11">
        <v>1</v>
      </c>
      <c r="AL312" s="11">
        <v>1</v>
      </c>
      <c r="AM312" s="11">
        <v>1</v>
      </c>
      <c r="AN312" s="72">
        <v>1</v>
      </c>
      <c r="AO312" s="72">
        <v>1</v>
      </c>
      <c r="AP312" s="72">
        <v>1</v>
      </c>
      <c r="AQ312" s="72">
        <v>1</v>
      </c>
      <c r="AR312" s="72">
        <v>1</v>
      </c>
      <c r="AS312" s="72">
        <v>1</v>
      </c>
      <c r="AT312" s="72">
        <v>1</v>
      </c>
      <c r="AU312" s="72">
        <v>1</v>
      </c>
      <c r="AV312" s="72">
        <v>1</v>
      </c>
      <c r="AW312" s="72">
        <v>1</v>
      </c>
      <c r="AX312" s="72">
        <v>1</v>
      </c>
      <c r="AY312" s="72">
        <v>1</v>
      </c>
      <c r="AZ312" s="72">
        <v>1</v>
      </c>
      <c r="BA312" s="72">
        <v>1</v>
      </c>
      <c r="BB312" s="72">
        <v>1</v>
      </c>
      <c r="BC312" s="72">
        <v>1</v>
      </c>
      <c r="BD312" s="72">
        <v>1</v>
      </c>
      <c r="BE312" s="72">
        <v>1</v>
      </c>
      <c r="BF312" s="72">
        <v>1</v>
      </c>
      <c r="BG312" s="72">
        <v>1</v>
      </c>
      <c r="BH312" s="72">
        <v>1</v>
      </c>
      <c r="BI312" s="72">
        <v>1</v>
      </c>
      <c r="BJ312" s="72">
        <v>1</v>
      </c>
      <c r="BK312" s="72">
        <v>1</v>
      </c>
      <c r="BL312" s="72">
        <v>1</v>
      </c>
      <c r="BM312" s="72">
        <v>1</v>
      </c>
      <c r="BN312" s="72">
        <v>1</v>
      </c>
      <c r="BO312" s="72">
        <v>1</v>
      </c>
      <c r="BP312" s="72">
        <v>1</v>
      </c>
      <c r="BQ312" s="72">
        <v>1</v>
      </c>
      <c r="BR312" s="72">
        <v>1</v>
      </c>
      <c r="BS312" s="72">
        <v>1</v>
      </c>
      <c r="BT312" s="72">
        <v>1</v>
      </c>
      <c r="BU312" s="72">
        <v>1</v>
      </c>
      <c r="BV312" s="72">
        <v>1</v>
      </c>
      <c r="BW312" s="72">
        <v>1</v>
      </c>
      <c r="BX312" s="72">
        <v>1</v>
      </c>
      <c r="BY312" s="72">
        <v>1</v>
      </c>
      <c r="BZ312" s="72">
        <v>1</v>
      </c>
      <c r="CA312" s="72">
        <v>1</v>
      </c>
      <c r="CB312" s="72">
        <v>1</v>
      </c>
      <c r="CC312" s="72">
        <v>1</v>
      </c>
      <c r="CD312" s="72">
        <v>1</v>
      </c>
      <c r="CE312" s="72">
        <v>1</v>
      </c>
      <c r="CF312" s="72">
        <v>1</v>
      </c>
      <c r="CG312" s="72">
        <v>1</v>
      </c>
      <c r="CH312" s="72">
        <v>1</v>
      </c>
      <c r="CI312" s="72">
        <v>1</v>
      </c>
      <c r="CJ312" s="72">
        <v>1</v>
      </c>
      <c r="CK312" s="72">
        <v>1</v>
      </c>
      <c r="CL312" s="72">
        <v>1</v>
      </c>
      <c r="CM312" s="72">
        <v>1</v>
      </c>
      <c r="CN312" s="72">
        <v>1</v>
      </c>
      <c r="CO312" s="72">
        <v>1</v>
      </c>
      <c r="CP312" s="72">
        <v>1</v>
      </c>
      <c r="CQ312" s="72">
        <v>1</v>
      </c>
      <c r="CR312" s="72">
        <v>1</v>
      </c>
      <c r="CS312" s="72">
        <v>1</v>
      </c>
      <c r="CT312" s="72">
        <v>1</v>
      </c>
      <c r="CU312" s="72">
        <v>1</v>
      </c>
      <c r="CV312" s="72">
        <v>1</v>
      </c>
      <c r="CW312" s="72">
        <v>1</v>
      </c>
      <c r="CX312" s="72">
        <v>1</v>
      </c>
      <c r="CY312" s="72">
        <v>1</v>
      </c>
      <c r="CZ312" s="72">
        <v>1</v>
      </c>
      <c r="DA312" s="72">
        <v>1</v>
      </c>
      <c r="DB312" s="72">
        <v>1</v>
      </c>
      <c r="DC312" s="72">
        <v>1</v>
      </c>
      <c r="DD312" s="72">
        <v>1</v>
      </c>
      <c r="DE312" s="72">
        <v>1</v>
      </c>
      <c r="DF312" s="72">
        <v>1</v>
      </c>
      <c r="DG312" s="72">
        <v>1</v>
      </c>
      <c r="DH312" s="72">
        <v>1</v>
      </c>
      <c r="DI312" s="72">
        <v>1</v>
      </c>
      <c r="DJ312" s="72">
        <v>1</v>
      </c>
      <c r="DK312" s="72">
        <v>1</v>
      </c>
      <c r="DL312" s="72">
        <v>1</v>
      </c>
      <c r="DM312" s="72">
        <v>1</v>
      </c>
    </row>
    <row r="313" spans="1:117" x14ac:dyDescent="0.35">
      <c r="A313" s="7"/>
      <c r="B313" s="77" t="s">
        <v>1538</v>
      </c>
      <c r="C313" s="9" t="s">
        <v>1545</v>
      </c>
      <c r="D313" s="10" t="s">
        <v>1076</v>
      </c>
      <c r="E313" s="8" t="s">
        <v>1226</v>
      </c>
      <c r="F313" s="10"/>
      <c r="G313" s="10"/>
      <c r="H313" s="10"/>
      <c r="I313" s="11"/>
      <c r="J313" s="10"/>
      <c r="K313" s="10"/>
      <c r="L313" s="8"/>
      <c r="M313" s="12">
        <v>0.64319999999999999</v>
      </c>
      <c r="N313" s="12">
        <f t="shared" si="6"/>
        <v>38.591999999999999</v>
      </c>
      <c r="O313" s="11"/>
      <c r="P313" s="11"/>
      <c r="Q313" s="11"/>
      <c r="R313" s="11"/>
      <c r="S313" s="11"/>
      <c r="T313" s="11"/>
      <c r="U313" s="11"/>
      <c r="V313" s="11"/>
      <c r="W313" s="11"/>
      <c r="X313" s="11"/>
      <c r="Y313" s="11"/>
      <c r="Z313" s="11"/>
      <c r="AA313" s="11"/>
      <c r="AB313" s="11"/>
      <c r="AC313" s="11"/>
      <c r="AD313" s="11"/>
      <c r="AE313" s="11"/>
      <c r="AF313" s="11"/>
      <c r="AG313" s="11"/>
      <c r="AH313" s="11"/>
      <c r="AI313" s="11"/>
      <c r="AJ313" s="11"/>
      <c r="AK313" s="11"/>
      <c r="AL313" s="11"/>
      <c r="AM313" s="11"/>
      <c r="AN313" s="72"/>
      <c r="AO313" s="72"/>
      <c r="AP313" s="72"/>
      <c r="AQ313" s="72"/>
      <c r="AR313" s="72"/>
      <c r="AS313" s="72"/>
      <c r="AT313" s="72"/>
      <c r="AU313" s="72"/>
      <c r="AV313" s="72"/>
      <c r="AW313" s="72"/>
      <c r="AX313" s="72"/>
      <c r="AY313" s="72"/>
      <c r="AZ313" s="72"/>
      <c r="BA313" s="72"/>
      <c r="BB313" s="72"/>
      <c r="BC313" s="72"/>
      <c r="BD313" s="72"/>
      <c r="BE313" s="72"/>
      <c r="BF313" s="72"/>
      <c r="BG313" s="72"/>
      <c r="BH313" s="72"/>
      <c r="BI313" s="72"/>
      <c r="BJ313" s="72"/>
      <c r="BK313" s="72"/>
      <c r="BL313" s="72"/>
      <c r="BM313" s="72"/>
      <c r="BN313" s="72"/>
      <c r="BO313" s="72"/>
      <c r="BP313" s="72"/>
      <c r="BQ313" s="72"/>
      <c r="BR313" s="72"/>
      <c r="BS313" s="72"/>
      <c r="BT313" s="72"/>
      <c r="BU313" s="72"/>
      <c r="BV313" s="72"/>
      <c r="BW313" s="72"/>
      <c r="BX313" s="72"/>
      <c r="BY313" s="72"/>
      <c r="BZ313" s="72"/>
      <c r="CA313" s="72"/>
      <c r="CB313" s="72"/>
      <c r="CC313" s="72"/>
      <c r="CD313" s="72"/>
      <c r="CE313" s="72"/>
      <c r="CF313" s="72"/>
      <c r="CG313" s="72"/>
      <c r="CH313" s="72"/>
      <c r="CI313" s="72"/>
      <c r="CJ313" s="72"/>
      <c r="CK313" s="72"/>
      <c r="CL313" s="72"/>
      <c r="CM313" s="72"/>
      <c r="CN313" s="72"/>
      <c r="CO313" s="72"/>
      <c r="CP313" s="72"/>
      <c r="CQ313" s="72"/>
      <c r="CR313" s="72"/>
      <c r="CS313" s="72"/>
      <c r="CT313" s="72"/>
      <c r="CU313" s="72"/>
      <c r="CV313" s="72"/>
      <c r="CW313" s="72"/>
      <c r="CX313" s="72"/>
      <c r="CY313" s="72"/>
      <c r="CZ313" s="72"/>
      <c r="DA313" s="72"/>
      <c r="DB313" s="72"/>
      <c r="DC313" s="72"/>
      <c r="DD313" s="72"/>
      <c r="DE313" s="72"/>
      <c r="DF313" s="72"/>
      <c r="DG313" s="72"/>
      <c r="DH313" s="72">
        <v>60</v>
      </c>
      <c r="DI313" s="72">
        <v>60</v>
      </c>
      <c r="DJ313" s="72">
        <v>60</v>
      </c>
      <c r="DK313" s="72">
        <v>60</v>
      </c>
      <c r="DL313" s="72">
        <v>60</v>
      </c>
      <c r="DM313" s="72">
        <v>60</v>
      </c>
    </row>
    <row r="314" spans="1:117" x14ac:dyDescent="0.35">
      <c r="A314" s="7"/>
      <c r="B314" s="8" t="s">
        <v>1230</v>
      </c>
      <c r="C314" s="9" t="s">
        <v>555</v>
      </c>
      <c r="D314" s="10" t="s">
        <v>549</v>
      </c>
      <c r="E314" s="8" t="s">
        <v>1215</v>
      </c>
      <c r="F314" s="10">
        <v>1002</v>
      </c>
      <c r="G314" s="10" t="s">
        <v>503</v>
      </c>
      <c r="H314" s="10" t="s">
        <v>41</v>
      </c>
      <c r="I314" s="11">
        <v>1</v>
      </c>
      <c r="J314" s="10"/>
      <c r="K314" s="10" t="s">
        <v>556</v>
      </c>
      <c r="L314" s="8"/>
      <c r="M314" s="12"/>
      <c r="N314" s="12">
        <f t="shared" si="6"/>
        <v>0</v>
      </c>
      <c r="O314" s="11">
        <v>4</v>
      </c>
      <c r="P314" s="11">
        <v>4</v>
      </c>
      <c r="Q314" s="11">
        <v>4</v>
      </c>
      <c r="R314" s="11">
        <v>4</v>
      </c>
      <c r="S314" s="11">
        <v>4</v>
      </c>
      <c r="T314" s="11">
        <v>4</v>
      </c>
      <c r="U314" s="11">
        <v>1</v>
      </c>
      <c r="V314" s="11">
        <v>1</v>
      </c>
      <c r="W314" s="11">
        <v>1</v>
      </c>
      <c r="X314" s="11">
        <v>1</v>
      </c>
      <c r="Y314" s="11">
        <v>1</v>
      </c>
      <c r="Z314" s="11">
        <v>1</v>
      </c>
      <c r="AA314" s="11">
        <v>1</v>
      </c>
      <c r="AB314" s="11">
        <v>1</v>
      </c>
      <c r="AC314" s="11">
        <v>1</v>
      </c>
      <c r="AD314" s="11">
        <v>1</v>
      </c>
      <c r="AE314" s="11">
        <v>1</v>
      </c>
      <c r="AF314" s="11">
        <v>1</v>
      </c>
      <c r="AG314" s="11">
        <v>1</v>
      </c>
      <c r="AH314" s="11">
        <v>1</v>
      </c>
      <c r="AI314" s="11">
        <v>1</v>
      </c>
      <c r="AJ314" s="11">
        <v>1</v>
      </c>
      <c r="AK314" s="11">
        <v>1</v>
      </c>
      <c r="AL314" s="11">
        <v>1</v>
      </c>
      <c r="AM314" s="11">
        <v>1</v>
      </c>
      <c r="AN314" s="72">
        <v>1</v>
      </c>
      <c r="AO314" s="72">
        <v>1</v>
      </c>
      <c r="AP314" s="72">
        <v>1</v>
      </c>
      <c r="AQ314" s="72">
        <v>1</v>
      </c>
      <c r="AR314" s="72">
        <v>1</v>
      </c>
      <c r="AS314" s="72">
        <v>1</v>
      </c>
      <c r="AT314" s="72">
        <v>1</v>
      </c>
      <c r="AU314" s="72">
        <v>1</v>
      </c>
      <c r="AV314" s="72">
        <v>1</v>
      </c>
      <c r="AW314" s="72">
        <v>1</v>
      </c>
      <c r="AX314" s="72">
        <v>1</v>
      </c>
      <c r="AY314" s="72">
        <v>1</v>
      </c>
      <c r="AZ314" s="72">
        <v>1</v>
      </c>
      <c r="BA314" s="72">
        <v>1</v>
      </c>
      <c r="BB314" s="72">
        <v>1</v>
      </c>
      <c r="BC314" s="72">
        <v>1</v>
      </c>
      <c r="BD314" s="72">
        <v>1</v>
      </c>
      <c r="BE314" s="72">
        <v>1</v>
      </c>
      <c r="BF314" s="72">
        <v>1</v>
      </c>
      <c r="BG314" s="72">
        <v>1</v>
      </c>
      <c r="BH314" s="72">
        <v>1</v>
      </c>
      <c r="BI314" s="72">
        <v>1</v>
      </c>
      <c r="BJ314" s="72">
        <v>1</v>
      </c>
      <c r="BK314" s="72">
        <v>1</v>
      </c>
      <c r="BL314" s="72">
        <v>1</v>
      </c>
      <c r="BM314" s="72">
        <v>1</v>
      </c>
      <c r="BN314" s="72">
        <v>1</v>
      </c>
      <c r="BO314" s="72">
        <v>1</v>
      </c>
      <c r="BP314" s="72">
        <v>1</v>
      </c>
      <c r="BQ314" s="72">
        <v>1</v>
      </c>
      <c r="BR314" s="72">
        <v>1</v>
      </c>
      <c r="BS314" s="72">
        <v>1</v>
      </c>
      <c r="BT314" s="72">
        <v>1</v>
      </c>
      <c r="BU314" s="72">
        <v>1</v>
      </c>
      <c r="BV314" s="72">
        <v>1</v>
      </c>
      <c r="BW314" s="72">
        <v>1</v>
      </c>
      <c r="BX314" s="72">
        <v>1</v>
      </c>
      <c r="BY314" s="72">
        <v>1</v>
      </c>
      <c r="BZ314" s="72">
        <v>1</v>
      </c>
      <c r="CA314" s="72">
        <v>1</v>
      </c>
      <c r="CB314" s="72">
        <v>1</v>
      </c>
      <c r="CC314" s="72">
        <v>1</v>
      </c>
      <c r="CD314" s="72">
        <v>1</v>
      </c>
      <c r="CE314" s="72">
        <v>1</v>
      </c>
      <c r="CF314" s="72">
        <v>1</v>
      </c>
      <c r="CG314" s="72">
        <v>1</v>
      </c>
      <c r="CH314" s="72">
        <v>1</v>
      </c>
      <c r="CI314" s="72">
        <v>1</v>
      </c>
      <c r="CJ314" s="72">
        <v>1</v>
      </c>
      <c r="CK314" s="72">
        <v>1</v>
      </c>
      <c r="CL314" s="72">
        <v>1</v>
      </c>
      <c r="CM314" s="72">
        <v>1</v>
      </c>
      <c r="CN314" s="72">
        <v>1</v>
      </c>
      <c r="CO314" s="72">
        <v>1</v>
      </c>
      <c r="CP314" s="72">
        <v>1</v>
      </c>
      <c r="CQ314" s="72">
        <v>1</v>
      </c>
      <c r="CR314" s="72">
        <v>1</v>
      </c>
      <c r="CS314" s="72">
        <v>1</v>
      </c>
      <c r="CT314" s="72">
        <v>1</v>
      </c>
      <c r="CU314" s="72">
        <v>1</v>
      </c>
      <c r="CV314" s="72">
        <v>1</v>
      </c>
      <c r="CW314" s="72">
        <v>1</v>
      </c>
      <c r="CX314" s="72">
        <v>1</v>
      </c>
      <c r="CY314" s="72">
        <v>1</v>
      </c>
      <c r="CZ314" s="72">
        <v>1</v>
      </c>
      <c r="DA314" s="72">
        <v>1</v>
      </c>
      <c r="DB314" s="72">
        <v>1</v>
      </c>
      <c r="DC314" s="72">
        <v>1</v>
      </c>
      <c r="DD314" s="72">
        <v>1</v>
      </c>
      <c r="DE314" s="72">
        <v>1</v>
      </c>
      <c r="DF314" s="72">
        <v>1</v>
      </c>
      <c r="DG314" s="72">
        <v>1</v>
      </c>
      <c r="DH314" s="72">
        <v>1</v>
      </c>
      <c r="DI314" s="72">
        <v>1</v>
      </c>
      <c r="DJ314" s="72">
        <v>1</v>
      </c>
      <c r="DK314" s="72">
        <v>1</v>
      </c>
      <c r="DL314" s="72">
        <v>1</v>
      </c>
      <c r="DM314" s="72">
        <v>1</v>
      </c>
    </row>
    <row r="315" spans="1:117" x14ac:dyDescent="0.35">
      <c r="A315" s="7"/>
      <c r="B315" s="8" t="s">
        <v>1230</v>
      </c>
      <c r="C315" s="9" t="s">
        <v>557</v>
      </c>
      <c r="D315" s="10" t="s">
        <v>549</v>
      </c>
      <c r="E315" s="8" t="s">
        <v>1215</v>
      </c>
      <c r="F315" s="10">
        <v>1006</v>
      </c>
      <c r="G315" s="10" t="s">
        <v>503</v>
      </c>
      <c r="H315" s="10" t="s">
        <v>41</v>
      </c>
      <c r="I315" s="11">
        <v>3</v>
      </c>
      <c r="J315" s="10"/>
      <c r="K315" s="10" t="s">
        <v>556</v>
      </c>
      <c r="L315" s="8"/>
      <c r="M315" s="12"/>
      <c r="N315" s="12">
        <f t="shared" si="6"/>
        <v>0</v>
      </c>
      <c r="O315" s="11">
        <v>14</v>
      </c>
      <c r="P315" s="11">
        <v>14</v>
      </c>
      <c r="Q315" s="11">
        <v>14</v>
      </c>
      <c r="R315" s="11">
        <v>14</v>
      </c>
      <c r="S315" s="11">
        <v>10</v>
      </c>
      <c r="T315" s="11">
        <v>10</v>
      </c>
      <c r="U315" s="11">
        <v>6</v>
      </c>
      <c r="V315" s="11">
        <v>6</v>
      </c>
      <c r="W315" s="11">
        <v>6</v>
      </c>
      <c r="X315" s="11">
        <v>6</v>
      </c>
      <c r="Y315" s="11">
        <v>6</v>
      </c>
      <c r="Z315" s="11">
        <v>6</v>
      </c>
      <c r="AA315" s="11">
        <v>6</v>
      </c>
      <c r="AB315" s="11">
        <v>6</v>
      </c>
      <c r="AC315" s="11">
        <v>6</v>
      </c>
      <c r="AD315" s="11">
        <v>6</v>
      </c>
      <c r="AE315" s="11">
        <v>3</v>
      </c>
      <c r="AF315" s="11">
        <v>3</v>
      </c>
      <c r="AG315" s="11">
        <v>3</v>
      </c>
      <c r="AH315" s="11">
        <v>3</v>
      </c>
      <c r="AI315" s="11">
        <v>3</v>
      </c>
      <c r="AJ315" s="11">
        <v>3</v>
      </c>
      <c r="AK315" s="11">
        <v>3</v>
      </c>
      <c r="AL315" s="11">
        <v>3</v>
      </c>
      <c r="AM315" s="11">
        <v>3</v>
      </c>
      <c r="AN315" s="72">
        <v>3</v>
      </c>
      <c r="AO315" s="72">
        <v>3</v>
      </c>
      <c r="AP315" s="72">
        <v>3</v>
      </c>
      <c r="AQ315" s="72">
        <v>3</v>
      </c>
      <c r="AR315" s="72">
        <v>3</v>
      </c>
      <c r="AS315" s="72">
        <v>3</v>
      </c>
      <c r="AT315" s="72">
        <v>3</v>
      </c>
      <c r="AU315" s="72">
        <v>3</v>
      </c>
      <c r="AV315" s="72">
        <v>3</v>
      </c>
      <c r="AW315" s="72">
        <v>3</v>
      </c>
      <c r="AX315" s="72">
        <v>3</v>
      </c>
      <c r="AY315" s="72">
        <v>3</v>
      </c>
      <c r="AZ315" s="72">
        <v>3</v>
      </c>
      <c r="BA315" s="72">
        <v>3</v>
      </c>
      <c r="BB315" s="72">
        <v>3</v>
      </c>
      <c r="BC315" s="72">
        <v>3</v>
      </c>
      <c r="BD315" s="72">
        <v>3</v>
      </c>
      <c r="BE315" s="72">
        <v>3</v>
      </c>
      <c r="BF315" s="72">
        <v>3</v>
      </c>
      <c r="BG315" s="72">
        <v>3</v>
      </c>
      <c r="BH315" s="72">
        <v>3</v>
      </c>
      <c r="BI315" s="72">
        <v>3</v>
      </c>
      <c r="BJ315" s="72">
        <v>3</v>
      </c>
      <c r="BK315" s="72">
        <v>3</v>
      </c>
      <c r="BL315" s="72">
        <v>3</v>
      </c>
      <c r="BM315" s="72">
        <v>3</v>
      </c>
      <c r="BN315" s="72">
        <v>3</v>
      </c>
      <c r="BO315" s="72">
        <v>3</v>
      </c>
      <c r="BP315" s="72">
        <v>3</v>
      </c>
      <c r="BQ315" s="72">
        <v>3</v>
      </c>
      <c r="BR315" s="72">
        <v>3</v>
      </c>
      <c r="BS315" s="72">
        <v>3</v>
      </c>
      <c r="BT315" s="72">
        <v>3</v>
      </c>
      <c r="BU315" s="72">
        <v>3</v>
      </c>
      <c r="BV315" s="72">
        <v>3</v>
      </c>
      <c r="BW315" s="72">
        <v>3</v>
      </c>
      <c r="BX315" s="72">
        <v>3</v>
      </c>
      <c r="BY315" s="72">
        <v>3</v>
      </c>
      <c r="BZ315" s="72">
        <v>3</v>
      </c>
      <c r="CA315" s="72">
        <v>3</v>
      </c>
      <c r="CB315" s="72">
        <v>3</v>
      </c>
      <c r="CC315" s="72">
        <v>3</v>
      </c>
      <c r="CD315" s="72">
        <v>3</v>
      </c>
      <c r="CE315" s="72">
        <v>3</v>
      </c>
      <c r="CF315" s="72">
        <v>3</v>
      </c>
      <c r="CG315" s="72">
        <v>3</v>
      </c>
      <c r="CH315" s="72">
        <v>3</v>
      </c>
      <c r="CI315" s="72">
        <v>3</v>
      </c>
      <c r="CJ315" s="72">
        <v>3</v>
      </c>
      <c r="CK315" s="72">
        <v>3</v>
      </c>
      <c r="CL315" s="72">
        <v>3</v>
      </c>
      <c r="CM315" s="72">
        <v>3</v>
      </c>
      <c r="CN315" s="72">
        <v>3</v>
      </c>
      <c r="CO315" s="72">
        <v>3</v>
      </c>
      <c r="CP315" s="72">
        <v>3</v>
      </c>
      <c r="CQ315" s="72">
        <v>3</v>
      </c>
      <c r="CR315" s="72">
        <v>3</v>
      </c>
      <c r="CS315" s="72">
        <v>3</v>
      </c>
      <c r="CT315" s="72">
        <v>3</v>
      </c>
      <c r="CU315" s="72">
        <v>3</v>
      </c>
      <c r="CV315" s="72">
        <v>3</v>
      </c>
      <c r="CW315" s="72">
        <v>3</v>
      </c>
      <c r="CX315" s="72">
        <v>3</v>
      </c>
      <c r="CY315" s="72">
        <v>3</v>
      </c>
      <c r="CZ315" s="72">
        <v>3</v>
      </c>
      <c r="DA315" s="72">
        <v>3</v>
      </c>
      <c r="DB315" s="72">
        <v>3</v>
      </c>
      <c r="DC315" s="72">
        <v>3</v>
      </c>
      <c r="DD315" s="72">
        <v>3</v>
      </c>
      <c r="DE315" s="72">
        <v>3</v>
      </c>
      <c r="DF315" s="72">
        <v>3</v>
      </c>
      <c r="DG315" s="72">
        <v>3</v>
      </c>
      <c r="DH315" s="72">
        <v>3</v>
      </c>
      <c r="DI315" s="72">
        <v>3</v>
      </c>
      <c r="DJ315" s="72">
        <v>3</v>
      </c>
      <c r="DK315" s="72">
        <v>3</v>
      </c>
      <c r="DL315" s="72">
        <v>3</v>
      </c>
      <c r="DM315" s="72">
        <v>3</v>
      </c>
    </row>
    <row r="316" spans="1:117" x14ac:dyDescent="0.35">
      <c r="A316" s="7"/>
      <c r="B316" s="92" t="s">
        <v>1323</v>
      </c>
      <c r="C316" s="9" t="s">
        <v>558</v>
      </c>
      <c r="D316" s="10" t="s">
        <v>549</v>
      </c>
      <c r="E316" s="8" t="s">
        <v>1209</v>
      </c>
      <c r="F316" s="10">
        <v>1101</v>
      </c>
      <c r="G316" s="10" t="s">
        <v>40</v>
      </c>
      <c r="H316" s="10" t="s">
        <v>41</v>
      </c>
      <c r="I316" s="11">
        <v>61</v>
      </c>
      <c r="J316" s="10"/>
      <c r="K316" s="10" t="s">
        <v>556</v>
      </c>
      <c r="L316" s="8"/>
      <c r="M316" s="12"/>
      <c r="N316" s="12">
        <f t="shared" si="6"/>
        <v>0</v>
      </c>
      <c r="O316" s="11">
        <v>61</v>
      </c>
      <c r="P316" s="11">
        <v>61</v>
      </c>
      <c r="Q316" s="11">
        <v>61</v>
      </c>
      <c r="R316" s="11">
        <v>61</v>
      </c>
      <c r="S316" s="11">
        <v>61</v>
      </c>
      <c r="T316" s="11">
        <v>61</v>
      </c>
      <c r="U316" s="11">
        <v>61</v>
      </c>
      <c r="V316" s="11">
        <v>61</v>
      </c>
      <c r="W316" s="11">
        <v>61</v>
      </c>
      <c r="X316" s="11">
        <v>61</v>
      </c>
      <c r="Y316" s="11">
        <v>61</v>
      </c>
      <c r="Z316" s="11">
        <v>61</v>
      </c>
      <c r="AA316" s="11">
        <v>61</v>
      </c>
      <c r="AB316" s="11">
        <v>61</v>
      </c>
      <c r="AC316" s="11">
        <v>61</v>
      </c>
      <c r="AD316" s="11">
        <v>61</v>
      </c>
      <c r="AE316" s="11">
        <v>61</v>
      </c>
      <c r="AF316" s="11">
        <v>61</v>
      </c>
      <c r="AG316" s="11">
        <v>61</v>
      </c>
      <c r="AH316" s="11">
        <v>61</v>
      </c>
      <c r="AI316" s="11">
        <v>61</v>
      </c>
      <c r="AJ316" s="11">
        <v>61</v>
      </c>
      <c r="AK316" s="11">
        <v>61</v>
      </c>
      <c r="AL316" s="11">
        <v>61</v>
      </c>
      <c r="AM316" s="11">
        <v>61</v>
      </c>
      <c r="AN316" s="72">
        <v>61</v>
      </c>
      <c r="AO316" s="72">
        <v>61</v>
      </c>
      <c r="AP316" s="72">
        <v>61</v>
      </c>
      <c r="AQ316" s="72">
        <v>61</v>
      </c>
      <c r="AR316" s="72">
        <v>61</v>
      </c>
      <c r="AS316" s="72">
        <v>61</v>
      </c>
      <c r="AT316" s="72">
        <v>61</v>
      </c>
      <c r="AU316" s="72">
        <v>61</v>
      </c>
      <c r="AV316" s="72">
        <v>61</v>
      </c>
      <c r="AW316" s="72">
        <v>61</v>
      </c>
      <c r="AX316" s="72">
        <v>61</v>
      </c>
      <c r="AY316" s="72">
        <v>61</v>
      </c>
      <c r="AZ316" s="72">
        <v>61</v>
      </c>
      <c r="BA316" s="72">
        <v>61</v>
      </c>
      <c r="BB316" s="72">
        <v>61</v>
      </c>
      <c r="BC316" s="72">
        <v>61</v>
      </c>
      <c r="BD316" s="72">
        <v>61</v>
      </c>
      <c r="BE316" s="72">
        <v>61</v>
      </c>
      <c r="BF316" s="72">
        <v>61</v>
      </c>
      <c r="BG316" s="72">
        <v>61</v>
      </c>
      <c r="BH316" s="72">
        <v>61</v>
      </c>
      <c r="BI316" s="72">
        <v>61</v>
      </c>
      <c r="BJ316" s="72">
        <v>61</v>
      </c>
      <c r="BK316" s="72">
        <v>61</v>
      </c>
      <c r="BL316" s="72">
        <v>61</v>
      </c>
      <c r="BM316" s="72">
        <v>61</v>
      </c>
      <c r="BN316" s="72">
        <v>61</v>
      </c>
      <c r="BO316" s="72">
        <v>61</v>
      </c>
      <c r="BP316" s="72">
        <v>61</v>
      </c>
      <c r="BQ316" s="72">
        <v>61</v>
      </c>
      <c r="BR316" s="72">
        <v>61</v>
      </c>
      <c r="BS316" s="72">
        <v>61</v>
      </c>
      <c r="BT316" s="72">
        <v>61</v>
      </c>
      <c r="BU316" s="72">
        <v>61</v>
      </c>
      <c r="BV316" s="72">
        <v>61</v>
      </c>
      <c r="BW316" s="72">
        <v>61</v>
      </c>
      <c r="BX316" s="72">
        <v>61</v>
      </c>
      <c r="BY316" s="72">
        <v>61</v>
      </c>
      <c r="BZ316" s="72">
        <v>61</v>
      </c>
      <c r="CA316" s="72">
        <v>61</v>
      </c>
      <c r="CB316" s="72">
        <v>61</v>
      </c>
      <c r="CC316" s="72">
        <v>61</v>
      </c>
      <c r="CD316" s="72">
        <v>61</v>
      </c>
      <c r="CE316" s="72">
        <v>61</v>
      </c>
      <c r="CF316" s="72">
        <v>61</v>
      </c>
      <c r="CG316" s="72">
        <v>61</v>
      </c>
      <c r="CH316" s="72">
        <v>61</v>
      </c>
      <c r="CI316" s="72">
        <v>61</v>
      </c>
      <c r="CJ316" s="72">
        <v>61</v>
      </c>
      <c r="CK316" s="72">
        <v>61</v>
      </c>
      <c r="CL316" s="72">
        <v>61</v>
      </c>
      <c r="CM316" s="72">
        <v>61</v>
      </c>
      <c r="CN316" s="72">
        <v>61</v>
      </c>
      <c r="CO316" s="72">
        <v>61</v>
      </c>
      <c r="CP316" s="72">
        <v>61</v>
      </c>
      <c r="CQ316" s="72">
        <v>61</v>
      </c>
      <c r="CR316" s="72">
        <v>61</v>
      </c>
      <c r="CS316" s="72">
        <v>61</v>
      </c>
      <c r="CT316" s="72">
        <v>61</v>
      </c>
      <c r="CU316" s="72">
        <v>61</v>
      </c>
      <c r="CV316" s="72">
        <v>61</v>
      </c>
      <c r="CW316" s="72">
        <v>61</v>
      </c>
      <c r="CX316" s="72">
        <v>61</v>
      </c>
      <c r="CY316" s="72">
        <v>61</v>
      </c>
      <c r="CZ316" s="72">
        <v>61</v>
      </c>
      <c r="DA316" s="72">
        <v>61</v>
      </c>
      <c r="DB316" s="72">
        <v>61</v>
      </c>
      <c r="DC316" s="72">
        <v>61</v>
      </c>
      <c r="DD316" s="72">
        <v>61</v>
      </c>
      <c r="DE316" s="72">
        <v>61</v>
      </c>
      <c r="DF316" s="72">
        <v>61</v>
      </c>
      <c r="DG316" s="72">
        <v>61</v>
      </c>
      <c r="DH316" s="72">
        <v>61</v>
      </c>
      <c r="DI316" s="72">
        <v>61</v>
      </c>
      <c r="DJ316" s="72">
        <v>61</v>
      </c>
      <c r="DK316" s="72">
        <v>61</v>
      </c>
      <c r="DL316" s="72">
        <v>61</v>
      </c>
      <c r="DM316" s="72">
        <v>61</v>
      </c>
    </row>
    <row r="317" spans="1:117" x14ac:dyDescent="0.35">
      <c r="A317" s="7"/>
      <c r="B317" s="92" t="s">
        <v>1324</v>
      </c>
      <c r="C317" s="9" t="s">
        <v>559</v>
      </c>
      <c r="D317" s="10" t="s">
        <v>549</v>
      </c>
      <c r="E317" s="8" t="s">
        <v>1209</v>
      </c>
      <c r="F317" s="10">
        <v>1101</v>
      </c>
      <c r="G317" s="10" t="s">
        <v>40</v>
      </c>
      <c r="H317" s="10" t="s">
        <v>41</v>
      </c>
      <c r="I317" s="11">
        <v>53</v>
      </c>
      <c r="J317" s="10"/>
      <c r="K317" s="10" t="s">
        <v>556</v>
      </c>
      <c r="L317" s="8"/>
      <c r="M317" s="12"/>
      <c r="N317" s="12">
        <f t="shared" si="6"/>
        <v>0</v>
      </c>
      <c r="O317" s="11">
        <v>53</v>
      </c>
      <c r="P317" s="11">
        <v>53</v>
      </c>
      <c r="Q317" s="11">
        <v>53</v>
      </c>
      <c r="R317" s="11">
        <v>53</v>
      </c>
      <c r="S317" s="11">
        <v>53</v>
      </c>
      <c r="T317" s="11">
        <v>53</v>
      </c>
      <c r="U317" s="11">
        <v>53</v>
      </c>
      <c r="V317" s="11">
        <v>53</v>
      </c>
      <c r="W317" s="11">
        <v>53</v>
      </c>
      <c r="X317" s="11">
        <v>53</v>
      </c>
      <c r="Y317" s="11">
        <v>53</v>
      </c>
      <c r="Z317" s="11">
        <v>53</v>
      </c>
      <c r="AA317" s="11">
        <v>53</v>
      </c>
      <c r="AB317" s="11">
        <v>53</v>
      </c>
      <c r="AC317" s="11">
        <v>53</v>
      </c>
      <c r="AD317" s="11">
        <v>53</v>
      </c>
      <c r="AE317" s="11">
        <v>53</v>
      </c>
      <c r="AF317" s="11">
        <v>53</v>
      </c>
      <c r="AG317" s="11">
        <v>53</v>
      </c>
      <c r="AH317" s="11">
        <v>53</v>
      </c>
      <c r="AI317" s="11">
        <v>53</v>
      </c>
      <c r="AJ317" s="11">
        <v>53</v>
      </c>
      <c r="AK317" s="11">
        <v>53</v>
      </c>
      <c r="AL317" s="11">
        <v>53</v>
      </c>
      <c r="AM317" s="11">
        <v>53</v>
      </c>
      <c r="AN317" s="72">
        <v>53</v>
      </c>
      <c r="AO317" s="72">
        <v>53</v>
      </c>
      <c r="AP317" s="72">
        <v>53</v>
      </c>
      <c r="AQ317" s="72">
        <v>53</v>
      </c>
      <c r="AR317" s="72">
        <v>53</v>
      </c>
      <c r="AS317" s="72">
        <v>53</v>
      </c>
      <c r="AT317" s="72">
        <v>53</v>
      </c>
      <c r="AU317" s="72">
        <v>53</v>
      </c>
      <c r="AV317" s="72">
        <v>53</v>
      </c>
      <c r="AW317" s="72">
        <v>53</v>
      </c>
      <c r="AX317" s="72">
        <v>53</v>
      </c>
      <c r="AY317" s="72">
        <v>53</v>
      </c>
      <c r="AZ317" s="72">
        <v>53</v>
      </c>
      <c r="BA317" s="72">
        <v>53</v>
      </c>
      <c r="BB317" s="72">
        <v>53</v>
      </c>
      <c r="BC317" s="72">
        <v>53</v>
      </c>
      <c r="BD317" s="72">
        <v>53</v>
      </c>
      <c r="BE317" s="72">
        <v>53</v>
      </c>
      <c r="BF317" s="72">
        <v>53</v>
      </c>
      <c r="BG317" s="72">
        <v>53</v>
      </c>
      <c r="BH317" s="72">
        <v>53</v>
      </c>
      <c r="BI317" s="72">
        <v>53</v>
      </c>
      <c r="BJ317" s="72">
        <v>53</v>
      </c>
      <c r="BK317" s="72">
        <v>53</v>
      </c>
      <c r="BL317" s="72">
        <v>53</v>
      </c>
      <c r="BM317" s="72">
        <v>53</v>
      </c>
      <c r="BN317" s="72">
        <v>53</v>
      </c>
      <c r="BO317" s="72">
        <v>53</v>
      </c>
      <c r="BP317" s="72">
        <v>53</v>
      </c>
      <c r="BQ317" s="72">
        <v>53</v>
      </c>
      <c r="BR317" s="72">
        <v>53</v>
      </c>
      <c r="BS317" s="72">
        <v>53</v>
      </c>
      <c r="BT317" s="72">
        <v>53</v>
      </c>
      <c r="BU317" s="72">
        <v>53</v>
      </c>
      <c r="BV317" s="72">
        <v>53</v>
      </c>
      <c r="BW317" s="72">
        <v>53</v>
      </c>
      <c r="BX317" s="72">
        <v>53</v>
      </c>
      <c r="BY317" s="72">
        <v>53</v>
      </c>
      <c r="BZ317" s="72">
        <v>53</v>
      </c>
      <c r="CA317" s="72">
        <v>53</v>
      </c>
      <c r="CB317" s="72">
        <v>53</v>
      </c>
      <c r="CC317" s="72">
        <v>53</v>
      </c>
      <c r="CD317" s="72">
        <v>53</v>
      </c>
      <c r="CE317" s="72">
        <v>53</v>
      </c>
      <c r="CF317" s="72">
        <v>53</v>
      </c>
      <c r="CG317" s="72">
        <v>53</v>
      </c>
      <c r="CH317" s="72">
        <v>53</v>
      </c>
      <c r="CI317" s="72">
        <v>53</v>
      </c>
      <c r="CJ317" s="72">
        <v>53</v>
      </c>
      <c r="CK317" s="72">
        <v>53</v>
      </c>
      <c r="CL317" s="72">
        <v>53</v>
      </c>
      <c r="CM317" s="72">
        <v>53</v>
      </c>
      <c r="CN317" s="72">
        <v>53</v>
      </c>
      <c r="CO317" s="72">
        <v>53</v>
      </c>
      <c r="CP317" s="72">
        <v>53</v>
      </c>
      <c r="CQ317" s="72">
        <v>53</v>
      </c>
      <c r="CR317" s="72">
        <v>53</v>
      </c>
      <c r="CS317" s="72">
        <v>53</v>
      </c>
      <c r="CT317" s="72">
        <v>53</v>
      </c>
      <c r="CU317" s="72">
        <v>53</v>
      </c>
      <c r="CV317" s="72">
        <v>53</v>
      </c>
      <c r="CW317" s="72">
        <v>53</v>
      </c>
      <c r="CX317" s="72">
        <v>53</v>
      </c>
      <c r="CY317" s="72">
        <v>53</v>
      </c>
      <c r="CZ317" s="72">
        <v>53</v>
      </c>
      <c r="DA317" s="72">
        <v>53</v>
      </c>
      <c r="DB317" s="72">
        <v>53</v>
      </c>
      <c r="DC317" s="72">
        <v>53</v>
      </c>
      <c r="DD317" s="72">
        <v>53</v>
      </c>
      <c r="DE317" s="72">
        <v>53</v>
      </c>
      <c r="DF317" s="72">
        <v>53</v>
      </c>
      <c r="DG317" s="72">
        <v>53</v>
      </c>
      <c r="DH317" s="72">
        <v>53</v>
      </c>
      <c r="DI317" s="72">
        <v>53</v>
      </c>
      <c r="DJ317" s="72">
        <v>53</v>
      </c>
      <c r="DK317" s="72">
        <v>53</v>
      </c>
      <c r="DL317" s="72">
        <v>53</v>
      </c>
      <c r="DM317" s="72">
        <v>53</v>
      </c>
    </row>
    <row r="318" spans="1:117" x14ac:dyDescent="0.35">
      <c r="A318" s="7"/>
      <c r="B318" s="92" t="s">
        <v>1325</v>
      </c>
      <c r="C318" s="9" t="s">
        <v>560</v>
      </c>
      <c r="D318" s="10" t="s">
        <v>549</v>
      </c>
      <c r="E318" s="8" t="s">
        <v>1209</v>
      </c>
      <c r="F318" s="10">
        <v>1101</v>
      </c>
      <c r="G318" s="10" t="s">
        <v>40</v>
      </c>
      <c r="H318" s="10" t="s">
        <v>41</v>
      </c>
      <c r="I318" s="11">
        <v>28</v>
      </c>
      <c r="J318" s="10"/>
      <c r="K318" s="10" t="s">
        <v>556</v>
      </c>
      <c r="L318" s="8"/>
      <c r="M318" s="12"/>
      <c r="N318" s="12">
        <f t="shared" si="6"/>
        <v>0</v>
      </c>
      <c r="O318" s="11">
        <v>28</v>
      </c>
      <c r="P318" s="11">
        <v>28</v>
      </c>
      <c r="Q318" s="11">
        <v>28</v>
      </c>
      <c r="R318" s="11">
        <v>28</v>
      </c>
      <c r="S318" s="11">
        <v>28</v>
      </c>
      <c r="T318" s="11">
        <v>28</v>
      </c>
      <c r="U318" s="11">
        <v>28</v>
      </c>
      <c r="V318" s="11">
        <v>28</v>
      </c>
      <c r="W318" s="11">
        <v>28</v>
      </c>
      <c r="X318" s="11">
        <v>28</v>
      </c>
      <c r="Y318" s="11">
        <v>28</v>
      </c>
      <c r="Z318" s="11">
        <v>28</v>
      </c>
      <c r="AA318" s="11">
        <v>28</v>
      </c>
      <c r="AB318" s="11">
        <v>28</v>
      </c>
      <c r="AC318" s="11">
        <v>28</v>
      </c>
      <c r="AD318" s="11">
        <v>28</v>
      </c>
      <c r="AE318" s="11">
        <v>28</v>
      </c>
      <c r="AF318" s="11">
        <v>28</v>
      </c>
      <c r="AG318" s="11">
        <v>28</v>
      </c>
      <c r="AH318" s="11">
        <v>28</v>
      </c>
      <c r="AI318" s="11">
        <v>28</v>
      </c>
      <c r="AJ318" s="11">
        <v>28</v>
      </c>
      <c r="AK318" s="11">
        <v>28</v>
      </c>
      <c r="AL318" s="11">
        <v>28</v>
      </c>
      <c r="AM318" s="11">
        <v>28</v>
      </c>
      <c r="AN318" s="72">
        <v>28</v>
      </c>
      <c r="AO318" s="72">
        <v>28</v>
      </c>
      <c r="AP318" s="72">
        <v>28</v>
      </c>
      <c r="AQ318" s="72">
        <v>28</v>
      </c>
      <c r="AR318" s="72">
        <v>28</v>
      </c>
      <c r="AS318" s="72">
        <v>28</v>
      </c>
      <c r="AT318" s="72">
        <v>28</v>
      </c>
      <c r="AU318" s="72">
        <v>28</v>
      </c>
      <c r="AV318" s="72">
        <v>28</v>
      </c>
      <c r="AW318" s="72">
        <v>28</v>
      </c>
      <c r="AX318" s="72">
        <v>28</v>
      </c>
      <c r="AY318" s="72">
        <v>28</v>
      </c>
      <c r="AZ318" s="72">
        <v>28</v>
      </c>
      <c r="BA318" s="72">
        <v>28</v>
      </c>
      <c r="BB318" s="72">
        <v>28</v>
      </c>
      <c r="BC318" s="72">
        <v>28</v>
      </c>
      <c r="BD318" s="72">
        <v>28</v>
      </c>
      <c r="BE318" s="72">
        <v>28</v>
      </c>
      <c r="BF318" s="72">
        <v>28</v>
      </c>
      <c r="BG318" s="72">
        <v>28</v>
      </c>
      <c r="BH318" s="72">
        <v>28</v>
      </c>
      <c r="BI318" s="72">
        <v>28</v>
      </c>
      <c r="BJ318" s="72">
        <v>28</v>
      </c>
      <c r="BK318" s="72">
        <v>28</v>
      </c>
      <c r="BL318" s="72">
        <v>28</v>
      </c>
      <c r="BM318" s="72">
        <v>28</v>
      </c>
      <c r="BN318" s="72">
        <v>28</v>
      </c>
      <c r="BO318" s="72">
        <v>28</v>
      </c>
      <c r="BP318" s="72">
        <v>28</v>
      </c>
      <c r="BQ318" s="72">
        <v>28</v>
      </c>
      <c r="BR318" s="72">
        <v>28</v>
      </c>
      <c r="BS318" s="72">
        <v>28</v>
      </c>
      <c r="BT318" s="72">
        <v>28</v>
      </c>
      <c r="BU318" s="72">
        <v>28</v>
      </c>
      <c r="BV318" s="72">
        <v>28</v>
      </c>
      <c r="BW318" s="72">
        <v>28</v>
      </c>
      <c r="BX318" s="72">
        <v>28</v>
      </c>
      <c r="BY318" s="72">
        <v>28</v>
      </c>
      <c r="BZ318" s="72">
        <v>28</v>
      </c>
      <c r="CA318" s="72">
        <v>28</v>
      </c>
      <c r="CB318" s="72">
        <v>28</v>
      </c>
      <c r="CC318" s="72">
        <v>28</v>
      </c>
      <c r="CD318" s="72">
        <v>28</v>
      </c>
      <c r="CE318" s="72">
        <v>28</v>
      </c>
      <c r="CF318" s="72">
        <v>28</v>
      </c>
      <c r="CG318" s="72">
        <v>28</v>
      </c>
      <c r="CH318" s="72">
        <v>28</v>
      </c>
      <c r="CI318" s="72">
        <v>28</v>
      </c>
      <c r="CJ318" s="72">
        <v>28</v>
      </c>
      <c r="CK318" s="72">
        <v>28</v>
      </c>
      <c r="CL318" s="72">
        <v>28</v>
      </c>
      <c r="CM318" s="72">
        <v>28</v>
      </c>
      <c r="CN318" s="72">
        <v>28</v>
      </c>
      <c r="CO318" s="72">
        <v>28</v>
      </c>
      <c r="CP318" s="72">
        <v>28</v>
      </c>
      <c r="CQ318" s="72">
        <v>28</v>
      </c>
      <c r="CR318" s="72">
        <v>28</v>
      </c>
      <c r="CS318" s="72">
        <v>28</v>
      </c>
      <c r="CT318" s="72">
        <v>28</v>
      </c>
      <c r="CU318" s="72">
        <v>28</v>
      </c>
      <c r="CV318" s="72">
        <v>28</v>
      </c>
      <c r="CW318" s="72">
        <v>28</v>
      </c>
      <c r="CX318" s="72">
        <v>28</v>
      </c>
      <c r="CY318" s="72">
        <v>28</v>
      </c>
      <c r="CZ318" s="72">
        <v>28</v>
      </c>
      <c r="DA318" s="72">
        <v>28</v>
      </c>
      <c r="DB318" s="72">
        <v>28</v>
      </c>
      <c r="DC318" s="72">
        <v>28</v>
      </c>
      <c r="DD318" s="72">
        <v>28</v>
      </c>
      <c r="DE318" s="72">
        <v>28</v>
      </c>
      <c r="DF318" s="72">
        <v>28</v>
      </c>
      <c r="DG318" s="72">
        <v>28</v>
      </c>
      <c r="DH318" s="72">
        <v>28</v>
      </c>
      <c r="DI318" s="72">
        <v>28</v>
      </c>
      <c r="DJ318" s="72">
        <v>28</v>
      </c>
      <c r="DK318" s="72">
        <v>28</v>
      </c>
      <c r="DL318" s="72">
        <v>28</v>
      </c>
      <c r="DM318" s="72">
        <v>28</v>
      </c>
    </row>
    <row r="319" spans="1:117" x14ac:dyDescent="0.35">
      <c r="A319" s="7"/>
      <c r="B319" s="92" t="s">
        <v>1326</v>
      </c>
      <c r="C319" s="9" t="s">
        <v>561</v>
      </c>
      <c r="D319" s="10" t="s">
        <v>549</v>
      </c>
      <c r="E319" s="8" t="s">
        <v>1209</v>
      </c>
      <c r="F319" s="10">
        <v>1101</v>
      </c>
      <c r="G319" s="10" t="s">
        <v>40</v>
      </c>
      <c r="H319" s="10" t="s">
        <v>41</v>
      </c>
      <c r="I319" s="11">
        <v>267</v>
      </c>
      <c r="J319" s="10"/>
      <c r="K319" s="10" t="s">
        <v>556</v>
      </c>
      <c r="L319" s="8"/>
      <c r="M319" s="12"/>
      <c r="N319" s="12">
        <f t="shared" si="6"/>
        <v>0</v>
      </c>
      <c r="O319" s="11">
        <v>267</v>
      </c>
      <c r="P319" s="11">
        <v>267</v>
      </c>
      <c r="Q319" s="11">
        <v>267</v>
      </c>
      <c r="R319" s="11">
        <v>267</v>
      </c>
      <c r="S319" s="11">
        <v>267</v>
      </c>
      <c r="T319" s="11">
        <v>267</v>
      </c>
      <c r="U319" s="11">
        <v>267</v>
      </c>
      <c r="V319" s="11">
        <v>267</v>
      </c>
      <c r="W319" s="11">
        <v>267</v>
      </c>
      <c r="X319" s="11">
        <v>267</v>
      </c>
      <c r="Y319" s="11">
        <v>267</v>
      </c>
      <c r="Z319" s="11">
        <v>267</v>
      </c>
      <c r="AA319" s="11">
        <v>267</v>
      </c>
      <c r="AB319" s="11">
        <v>267</v>
      </c>
      <c r="AC319" s="11">
        <v>267</v>
      </c>
      <c r="AD319" s="11">
        <v>267</v>
      </c>
      <c r="AE319" s="11">
        <v>267</v>
      </c>
      <c r="AF319" s="11">
        <v>267</v>
      </c>
      <c r="AG319" s="11">
        <v>267</v>
      </c>
      <c r="AH319" s="11">
        <v>267</v>
      </c>
      <c r="AI319" s="11">
        <v>267</v>
      </c>
      <c r="AJ319" s="11">
        <v>267</v>
      </c>
      <c r="AK319" s="11">
        <v>267</v>
      </c>
      <c r="AL319" s="11">
        <v>267</v>
      </c>
      <c r="AM319" s="11">
        <v>267</v>
      </c>
      <c r="AN319" s="72">
        <v>267</v>
      </c>
      <c r="AO319" s="72">
        <v>267</v>
      </c>
      <c r="AP319" s="72">
        <v>267</v>
      </c>
      <c r="AQ319" s="72">
        <v>267</v>
      </c>
      <c r="AR319" s="72">
        <v>267</v>
      </c>
      <c r="AS319" s="72">
        <v>267</v>
      </c>
      <c r="AT319" s="72">
        <v>267</v>
      </c>
      <c r="AU319" s="72">
        <v>267</v>
      </c>
      <c r="AV319" s="72">
        <v>267</v>
      </c>
      <c r="AW319" s="72">
        <v>267</v>
      </c>
      <c r="AX319" s="72">
        <v>267</v>
      </c>
      <c r="AY319" s="72">
        <v>267</v>
      </c>
      <c r="AZ319" s="72">
        <v>267</v>
      </c>
      <c r="BA319" s="72">
        <v>267</v>
      </c>
      <c r="BB319" s="72">
        <v>267</v>
      </c>
      <c r="BC319" s="72">
        <v>267</v>
      </c>
      <c r="BD319" s="72">
        <v>267</v>
      </c>
      <c r="BE319" s="72">
        <v>267</v>
      </c>
      <c r="BF319" s="72">
        <v>267</v>
      </c>
      <c r="BG319" s="72">
        <v>267</v>
      </c>
      <c r="BH319" s="72">
        <v>267</v>
      </c>
      <c r="BI319" s="72">
        <v>267</v>
      </c>
      <c r="BJ319" s="72">
        <v>267</v>
      </c>
      <c r="BK319" s="72">
        <v>267</v>
      </c>
      <c r="BL319" s="72">
        <v>267</v>
      </c>
      <c r="BM319" s="72">
        <v>267</v>
      </c>
      <c r="BN319" s="72">
        <v>267</v>
      </c>
      <c r="BO319" s="72">
        <v>267</v>
      </c>
      <c r="BP319" s="72">
        <v>267</v>
      </c>
      <c r="BQ319" s="72">
        <v>267</v>
      </c>
      <c r="BR319" s="72">
        <v>267</v>
      </c>
      <c r="BS319" s="72">
        <v>267</v>
      </c>
      <c r="BT319" s="72">
        <v>267</v>
      </c>
      <c r="BU319" s="72">
        <v>267</v>
      </c>
      <c r="BV319" s="72">
        <v>267</v>
      </c>
      <c r="BW319" s="72">
        <v>267</v>
      </c>
      <c r="BX319" s="72">
        <v>267</v>
      </c>
      <c r="BY319" s="72">
        <v>267</v>
      </c>
      <c r="BZ319" s="72">
        <v>267</v>
      </c>
      <c r="CA319" s="72">
        <v>267</v>
      </c>
      <c r="CB319" s="72">
        <v>267</v>
      </c>
      <c r="CC319" s="72">
        <v>267</v>
      </c>
      <c r="CD319" s="72">
        <v>267</v>
      </c>
      <c r="CE319" s="72">
        <v>267</v>
      </c>
      <c r="CF319" s="72">
        <v>267</v>
      </c>
      <c r="CG319" s="72">
        <v>267</v>
      </c>
      <c r="CH319" s="72">
        <v>267</v>
      </c>
      <c r="CI319" s="72">
        <v>267</v>
      </c>
      <c r="CJ319" s="72">
        <v>267</v>
      </c>
      <c r="CK319" s="72">
        <v>267</v>
      </c>
      <c r="CL319" s="72">
        <v>267</v>
      </c>
      <c r="CM319" s="72">
        <v>267</v>
      </c>
      <c r="CN319" s="72">
        <v>267</v>
      </c>
      <c r="CO319" s="72">
        <v>267</v>
      </c>
      <c r="CP319" s="72">
        <v>267</v>
      </c>
      <c r="CQ319" s="72">
        <v>267</v>
      </c>
      <c r="CR319" s="72">
        <v>267</v>
      </c>
      <c r="CS319" s="72">
        <v>267</v>
      </c>
      <c r="CT319" s="72">
        <v>267</v>
      </c>
      <c r="CU319" s="72">
        <v>267</v>
      </c>
      <c r="CV319" s="72">
        <v>267</v>
      </c>
      <c r="CW319" s="72">
        <v>267</v>
      </c>
      <c r="CX319" s="72">
        <v>267</v>
      </c>
      <c r="CY319" s="72">
        <v>267</v>
      </c>
      <c r="CZ319" s="72">
        <v>267</v>
      </c>
      <c r="DA319" s="72">
        <v>267</v>
      </c>
      <c r="DB319" s="72">
        <v>267</v>
      </c>
      <c r="DC319" s="72">
        <v>267</v>
      </c>
      <c r="DD319" s="72">
        <v>267</v>
      </c>
      <c r="DE319" s="72">
        <v>267</v>
      </c>
      <c r="DF319" s="72">
        <v>267</v>
      </c>
      <c r="DG319" s="72">
        <v>267</v>
      </c>
      <c r="DH319" s="72">
        <v>267</v>
      </c>
      <c r="DI319" s="72">
        <v>267</v>
      </c>
      <c r="DJ319" s="72">
        <v>267</v>
      </c>
      <c r="DK319" s="72">
        <v>267</v>
      </c>
      <c r="DL319" s="72">
        <v>267</v>
      </c>
      <c r="DM319" s="72">
        <v>267</v>
      </c>
    </row>
    <row r="320" spans="1:117" x14ac:dyDescent="0.35">
      <c r="A320" s="7"/>
      <c r="B320" s="92" t="s">
        <v>1327</v>
      </c>
      <c r="C320" s="8" t="s">
        <v>562</v>
      </c>
      <c r="D320" s="10" t="s">
        <v>549</v>
      </c>
      <c r="E320" s="8" t="s">
        <v>1219</v>
      </c>
      <c r="F320" s="10">
        <v>1102</v>
      </c>
      <c r="G320" s="10" t="s">
        <v>40</v>
      </c>
      <c r="H320" s="10" t="s">
        <v>41</v>
      </c>
      <c r="I320" s="11">
        <v>2</v>
      </c>
      <c r="J320" s="10"/>
      <c r="K320" s="10" t="s">
        <v>563</v>
      </c>
      <c r="L320" s="8"/>
      <c r="M320" s="12"/>
      <c r="N320" s="12">
        <f t="shared" si="6"/>
        <v>0</v>
      </c>
      <c r="O320" s="11">
        <v>2</v>
      </c>
      <c r="P320" s="11">
        <v>2</v>
      </c>
      <c r="Q320" s="11">
        <v>2</v>
      </c>
      <c r="R320" s="11">
        <v>2</v>
      </c>
      <c r="S320" s="11">
        <v>2</v>
      </c>
      <c r="T320" s="11">
        <v>2</v>
      </c>
      <c r="U320" s="11">
        <v>2</v>
      </c>
      <c r="V320" s="11">
        <v>2</v>
      </c>
      <c r="W320" s="11">
        <v>2</v>
      </c>
      <c r="X320" s="11">
        <v>2</v>
      </c>
      <c r="Y320" s="11">
        <v>2</v>
      </c>
      <c r="Z320" s="11">
        <v>2</v>
      </c>
      <c r="AA320" s="11">
        <v>2</v>
      </c>
      <c r="AB320" s="11">
        <v>2</v>
      </c>
      <c r="AC320" s="11">
        <v>2</v>
      </c>
      <c r="AD320" s="11">
        <v>2</v>
      </c>
      <c r="AE320" s="11">
        <v>2</v>
      </c>
      <c r="AF320" s="11">
        <v>2</v>
      </c>
      <c r="AG320" s="11">
        <v>2</v>
      </c>
      <c r="AH320" s="11">
        <v>2</v>
      </c>
      <c r="AI320" s="11">
        <v>2</v>
      </c>
      <c r="AJ320" s="11">
        <v>2</v>
      </c>
      <c r="AK320" s="11">
        <v>2</v>
      </c>
      <c r="AL320" s="11">
        <v>2</v>
      </c>
      <c r="AM320" s="11">
        <v>2</v>
      </c>
      <c r="AN320" s="72">
        <v>2</v>
      </c>
      <c r="AO320" s="72">
        <v>2</v>
      </c>
      <c r="AP320" s="72">
        <v>2</v>
      </c>
      <c r="AQ320" s="72">
        <v>2</v>
      </c>
      <c r="AR320" s="72">
        <v>2</v>
      </c>
      <c r="AS320" s="72">
        <v>2</v>
      </c>
      <c r="AT320" s="72">
        <v>2</v>
      </c>
      <c r="AU320" s="72">
        <v>2</v>
      </c>
      <c r="AV320" s="72">
        <v>2</v>
      </c>
      <c r="AW320" s="72">
        <v>2</v>
      </c>
      <c r="AX320" s="72">
        <v>2</v>
      </c>
      <c r="AY320" s="72">
        <v>2</v>
      </c>
      <c r="AZ320" s="72">
        <v>2</v>
      </c>
      <c r="BA320" s="72">
        <v>2</v>
      </c>
      <c r="BB320" s="72">
        <v>2</v>
      </c>
      <c r="BC320" s="72">
        <v>2</v>
      </c>
      <c r="BD320" s="72">
        <v>2</v>
      </c>
      <c r="BE320" s="72">
        <v>2</v>
      </c>
      <c r="BF320" s="72">
        <v>2</v>
      </c>
      <c r="BG320" s="72">
        <v>2</v>
      </c>
      <c r="BH320" s="72">
        <v>3</v>
      </c>
      <c r="BI320" s="72">
        <v>3</v>
      </c>
      <c r="BJ320" s="72">
        <v>3</v>
      </c>
      <c r="BK320" s="72">
        <v>3</v>
      </c>
      <c r="BL320" s="72">
        <v>3</v>
      </c>
      <c r="BM320" s="72">
        <v>3</v>
      </c>
      <c r="BN320" s="72">
        <v>3</v>
      </c>
      <c r="BO320" s="72">
        <v>3</v>
      </c>
      <c r="BP320" s="72">
        <v>3</v>
      </c>
      <c r="BQ320" s="72">
        <v>3</v>
      </c>
      <c r="BR320" s="72">
        <v>3</v>
      </c>
      <c r="BS320" s="72">
        <v>3</v>
      </c>
      <c r="BT320" s="72">
        <v>3</v>
      </c>
      <c r="BU320" s="72">
        <v>3</v>
      </c>
      <c r="BV320" s="72">
        <v>3</v>
      </c>
      <c r="BW320" s="72">
        <v>3</v>
      </c>
      <c r="BX320" s="72">
        <v>3</v>
      </c>
      <c r="BY320" s="72">
        <v>3</v>
      </c>
      <c r="BZ320" s="72">
        <v>3</v>
      </c>
      <c r="CA320" s="72">
        <v>3</v>
      </c>
      <c r="CB320" s="72">
        <v>3</v>
      </c>
      <c r="CC320" s="72">
        <v>3</v>
      </c>
      <c r="CD320" s="72">
        <v>3</v>
      </c>
      <c r="CE320" s="72">
        <v>3</v>
      </c>
      <c r="CF320" s="72">
        <v>3</v>
      </c>
      <c r="CG320" s="72">
        <v>3</v>
      </c>
      <c r="CH320" s="72">
        <v>3</v>
      </c>
      <c r="CI320" s="72">
        <v>3</v>
      </c>
      <c r="CJ320" s="72">
        <v>3</v>
      </c>
      <c r="CK320" s="72">
        <v>3</v>
      </c>
      <c r="CL320" s="72">
        <v>3</v>
      </c>
      <c r="CM320" s="72">
        <v>3</v>
      </c>
      <c r="CN320" s="72">
        <v>3</v>
      </c>
      <c r="CO320" s="72">
        <v>3</v>
      </c>
      <c r="CP320" s="72">
        <v>3</v>
      </c>
      <c r="CQ320" s="72">
        <v>3</v>
      </c>
      <c r="CR320" s="72">
        <v>3</v>
      </c>
      <c r="CS320" s="72">
        <v>3</v>
      </c>
      <c r="CT320" s="72">
        <v>3</v>
      </c>
      <c r="CU320" s="72">
        <v>3</v>
      </c>
      <c r="CV320" s="72">
        <v>3</v>
      </c>
      <c r="CW320" s="72">
        <v>3</v>
      </c>
      <c r="CX320" s="72">
        <v>3</v>
      </c>
      <c r="CY320" s="72">
        <v>3</v>
      </c>
      <c r="CZ320" s="72">
        <v>3</v>
      </c>
      <c r="DA320" s="72">
        <v>3</v>
      </c>
      <c r="DB320" s="72">
        <v>3</v>
      </c>
      <c r="DC320" s="72">
        <v>3</v>
      </c>
      <c r="DD320" s="72">
        <v>3</v>
      </c>
      <c r="DE320" s="72">
        <v>3</v>
      </c>
      <c r="DF320" s="72">
        <v>3</v>
      </c>
      <c r="DG320" s="72">
        <v>3</v>
      </c>
      <c r="DH320" s="72">
        <v>3</v>
      </c>
      <c r="DI320" s="72">
        <v>3</v>
      </c>
      <c r="DJ320" s="72">
        <v>3</v>
      </c>
      <c r="DK320" s="72">
        <v>3</v>
      </c>
      <c r="DL320" s="72">
        <v>3</v>
      </c>
      <c r="DM320" s="72">
        <v>3</v>
      </c>
    </row>
    <row r="321" spans="1:117" x14ac:dyDescent="0.35">
      <c r="A321" s="7"/>
      <c r="B321" s="92" t="s">
        <v>1328</v>
      </c>
      <c r="C321" s="8" t="s">
        <v>564</v>
      </c>
      <c r="D321" s="10" t="s">
        <v>549</v>
      </c>
      <c r="E321" s="8" t="s">
        <v>1219</v>
      </c>
      <c r="F321" s="10">
        <v>1102</v>
      </c>
      <c r="G321" s="10" t="s">
        <v>40</v>
      </c>
      <c r="H321" s="10" t="s">
        <v>41</v>
      </c>
      <c r="I321" s="11">
        <v>2</v>
      </c>
      <c r="J321" s="10"/>
      <c r="K321" s="10" t="s">
        <v>563</v>
      </c>
      <c r="L321" s="8"/>
      <c r="M321" s="12"/>
      <c r="N321" s="12">
        <f t="shared" si="6"/>
        <v>0</v>
      </c>
      <c r="O321" s="11">
        <v>2</v>
      </c>
      <c r="P321" s="11">
        <v>2</v>
      </c>
      <c r="Q321" s="11">
        <v>2</v>
      </c>
      <c r="R321" s="11">
        <v>2</v>
      </c>
      <c r="S321" s="11">
        <v>2</v>
      </c>
      <c r="T321" s="11">
        <v>2</v>
      </c>
      <c r="U321" s="11">
        <v>2</v>
      </c>
      <c r="V321" s="11">
        <v>2</v>
      </c>
      <c r="W321" s="11">
        <v>2</v>
      </c>
      <c r="X321" s="11">
        <v>2</v>
      </c>
      <c r="Y321" s="11">
        <v>2</v>
      </c>
      <c r="Z321" s="11">
        <v>2</v>
      </c>
      <c r="AA321" s="11">
        <v>2</v>
      </c>
      <c r="AB321" s="11">
        <v>2</v>
      </c>
      <c r="AC321" s="11">
        <v>2</v>
      </c>
      <c r="AD321" s="11">
        <v>2</v>
      </c>
      <c r="AE321" s="11">
        <v>2</v>
      </c>
      <c r="AF321" s="11">
        <v>2</v>
      </c>
      <c r="AG321" s="11">
        <v>2</v>
      </c>
      <c r="AH321" s="11">
        <v>2</v>
      </c>
      <c r="AI321" s="11">
        <v>2</v>
      </c>
      <c r="AJ321" s="11">
        <v>2</v>
      </c>
      <c r="AK321" s="11">
        <v>2</v>
      </c>
      <c r="AL321" s="11">
        <v>2</v>
      </c>
      <c r="AM321" s="11">
        <v>2</v>
      </c>
      <c r="AN321" s="72">
        <v>2</v>
      </c>
      <c r="AO321" s="72">
        <v>2</v>
      </c>
      <c r="AP321" s="72">
        <v>2</v>
      </c>
      <c r="AQ321" s="72">
        <v>2</v>
      </c>
      <c r="AR321" s="72">
        <v>2</v>
      </c>
      <c r="AS321" s="72">
        <v>2</v>
      </c>
      <c r="AT321" s="72">
        <v>2</v>
      </c>
      <c r="AU321" s="72">
        <v>2</v>
      </c>
      <c r="AV321" s="72">
        <v>2</v>
      </c>
      <c r="AW321" s="72">
        <v>2</v>
      </c>
      <c r="AX321" s="72">
        <v>2</v>
      </c>
      <c r="AY321" s="72">
        <v>2</v>
      </c>
      <c r="AZ321" s="72">
        <v>2</v>
      </c>
      <c r="BA321" s="72">
        <v>2</v>
      </c>
      <c r="BB321" s="72">
        <v>2</v>
      </c>
      <c r="BC321" s="72">
        <v>2</v>
      </c>
      <c r="BD321" s="72">
        <v>2</v>
      </c>
      <c r="BE321" s="72">
        <v>2</v>
      </c>
      <c r="BF321" s="72">
        <v>2</v>
      </c>
      <c r="BG321" s="72">
        <v>2</v>
      </c>
      <c r="BH321" s="72">
        <v>2</v>
      </c>
      <c r="BI321" s="72">
        <v>2</v>
      </c>
      <c r="BJ321" s="72">
        <v>2</v>
      </c>
      <c r="BK321" s="72">
        <v>2</v>
      </c>
      <c r="BL321" s="72">
        <v>2</v>
      </c>
      <c r="BM321" s="72">
        <v>2</v>
      </c>
      <c r="BN321" s="72">
        <v>2</v>
      </c>
      <c r="BO321" s="72">
        <v>2</v>
      </c>
      <c r="BP321" s="72">
        <v>2</v>
      </c>
      <c r="BQ321" s="72">
        <v>2</v>
      </c>
      <c r="BR321" s="72">
        <v>2</v>
      </c>
      <c r="BS321" s="72">
        <v>2</v>
      </c>
      <c r="BT321" s="72">
        <v>2</v>
      </c>
      <c r="BU321" s="72">
        <v>2</v>
      </c>
      <c r="BV321" s="72">
        <v>2</v>
      </c>
      <c r="BW321" s="72">
        <v>2</v>
      </c>
      <c r="BX321" s="72">
        <v>2</v>
      </c>
      <c r="BY321" s="72">
        <v>2</v>
      </c>
      <c r="BZ321" s="72">
        <v>2</v>
      </c>
      <c r="CA321" s="72">
        <v>2</v>
      </c>
      <c r="CB321" s="72">
        <v>2</v>
      </c>
      <c r="CC321" s="72">
        <v>2</v>
      </c>
      <c r="CD321" s="72">
        <v>2</v>
      </c>
      <c r="CE321" s="72">
        <v>2</v>
      </c>
      <c r="CF321" s="72">
        <v>2</v>
      </c>
      <c r="CG321" s="72">
        <v>2</v>
      </c>
      <c r="CH321" s="72">
        <v>2</v>
      </c>
      <c r="CI321" s="72">
        <v>2</v>
      </c>
      <c r="CJ321" s="72">
        <v>2</v>
      </c>
      <c r="CK321" s="72">
        <v>2</v>
      </c>
      <c r="CL321" s="72">
        <v>2</v>
      </c>
      <c r="CM321" s="72">
        <v>2</v>
      </c>
      <c r="CN321" s="72">
        <v>2</v>
      </c>
      <c r="CO321" s="72">
        <v>2</v>
      </c>
      <c r="CP321" s="72">
        <v>2</v>
      </c>
      <c r="CQ321" s="72">
        <v>2</v>
      </c>
      <c r="CR321" s="72">
        <v>2</v>
      </c>
      <c r="CS321" s="72">
        <v>2</v>
      </c>
      <c r="CT321" s="72">
        <v>2</v>
      </c>
      <c r="CU321" s="72">
        <v>2</v>
      </c>
      <c r="CV321" s="72">
        <v>2</v>
      </c>
      <c r="CW321" s="72">
        <v>2</v>
      </c>
      <c r="CX321" s="72">
        <v>2</v>
      </c>
      <c r="CY321" s="72">
        <v>2</v>
      </c>
      <c r="CZ321" s="72">
        <v>2</v>
      </c>
      <c r="DA321" s="72">
        <v>2</v>
      </c>
      <c r="DB321" s="72">
        <v>2</v>
      </c>
      <c r="DC321" s="72">
        <v>2</v>
      </c>
      <c r="DD321" s="72">
        <v>2</v>
      </c>
      <c r="DE321" s="72">
        <v>2</v>
      </c>
      <c r="DF321" s="72">
        <v>2</v>
      </c>
      <c r="DG321" s="72">
        <v>2</v>
      </c>
      <c r="DH321" s="72">
        <v>2</v>
      </c>
      <c r="DI321" s="72">
        <v>2</v>
      </c>
      <c r="DJ321" s="72">
        <v>2</v>
      </c>
      <c r="DK321" s="72">
        <v>2</v>
      </c>
      <c r="DL321" s="72">
        <v>2</v>
      </c>
      <c r="DM321" s="72">
        <v>2</v>
      </c>
    </row>
    <row r="322" spans="1:117" x14ac:dyDescent="0.35">
      <c r="A322" s="7"/>
      <c r="B322" s="92" t="s">
        <v>1329</v>
      </c>
      <c r="C322" s="8" t="s">
        <v>565</v>
      </c>
      <c r="D322" s="10" t="s">
        <v>549</v>
      </c>
      <c r="E322" s="8" t="s">
        <v>1208</v>
      </c>
      <c r="F322" s="10">
        <v>1102</v>
      </c>
      <c r="G322" s="10" t="s">
        <v>40</v>
      </c>
      <c r="H322" s="10" t="s">
        <v>41</v>
      </c>
      <c r="I322" s="11">
        <v>7</v>
      </c>
      <c r="J322" s="10"/>
      <c r="K322" s="10" t="s">
        <v>566</v>
      </c>
      <c r="L322" s="8"/>
      <c r="M322" s="12"/>
      <c r="N322" s="12">
        <f t="shared" si="6"/>
        <v>0</v>
      </c>
      <c r="O322" s="11">
        <v>7</v>
      </c>
      <c r="P322" s="11">
        <v>7</v>
      </c>
      <c r="Q322" s="11">
        <v>7</v>
      </c>
      <c r="R322" s="11">
        <v>7</v>
      </c>
      <c r="S322" s="11">
        <v>7</v>
      </c>
      <c r="T322" s="11">
        <v>7</v>
      </c>
      <c r="U322" s="11">
        <v>7</v>
      </c>
      <c r="V322" s="11">
        <v>7</v>
      </c>
      <c r="W322" s="11">
        <v>7</v>
      </c>
      <c r="X322" s="11">
        <v>7</v>
      </c>
      <c r="Y322" s="11">
        <v>7</v>
      </c>
      <c r="Z322" s="11">
        <v>7</v>
      </c>
      <c r="AA322" s="11">
        <v>7</v>
      </c>
      <c r="AB322" s="11">
        <v>7</v>
      </c>
      <c r="AC322" s="11">
        <v>7</v>
      </c>
      <c r="AD322" s="11">
        <v>7</v>
      </c>
      <c r="AE322" s="11">
        <v>7</v>
      </c>
      <c r="AF322" s="11">
        <v>7</v>
      </c>
      <c r="AG322" s="11">
        <v>7</v>
      </c>
      <c r="AH322" s="11">
        <v>7</v>
      </c>
      <c r="AI322" s="11">
        <v>7</v>
      </c>
      <c r="AJ322" s="11">
        <v>7</v>
      </c>
      <c r="AK322" s="11">
        <v>7</v>
      </c>
      <c r="AL322" s="11">
        <v>7</v>
      </c>
      <c r="AM322" s="11">
        <v>7</v>
      </c>
      <c r="AN322" s="72">
        <v>7</v>
      </c>
      <c r="AO322" s="72">
        <v>7</v>
      </c>
      <c r="AP322" s="72">
        <v>7</v>
      </c>
      <c r="AQ322" s="72">
        <v>7</v>
      </c>
      <c r="AR322" s="72">
        <v>7</v>
      </c>
      <c r="AS322" s="72">
        <v>7</v>
      </c>
      <c r="AT322" s="72">
        <v>7</v>
      </c>
      <c r="AU322" s="72">
        <v>7</v>
      </c>
      <c r="AV322" s="72">
        <v>7</v>
      </c>
      <c r="AW322" s="72">
        <v>7</v>
      </c>
      <c r="AX322" s="72">
        <v>7</v>
      </c>
      <c r="AY322" s="72">
        <v>7</v>
      </c>
      <c r="AZ322" s="72">
        <v>7</v>
      </c>
      <c r="BA322" s="72">
        <v>7</v>
      </c>
      <c r="BB322" s="72">
        <v>7</v>
      </c>
      <c r="BC322" s="72">
        <v>7</v>
      </c>
      <c r="BD322" s="72">
        <v>7</v>
      </c>
      <c r="BE322" s="72">
        <v>7</v>
      </c>
      <c r="BF322" s="72">
        <v>7</v>
      </c>
      <c r="BG322" s="72">
        <v>7</v>
      </c>
      <c r="BH322" s="72">
        <v>7</v>
      </c>
      <c r="BI322" s="72">
        <v>7</v>
      </c>
      <c r="BJ322" s="72">
        <v>7</v>
      </c>
      <c r="BK322" s="72">
        <v>7</v>
      </c>
      <c r="BL322" s="72">
        <v>7</v>
      </c>
      <c r="BM322" s="72">
        <v>7</v>
      </c>
      <c r="BN322" s="72">
        <v>7</v>
      </c>
      <c r="BO322" s="72">
        <v>7</v>
      </c>
      <c r="BP322" s="72">
        <v>7</v>
      </c>
      <c r="BQ322" s="72">
        <v>7</v>
      </c>
      <c r="BR322" s="72">
        <v>7</v>
      </c>
      <c r="BS322" s="72">
        <v>7</v>
      </c>
      <c r="BT322" s="72">
        <v>7</v>
      </c>
      <c r="BU322" s="72">
        <v>7</v>
      </c>
      <c r="BV322" s="72">
        <v>7</v>
      </c>
      <c r="BW322" s="72">
        <v>7</v>
      </c>
      <c r="BX322" s="72">
        <v>7</v>
      </c>
      <c r="BY322" s="72">
        <v>7</v>
      </c>
      <c r="BZ322" s="72">
        <v>7</v>
      </c>
      <c r="CA322" s="72">
        <v>7</v>
      </c>
      <c r="CB322" s="72">
        <v>7</v>
      </c>
      <c r="CC322" s="72">
        <v>7</v>
      </c>
      <c r="CD322" s="72">
        <v>7</v>
      </c>
      <c r="CE322" s="72">
        <v>7</v>
      </c>
      <c r="CF322" s="72">
        <v>7</v>
      </c>
      <c r="CG322" s="72">
        <v>7</v>
      </c>
      <c r="CH322" s="72">
        <v>7</v>
      </c>
      <c r="CI322" s="72">
        <v>7</v>
      </c>
      <c r="CJ322" s="72">
        <v>7</v>
      </c>
      <c r="CK322" s="72">
        <v>7</v>
      </c>
      <c r="CL322" s="72">
        <v>7</v>
      </c>
      <c r="CM322" s="72">
        <v>7</v>
      </c>
      <c r="CN322" s="72">
        <v>7</v>
      </c>
      <c r="CO322" s="72">
        <v>7</v>
      </c>
      <c r="CP322" s="72">
        <v>7</v>
      </c>
      <c r="CQ322" s="72">
        <v>7</v>
      </c>
      <c r="CR322" s="72">
        <v>7</v>
      </c>
      <c r="CS322" s="72">
        <v>7</v>
      </c>
      <c r="CT322" s="72">
        <v>7</v>
      </c>
      <c r="CU322" s="72">
        <v>7</v>
      </c>
      <c r="CV322" s="72">
        <v>7</v>
      </c>
      <c r="CW322" s="72">
        <v>7</v>
      </c>
      <c r="CX322" s="72">
        <v>7</v>
      </c>
      <c r="CY322" s="72">
        <v>7</v>
      </c>
      <c r="CZ322" s="72">
        <v>7</v>
      </c>
      <c r="DA322" s="72">
        <v>7</v>
      </c>
      <c r="DB322" s="72">
        <v>7</v>
      </c>
      <c r="DC322" s="72">
        <v>7</v>
      </c>
      <c r="DD322" s="72">
        <v>7</v>
      </c>
      <c r="DE322" s="72">
        <v>7</v>
      </c>
      <c r="DF322" s="72">
        <v>7</v>
      </c>
      <c r="DG322" s="72">
        <v>7</v>
      </c>
      <c r="DH322" s="72">
        <v>7</v>
      </c>
      <c r="DI322" s="72">
        <v>7</v>
      </c>
      <c r="DJ322" s="72">
        <v>7</v>
      </c>
      <c r="DK322" s="72">
        <v>7</v>
      </c>
      <c r="DL322" s="72">
        <v>7</v>
      </c>
      <c r="DM322" s="72">
        <v>7</v>
      </c>
    </row>
    <row r="323" spans="1:117" x14ac:dyDescent="0.35">
      <c r="A323" s="7"/>
      <c r="B323" s="92" t="s">
        <v>1330</v>
      </c>
      <c r="C323" s="8" t="s">
        <v>567</v>
      </c>
      <c r="D323" s="10" t="s">
        <v>549</v>
      </c>
      <c r="E323" s="8" t="s">
        <v>1208</v>
      </c>
      <c r="F323" s="10">
        <v>1102</v>
      </c>
      <c r="G323" s="10" t="s">
        <v>40</v>
      </c>
      <c r="H323" s="10" t="s">
        <v>41</v>
      </c>
      <c r="I323" s="11">
        <v>5</v>
      </c>
      <c r="J323" s="10"/>
      <c r="K323" s="10" t="s">
        <v>566</v>
      </c>
      <c r="L323" s="8"/>
      <c r="M323" s="12"/>
      <c r="N323" s="12">
        <f t="shared" ref="N323:N386" si="7">M323*DM323</f>
        <v>0</v>
      </c>
      <c r="O323" s="11">
        <v>5</v>
      </c>
      <c r="P323" s="11">
        <v>5</v>
      </c>
      <c r="Q323" s="11">
        <v>5</v>
      </c>
      <c r="R323" s="11">
        <v>5</v>
      </c>
      <c r="S323" s="11">
        <v>5</v>
      </c>
      <c r="T323" s="11">
        <v>5</v>
      </c>
      <c r="U323" s="11">
        <v>5</v>
      </c>
      <c r="V323" s="11">
        <v>5</v>
      </c>
      <c r="W323" s="11">
        <v>5</v>
      </c>
      <c r="X323" s="11">
        <v>5</v>
      </c>
      <c r="Y323" s="11">
        <v>5</v>
      </c>
      <c r="Z323" s="11">
        <v>5</v>
      </c>
      <c r="AA323" s="11">
        <v>5</v>
      </c>
      <c r="AB323" s="11">
        <v>5</v>
      </c>
      <c r="AC323" s="11">
        <v>5</v>
      </c>
      <c r="AD323" s="11">
        <v>5</v>
      </c>
      <c r="AE323" s="11">
        <v>5</v>
      </c>
      <c r="AF323" s="11">
        <v>5</v>
      </c>
      <c r="AG323" s="11">
        <v>5</v>
      </c>
      <c r="AH323" s="11">
        <v>5</v>
      </c>
      <c r="AI323" s="11">
        <v>5</v>
      </c>
      <c r="AJ323" s="11">
        <v>5</v>
      </c>
      <c r="AK323" s="11">
        <v>5</v>
      </c>
      <c r="AL323" s="11">
        <v>5</v>
      </c>
      <c r="AM323" s="11">
        <v>5</v>
      </c>
      <c r="AN323" s="72">
        <v>5</v>
      </c>
      <c r="AO323" s="72">
        <v>5</v>
      </c>
      <c r="AP323" s="72">
        <v>5</v>
      </c>
      <c r="AQ323" s="72">
        <v>5</v>
      </c>
      <c r="AR323" s="72">
        <v>5</v>
      </c>
      <c r="AS323" s="72">
        <v>5</v>
      </c>
      <c r="AT323" s="72">
        <v>5</v>
      </c>
      <c r="AU323" s="72">
        <v>5</v>
      </c>
      <c r="AV323" s="72">
        <v>5</v>
      </c>
      <c r="AW323" s="72">
        <v>5</v>
      </c>
      <c r="AX323" s="72">
        <v>5</v>
      </c>
      <c r="AY323" s="72">
        <v>5</v>
      </c>
      <c r="AZ323" s="72">
        <v>5</v>
      </c>
      <c r="BA323" s="72">
        <v>5</v>
      </c>
      <c r="BB323" s="72">
        <v>5</v>
      </c>
      <c r="BC323" s="72">
        <v>5</v>
      </c>
      <c r="BD323" s="72">
        <v>5</v>
      </c>
      <c r="BE323" s="72">
        <v>5</v>
      </c>
      <c r="BF323" s="72">
        <v>5</v>
      </c>
      <c r="BG323" s="72">
        <v>5</v>
      </c>
      <c r="BH323" s="72">
        <v>5</v>
      </c>
      <c r="BI323" s="72">
        <v>5</v>
      </c>
      <c r="BJ323" s="72">
        <v>5</v>
      </c>
      <c r="BK323" s="72">
        <v>5</v>
      </c>
      <c r="BL323" s="72">
        <v>5</v>
      </c>
      <c r="BM323" s="72">
        <v>5</v>
      </c>
      <c r="BN323" s="72">
        <v>5</v>
      </c>
      <c r="BO323" s="72">
        <v>5</v>
      </c>
      <c r="BP323" s="72">
        <v>5</v>
      </c>
      <c r="BQ323" s="72">
        <v>5</v>
      </c>
      <c r="BR323" s="72">
        <v>5</v>
      </c>
      <c r="BS323" s="72">
        <v>5</v>
      </c>
      <c r="BT323" s="72">
        <v>5</v>
      </c>
      <c r="BU323" s="72">
        <v>5</v>
      </c>
      <c r="BV323" s="72">
        <v>5</v>
      </c>
      <c r="BW323" s="72">
        <v>5</v>
      </c>
      <c r="BX323" s="72">
        <v>5</v>
      </c>
      <c r="BY323" s="72">
        <v>5</v>
      </c>
      <c r="BZ323" s="72">
        <v>5</v>
      </c>
      <c r="CA323" s="72">
        <v>5</v>
      </c>
      <c r="CB323" s="72">
        <v>5</v>
      </c>
      <c r="CC323" s="72">
        <v>5</v>
      </c>
      <c r="CD323" s="72">
        <v>5</v>
      </c>
      <c r="CE323" s="72">
        <v>5</v>
      </c>
      <c r="CF323" s="72">
        <v>5</v>
      </c>
      <c r="CG323" s="72">
        <v>5</v>
      </c>
      <c r="CH323" s="72">
        <v>5</v>
      </c>
      <c r="CI323" s="72">
        <v>5</v>
      </c>
      <c r="CJ323" s="72">
        <v>5</v>
      </c>
      <c r="CK323" s="72">
        <v>5</v>
      </c>
      <c r="CL323" s="72">
        <v>5</v>
      </c>
      <c r="CM323" s="72">
        <v>5</v>
      </c>
      <c r="CN323" s="72">
        <v>5</v>
      </c>
      <c r="CO323" s="72">
        <v>5</v>
      </c>
      <c r="CP323" s="72">
        <v>5</v>
      </c>
      <c r="CQ323" s="72">
        <v>5</v>
      </c>
      <c r="CR323" s="72">
        <v>5</v>
      </c>
      <c r="CS323" s="72">
        <v>5</v>
      </c>
      <c r="CT323" s="72">
        <v>5</v>
      </c>
      <c r="CU323" s="72">
        <v>5</v>
      </c>
      <c r="CV323" s="72">
        <v>5</v>
      </c>
      <c r="CW323" s="72">
        <v>5</v>
      </c>
      <c r="CX323" s="72">
        <v>5</v>
      </c>
      <c r="CY323" s="72">
        <v>5</v>
      </c>
      <c r="CZ323" s="72">
        <v>5</v>
      </c>
      <c r="DA323" s="72">
        <v>5</v>
      </c>
      <c r="DB323" s="72">
        <v>5</v>
      </c>
      <c r="DC323" s="72">
        <v>5</v>
      </c>
      <c r="DD323" s="72">
        <v>5</v>
      </c>
      <c r="DE323" s="72">
        <v>5</v>
      </c>
      <c r="DF323" s="72">
        <v>5</v>
      </c>
      <c r="DG323" s="72">
        <v>5</v>
      </c>
      <c r="DH323" s="72">
        <v>5</v>
      </c>
      <c r="DI323" s="72">
        <v>5</v>
      </c>
      <c r="DJ323" s="72">
        <v>5</v>
      </c>
      <c r="DK323" s="72">
        <v>5</v>
      </c>
      <c r="DL323" s="72">
        <v>5</v>
      </c>
      <c r="DM323" s="72">
        <v>5</v>
      </c>
    </row>
    <row r="324" spans="1:117" x14ac:dyDescent="0.35">
      <c r="A324" s="7"/>
      <c r="B324" s="92" t="s">
        <v>1331</v>
      </c>
      <c r="C324" s="8" t="s">
        <v>568</v>
      </c>
      <c r="D324" s="10" t="s">
        <v>549</v>
      </c>
      <c r="E324" s="8" t="s">
        <v>1208</v>
      </c>
      <c r="F324" s="10">
        <v>1102</v>
      </c>
      <c r="G324" s="10" t="s">
        <v>40</v>
      </c>
      <c r="H324" s="10" t="s">
        <v>41</v>
      </c>
      <c r="I324" s="11">
        <v>10</v>
      </c>
      <c r="J324" s="10"/>
      <c r="K324" s="10"/>
      <c r="L324" s="8"/>
      <c r="M324" s="12"/>
      <c r="N324" s="12">
        <f t="shared" si="7"/>
        <v>0</v>
      </c>
      <c r="O324" s="11">
        <v>10</v>
      </c>
      <c r="P324" s="11">
        <v>10</v>
      </c>
      <c r="Q324" s="11">
        <v>10</v>
      </c>
      <c r="R324" s="11">
        <v>10</v>
      </c>
      <c r="S324" s="11">
        <v>10</v>
      </c>
      <c r="T324" s="11">
        <v>10</v>
      </c>
      <c r="U324" s="11">
        <v>10</v>
      </c>
      <c r="V324" s="11">
        <v>10</v>
      </c>
      <c r="W324" s="11">
        <v>10</v>
      </c>
      <c r="X324" s="11">
        <v>10</v>
      </c>
      <c r="Y324" s="11">
        <v>10</v>
      </c>
      <c r="Z324" s="11">
        <v>10</v>
      </c>
      <c r="AA324" s="11">
        <v>10</v>
      </c>
      <c r="AB324" s="11">
        <v>10</v>
      </c>
      <c r="AC324" s="11">
        <v>10</v>
      </c>
      <c r="AD324" s="11">
        <v>10</v>
      </c>
      <c r="AE324" s="11">
        <v>10</v>
      </c>
      <c r="AF324" s="11">
        <v>10</v>
      </c>
      <c r="AG324" s="11">
        <v>10</v>
      </c>
      <c r="AH324" s="11">
        <v>10</v>
      </c>
      <c r="AI324" s="11">
        <v>10</v>
      </c>
      <c r="AJ324" s="11">
        <v>10</v>
      </c>
      <c r="AK324" s="11">
        <v>10</v>
      </c>
      <c r="AL324" s="11">
        <v>10</v>
      </c>
      <c r="AM324" s="11">
        <v>10</v>
      </c>
      <c r="AN324" s="72">
        <v>10</v>
      </c>
      <c r="AO324" s="72">
        <v>10</v>
      </c>
      <c r="AP324" s="72">
        <v>10</v>
      </c>
      <c r="AQ324" s="72">
        <v>10</v>
      </c>
      <c r="AR324" s="72">
        <v>10</v>
      </c>
      <c r="AS324" s="72">
        <v>10</v>
      </c>
      <c r="AT324" s="72">
        <v>10</v>
      </c>
      <c r="AU324" s="72">
        <v>10</v>
      </c>
      <c r="AV324" s="72">
        <v>10</v>
      </c>
      <c r="AW324" s="72">
        <v>10</v>
      </c>
      <c r="AX324" s="72">
        <v>10</v>
      </c>
      <c r="AY324" s="72">
        <v>10</v>
      </c>
      <c r="AZ324" s="72">
        <v>10</v>
      </c>
      <c r="BA324" s="72">
        <v>10</v>
      </c>
      <c r="BB324" s="72">
        <v>10</v>
      </c>
      <c r="BC324" s="72">
        <v>10</v>
      </c>
      <c r="BD324" s="72">
        <v>10</v>
      </c>
      <c r="BE324" s="72">
        <v>10</v>
      </c>
      <c r="BF324" s="72">
        <v>10</v>
      </c>
      <c r="BG324" s="72">
        <v>10</v>
      </c>
      <c r="BH324" s="72">
        <v>10</v>
      </c>
      <c r="BI324" s="72">
        <v>10</v>
      </c>
      <c r="BJ324" s="72">
        <v>10</v>
      </c>
      <c r="BK324" s="72">
        <v>10</v>
      </c>
      <c r="BL324" s="72">
        <v>10</v>
      </c>
      <c r="BM324" s="72">
        <v>10</v>
      </c>
      <c r="BN324" s="72">
        <v>10</v>
      </c>
      <c r="BO324" s="72">
        <v>10</v>
      </c>
      <c r="BP324" s="72">
        <v>10</v>
      </c>
      <c r="BQ324" s="72">
        <v>10</v>
      </c>
      <c r="BR324" s="72">
        <v>10</v>
      </c>
      <c r="BS324" s="72">
        <v>10</v>
      </c>
      <c r="BT324" s="72">
        <v>10</v>
      </c>
      <c r="BU324" s="72">
        <v>10</v>
      </c>
      <c r="BV324" s="72">
        <v>10</v>
      </c>
      <c r="BW324" s="72">
        <v>10</v>
      </c>
      <c r="BX324" s="72">
        <v>10</v>
      </c>
      <c r="BY324" s="72">
        <v>10</v>
      </c>
      <c r="BZ324" s="72">
        <v>10</v>
      </c>
      <c r="CA324" s="72">
        <v>10</v>
      </c>
      <c r="CB324" s="72">
        <v>10</v>
      </c>
      <c r="CC324" s="72">
        <v>10</v>
      </c>
      <c r="CD324" s="72">
        <v>10</v>
      </c>
      <c r="CE324" s="72">
        <v>10</v>
      </c>
      <c r="CF324" s="72">
        <v>10</v>
      </c>
      <c r="CG324" s="72">
        <v>10</v>
      </c>
      <c r="CH324" s="72">
        <v>10</v>
      </c>
      <c r="CI324" s="72">
        <v>10</v>
      </c>
      <c r="CJ324" s="72">
        <v>10</v>
      </c>
      <c r="CK324" s="72">
        <v>10</v>
      </c>
      <c r="CL324" s="72">
        <v>10</v>
      </c>
      <c r="CM324" s="72">
        <v>10</v>
      </c>
      <c r="CN324" s="72">
        <v>10</v>
      </c>
      <c r="CO324" s="72">
        <v>10</v>
      </c>
      <c r="CP324" s="72">
        <v>10</v>
      </c>
      <c r="CQ324" s="72">
        <v>10</v>
      </c>
      <c r="CR324" s="72">
        <v>10</v>
      </c>
      <c r="CS324" s="72">
        <v>10</v>
      </c>
      <c r="CT324" s="72">
        <v>10</v>
      </c>
      <c r="CU324" s="72">
        <v>10</v>
      </c>
      <c r="CV324" s="72">
        <v>10</v>
      </c>
      <c r="CW324" s="72">
        <v>10</v>
      </c>
      <c r="CX324" s="72">
        <v>10</v>
      </c>
      <c r="CY324" s="72">
        <v>10</v>
      </c>
      <c r="CZ324" s="72">
        <v>10</v>
      </c>
      <c r="DA324" s="72">
        <v>10</v>
      </c>
      <c r="DB324" s="72">
        <v>10</v>
      </c>
      <c r="DC324" s="72">
        <v>10</v>
      </c>
      <c r="DD324" s="72">
        <v>10</v>
      </c>
      <c r="DE324" s="72">
        <v>10</v>
      </c>
      <c r="DF324" s="72">
        <v>10</v>
      </c>
      <c r="DG324" s="72">
        <v>10</v>
      </c>
      <c r="DH324" s="72">
        <v>10</v>
      </c>
      <c r="DI324" s="72">
        <v>10</v>
      </c>
      <c r="DJ324" s="72">
        <v>10</v>
      </c>
      <c r="DK324" s="72">
        <v>10</v>
      </c>
      <c r="DL324" s="72">
        <v>10</v>
      </c>
      <c r="DM324" s="72">
        <v>10</v>
      </c>
    </row>
    <row r="325" spans="1:117" x14ac:dyDescent="0.35">
      <c r="A325" s="7"/>
      <c r="B325" s="92" t="s">
        <v>1332</v>
      </c>
      <c r="C325" s="9" t="s">
        <v>569</v>
      </c>
      <c r="D325" s="10" t="s">
        <v>549</v>
      </c>
      <c r="E325" s="8" t="s">
        <v>1215</v>
      </c>
      <c r="F325" s="10">
        <v>1104</v>
      </c>
      <c r="G325" s="10" t="s">
        <v>40</v>
      </c>
      <c r="H325" s="10" t="s">
        <v>41</v>
      </c>
      <c r="I325" s="11">
        <v>223</v>
      </c>
      <c r="J325" s="10"/>
      <c r="K325" s="10" t="s">
        <v>556</v>
      </c>
      <c r="L325" s="8"/>
      <c r="M325" s="12"/>
      <c r="N325" s="12">
        <f t="shared" si="7"/>
        <v>0</v>
      </c>
      <c r="O325" s="11">
        <v>223</v>
      </c>
      <c r="P325" s="11">
        <v>223</v>
      </c>
      <c r="Q325" s="11">
        <v>223</v>
      </c>
      <c r="R325" s="11">
        <v>223</v>
      </c>
      <c r="S325" s="11">
        <v>223</v>
      </c>
      <c r="T325" s="11">
        <v>223</v>
      </c>
      <c r="U325" s="11">
        <v>223</v>
      </c>
      <c r="V325" s="11">
        <v>223</v>
      </c>
      <c r="W325" s="11">
        <v>223</v>
      </c>
      <c r="X325" s="11">
        <v>223</v>
      </c>
      <c r="Y325" s="11">
        <v>223</v>
      </c>
      <c r="Z325" s="11">
        <v>223</v>
      </c>
      <c r="AA325" s="11">
        <v>223</v>
      </c>
      <c r="AB325" s="11">
        <v>223</v>
      </c>
      <c r="AC325" s="11">
        <v>223</v>
      </c>
      <c r="AD325" s="11">
        <v>223</v>
      </c>
      <c r="AE325" s="11">
        <v>223</v>
      </c>
      <c r="AF325" s="11">
        <v>223</v>
      </c>
      <c r="AG325" s="11">
        <v>223</v>
      </c>
      <c r="AH325" s="11">
        <v>223</v>
      </c>
      <c r="AI325" s="11">
        <v>223</v>
      </c>
      <c r="AJ325" s="11">
        <v>223</v>
      </c>
      <c r="AK325" s="11">
        <v>223</v>
      </c>
      <c r="AL325" s="11">
        <v>223</v>
      </c>
      <c r="AM325" s="11">
        <v>223</v>
      </c>
      <c r="AN325" s="72">
        <v>223</v>
      </c>
      <c r="AO325" s="72">
        <v>223</v>
      </c>
      <c r="AP325" s="72">
        <v>223</v>
      </c>
      <c r="AQ325" s="72">
        <v>223</v>
      </c>
      <c r="AR325" s="72">
        <v>223</v>
      </c>
      <c r="AS325" s="72">
        <v>223</v>
      </c>
      <c r="AT325" s="72">
        <v>223</v>
      </c>
      <c r="AU325" s="72">
        <v>223</v>
      </c>
      <c r="AV325" s="72">
        <v>223</v>
      </c>
      <c r="AW325" s="72">
        <v>223</v>
      </c>
      <c r="AX325" s="72">
        <v>223</v>
      </c>
      <c r="AY325" s="72">
        <v>223</v>
      </c>
      <c r="AZ325" s="72">
        <v>223</v>
      </c>
      <c r="BA325" s="72">
        <v>223</v>
      </c>
      <c r="BB325" s="72">
        <v>223</v>
      </c>
      <c r="BC325" s="72">
        <v>223</v>
      </c>
      <c r="BD325" s="72">
        <v>223</v>
      </c>
      <c r="BE325" s="72">
        <v>223</v>
      </c>
      <c r="BF325" s="72">
        <v>223</v>
      </c>
      <c r="BG325" s="72">
        <v>223</v>
      </c>
      <c r="BH325" s="72">
        <v>223</v>
      </c>
      <c r="BI325" s="72">
        <v>223</v>
      </c>
      <c r="BJ325" s="72">
        <v>223</v>
      </c>
      <c r="BK325" s="72">
        <v>223</v>
      </c>
      <c r="BL325" s="72">
        <v>223</v>
      </c>
      <c r="BM325" s="72">
        <v>223</v>
      </c>
      <c r="BN325" s="72">
        <v>223</v>
      </c>
      <c r="BO325" s="72">
        <v>223</v>
      </c>
      <c r="BP325" s="72">
        <v>223</v>
      </c>
      <c r="BQ325" s="72">
        <v>223</v>
      </c>
      <c r="BR325" s="72">
        <v>223</v>
      </c>
      <c r="BS325" s="72">
        <v>223</v>
      </c>
      <c r="BT325" s="72">
        <v>223</v>
      </c>
      <c r="BU325" s="72">
        <v>223</v>
      </c>
      <c r="BV325" s="72">
        <v>223</v>
      </c>
      <c r="BW325" s="72">
        <v>223</v>
      </c>
      <c r="BX325" s="72">
        <v>223</v>
      </c>
      <c r="BY325" s="72">
        <v>223</v>
      </c>
      <c r="BZ325" s="72">
        <v>223</v>
      </c>
      <c r="CA325" s="72">
        <v>223</v>
      </c>
      <c r="CB325" s="72">
        <v>223</v>
      </c>
      <c r="CC325" s="72">
        <v>223</v>
      </c>
      <c r="CD325" s="72">
        <v>223</v>
      </c>
      <c r="CE325" s="72">
        <v>223</v>
      </c>
      <c r="CF325" s="72">
        <v>223</v>
      </c>
      <c r="CG325" s="72">
        <v>223</v>
      </c>
      <c r="CH325" s="72">
        <v>223</v>
      </c>
      <c r="CI325" s="72">
        <v>223</v>
      </c>
      <c r="CJ325" s="72">
        <v>223</v>
      </c>
      <c r="CK325" s="72">
        <v>223</v>
      </c>
      <c r="CL325" s="72">
        <v>223</v>
      </c>
      <c r="CM325" s="72">
        <v>223</v>
      </c>
      <c r="CN325" s="72">
        <v>223</v>
      </c>
      <c r="CO325" s="72">
        <v>223</v>
      </c>
      <c r="CP325" s="72">
        <v>223</v>
      </c>
      <c r="CQ325" s="72">
        <v>223</v>
      </c>
      <c r="CR325" s="72">
        <v>223</v>
      </c>
      <c r="CS325" s="72">
        <v>223</v>
      </c>
      <c r="CT325" s="72">
        <v>223</v>
      </c>
      <c r="CU325" s="72">
        <v>223</v>
      </c>
      <c r="CV325" s="72">
        <v>223</v>
      </c>
      <c r="CW325" s="72">
        <v>223</v>
      </c>
      <c r="CX325" s="72">
        <v>223</v>
      </c>
      <c r="CY325" s="72">
        <v>223</v>
      </c>
      <c r="CZ325" s="72">
        <v>223</v>
      </c>
      <c r="DA325" s="72">
        <v>223</v>
      </c>
      <c r="DB325" s="72">
        <v>223</v>
      </c>
      <c r="DC325" s="72">
        <v>223</v>
      </c>
      <c r="DD325" s="72">
        <v>223</v>
      </c>
      <c r="DE325" s="72">
        <v>223</v>
      </c>
      <c r="DF325" s="72">
        <v>223</v>
      </c>
      <c r="DG325" s="72">
        <v>223</v>
      </c>
      <c r="DH325" s="72">
        <v>223</v>
      </c>
      <c r="DI325" s="72">
        <v>223</v>
      </c>
      <c r="DJ325" s="72">
        <v>223</v>
      </c>
      <c r="DK325" s="72">
        <v>223</v>
      </c>
      <c r="DL325" s="72">
        <v>223</v>
      </c>
      <c r="DM325" s="72">
        <v>223</v>
      </c>
    </row>
    <row r="326" spans="1:117" x14ac:dyDescent="0.35">
      <c r="A326" s="7"/>
      <c r="B326" s="92" t="s">
        <v>1333</v>
      </c>
      <c r="C326" s="9" t="s">
        <v>570</v>
      </c>
      <c r="D326" s="10" t="s">
        <v>549</v>
      </c>
      <c r="E326" s="8" t="s">
        <v>1215</v>
      </c>
      <c r="F326" s="10">
        <v>1103</v>
      </c>
      <c r="G326" s="10" t="s">
        <v>40</v>
      </c>
      <c r="H326" s="10" t="s">
        <v>41</v>
      </c>
      <c r="I326" s="11">
        <v>7</v>
      </c>
      <c r="J326" s="10"/>
      <c r="K326" s="10" t="s">
        <v>556</v>
      </c>
      <c r="L326" s="8"/>
      <c r="M326" s="12"/>
      <c r="N326" s="12">
        <f t="shared" si="7"/>
        <v>0</v>
      </c>
      <c r="O326" s="11">
        <v>7</v>
      </c>
      <c r="P326" s="11">
        <v>7</v>
      </c>
      <c r="Q326" s="11">
        <v>7</v>
      </c>
      <c r="R326" s="11">
        <v>7</v>
      </c>
      <c r="S326" s="11">
        <v>7</v>
      </c>
      <c r="T326" s="11">
        <v>7</v>
      </c>
      <c r="U326" s="11">
        <v>7</v>
      </c>
      <c r="V326" s="11">
        <v>7</v>
      </c>
      <c r="W326" s="11">
        <v>7</v>
      </c>
      <c r="X326" s="11">
        <v>7</v>
      </c>
      <c r="Y326" s="11">
        <v>7</v>
      </c>
      <c r="Z326" s="11">
        <v>7</v>
      </c>
      <c r="AA326" s="11">
        <v>7</v>
      </c>
      <c r="AB326" s="11">
        <v>7</v>
      </c>
      <c r="AC326" s="11">
        <v>7</v>
      </c>
      <c r="AD326" s="11">
        <v>7</v>
      </c>
      <c r="AE326" s="11">
        <v>7</v>
      </c>
      <c r="AF326" s="11">
        <v>7</v>
      </c>
      <c r="AG326" s="11">
        <v>7</v>
      </c>
      <c r="AH326" s="11">
        <v>7</v>
      </c>
      <c r="AI326" s="11">
        <v>7</v>
      </c>
      <c r="AJ326" s="11">
        <v>7</v>
      </c>
      <c r="AK326" s="11">
        <v>7</v>
      </c>
      <c r="AL326" s="11">
        <v>7</v>
      </c>
      <c r="AM326" s="11">
        <v>7</v>
      </c>
      <c r="AN326" s="72">
        <v>7</v>
      </c>
      <c r="AO326" s="72">
        <v>7</v>
      </c>
      <c r="AP326" s="72">
        <v>7</v>
      </c>
      <c r="AQ326" s="72">
        <v>7</v>
      </c>
      <c r="AR326" s="72">
        <v>7</v>
      </c>
      <c r="AS326" s="72">
        <v>7</v>
      </c>
      <c r="AT326" s="72">
        <v>7</v>
      </c>
      <c r="AU326" s="72">
        <v>7</v>
      </c>
      <c r="AV326" s="72">
        <v>7</v>
      </c>
      <c r="AW326" s="72">
        <v>7</v>
      </c>
      <c r="AX326" s="72">
        <v>7</v>
      </c>
      <c r="AY326" s="72">
        <v>7</v>
      </c>
      <c r="AZ326" s="72">
        <v>7</v>
      </c>
      <c r="BA326" s="72">
        <v>7</v>
      </c>
      <c r="BB326" s="72">
        <v>7</v>
      </c>
      <c r="BC326" s="72">
        <v>7</v>
      </c>
      <c r="BD326" s="72">
        <v>7</v>
      </c>
      <c r="BE326" s="72">
        <v>7</v>
      </c>
      <c r="BF326" s="72">
        <v>7</v>
      </c>
      <c r="BG326" s="72">
        <v>7</v>
      </c>
      <c r="BH326" s="72">
        <v>7</v>
      </c>
      <c r="BI326" s="72">
        <v>7</v>
      </c>
      <c r="BJ326" s="72">
        <v>7</v>
      </c>
      <c r="BK326" s="72">
        <v>7</v>
      </c>
      <c r="BL326" s="72">
        <v>7</v>
      </c>
      <c r="BM326" s="72">
        <v>7</v>
      </c>
      <c r="BN326" s="72">
        <v>7</v>
      </c>
      <c r="BO326" s="72">
        <v>7</v>
      </c>
      <c r="BP326" s="72">
        <v>7</v>
      </c>
      <c r="BQ326" s="72">
        <v>7</v>
      </c>
      <c r="BR326" s="72">
        <v>7</v>
      </c>
      <c r="BS326" s="72">
        <v>7</v>
      </c>
      <c r="BT326" s="72">
        <v>7</v>
      </c>
      <c r="BU326" s="72">
        <v>7</v>
      </c>
      <c r="BV326" s="72">
        <v>7</v>
      </c>
      <c r="BW326" s="72">
        <v>7</v>
      </c>
      <c r="BX326" s="72">
        <v>7</v>
      </c>
      <c r="BY326" s="72">
        <v>7</v>
      </c>
      <c r="BZ326" s="72">
        <v>7</v>
      </c>
      <c r="CA326" s="72">
        <v>7</v>
      </c>
      <c r="CB326" s="72">
        <v>7</v>
      </c>
      <c r="CC326" s="72">
        <v>7</v>
      </c>
      <c r="CD326" s="72">
        <v>7</v>
      </c>
      <c r="CE326" s="72">
        <v>7</v>
      </c>
      <c r="CF326" s="72">
        <v>7</v>
      </c>
      <c r="CG326" s="72">
        <v>7</v>
      </c>
      <c r="CH326" s="72">
        <v>7</v>
      </c>
      <c r="CI326" s="72">
        <v>7</v>
      </c>
      <c r="CJ326" s="72">
        <v>7</v>
      </c>
      <c r="CK326" s="72">
        <v>7</v>
      </c>
      <c r="CL326" s="72">
        <v>7</v>
      </c>
      <c r="CM326" s="72">
        <v>7</v>
      </c>
      <c r="CN326" s="72">
        <v>7</v>
      </c>
      <c r="CO326" s="72">
        <v>7</v>
      </c>
      <c r="CP326" s="72">
        <v>7</v>
      </c>
      <c r="CQ326" s="72">
        <v>7</v>
      </c>
      <c r="CR326" s="72">
        <v>7</v>
      </c>
      <c r="CS326" s="72">
        <v>7</v>
      </c>
      <c r="CT326" s="72">
        <v>7</v>
      </c>
      <c r="CU326" s="72">
        <v>7</v>
      </c>
      <c r="CV326" s="72">
        <v>7</v>
      </c>
      <c r="CW326" s="72">
        <v>7</v>
      </c>
      <c r="CX326" s="72">
        <v>7</v>
      </c>
      <c r="CY326" s="72">
        <v>7</v>
      </c>
      <c r="CZ326" s="72">
        <v>7</v>
      </c>
      <c r="DA326" s="72">
        <v>7</v>
      </c>
      <c r="DB326" s="72">
        <v>7</v>
      </c>
      <c r="DC326" s="72">
        <v>7</v>
      </c>
      <c r="DD326" s="72">
        <v>7</v>
      </c>
      <c r="DE326" s="72">
        <v>7</v>
      </c>
      <c r="DF326" s="72">
        <v>7</v>
      </c>
      <c r="DG326" s="72">
        <v>7</v>
      </c>
      <c r="DH326" s="72">
        <v>7</v>
      </c>
      <c r="DI326" s="72">
        <v>7</v>
      </c>
      <c r="DJ326" s="72">
        <v>7</v>
      </c>
      <c r="DK326" s="72">
        <v>7</v>
      </c>
      <c r="DL326" s="72">
        <v>7</v>
      </c>
      <c r="DM326" s="72">
        <v>7</v>
      </c>
    </row>
    <row r="327" spans="1:117" x14ac:dyDescent="0.35">
      <c r="A327" s="7"/>
      <c r="B327" s="92" t="s">
        <v>1334</v>
      </c>
      <c r="C327" s="9" t="s">
        <v>571</v>
      </c>
      <c r="D327" s="10" t="s">
        <v>549</v>
      </c>
      <c r="E327" s="8" t="s">
        <v>1215</v>
      </c>
      <c r="F327" s="10">
        <v>1103</v>
      </c>
      <c r="G327" s="10" t="s">
        <v>40</v>
      </c>
      <c r="H327" s="10" t="s">
        <v>41</v>
      </c>
      <c r="I327" s="11">
        <v>1</v>
      </c>
      <c r="J327" s="10"/>
      <c r="K327" s="10" t="s">
        <v>153</v>
      </c>
      <c r="L327" s="8"/>
      <c r="M327" s="12"/>
      <c r="N327" s="12">
        <f t="shared" si="7"/>
        <v>0</v>
      </c>
      <c r="O327" s="11">
        <v>1</v>
      </c>
      <c r="P327" s="11">
        <v>1</v>
      </c>
      <c r="Q327" s="11">
        <v>1</v>
      </c>
      <c r="R327" s="11">
        <v>1</v>
      </c>
      <c r="S327" s="11">
        <v>1</v>
      </c>
      <c r="T327" s="11">
        <v>1</v>
      </c>
      <c r="U327" s="11">
        <v>1</v>
      </c>
      <c r="V327" s="11">
        <v>1</v>
      </c>
      <c r="W327" s="11">
        <v>1</v>
      </c>
      <c r="X327" s="11">
        <v>1</v>
      </c>
      <c r="Y327" s="11">
        <v>1</v>
      </c>
      <c r="Z327" s="11">
        <v>1</v>
      </c>
      <c r="AA327" s="11">
        <v>1</v>
      </c>
      <c r="AB327" s="11">
        <v>1</v>
      </c>
      <c r="AC327" s="11">
        <v>1</v>
      </c>
      <c r="AD327" s="11">
        <v>1</v>
      </c>
      <c r="AE327" s="11">
        <v>1</v>
      </c>
      <c r="AF327" s="11">
        <v>1</v>
      </c>
      <c r="AG327" s="11">
        <v>1</v>
      </c>
      <c r="AH327" s="11">
        <v>1</v>
      </c>
      <c r="AI327" s="11">
        <v>1</v>
      </c>
      <c r="AJ327" s="11">
        <v>1</v>
      </c>
      <c r="AK327" s="11">
        <v>1</v>
      </c>
      <c r="AL327" s="11">
        <v>1</v>
      </c>
      <c r="AM327" s="11">
        <v>1</v>
      </c>
      <c r="AN327" s="72">
        <v>1</v>
      </c>
      <c r="AO327" s="72">
        <v>1</v>
      </c>
      <c r="AP327" s="72">
        <v>1</v>
      </c>
      <c r="AQ327" s="72">
        <v>1</v>
      </c>
      <c r="AR327" s="72">
        <v>1</v>
      </c>
      <c r="AS327" s="72">
        <v>1</v>
      </c>
      <c r="AT327" s="72">
        <v>1</v>
      </c>
      <c r="AU327" s="72">
        <v>1</v>
      </c>
      <c r="AV327" s="72">
        <v>1</v>
      </c>
      <c r="AW327" s="72">
        <v>1</v>
      </c>
      <c r="AX327" s="72">
        <v>1</v>
      </c>
      <c r="AY327" s="72">
        <v>1</v>
      </c>
      <c r="AZ327" s="72">
        <v>1</v>
      </c>
      <c r="BA327" s="72">
        <v>1</v>
      </c>
      <c r="BB327" s="72">
        <v>1</v>
      </c>
      <c r="BC327" s="72">
        <v>1</v>
      </c>
      <c r="BD327" s="72">
        <v>1</v>
      </c>
      <c r="BE327" s="72">
        <v>1</v>
      </c>
      <c r="BF327" s="72">
        <v>1</v>
      </c>
      <c r="BG327" s="72">
        <v>1</v>
      </c>
      <c r="BH327" s="72">
        <v>1</v>
      </c>
      <c r="BI327" s="72">
        <v>1</v>
      </c>
      <c r="BJ327" s="72">
        <v>1</v>
      </c>
      <c r="BK327" s="72">
        <v>1</v>
      </c>
      <c r="BL327" s="72">
        <v>1</v>
      </c>
      <c r="BM327" s="72">
        <v>1</v>
      </c>
      <c r="BN327" s="72">
        <v>1</v>
      </c>
      <c r="BO327" s="72">
        <v>1</v>
      </c>
      <c r="BP327" s="72">
        <v>1</v>
      </c>
      <c r="BQ327" s="72">
        <v>1</v>
      </c>
      <c r="BR327" s="72">
        <v>1</v>
      </c>
      <c r="BS327" s="72">
        <v>1</v>
      </c>
      <c r="BT327" s="72">
        <v>1</v>
      </c>
      <c r="BU327" s="72">
        <v>1</v>
      </c>
      <c r="BV327" s="72">
        <v>1</v>
      </c>
      <c r="BW327" s="72">
        <v>1</v>
      </c>
      <c r="BX327" s="72">
        <v>1</v>
      </c>
      <c r="BY327" s="72">
        <v>1</v>
      </c>
      <c r="BZ327" s="72">
        <v>1</v>
      </c>
      <c r="CA327" s="72">
        <v>1</v>
      </c>
      <c r="CB327" s="72">
        <v>1</v>
      </c>
      <c r="CC327" s="72">
        <v>1</v>
      </c>
      <c r="CD327" s="72">
        <v>1</v>
      </c>
      <c r="CE327" s="72">
        <v>1</v>
      </c>
      <c r="CF327" s="72">
        <v>1</v>
      </c>
      <c r="CG327" s="72">
        <v>1</v>
      </c>
      <c r="CH327" s="72">
        <v>1</v>
      </c>
      <c r="CI327" s="72">
        <v>1</v>
      </c>
      <c r="CJ327" s="72">
        <v>1</v>
      </c>
      <c r="CK327" s="72">
        <v>1</v>
      </c>
      <c r="CL327" s="72">
        <v>1</v>
      </c>
      <c r="CM327" s="72">
        <v>1</v>
      </c>
      <c r="CN327" s="72">
        <v>1</v>
      </c>
      <c r="CO327" s="72">
        <v>1</v>
      </c>
      <c r="CP327" s="72">
        <v>1</v>
      </c>
      <c r="CQ327" s="72">
        <v>1</v>
      </c>
      <c r="CR327" s="72">
        <v>1</v>
      </c>
      <c r="CS327" s="72">
        <v>1</v>
      </c>
      <c r="CT327" s="72">
        <v>1</v>
      </c>
      <c r="CU327" s="72">
        <v>1</v>
      </c>
      <c r="CV327" s="72">
        <v>1</v>
      </c>
      <c r="CW327" s="72">
        <v>1</v>
      </c>
      <c r="CX327" s="72">
        <v>1</v>
      </c>
      <c r="CY327" s="72">
        <v>1</v>
      </c>
      <c r="CZ327" s="72">
        <v>1</v>
      </c>
      <c r="DA327" s="72">
        <v>1</v>
      </c>
      <c r="DB327" s="72">
        <v>1</v>
      </c>
      <c r="DC327" s="72">
        <v>1</v>
      </c>
      <c r="DD327" s="72">
        <v>1</v>
      </c>
      <c r="DE327" s="72">
        <v>1</v>
      </c>
      <c r="DF327" s="72">
        <v>1</v>
      </c>
      <c r="DG327" s="72">
        <v>1</v>
      </c>
      <c r="DH327" s="72">
        <v>1</v>
      </c>
      <c r="DI327" s="72">
        <v>1</v>
      </c>
      <c r="DJ327" s="72">
        <v>1</v>
      </c>
      <c r="DK327" s="72">
        <v>1</v>
      </c>
      <c r="DL327" s="72">
        <v>1</v>
      </c>
      <c r="DM327" s="72">
        <v>1</v>
      </c>
    </row>
    <row r="328" spans="1:117" x14ac:dyDescent="0.35">
      <c r="A328" s="7"/>
      <c r="B328" s="92" t="s">
        <v>1335</v>
      </c>
      <c r="C328" s="9" t="s">
        <v>572</v>
      </c>
      <c r="D328" s="10" t="s">
        <v>549</v>
      </c>
      <c r="E328" s="8" t="s">
        <v>1215</v>
      </c>
      <c r="F328" s="10">
        <v>1103</v>
      </c>
      <c r="G328" s="10" t="s">
        <v>40</v>
      </c>
      <c r="H328" s="10" t="s">
        <v>41</v>
      </c>
      <c r="I328" s="11">
        <v>1</v>
      </c>
      <c r="J328" s="10"/>
      <c r="K328" s="10" t="s">
        <v>556</v>
      </c>
      <c r="L328" s="8"/>
      <c r="M328" s="12"/>
      <c r="N328" s="12">
        <f t="shared" si="7"/>
        <v>0</v>
      </c>
      <c r="O328" s="11">
        <v>1</v>
      </c>
      <c r="P328" s="11">
        <v>1</v>
      </c>
      <c r="Q328" s="11">
        <v>1</v>
      </c>
      <c r="R328" s="11">
        <v>1</v>
      </c>
      <c r="S328" s="11">
        <v>1</v>
      </c>
      <c r="T328" s="11">
        <v>1</v>
      </c>
      <c r="U328" s="11">
        <v>1</v>
      </c>
      <c r="V328" s="11">
        <v>1</v>
      </c>
      <c r="W328" s="11">
        <v>1</v>
      </c>
      <c r="X328" s="11">
        <v>1</v>
      </c>
      <c r="Y328" s="11">
        <v>1</v>
      </c>
      <c r="Z328" s="11">
        <v>1</v>
      </c>
      <c r="AA328" s="11">
        <v>1</v>
      </c>
      <c r="AB328" s="11">
        <v>1</v>
      </c>
      <c r="AC328" s="11">
        <v>1</v>
      </c>
      <c r="AD328" s="11">
        <v>1</v>
      </c>
      <c r="AE328" s="11">
        <v>1</v>
      </c>
      <c r="AF328" s="11">
        <v>1</v>
      </c>
      <c r="AG328" s="11">
        <v>1</v>
      </c>
      <c r="AH328" s="11">
        <v>1</v>
      </c>
      <c r="AI328" s="11">
        <v>1</v>
      </c>
      <c r="AJ328" s="11">
        <v>1</v>
      </c>
      <c r="AK328" s="11">
        <v>1</v>
      </c>
      <c r="AL328" s="11">
        <v>1</v>
      </c>
      <c r="AM328" s="11">
        <v>1</v>
      </c>
      <c r="AN328" s="72">
        <v>1</v>
      </c>
      <c r="AO328" s="72">
        <v>1</v>
      </c>
      <c r="AP328" s="72">
        <v>1</v>
      </c>
      <c r="AQ328" s="72">
        <v>1</v>
      </c>
      <c r="AR328" s="72">
        <v>1</v>
      </c>
      <c r="AS328" s="72">
        <v>1</v>
      </c>
      <c r="AT328" s="72">
        <v>1</v>
      </c>
      <c r="AU328" s="72">
        <v>1</v>
      </c>
      <c r="AV328" s="72">
        <v>1</v>
      </c>
      <c r="AW328" s="72">
        <v>1</v>
      </c>
      <c r="AX328" s="72">
        <v>1</v>
      </c>
      <c r="AY328" s="72">
        <v>1</v>
      </c>
      <c r="AZ328" s="72">
        <v>1</v>
      </c>
      <c r="BA328" s="72">
        <v>1</v>
      </c>
      <c r="BB328" s="72">
        <v>1</v>
      </c>
      <c r="BC328" s="72">
        <v>1</v>
      </c>
      <c r="BD328" s="72">
        <v>1</v>
      </c>
      <c r="BE328" s="72">
        <v>1</v>
      </c>
      <c r="BF328" s="72">
        <v>1</v>
      </c>
      <c r="BG328" s="72">
        <v>1</v>
      </c>
      <c r="BH328" s="72">
        <v>1</v>
      </c>
      <c r="BI328" s="72">
        <v>1</v>
      </c>
      <c r="BJ328" s="72">
        <v>1</v>
      </c>
      <c r="BK328" s="72">
        <v>1</v>
      </c>
      <c r="BL328" s="72">
        <v>1</v>
      </c>
      <c r="BM328" s="72">
        <v>1</v>
      </c>
      <c r="BN328" s="72">
        <v>1</v>
      </c>
      <c r="BO328" s="72">
        <v>1</v>
      </c>
      <c r="BP328" s="72">
        <v>1</v>
      </c>
      <c r="BQ328" s="72">
        <v>1</v>
      </c>
      <c r="BR328" s="72">
        <v>1</v>
      </c>
      <c r="BS328" s="72">
        <v>1</v>
      </c>
      <c r="BT328" s="72">
        <v>1</v>
      </c>
      <c r="BU328" s="72">
        <v>1</v>
      </c>
      <c r="BV328" s="72">
        <v>1</v>
      </c>
      <c r="BW328" s="72">
        <v>1</v>
      </c>
      <c r="BX328" s="72">
        <v>1</v>
      </c>
      <c r="BY328" s="72">
        <v>1</v>
      </c>
      <c r="BZ328" s="72">
        <v>1</v>
      </c>
      <c r="CA328" s="72">
        <v>1</v>
      </c>
      <c r="CB328" s="72">
        <v>1</v>
      </c>
      <c r="CC328" s="72">
        <v>1</v>
      </c>
      <c r="CD328" s="72">
        <v>1</v>
      </c>
      <c r="CE328" s="72">
        <v>1</v>
      </c>
      <c r="CF328" s="72">
        <v>1</v>
      </c>
      <c r="CG328" s="72">
        <v>1</v>
      </c>
      <c r="CH328" s="72">
        <v>1</v>
      </c>
      <c r="CI328" s="72">
        <v>1</v>
      </c>
      <c r="CJ328" s="72">
        <v>1</v>
      </c>
      <c r="CK328" s="72">
        <v>1</v>
      </c>
      <c r="CL328" s="72">
        <v>1</v>
      </c>
      <c r="CM328" s="72">
        <v>1</v>
      </c>
      <c r="CN328" s="72">
        <v>1</v>
      </c>
      <c r="CO328" s="72">
        <v>1</v>
      </c>
      <c r="CP328" s="72">
        <v>1</v>
      </c>
      <c r="CQ328" s="72">
        <v>1</v>
      </c>
      <c r="CR328" s="72">
        <v>1</v>
      </c>
      <c r="CS328" s="72">
        <v>1</v>
      </c>
      <c r="CT328" s="72">
        <v>1</v>
      </c>
      <c r="CU328" s="72">
        <v>1</v>
      </c>
      <c r="CV328" s="72">
        <v>1</v>
      </c>
      <c r="CW328" s="72">
        <v>1</v>
      </c>
      <c r="CX328" s="72">
        <v>1</v>
      </c>
      <c r="CY328" s="72">
        <v>1</v>
      </c>
      <c r="CZ328" s="72">
        <v>1</v>
      </c>
      <c r="DA328" s="72">
        <v>1</v>
      </c>
      <c r="DB328" s="72">
        <v>1</v>
      </c>
      <c r="DC328" s="72">
        <v>1</v>
      </c>
      <c r="DD328" s="72">
        <v>1</v>
      </c>
      <c r="DE328" s="72">
        <v>1</v>
      </c>
      <c r="DF328" s="72">
        <v>1</v>
      </c>
      <c r="DG328" s="72">
        <v>1</v>
      </c>
      <c r="DH328" s="72">
        <v>1</v>
      </c>
      <c r="DI328" s="72">
        <v>1</v>
      </c>
      <c r="DJ328" s="72">
        <v>1</v>
      </c>
      <c r="DK328" s="72">
        <v>1</v>
      </c>
      <c r="DL328" s="72">
        <v>1</v>
      </c>
      <c r="DM328" s="72">
        <v>1</v>
      </c>
    </row>
    <row r="329" spans="1:117" x14ac:dyDescent="0.35">
      <c r="A329" s="7"/>
      <c r="B329" s="92" t="s">
        <v>1336</v>
      </c>
      <c r="C329" s="8" t="s">
        <v>573</v>
      </c>
      <c r="D329" s="10" t="s">
        <v>549</v>
      </c>
      <c r="E329" s="8" t="s">
        <v>1208</v>
      </c>
      <c r="F329" s="10">
        <v>1102</v>
      </c>
      <c r="G329" s="10" t="s">
        <v>40</v>
      </c>
      <c r="H329" s="10" t="s">
        <v>41</v>
      </c>
      <c r="I329" s="11">
        <v>1</v>
      </c>
      <c r="J329" s="10"/>
      <c r="K329" s="10" t="s">
        <v>556</v>
      </c>
      <c r="L329" s="8"/>
      <c r="M329" s="12"/>
      <c r="N329" s="12">
        <f t="shared" si="7"/>
        <v>0</v>
      </c>
      <c r="O329" s="11">
        <v>1</v>
      </c>
      <c r="P329" s="11">
        <v>1</v>
      </c>
      <c r="Q329" s="11">
        <v>1</v>
      </c>
      <c r="R329" s="11">
        <v>1</v>
      </c>
      <c r="S329" s="11">
        <v>1</v>
      </c>
      <c r="T329" s="11">
        <v>1</v>
      </c>
      <c r="U329" s="11">
        <v>1</v>
      </c>
      <c r="V329" s="11">
        <v>1</v>
      </c>
      <c r="W329" s="11">
        <v>1</v>
      </c>
      <c r="X329" s="11">
        <v>1</v>
      </c>
      <c r="Y329" s="11">
        <v>1</v>
      </c>
      <c r="Z329" s="11">
        <v>1</v>
      </c>
      <c r="AA329" s="11">
        <v>1</v>
      </c>
      <c r="AB329" s="11">
        <v>1</v>
      </c>
      <c r="AC329" s="11">
        <v>1</v>
      </c>
      <c r="AD329" s="11">
        <v>1</v>
      </c>
      <c r="AE329" s="11">
        <v>1</v>
      </c>
      <c r="AF329" s="11">
        <v>1</v>
      </c>
      <c r="AG329" s="11">
        <v>1</v>
      </c>
      <c r="AH329" s="11">
        <v>1</v>
      </c>
      <c r="AI329" s="11">
        <v>1</v>
      </c>
      <c r="AJ329" s="11">
        <v>1</v>
      </c>
      <c r="AK329" s="11">
        <v>1</v>
      </c>
      <c r="AL329" s="11">
        <v>1</v>
      </c>
      <c r="AM329" s="11">
        <v>1</v>
      </c>
      <c r="AN329" s="72">
        <v>1</v>
      </c>
      <c r="AO329" s="72">
        <v>1</v>
      </c>
      <c r="AP329" s="72">
        <v>1</v>
      </c>
      <c r="AQ329" s="72">
        <v>1</v>
      </c>
      <c r="AR329" s="72">
        <v>1</v>
      </c>
      <c r="AS329" s="72">
        <v>1</v>
      </c>
      <c r="AT329" s="72">
        <v>1</v>
      </c>
      <c r="AU329" s="72">
        <v>1</v>
      </c>
      <c r="AV329" s="72">
        <v>1</v>
      </c>
      <c r="AW329" s="72">
        <v>1</v>
      </c>
      <c r="AX329" s="72">
        <v>1</v>
      </c>
      <c r="AY329" s="72">
        <v>1</v>
      </c>
      <c r="AZ329" s="72">
        <v>1</v>
      </c>
      <c r="BA329" s="72">
        <v>1</v>
      </c>
      <c r="BB329" s="72">
        <v>1</v>
      </c>
      <c r="BC329" s="72">
        <v>1</v>
      </c>
      <c r="BD329" s="72">
        <v>1</v>
      </c>
      <c r="BE329" s="72">
        <v>1</v>
      </c>
      <c r="BF329" s="72">
        <v>1</v>
      </c>
      <c r="BG329" s="72">
        <v>1</v>
      </c>
      <c r="BH329" s="72">
        <v>1</v>
      </c>
      <c r="BI329" s="72">
        <v>1</v>
      </c>
      <c r="BJ329" s="72">
        <v>1</v>
      </c>
      <c r="BK329" s="72">
        <v>1</v>
      </c>
      <c r="BL329" s="72">
        <v>1</v>
      </c>
      <c r="BM329" s="72">
        <v>1</v>
      </c>
      <c r="BN329" s="72">
        <v>1</v>
      </c>
      <c r="BO329" s="72">
        <v>1</v>
      </c>
      <c r="BP329" s="72">
        <v>1</v>
      </c>
      <c r="BQ329" s="72">
        <v>1</v>
      </c>
      <c r="BR329" s="72">
        <v>1</v>
      </c>
      <c r="BS329" s="72">
        <v>1</v>
      </c>
      <c r="BT329" s="72">
        <v>1</v>
      </c>
      <c r="BU329" s="72">
        <v>1</v>
      </c>
      <c r="BV329" s="72">
        <v>1</v>
      </c>
      <c r="BW329" s="72">
        <v>1</v>
      </c>
      <c r="BX329" s="72">
        <v>1</v>
      </c>
      <c r="BY329" s="72">
        <v>1</v>
      </c>
      <c r="BZ329" s="72">
        <v>1</v>
      </c>
      <c r="CA329" s="72">
        <v>1</v>
      </c>
      <c r="CB329" s="72">
        <v>1</v>
      </c>
      <c r="CC329" s="72">
        <v>1</v>
      </c>
      <c r="CD329" s="72">
        <v>1</v>
      </c>
      <c r="CE329" s="72">
        <v>1</v>
      </c>
      <c r="CF329" s="72">
        <v>1</v>
      </c>
      <c r="CG329" s="72">
        <v>1</v>
      </c>
      <c r="CH329" s="72">
        <v>1</v>
      </c>
      <c r="CI329" s="72">
        <v>1</v>
      </c>
      <c r="CJ329" s="72">
        <v>1</v>
      </c>
      <c r="CK329" s="72">
        <v>1</v>
      </c>
      <c r="CL329" s="72">
        <v>1</v>
      </c>
      <c r="CM329" s="72">
        <v>1</v>
      </c>
      <c r="CN329" s="72">
        <v>1</v>
      </c>
      <c r="CO329" s="72">
        <v>1</v>
      </c>
      <c r="CP329" s="72">
        <v>1</v>
      </c>
      <c r="CQ329" s="72">
        <v>1</v>
      </c>
      <c r="CR329" s="72">
        <v>1</v>
      </c>
      <c r="CS329" s="72">
        <v>1</v>
      </c>
      <c r="CT329" s="72">
        <v>1</v>
      </c>
      <c r="CU329" s="72">
        <v>1</v>
      </c>
      <c r="CV329" s="72">
        <v>1</v>
      </c>
      <c r="CW329" s="72">
        <v>1</v>
      </c>
      <c r="CX329" s="72">
        <v>1</v>
      </c>
      <c r="CY329" s="72">
        <v>1</v>
      </c>
      <c r="CZ329" s="72">
        <v>1</v>
      </c>
      <c r="DA329" s="72">
        <v>1</v>
      </c>
      <c r="DB329" s="72">
        <v>1</v>
      </c>
      <c r="DC329" s="72">
        <v>1</v>
      </c>
      <c r="DD329" s="72">
        <v>1</v>
      </c>
      <c r="DE329" s="72">
        <v>1</v>
      </c>
      <c r="DF329" s="72">
        <v>1</v>
      </c>
      <c r="DG329" s="72">
        <v>1</v>
      </c>
      <c r="DH329" s="72">
        <v>1</v>
      </c>
      <c r="DI329" s="72">
        <v>1</v>
      </c>
      <c r="DJ329" s="72">
        <v>1</v>
      </c>
      <c r="DK329" s="72">
        <v>1</v>
      </c>
      <c r="DL329" s="72">
        <v>1</v>
      </c>
      <c r="DM329" s="72">
        <v>1</v>
      </c>
    </row>
    <row r="330" spans="1:117" x14ac:dyDescent="0.35">
      <c r="A330" s="7"/>
      <c r="B330" s="8" t="s">
        <v>1230</v>
      </c>
      <c r="C330" s="8" t="s">
        <v>1165</v>
      </c>
      <c r="D330" s="10" t="s">
        <v>549</v>
      </c>
      <c r="E330" s="8" t="s">
        <v>1215</v>
      </c>
      <c r="F330" s="10"/>
      <c r="G330" s="10" t="s">
        <v>40</v>
      </c>
      <c r="H330" s="10" t="s">
        <v>41</v>
      </c>
      <c r="I330" s="11"/>
      <c r="J330" s="10"/>
      <c r="K330" s="10"/>
      <c r="L330" s="8"/>
      <c r="M330" s="12"/>
      <c r="N330" s="12">
        <f t="shared" si="7"/>
        <v>0</v>
      </c>
      <c r="O330" s="11"/>
      <c r="P330" s="11"/>
      <c r="Q330" s="11"/>
      <c r="R330" s="11"/>
      <c r="S330" s="11"/>
      <c r="T330" s="11"/>
      <c r="U330" s="11"/>
      <c r="V330" s="11"/>
      <c r="W330" s="11"/>
      <c r="X330" s="11"/>
      <c r="Y330" s="11"/>
      <c r="Z330" s="11"/>
      <c r="AA330" s="11"/>
      <c r="AB330" s="11"/>
      <c r="AC330" s="11"/>
      <c r="AD330" s="11"/>
      <c r="AE330" s="11"/>
      <c r="AF330" s="11"/>
      <c r="AG330" s="11"/>
      <c r="AH330" s="11"/>
      <c r="AI330" s="11"/>
      <c r="AJ330" s="11"/>
      <c r="AK330" s="11">
        <v>10</v>
      </c>
      <c r="AL330" s="11">
        <v>0</v>
      </c>
      <c r="AM330" s="11">
        <v>0</v>
      </c>
      <c r="AN330" s="72">
        <v>0</v>
      </c>
      <c r="AO330" s="72">
        <v>0</v>
      </c>
      <c r="AP330" s="72">
        <v>0</v>
      </c>
      <c r="AQ330" s="72">
        <v>0</v>
      </c>
      <c r="AR330" s="72">
        <v>0</v>
      </c>
      <c r="AS330" s="72">
        <v>0</v>
      </c>
      <c r="AT330" s="72">
        <v>0</v>
      </c>
      <c r="AU330" s="72">
        <v>0</v>
      </c>
      <c r="AV330" s="72">
        <v>0</v>
      </c>
      <c r="AW330" s="72">
        <v>0</v>
      </c>
      <c r="AX330" s="72">
        <v>0</v>
      </c>
      <c r="AY330" s="72">
        <v>0</v>
      </c>
      <c r="AZ330" s="72">
        <v>0</v>
      </c>
      <c r="BA330" s="72">
        <v>0</v>
      </c>
      <c r="BB330" s="72">
        <v>0</v>
      </c>
      <c r="BC330" s="72">
        <v>0</v>
      </c>
      <c r="BD330" s="72">
        <v>0</v>
      </c>
      <c r="BE330" s="72">
        <v>0</v>
      </c>
      <c r="BF330" s="72">
        <v>0</v>
      </c>
      <c r="BG330" s="72">
        <v>0</v>
      </c>
      <c r="BH330" s="72">
        <v>0</v>
      </c>
      <c r="BI330" s="72">
        <v>0</v>
      </c>
      <c r="BJ330" s="72">
        <v>0</v>
      </c>
      <c r="BK330" s="72">
        <v>0</v>
      </c>
      <c r="BL330" s="72">
        <v>0</v>
      </c>
      <c r="BM330" s="72">
        <v>0</v>
      </c>
      <c r="BN330" s="72">
        <v>0</v>
      </c>
      <c r="BO330" s="72">
        <v>0</v>
      </c>
      <c r="BP330" s="72">
        <v>0</v>
      </c>
      <c r="BQ330" s="72">
        <v>0</v>
      </c>
      <c r="BR330" s="72">
        <v>0</v>
      </c>
      <c r="BS330" s="72">
        <v>0</v>
      </c>
      <c r="BT330" s="72">
        <v>0</v>
      </c>
      <c r="BU330" s="72">
        <v>0</v>
      </c>
      <c r="BV330" s="72">
        <v>0</v>
      </c>
      <c r="BW330" s="72">
        <v>0</v>
      </c>
      <c r="BX330" s="72">
        <v>0</v>
      </c>
      <c r="BY330" s="72">
        <v>0</v>
      </c>
      <c r="BZ330" s="72">
        <v>0</v>
      </c>
      <c r="CA330" s="72">
        <v>0</v>
      </c>
      <c r="CB330" s="72">
        <v>0</v>
      </c>
      <c r="CC330" s="72">
        <v>0</v>
      </c>
      <c r="CD330" s="72">
        <v>0</v>
      </c>
      <c r="CE330" s="72">
        <v>0</v>
      </c>
      <c r="CF330" s="72">
        <v>0</v>
      </c>
      <c r="CG330" s="72">
        <v>0</v>
      </c>
      <c r="CH330" s="72">
        <v>0</v>
      </c>
      <c r="CI330" s="72">
        <v>0</v>
      </c>
      <c r="CJ330" s="72">
        <v>0</v>
      </c>
      <c r="CK330" s="72">
        <v>0</v>
      </c>
      <c r="CL330" s="72">
        <v>0</v>
      </c>
      <c r="CM330" s="72">
        <v>0</v>
      </c>
      <c r="CN330" s="72">
        <v>0</v>
      </c>
      <c r="CO330" s="72">
        <v>0</v>
      </c>
      <c r="CP330" s="72">
        <v>0</v>
      </c>
      <c r="CQ330" s="72">
        <v>0</v>
      </c>
      <c r="CR330" s="72">
        <v>0</v>
      </c>
      <c r="CS330" s="72">
        <v>0</v>
      </c>
      <c r="CT330" s="72">
        <v>0</v>
      </c>
      <c r="CU330" s="72">
        <v>0</v>
      </c>
      <c r="CV330" s="72">
        <v>0</v>
      </c>
      <c r="CW330" s="72">
        <v>0</v>
      </c>
      <c r="CX330" s="72">
        <v>0</v>
      </c>
      <c r="CY330" s="72">
        <v>0</v>
      </c>
      <c r="CZ330" s="72">
        <v>0</v>
      </c>
      <c r="DA330" s="72">
        <v>0</v>
      </c>
      <c r="DB330" s="72">
        <v>0</v>
      </c>
      <c r="DC330" s="72">
        <v>0</v>
      </c>
      <c r="DD330" s="72">
        <v>0</v>
      </c>
      <c r="DE330" s="72">
        <v>0</v>
      </c>
      <c r="DF330" s="72">
        <v>0</v>
      </c>
      <c r="DG330" s="72">
        <v>0</v>
      </c>
      <c r="DH330" s="72">
        <v>0</v>
      </c>
      <c r="DI330" s="72">
        <v>0</v>
      </c>
      <c r="DJ330" s="72">
        <v>0</v>
      </c>
      <c r="DK330" s="72">
        <v>0</v>
      </c>
      <c r="DL330" s="72">
        <v>0</v>
      </c>
      <c r="DM330" s="72">
        <v>0</v>
      </c>
    </row>
    <row r="331" spans="1:117" x14ac:dyDescent="0.35">
      <c r="A331" s="7"/>
      <c r="B331" s="8" t="s">
        <v>574</v>
      </c>
      <c r="C331" s="8" t="s">
        <v>575</v>
      </c>
      <c r="D331" s="10" t="s">
        <v>1166</v>
      </c>
      <c r="E331" s="8" t="s">
        <v>1215</v>
      </c>
      <c r="F331" s="10"/>
      <c r="G331" s="10" t="s">
        <v>40</v>
      </c>
      <c r="H331" s="10" t="s">
        <v>41</v>
      </c>
      <c r="I331" s="11"/>
      <c r="J331" s="10"/>
      <c r="K331" s="10"/>
      <c r="L331" s="8"/>
      <c r="M331" s="12"/>
      <c r="N331" s="12">
        <f t="shared" si="7"/>
        <v>0</v>
      </c>
      <c r="O331" s="11"/>
      <c r="P331" s="11"/>
      <c r="Q331" s="11"/>
      <c r="R331" s="11"/>
      <c r="S331" s="11"/>
      <c r="T331" s="11"/>
      <c r="U331" s="11"/>
      <c r="V331" s="11"/>
      <c r="W331" s="11"/>
      <c r="X331" s="11"/>
      <c r="Y331" s="11"/>
      <c r="Z331" s="11"/>
      <c r="AA331" s="11"/>
      <c r="AB331" s="11"/>
      <c r="AC331" s="11"/>
      <c r="AD331" s="11"/>
      <c r="AE331" s="11"/>
      <c r="AF331" s="11"/>
      <c r="AG331" s="11"/>
      <c r="AH331" s="11"/>
      <c r="AI331" s="11"/>
      <c r="AJ331" s="11"/>
      <c r="AK331" s="11">
        <v>7</v>
      </c>
      <c r="AL331" s="11"/>
      <c r="AM331" s="11"/>
      <c r="AN331" s="72"/>
      <c r="AO331" s="72"/>
      <c r="AP331" s="72"/>
      <c r="AQ331" s="72"/>
      <c r="AR331" s="72"/>
      <c r="AS331" s="72"/>
      <c r="AT331" s="72"/>
      <c r="AU331" s="72"/>
      <c r="AV331" s="72"/>
      <c r="AW331" s="72"/>
      <c r="AX331" s="72"/>
      <c r="AY331" s="72"/>
      <c r="AZ331" s="72"/>
      <c r="BA331" s="72"/>
      <c r="BB331" s="72"/>
      <c r="BC331" s="72"/>
      <c r="BD331" s="72"/>
      <c r="BE331" s="72"/>
      <c r="BF331" s="72"/>
      <c r="BG331" s="72"/>
      <c r="BH331" s="72">
        <v>0</v>
      </c>
      <c r="BI331" s="72">
        <v>0</v>
      </c>
      <c r="BJ331" s="72">
        <v>0</v>
      </c>
      <c r="BK331" s="72">
        <v>0</v>
      </c>
      <c r="BL331" s="72">
        <v>0</v>
      </c>
      <c r="BM331" s="72">
        <v>0</v>
      </c>
      <c r="BN331" s="72">
        <v>0</v>
      </c>
      <c r="BO331" s="72">
        <v>0</v>
      </c>
      <c r="BP331" s="72">
        <v>0</v>
      </c>
      <c r="BQ331" s="72">
        <v>0</v>
      </c>
      <c r="BR331" s="72">
        <v>0</v>
      </c>
      <c r="BS331" s="72">
        <v>0</v>
      </c>
      <c r="BT331" s="72">
        <v>0</v>
      </c>
      <c r="BU331" s="72">
        <v>0</v>
      </c>
      <c r="BV331" s="72">
        <v>0</v>
      </c>
      <c r="BW331" s="72">
        <v>0</v>
      </c>
      <c r="BX331" s="72">
        <v>0</v>
      </c>
      <c r="BY331" s="72">
        <v>0</v>
      </c>
      <c r="BZ331" s="72">
        <v>0</v>
      </c>
      <c r="CA331" s="72">
        <v>0</v>
      </c>
      <c r="CB331" s="72">
        <v>0</v>
      </c>
      <c r="CC331" s="72">
        <v>0</v>
      </c>
      <c r="CD331" s="72">
        <v>0</v>
      </c>
      <c r="CE331" s="72">
        <v>0</v>
      </c>
      <c r="CF331" s="72">
        <v>0</v>
      </c>
      <c r="CG331" s="72">
        <v>0</v>
      </c>
      <c r="CH331" s="72">
        <v>0</v>
      </c>
      <c r="CI331" s="72">
        <v>0</v>
      </c>
      <c r="CJ331" s="72">
        <v>0</v>
      </c>
      <c r="CK331" s="72">
        <v>0</v>
      </c>
      <c r="CL331" s="72">
        <v>0</v>
      </c>
      <c r="CM331" s="72">
        <v>0</v>
      </c>
      <c r="CN331" s="72">
        <v>0</v>
      </c>
      <c r="CO331" s="72">
        <v>0</v>
      </c>
      <c r="CP331" s="72">
        <v>0</v>
      </c>
      <c r="CQ331" s="72">
        <v>0</v>
      </c>
      <c r="CR331" s="72">
        <v>0</v>
      </c>
      <c r="CS331" s="72">
        <v>0</v>
      </c>
      <c r="CT331" s="72">
        <v>0</v>
      </c>
      <c r="CU331" s="72">
        <v>0</v>
      </c>
      <c r="CV331" s="72">
        <v>0</v>
      </c>
      <c r="CW331" s="72">
        <v>0</v>
      </c>
      <c r="CX331" s="72">
        <v>0</v>
      </c>
      <c r="CY331" s="72">
        <v>0</v>
      </c>
      <c r="CZ331" s="72">
        <v>0</v>
      </c>
      <c r="DA331" s="72">
        <v>0</v>
      </c>
      <c r="DB331" s="72">
        <v>0</v>
      </c>
      <c r="DC331" s="72">
        <v>0</v>
      </c>
      <c r="DD331" s="72">
        <v>0</v>
      </c>
      <c r="DE331" s="72">
        <v>0</v>
      </c>
      <c r="DF331" s="72">
        <v>0</v>
      </c>
      <c r="DG331" s="72">
        <v>0</v>
      </c>
      <c r="DH331" s="72">
        <v>0</v>
      </c>
      <c r="DI331" s="72">
        <v>0</v>
      </c>
      <c r="DJ331" s="72">
        <v>0</v>
      </c>
      <c r="DK331" s="72">
        <v>0</v>
      </c>
      <c r="DL331" s="72">
        <v>0</v>
      </c>
      <c r="DM331" s="72">
        <v>0</v>
      </c>
    </row>
    <row r="332" spans="1:117" x14ac:dyDescent="0.35">
      <c r="A332" s="7"/>
      <c r="B332" s="77" t="s">
        <v>1539</v>
      </c>
      <c r="C332" s="8" t="s">
        <v>1546</v>
      </c>
      <c r="D332" s="10" t="s">
        <v>1551</v>
      </c>
      <c r="E332" s="8" t="s">
        <v>1203</v>
      </c>
      <c r="F332" s="10"/>
      <c r="G332" s="10"/>
      <c r="H332" s="10"/>
      <c r="I332" s="11"/>
      <c r="J332" s="10"/>
      <c r="K332" s="10"/>
      <c r="L332" s="8"/>
      <c r="M332" s="12">
        <v>457.52</v>
      </c>
      <c r="N332" s="12">
        <f t="shared" si="7"/>
        <v>44379.439999999995</v>
      </c>
      <c r="O332" s="11"/>
      <c r="P332" s="11"/>
      <c r="Q332" s="11"/>
      <c r="R332" s="11"/>
      <c r="S332" s="11"/>
      <c r="T332" s="11"/>
      <c r="U332" s="11"/>
      <c r="V332" s="11"/>
      <c r="W332" s="11"/>
      <c r="X332" s="11"/>
      <c r="Y332" s="11"/>
      <c r="Z332" s="11"/>
      <c r="AA332" s="11"/>
      <c r="AB332" s="11"/>
      <c r="AC332" s="11"/>
      <c r="AD332" s="11"/>
      <c r="AE332" s="11"/>
      <c r="AF332" s="11"/>
      <c r="AG332" s="11"/>
      <c r="AH332" s="11"/>
      <c r="AI332" s="11"/>
      <c r="AJ332" s="11"/>
      <c r="AK332" s="11"/>
      <c r="AL332" s="11"/>
      <c r="AM332" s="11"/>
      <c r="AN332" s="72"/>
      <c r="AO332" s="72"/>
      <c r="AP332" s="72"/>
      <c r="AQ332" s="72"/>
      <c r="AR332" s="72"/>
      <c r="AS332" s="72"/>
      <c r="AT332" s="72"/>
      <c r="AU332" s="72"/>
      <c r="AV332" s="72"/>
      <c r="AW332" s="72"/>
      <c r="AX332" s="72"/>
      <c r="AY332" s="72"/>
      <c r="AZ332" s="72"/>
      <c r="BA332" s="72"/>
      <c r="BB332" s="72"/>
      <c r="BC332" s="72"/>
      <c r="BD332" s="72"/>
      <c r="BE332" s="72"/>
      <c r="BF332" s="72"/>
      <c r="BG332" s="72"/>
      <c r="BH332" s="72"/>
      <c r="BI332" s="72"/>
      <c r="BJ332" s="72"/>
      <c r="BK332" s="72"/>
      <c r="BL332" s="72"/>
      <c r="BM332" s="72"/>
      <c r="BN332" s="72"/>
      <c r="BO332" s="72"/>
      <c r="BP332" s="72"/>
      <c r="BQ332" s="72"/>
      <c r="BR332" s="72"/>
      <c r="BS332" s="72"/>
      <c r="BT332" s="72"/>
      <c r="BU332" s="72"/>
      <c r="BV332" s="72"/>
      <c r="BW332" s="72"/>
      <c r="BX332" s="72"/>
      <c r="BY332" s="72"/>
      <c r="BZ332" s="72"/>
      <c r="CA332" s="72"/>
      <c r="CB332" s="72"/>
      <c r="CC332" s="72"/>
      <c r="CD332" s="72"/>
      <c r="CE332" s="72"/>
      <c r="CF332" s="72"/>
      <c r="CG332" s="72"/>
      <c r="CH332" s="72"/>
      <c r="CI332" s="72"/>
      <c r="CJ332" s="72"/>
      <c r="CK332" s="72"/>
      <c r="CL332" s="72"/>
      <c r="CM332" s="72"/>
      <c r="CN332" s="72"/>
      <c r="CO332" s="72"/>
      <c r="CP332" s="72"/>
      <c r="CQ332" s="72"/>
      <c r="CR332" s="72"/>
      <c r="CS332" s="72"/>
      <c r="CT332" s="72"/>
      <c r="CU332" s="72"/>
      <c r="CV332" s="72"/>
      <c r="CW332" s="72"/>
      <c r="CX332" s="72"/>
      <c r="CY332" s="72"/>
      <c r="CZ332" s="72"/>
      <c r="DA332" s="72"/>
      <c r="DB332" s="72"/>
      <c r="DC332" s="72"/>
      <c r="DD332" s="72"/>
      <c r="DE332" s="72"/>
      <c r="DF332" s="72"/>
      <c r="DG332" s="72"/>
      <c r="DH332" s="72">
        <v>97</v>
      </c>
      <c r="DI332" s="72">
        <v>97</v>
      </c>
      <c r="DJ332" s="72">
        <v>97</v>
      </c>
      <c r="DK332" s="72">
        <v>97</v>
      </c>
      <c r="DL332" s="72">
        <v>97</v>
      </c>
      <c r="DM332" s="72">
        <v>97</v>
      </c>
    </row>
    <row r="333" spans="1:117" x14ac:dyDescent="0.35">
      <c r="A333" s="7"/>
      <c r="B333" s="77" t="s">
        <v>1540</v>
      </c>
      <c r="C333" s="8" t="s">
        <v>1547</v>
      </c>
      <c r="D333" s="10" t="s">
        <v>1551</v>
      </c>
      <c r="E333" s="8" t="s">
        <v>1203</v>
      </c>
      <c r="F333" s="10"/>
      <c r="G333" s="10"/>
      <c r="H333" s="10"/>
      <c r="I333" s="11"/>
      <c r="J333" s="10"/>
      <c r="K333" s="10"/>
      <c r="L333" s="8"/>
      <c r="M333" s="12">
        <v>291.60000000000002</v>
      </c>
      <c r="N333" s="12">
        <f t="shared" si="7"/>
        <v>14288.400000000001</v>
      </c>
      <c r="O333" s="11"/>
      <c r="P333" s="11"/>
      <c r="Q333" s="11"/>
      <c r="R333" s="11"/>
      <c r="S333" s="11"/>
      <c r="T333" s="11"/>
      <c r="U333" s="11"/>
      <c r="V333" s="11"/>
      <c r="W333" s="11"/>
      <c r="X333" s="11"/>
      <c r="Y333" s="11"/>
      <c r="Z333" s="11"/>
      <c r="AA333" s="11"/>
      <c r="AB333" s="11"/>
      <c r="AC333" s="11"/>
      <c r="AD333" s="11"/>
      <c r="AE333" s="11"/>
      <c r="AF333" s="11"/>
      <c r="AG333" s="11"/>
      <c r="AH333" s="11"/>
      <c r="AI333" s="11"/>
      <c r="AJ333" s="11"/>
      <c r="AK333" s="11"/>
      <c r="AL333" s="11"/>
      <c r="AM333" s="11"/>
      <c r="AN333" s="72"/>
      <c r="AO333" s="72"/>
      <c r="AP333" s="72"/>
      <c r="AQ333" s="72"/>
      <c r="AR333" s="72"/>
      <c r="AS333" s="72"/>
      <c r="AT333" s="72"/>
      <c r="AU333" s="72"/>
      <c r="AV333" s="72"/>
      <c r="AW333" s="72"/>
      <c r="AX333" s="72"/>
      <c r="AY333" s="72"/>
      <c r="AZ333" s="72"/>
      <c r="BA333" s="72"/>
      <c r="BB333" s="72"/>
      <c r="BC333" s="72"/>
      <c r="BD333" s="72"/>
      <c r="BE333" s="72"/>
      <c r="BF333" s="72"/>
      <c r="BG333" s="72"/>
      <c r="BH333" s="72"/>
      <c r="BI333" s="72"/>
      <c r="BJ333" s="72"/>
      <c r="BK333" s="72"/>
      <c r="BL333" s="72"/>
      <c r="BM333" s="72"/>
      <c r="BN333" s="72"/>
      <c r="BO333" s="72"/>
      <c r="BP333" s="72"/>
      <c r="BQ333" s="72"/>
      <c r="BR333" s="72"/>
      <c r="BS333" s="72"/>
      <c r="BT333" s="72"/>
      <c r="BU333" s="72"/>
      <c r="BV333" s="72"/>
      <c r="BW333" s="72"/>
      <c r="BX333" s="72"/>
      <c r="BY333" s="72"/>
      <c r="BZ333" s="72"/>
      <c r="CA333" s="72"/>
      <c r="CB333" s="72"/>
      <c r="CC333" s="72"/>
      <c r="CD333" s="72"/>
      <c r="CE333" s="72"/>
      <c r="CF333" s="72"/>
      <c r="CG333" s="72"/>
      <c r="CH333" s="72"/>
      <c r="CI333" s="72"/>
      <c r="CJ333" s="72"/>
      <c r="CK333" s="72"/>
      <c r="CL333" s="72"/>
      <c r="CM333" s="72"/>
      <c r="CN333" s="72"/>
      <c r="CO333" s="72"/>
      <c r="CP333" s="72"/>
      <c r="CQ333" s="72"/>
      <c r="CR333" s="72"/>
      <c r="CS333" s="72"/>
      <c r="CT333" s="72"/>
      <c r="CU333" s="72"/>
      <c r="CV333" s="72"/>
      <c r="CW333" s="72"/>
      <c r="CX333" s="72"/>
      <c r="CY333" s="72"/>
      <c r="CZ333" s="72"/>
      <c r="DA333" s="72"/>
      <c r="DB333" s="72"/>
      <c r="DC333" s="72"/>
      <c r="DD333" s="72"/>
      <c r="DE333" s="72"/>
      <c r="DF333" s="72"/>
      <c r="DG333" s="72"/>
      <c r="DH333" s="72">
        <v>49</v>
      </c>
      <c r="DI333" s="72">
        <v>49</v>
      </c>
      <c r="DJ333" s="72">
        <v>49</v>
      </c>
      <c r="DK333" s="72">
        <v>49</v>
      </c>
      <c r="DL333" s="72">
        <v>49</v>
      </c>
      <c r="DM333" s="72">
        <v>49</v>
      </c>
    </row>
    <row r="334" spans="1:117" x14ac:dyDescent="0.35">
      <c r="A334" s="7"/>
      <c r="B334" s="77" t="s">
        <v>1541</v>
      </c>
      <c r="C334" s="8" t="s">
        <v>1548</v>
      </c>
      <c r="D334" s="10" t="s">
        <v>1551</v>
      </c>
      <c r="E334" s="8" t="s">
        <v>1203</v>
      </c>
      <c r="F334" s="10"/>
      <c r="G334" s="10"/>
      <c r="H334" s="10"/>
      <c r="I334" s="11"/>
      <c r="J334" s="10"/>
      <c r="K334" s="10"/>
      <c r="L334" s="8"/>
      <c r="M334" s="12">
        <v>102.06</v>
      </c>
      <c r="N334" s="12">
        <f t="shared" si="7"/>
        <v>28678.86</v>
      </c>
      <c r="O334" s="11"/>
      <c r="P334" s="11"/>
      <c r="Q334" s="11"/>
      <c r="R334" s="11"/>
      <c r="S334" s="11"/>
      <c r="T334" s="11"/>
      <c r="U334" s="11"/>
      <c r="V334" s="11"/>
      <c r="W334" s="11"/>
      <c r="X334" s="11"/>
      <c r="Y334" s="11"/>
      <c r="Z334" s="11"/>
      <c r="AA334" s="11"/>
      <c r="AB334" s="11"/>
      <c r="AC334" s="11"/>
      <c r="AD334" s="11"/>
      <c r="AE334" s="11"/>
      <c r="AF334" s="11"/>
      <c r="AG334" s="11"/>
      <c r="AH334" s="11"/>
      <c r="AI334" s="11"/>
      <c r="AJ334" s="11"/>
      <c r="AK334" s="11"/>
      <c r="AL334" s="11"/>
      <c r="AM334" s="11"/>
      <c r="AN334" s="72"/>
      <c r="AO334" s="72"/>
      <c r="AP334" s="72"/>
      <c r="AQ334" s="72"/>
      <c r="AR334" s="72"/>
      <c r="AS334" s="72"/>
      <c r="AT334" s="72"/>
      <c r="AU334" s="72"/>
      <c r="AV334" s="72"/>
      <c r="AW334" s="72"/>
      <c r="AX334" s="72"/>
      <c r="AY334" s="72"/>
      <c r="AZ334" s="72"/>
      <c r="BA334" s="72"/>
      <c r="BB334" s="72"/>
      <c r="BC334" s="72"/>
      <c r="BD334" s="72"/>
      <c r="BE334" s="72"/>
      <c r="BF334" s="72"/>
      <c r="BG334" s="72"/>
      <c r="BH334" s="72"/>
      <c r="BI334" s="72"/>
      <c r="BJ334" s="72"/>
      <c r="BK334" s="72"/>
      <c r="BL334" s="72"/>
      <c r="BM334" s="72"/>
      <c r="BN334" s="72"/>
      <c r="BO334" s="72"/>
      <c r="BP334" s="72"/>
      <c r="BQ334" s="72"/>
      <c r="BR334" s="72"/>
      <c r="BS334" s="72"/>
      <c r="BT334" s="72"/>
      <c r="BU334" s="72"/>
      <c r="BV334" s="72"/>
      <c r="BW334" s="72"/>
      <c r="BX334" s="72"/>
      <c r="BY334" s="72"/>
      <c r="BZ334" s="72"/>
      <c r="CA334" s="72"/>
      <c r="CB334" s="72"/>
      <c r="CC334" s="72"/>
      <c r="CD334" s="72"/>
      <c r="CE334" s="72"/>
      <c r="CF334" s="72"/>
      <c r="CG334" s="72"/>
      <c r="CH334" s="72"/>
      <c r="CI334" s="72"/>
      <c r="CJ334" s="72"/>
      <c r="CK334" s="72"/>
      <c r="CL334" s="72"/>
      <c r="CM334" s="72"/>
      <c r="CN334" s="72"/>
      <c r="CO334" s="72"/>
      <c r="CP334" s="72"/>
      <c r="CQ334" s="72"/>
      <c r="CR334" s="72"/>
      <c r="CS334" s="72"/>
      <c r="CT334" s="72"/>
      <c r="CU334" s="72"/>
      <c r="CV334" s="72"/>
      <c r="CW334" s="72"/>
      <c r="CX334" s="72"/>
      <c r="CY334" s="72"/>
      <c r="CZ334" s="72"/>
      <c r="DA334" s="72"/>
      <c r="DB334" s="72"/>
      <c r="DC334" s="72"/>
      <c r="DD334" s="72"/>
      <c r="DE334" s="72"/>
      <c r="DF334" s="72"/>
      <c r="DG334" s="72"/>
      <c r="DH334" s="72">
        <v>293</v>
      </c>
      <c r="DI334" s="72">
        <v>293</v>
      </c>
      <c r="DJ334" s="72">
        <v>293</v>
      </c>
      <c r="DK334" s="72">
        <v>281</v>
      </c>
      <c r="DL334" s="72">
        <v>281</v>
      </c>
      <c r="DM334" s="72">
        <v>281</v>
      </c>
    </row>
    <row r="335" spans="1:117" x14ac:dyDescent="0.35">
      <c r="A335" s="7"/>
      <c r="B335" s="77" t="s">
        <v>1542</v>
      </c>
      <c r="C335" s="8" t="s">
        <v>1549</v>
      </c>
      <c r="D335" s="10" t="s">
        <v>1551</v>
      </c>
      <c r="E335" s="8" t="s">
        <v>1203</v>
      </c>
      <c r="F335" s="10"/>
      <c r="G335" s="10"/>
      <c r="H335" s="10"/>
      <c r="I335" s="11"/>
      <c r="J335" s="10"/>
      <c r="K335" s="10"/>
      <c r="L335" s="8"/>
      <c r="M335" s="12">
        <v>109.06</v>
      </c>
      <c r="N335" s="12">
        <f t="shared" si="7"/>
        <v>20939.52</v>
      </c>
      <c r="O335" s="11"/>
      <c r="P335" s="11"/>
      <c r="Q335" s="11"/>
      <c r="R335" s="11"/>
      <c r="S335" s="11"/>
      <c r="T335" s="11"/>
      <c r="U335" s="11"/>
      <c r="V335" s="11"/>
      <c r="W335" s="11"/>
      <c r="X335" s="11"/>
      <c r="Y335" s="11"/>
      <c r="Z335" s="11"/>
      <c r="AA335" s="11"/>
      <c r="AB335" s="11"/>
      <c r="AC335" s="11"/>
      <c r="AD335" s="11"/>
      <c r="AE335" s="11"/>
      <c r="AF335" s="11"/>
      <c r="AG335" s="11"/>
      <c r="AH335" s="11"/>
      <c r="AI335" s="11"/>
      <c r="AJ335" s="11"/>
      <c r="AK335" s="11"/>
      <c r="AL335" s="11"/>
      <c r="AM335" s="11"/>
      <c r="AN335" s="72"/>
      <c r="AO335" s="72"/>
      <c r="AP335" s="72"/>
      <c r="AQ335" s="72"/>
      <c r="AR335" s="72"/>
      <c r="AS335" s="72"/>
      <c r="AT335" s="72"/>
      <c r="AU335" s="72"/>
      <c r="AV335" s="72"/>
      <c r="AW335" s="72"/>
      <c r="AX335" s="72"/>
      <c r="AY335" s="72"/>
      <c r="AZ335" s="72"/>
      <c r="BA335" s="72"/>
      <c r="BB335" s="72"/>
      <c r="BC335" s="72"/>
      <c r="BD335" s="72"/>
      <c r="BE335" s="72"/>
      <c r="BF335" s="72"/>
      <c r="BG335" s="72"/>
      <c r="BH335" s="72"/>
      <c r="BI335" s="72"/>
      <c r="BJ335" s="72"/>
      <c r="BK335" s="72"/>
      <c r="BL335" s="72"/>
      <c r="BM335" s="72"/>
      <c r="BN335" s="72"/>
      <c r="BO335" s="72"/>
      <c r="BP335" s="72"/>
      <c r="BQ335" s="72"/>
      <c r="BR335" s="72"/>
      <c r="BS335" s="72"/>
      <c r="BT335" s="72"/>
      <c r="BU335" s="72"/>
      <c r="BV335" s="72"/>
      <c r="BW335" s="72"/>
      <c r="BX335" s="72"/>
      <c r="BY335" s="72"/>
      <c r="BZ335" s="72"/>
      <c r="CA335" s="72"/>
      <c r="CB335" s="72"/>
      <c r="CC335" s="72"/>
      <c r="CD335" s="72"/>
      <c r="CE335" s="72"/>
      <c r="CF335" s="72"/>
      <c r="CG335" s="72"/>
      <c r="CH335" s="72"/>
      <c r="CI335" s="72"/>
      <c r="CJ335" s="72"/>
      <c r="CK335" s="72"/>
      <c r="CL335" s="72"/>
      <c r="CM335" s="72"/>
      <c r="CN335" s="72"/>
      <c r="CO335" s="72"/>
      <c r="CP335" s="72"/>
      <c r="CQ335" s="72"/>
      <c r="CR335" s="72"/>
      <c r="CS335" s="72"/>
      <c r="CT335" s="72"/>
      <c r="CU335" s="72"/>
      <c r="CV335" s="72"/>
      <c r="CW335" s="72"/>
      <c r="CX335" s="72"/>
      <c r="CY335" s="72"/>
      <c r="CZ335" s="72"/>
      <c r="DA335" s="72"/>
      <c r="DB335" s="72"/>
      <c r="DC335" s="72"/>
      <c r="DD335" s="72"/>
      <c r="DE335" s="72"/>
      <c r="DF335" s="72"/>
      <c r="DG335" s="72"/>
      <c r="DH335" s="72">
        <v>192</v>
      </c>
      <c r="DI335" s="72">
        <v>192</v>
      </c>
      <c r="DJ335" s="72">
        <v>192</v>
      </c>
      <c r="DK335" s="72">
        <v>192</v>
      </c>
      <c r="DL335" s="72">
        <v>192</v>
      </c>
      <c r="DM335" s="72">
        <v>192</v>
      </c>
    </row>
    <row r="336" spans="1:117" x14ac:dyDescent="0.35">
      <c r="A336" s="7"/>
      <c r="B336" s="77" t="s">
        <v>1543</v>
      </c>
      <c r="C336" s="8" t="s">
        <v>1550</v>
      </c>
      <c r="D336" s="10" t="s">
        <v>1551</v>
      </c>
      <c r="E336" s="8" t="s">
        <v>1203</v>
      </c>
      <c r="F336" s="10"/>
      <c r="G336" s="10"/>
      <c r="H336" s="10"/>
      <c r="I336" s="11"/>
      <c r="J336" s="10"/>
      <c r="K336" s="10"/>
      <c r="L336" s="8"/>
      <c r="M336" s="12">
        <v>211.41</v>
      </c>
      <c r="N336" s="12">
        <f t="shared" si="7"/>
        <v>130862.79</v>
      </c>
      <c r="O336" s="11"/>
      <c r="P336" s="11"/>
      <c r="Q336" s="11"/>
      <c r="R336" s="11"/>
      <c r="S336" s="11"/>
      <c r="T336" s="11"/>
      <c r="U336" s="11"/>
      <c r="V336" s="11"/>
      <c r="W336" s="11"/>
      <c r="X336" s="11"/>
      <c r="Y336" s="11"/>
      <c r="Z336" s="11"/>
      <c r="AA336" s="11"/>
      <c r="AB336" s="11"/>
      <c r="AC336" s="11"/>
      <c r="AD336" s="11"/>
      <c r="AE336" s="11"/>
      <c r="AF336" s="11"/>
      <c r="AG336" s="11"/>
      <c r="AH336" s="11"/>
      <c r="AI336" s="11"/>
      <c r="AJ336" s="11"/>
      <c r="AK336" s="11"/>
      <c r="AL336" s="11"/>
      <c r="AM336" s="11"/>
      <c r="AN336" s="72"/>
      <c r="AO336" s="72"/>
      <c r="AP336" s="72"/>
      <c r="AQ336" s="72"/>
      <c r="AR336" s="72"/>
      <c r="AS336" s="72"/>
      <c r="AT336" s="72"/>
      <c r="AU336" s="72"/>
      <c r="AV336" s="72"/>
      <c r="AW336" s="72"/>
      <c r="AX336" s="72"/>
      <c r="AY336" s="72"/>
      <c r="AZ336" s="72"/>
      <c r="BA336" s="72"/>
      <c r="BB336" s="72"/>
      <c r="BC336" s="72"/>
      <c r="BD336" s="72"/>
      <c r="BE336" s="72"/>
      <c r="BF336" s="72"/>
      <c r="BG336" s="72"/>
      <c r="BH336" s="72"/>
      <c r="BI336" s="72"/>
      <c r="BJ336" s="72"/>
      <c r="BK336" s="72"/>
      <c r="BL336" s="72"/>
      <c r="BM336" s="72"/>
      <c r="BN336" s="72"/>
      <c r="BO336" s="72"/>
      <c r="BP336" s="72"/>
      <c r="BQ336" s="72"/>
      <c r="BR336" s="72"/>
      <c r="BS336" s="72"/>
      <c r="BT336" s="72"/>
      <c r="BU336" s="72"/>
      <c r="BV336" s="72"/>
      <c r="BW336" s="72"/>
      <c r="BX336" s="72"/>
      <c r="BY336" s="72"/>
      <c r="BZ336" s="72"/>
      <c r="CA336" s="72"/>
      <c r="CB336" s="72"/>
      <c r="CC336" s="72"/>
      <c r="CD336" s="72"/>
      <c r="CE336" s="72"/>
      <c r="CF336" s="72"/>
      <c r="CG336" s="72"/>
      <c r="CH336" s="72"/>
      <c r="CI336" s="72"/>
      <c r="CJ336" s="72"/>
      <c r="CK336" s="72"/>
      <c r="CL336" s="72"/>
      <c r="CM336" s="72"/>
      <c r="CN336" s="72"/>
      <c r="CO336" s="72"/>
      <c r="CP336" s="72"/>
      <c r="CQ336" s="72"/>
      <c r="CR336" s="72"/>
      <c r="CS336" s="72"/>
      <c r="CT336" s="72"/>
      <c r="CU336" s="72"/>
      <c r="CV336" s="72"/>
      <c r="CW336" s="72"/>
      <c r="CX336" s="72"/>
      <c r="CY336" s="72"/>
      <c r="CZ336" s="72"/>
      <c r="DA336" s="72"/>
      <c r="DB336" s="72"/>
      <c r="DC336" s="72"/>
      <c r="DD336" s="72"/>
      <c r="DE336" s="72"/>
      <c r="DF336" s="72"/>
      <c r="DG336" s="72"/>
      <c r="DH336" s="72">
        <v>622</v>
      </c>
      <c r="DI336" s="72">
        <v>621</v>
      </c>
      <c r="DJ336" s="72">
        <v>621</v>
      </c>
      <c r="DK336" s="72">
        <v>619</v>
      </c>
      <c r="DL336" s="72">
        <v>619</v>
      </c>
      <c r="DM336" s="72">
        <v>619</v>
      </c>
    </row>
    <row r="337" spans="1:117" x14ac:dyDescent="0.35">
      <c r="A337" s="7"/>
      <c r="B337" s="8" t="s">
        <v>576</v>
      </c>
      <c r="C337" s="8" t="s">
        <v>577</v>
      </c>
      <c r="D337" s="10" t="s">
        <v>578</v>
      </c>
      <c r="E337" s="8" t="s">
        <v>1208</v>
      </c>
      <c r="F337" s="10">
        <v>1102</v>
      </c>
      <c r="G337" s="10" t="s">
        <v>40</v>
      </c>
      <c r="H337" s="10" t="s">
        <v>41</v>
      </c>
      <c r="I337" s="11">
        <v>0</v>
      </c>
      <c r="J337" s="10"/>
      <c r="K337" s="10" t="s">
        <v>42</v>
      </c>
      <c r="L337" s="8"/>
      <c r="M337" s="12"/>
      <c r="N337" s="12">
        <f t="shared" si="7"/>
        <v>0</v>
      </c>
      <c r="O337" s="11"/>
      <c r="P337" s="11"/>
      <c r="Q337" s="11"/>
      <c r="R337" s="11"/>
      <c r="S337" s="11"/>
      <c r="T337" s="11"/>
      <c r="U337" s="11">
        <v>0</v>
      </c>
      <c r="V337" s="11">
        <v>0</v>
      </c>
      <c r="W337" s="11">
        <v>0</v>
      </c>
      <c r="X337" s="11">
        <v>0</v>
      </c>
      <c r="Y337" s="11">
        <v>0</v>
      </c>
      <c r="Z337" s="11">
        <v>0</v>
      </c>
      <c r="AA337" s="11">
        <v>0</v>
      </c>
      <c r="AB337" s="11">
        <v>0</v>
      </c>
      <c r="AC337" s="11">
        <v>0</v>
      </c>
      <c r="AD337" s="11">
        <v>0</v>
      </c>
      <c r="AE337" s="11">
        <v>0</v>
      </c>
      <c r="AF337" s="11">
        <v>0</v>
      </c>
      <c r="AG337" s="11">
        <v>0</v>
      </c>
      <c r="AH337" s="11">
        <v>0</v>
      </c>
      <c r="AI337" s="11">
        <v>0</v>
      </c>
      <c r="AJ337" s="11">
        <v>0</v>
      </c>
      <c r="AK337" s="11">
        <v>0</v>
      </c>
      <c r="AL337" s="11">
        <v>0</v>
      </c>
      <c r="AM337" s="11">
        <v>0</v>
      </c>
      <c r="AN337" s="72">
        <v>0</v>
      </c>
      <c r="AO337" s="72">
        <v>0</v>
      </c>
      <c r="AP337" s="72">
        <v>0</v>
      </c>
      <c r="AQ337" s="72">
        <v>0</v>
      </c>
      <c r="AR337" s="72">
        <v>0</v>
      </c>
      <c r="AS337" s="72">
        <v>0</v>
      </c>
      <c r="AT337" s="72">
        <v>0</v>
      </c>
      <c r="AU337" s="72">
        <v>0</v>
      </c>
      <c r="AV337" s="72">
        <v>0</v>
      </c>
      <c r="AW337" s="72">
        <v>0</v>
      </c>
      <c r="AX337" s="72">
        <v>0</v>
      </c>
      <c r="AY337" s="72">
        <v>0</v>
      </c>
      <c r="AZ337" s="72">
        <v>0</v>
      </c>
      <c r="BA337" s="72">
        <v>0</v>
      </c>
      <c r="BB337" s="72">
        <v>0</v>
      </c>
      <c r="BC337" s="72">
        <v>0</v>
      </c>
      <c r="BD337" s="72">
        <v>0</v>
      </c>
      <c r="BE337" s="72">
        <v>0</v>
      </c>
      <c r="BF337" s="72">
        <v>0</v>
      </c>
      <c r="BG337" s="72">
        <v>0</v>
      </c>
      <c r="BH337" s="72">
        <v>0</v>
      </c>
      <c r="BI337" s="72">
        <v>0</v>
      </c>
      <c r="BJ337" s="72">
        <v>0</v>
      </c>
      <c r="BK337" s="72">
        <v>0</v>
      </c>
      <c r="BL337" s="72">
        <v>0</v>
      </c>
      <c r="BM337" s="72">
        <v>0</v>
      </c>
      <c r="BN337" s="72">
        <v>0</v>
      </c>
      <c r="BO337" s="72">
        <v>0</v>
      </c>
      <c r="BP337" s="72">
        <v>0</v>
      </c>
      <c r="BQ337" s="72">
        <v>0</v>
      </c>
      <c r="BR337" s="72">
        <v>0</v>
      </c>
      <c r="BS337" s="72">
        <v>0</v>
      </c>
      <c r="BT337" s="72">
        <v>0</v>
      </c>
      <c r="BU337" s="72">
        <v>0</v>
      </c>
      <c r="BV337" s="72">
        <v>0</v>
      </c>
      <c r="BW337" s="72">
        <v>0</v>
      </c>
      <c r="BX337" s="72">
        <v>0</v>
      </c>
      <c r="BY337" s="72">
        <v>0</v>
      </c>
      <c r="BZ337" s="72">
        <v>0</v>
      </c>
      <c r="CA337" s="72">
        <v>0</v>
      </c>
      <c r="CB337" s="72">
        <v>0</v>
      </c>
      <c r="CC337" s="72">
        <v>0</v>
      </c>
      <c r="CD337" s="72">
        <v>0</v>
      </c>
      <c r="CE337" s="72">
        <v>0</v>
      </c>
      <c r="CF337" s="72">
        <v>0</v>
      </c>
      <c r="CG337" s="72">
        <v>0</v>
      </c>
      <c r="CH337" s="72">
        <v>0</v>
      </c>
      <c r="CI337" s="72">
        <v>0</v>
      </c>
      <c r="CJ337" s="72">
        <v>0</v>
      </c>
      <c r="CK337" s="72">
        <v>0</v>
      </c>
      <c r="CL337" s="72">
        <v>0</v>
      </c>
      <c r="CM337" s="72">
        <v>0</v>
      </c>
      <c r="CN337" s="72">
        <v>0</v>
      </c>
      <c r="CO337" s="72">
        <v>0</v>
      </c>
      <c r="CP337" s="72">
        <v>0</v>
      </c>
      <c r="CQ337" s="72">
        <v>0</v>
      </c>
      <c r="CR337" s="72">
        <v>0</v>
      </c>
      <c r="CS337" s="72">
        <v>0</v>
      </c>
      <c r="CT337" s="72">
        <v>0</v>
      </c>
      <c r="CU337" s="72">
        <v>0</v>
      </c>
      <c r="CV337" s="72">
        <v>0</v>
      </c>
      <c r="CW337" s="72">
        <v>0</v>
      </c>
      <c r="CX337" s="72">
        <v>0</v>
      </c>
      <c r="CY337" s="72">
        <v>0</v>
      </c>
      <c r="CZ337" s="72">
        <v>0</v>
      </c>
      <c r="DA337" s="72">
        <v>0</v>
      </c>
      <c r="DB337" s="72">
        <v>0</v>
      </c>
      <c r="DC337" s="72">
        <v>0</v>
      </c>
      <c r="DD337" s="72">
        <v>0</v>
      </c>
      <c r="DE337" s="72">
        <v>0</v>
      </c>
      <c r="DF337" s="72">
        <v>0</v>
      </c>
      <c r="DG337" s="72">
        <v>0</v>
      </c>
      <c r="DH337" s="72">
        <v>0</v>
      </c>
      <c r="DI337" s="72">
        <v>0</v>
      </c>
      <c r="DJ337" s="72">
        <v>0</v>
      </c>
      <c r="DK337" s="72">
        <v>0</v>
      </c>
      <c r="DL337" s="72">
        <v>0</v>
      </c>
      <c r="DM337" s="72">
        <v>0</v>
      </c>
    </row>
    <row r="338" spans="1:117" x14ac:dyDescent="0.35">
      <c r="A338" s="7"/>
      <c r="B338" s="8" t="s">
        <v>579</v>
      </c>
      <c r="C338" s="8" t="s">
        <v>580</v>
      </c>
      <c r="D338" s="10" t="s">
        <v>578</v>
      </c>
      <c r="E338" s="8" t="s">
        <v>1208</v>
      </c>
      <c r="F338" s="10">
        <v>1102</v>
      </c>
      <c r="G338" s="10" t="s">
        <v>40</v>
      </c>
      <c r="H338" s="10" t="s">
        <v>41</v>
      </c>
      <c r="I338" s="11">
        <v>4</v>
      </c>
      <c r="J338" s="10"/>
      <c r="K338" s="10" t="s">
        <v>42</v>
      </c>
      <c r="L338" s="8"/>
      <c r="M338" s="12"/>
      <c r="N338" s="12">
        <f t="shared" si="7"/>
        <v>0</v>
      </c>
      <c r="O338" s="11"/>
      <c r="P338" s="11"/>
      <c r="Q338" s="11"/>
      <c r="R338" s="11"/>
      <c r="S338" s="11"/>
      <c r="T338" s="11"/>
      <c r="U338" s="11"/>
      <c r="V338" s="11"/>
      <c r="W338" s="11"/>
      <c r="X338" s="11"/>
      <c r="Y338" s="11"/>
      <c r="Z338" s="11">
        <v>4</v>
      </c>
      <c r="AA338" s="11">
        <v>4</v>
      </c>
      <c r="AB338" s="11">
        <v>4</v>
      </c>
      <c r="AC338" s="11">
        <v>4</v>
      </c>
      <c r="AD338" s="11">
        <v>4</v>
      </c>
      <c r="AE338" s="11">
        <v>4</v>
      </c>
      <c r="AF338" s="11">
        <v>4</v>
      </c>
      <c r="AG338" s="11">
        <v>4</v>
      </c>
      <c r="AH338" s="11">
        <v>4</v>
      </c>
      <c r="AI338" s="11">
        <v>4</v>
      </c>
      <c r="AJ338" s="11">
        <v>4</v>
      </c>
      <c r="AK338" s="11">
        <v>4</v>
      </c>
      <c r="AL338" s="11">
        <v>4</v>
      </c>
      <c r="AM338" s="11">
        <v>4</v>
      </c>
      <c r="AN338" s="72">
        <v>4</v>
      </c>
      <c r="AO338" s="72">
        <v>4</v>
      </c>
      <c r="AP338" s="72">
        <v>4</v>
      </c>
      <c r="AQ338" s="72">
        <v>4</v>
      </c>
      <c r="AR338" s="72">
        <v>4</v>
      </c>
      <c r="AS338" s="72">
        <v>4</v>
      </c>
      <c r="AT338" s="72">
        <v>4</v>
      </c>
      <c r="AU338" s="72">
        <v>4</v>
      </c>
      <c r="AV338" s="72">
        <v>4</v>
      </c>
      <c r="AW338" s="72">
        <v>4</v>
      </c>
      <c r="AX338" s="72">
        <v>4</v>
      </c>
      <c r="AY338" s="72">
        <v>4</v>
      </c>
      <c r="AZ338" s="72">
        <v>4</v>
      </c>
      <c r="BA338" s="72">
        <v>4</v>
      </c>
      <c r="BB338" s="72">
        <v>4</v>
      </c>
      <c r="BC338" s="72">
        <v>4</v>
      </c>
      <c r="BD338" s="72">
        <v>4</v>
      </c>
      <c r="BE338" s="72">
        <v>4</v>
      </c>
      <c r="BF338" s="72">
        <v>4</v>
      </c>
      <c r="BG338" s="72">
        <v>4</v>
      </c>
      <c r="BH338" s="72">
        <v>4</v>
      </c>
      <c r="BI338" s="72">
        <v>4</v>
      </c>
      <c r="BJ338" s="72">
        <v>4</v>
      </c>
      <c r="BK338" s="72">
        <v>4</v>
      </c>
      <c r="BL338" s="72">
        <v>4</v>
      </c>
      <c r="BM338" s="72">
        <v>4</v>
      </c>
      <c r="BN338" s="72">
        <v>4</v>
      </c>
      <c r="BO338" s="72">
        <v>4</v>
      </c>
      <c r="BP338" s="72">
        <v>4</v>
      </c>
      <c r="BQ338" s="72">
        <v>4</v>
      </c>
      <c r="BR338" s="72">
        <v>4</v>
      </c>
      <c r="BS338" s="72">
        <v>4</v>
      </c>
      <c r="BT338" s="72">
        <v>4</v>
      </c>
      <c r="BU338" s="72">
        <v>4</v>
      </c>
      <c r="BV338" s="72">
        <v>4</v>
      </c>
      <c r="BW338" s="72">
        <v>4</v>
      </c>
      <c r="BX338" s="72">
        <v>4</v>
      </c>
      <c r="BY338" s="72">
        <v>4</v>
      </c>
      <c r="BZ338" s="72">
        <v>4</v>
      </c>
      <c r="CA338" s="72">
        <v>4</v>
      </c>
      <c r="CB338" s="72">
        <v>4</v>
      </c>
      <c r="CC338" s="72">
        <v>4</v>
      </c>
      <c r="CD338" s="72">
        <v>4</v>
      </c>
      <c r="CE338" s="72">
        <v>4</v>
      </c>
      <c r="CF338" s="72">
        <v>4</v>
      </c>
      <c r="CG338" s="72">
        <v>4</v>
      </c>
      <c r="CH338" s="72">
        <v>4</v>
      </c>
      <c r="CI338" s="72">
        <v>4</v>
      </c>
      <c r="CJ338" s="72">
        <v>4</v>
      </c>
      <c r="CK338" s="72">
        <v>4</v>
      </c>
      <c r="CL338" s="72">
        <v>4</v>
      </c>
      <c r="CM338" s="72">
        <v>4</v>
      </c>
      <c r="CN338" s="72">
        <v>4</v>
      </c>
      <c r="CO338" s="72">
        <v>4</v>
      </c>
      <c r="CP338" s="72">
        <v>4</v>
      </c>
      <c r="CQ338" s="72">
        <v>4</v>
      </c>
      <c r="CR338" s="72">
        <v>4</v>
      </c>
      <c r="CS338" s="72">
        <v>4</v>
      </c>
      <c r="CT338" s="72">
        <v>4</v>
      </c>
      <c r="CU338" s="72">
        <v>4</v>
      </c>
      <c r="CV338" s="72">
        <v>4</v>
      </c>
      <c r="CW338" s="72">
        <v>4</v>
      </c>
      <c r="CX338" s="72">
        <v>4</v>
      </c>
      <c r="CY338" s="72">
        <v>4</v>
      </c>
      <c r="CZ338" s="72">
        <v>4</v>
      </c>
      <c r="DA338" s="72">
        <v>4</v>
      </c>
      <c r="DB338" s="72">
        <v>4</v>
      </c>
      <c r="DC338" s="72">
        <v>4</v>
      </c>
      <c r="DD338" s="72">
        <v>4</v>
      </c>
      <c r="DE338" s="72">
        <v>4</v>
      </c>
      <c r="DF338" s="72">
        <v>4</v>
      </c>
      <c r="DG338" s="72">
        <v>4</v>
      </c>
      <c r="DH338" s="72">
        <v>4</v>
      </c>
      <c r="DI338" s="72">
        <v>4</v>
      </c>
      <c r="DJ338" s="72">
        <v>4</v>
      </c>
      <c r="DK338" s="72">
        <v>4</v>
      </c>
      <c r="DL338" s="72">
        <v>4</v>
      </c>
      <c r="DM338" s="72">
        <v>4</v>
      </c>
    </row>
    <row r="339" spans="1:117" x14ac:dyDescent="0.35">
      <c r="A339" s="7"/>
      <c r="B339" s="8" t="s">
        <v>581</v>
      </c>
      <c r="C339" s="8" t="s">
        <v>582</v>
      </c>
      <c r="D339" s="10" t="s">
        <v>578</v>
      </c>
      <c r="E339" s="8" t="s">
        <v>1208</v>
      </c>
      <c r="F339" s="10">
        <v>1102</v>
      </c>
      <c r="G339" s="10" t="s">
        <v>40</v>
      </c>
      <c r="H339" s="10" t="s">
        <v>41</v>
      </c>
      <c r="I339" s="11"/>
      <c r="J339" s="10">
        <v>4</v>
      </c>
      <c r="K339" s="10" t="s">
        <v>42</v>
      </c>
      <c r="L339" s="8" t="s">
        <v>583</v>
      </c>
      <c r="M339" s="12"/>
      <c r="N339" s="12">
        <f t="shared" si="7"/>
        <v>0</v>
      </c>
      <c r="O339" s="11"/>
      <c r="P339" s="11"/>
      <c r="Q339" s="11"/>
      <c r="R339" s="11"/>
      <c r="S339" s="11"/>
      <c r="T339" s="11"/>
      <c r="U339" s="11"/>
      <c r="V339" s="11"/>
      <c r="W339" s="11"/>
      <c r="X339" s="11"/>
      <c r="Y339" s="11"/>
      <c r="Z339" s="11"/>
      <c r="AA339" s="11"/>
      <c r="AB339" s="11"/>
      <c r="AC339" s="11"/>
      <c r="AD339" s="11"/>
      <c r="AE339" s="11"/>
      <c r="AF339" s="11"/>
      <c r="AG339" s="11"/>
      <c r="AH339" s="11"/>
      <c r="AI339" s="11"/>
      <c r="AJ339" s="11"/>
      <c r="AK339" s="11"/>
      <c r="AL339" s="11"/>
      <c r="AM339" s="11"/>
      <c r="AN339" s="72"/>
      <c r="AO339" s="72"/>
      <c r="AP339" s="72"/>
      <c r="AQ339" s="72"/>
      <c r="AR339" s="72"/>
      <c r="AS339" s="72"/>
      <c r="AT339" s="72"/>
      <c r="AU339" s="72"/>
      <c r="AV339" s="72"/>
      <c r="AW339" s="72"/>
      <c r="AX339" s="72"/>
      <c r="AY339" s="72"/>
      <c r="AZ339" s="72"/>
      <c r="BA339" s="72"/>
      <c r="BB339" s="72"/>
      <c r="BC339" s="72"/>
      <c r="BD339" s="72"/>
      <c r="BE339" s="72"/>
      <c r="BF339" s="72"/>
      <c r="BG339" s="72"/>
      <c r="BH339" s="72">
        <v>0</v>
      </c>
      <c r="BI339" s="72">
        <v>0</v>
      </c>
      <c r="BJ339" s="72">
        <v>0</v>
      </c>
      <c r="BK339" s="72">
        <v>0</v>
      </c>
      <c r="BL339" s="72">
        <v>0</v>
      </c>
      <c r="BM339" s="72">
        <v>0</v>
      </c>
      <c r="BN339" s="72">
        <v>0</v>
      </c>
      <c r="BO339" s="72">
        <v>0</v>
      </c>
      <c r="BP339" s="72">
        <v>0</v>
      </c>
      <c r="BQ339" s="72">
        <v>0</v>
      </c>
      <c r="BR339" s="72">
        <v>0</v>
      </c>
      <c r="BS339" s="72">
        <v>0</v>
      </c>
      <c r="BT339" s="72">
        <v>0</v>
      </c>
      <c r="BU339" s="72">
        <v>0</v>
      </c>
      <c r="BV339" s="72">
        <v>0</v>
      </c>
      <c r="BW339" s="72">
        <v>0</v>
      </c>
      <c r="BX339" s="72">
        <v>0</v>
      </c>
      <c r="BY339" s="72">
        <v>0</v>
      </c>
      <c r="BZ339" s="72">
        <v>0</v>
      </c>
      <c r="CA339" s="72">
        <v>0</v>
      </c>
      <c r="CB339" s="72">
        <v>0</v>
      </c>
      <c r="CC339" s="72">
        <v>0</v>
      </c>
      <c r="CD339" s="72">
        <v>0</v>
      </c>
      <c r="CE339" s="72">
        <v>0</v>
      </c>
      <c r="CF339" s="72">
        <v>0</v>
      </c>
      <c r="CG339" s="72">
        <v>0</v>
      </c>
      <c r="CH339" s="72">
        <v>0</v>
      </c>
      <c r="CI339" s="72">
        <v>0</v>
      </c>
      <c r="CJ339" s="72">
        <v>0</v>
      </c>
      <c r="CK339" s="72">
        <v>0</v>
      </c>
      <c r="CL339" s="72">
        <v>0</v>
      </c>
      <c r="CM339" s="72">
        <v>0</v>
      </c>
      <c r="CN339" s="72">
        <v>0</v>
      </c>
      <c r="CO339" s="72">
        <v>0</v>
      </c>
      <c r="CP339" s="72">
        <v>0</v>
      </c>
      <c r="CQ339" s="72">
        <v>0</v>
      </c>
      <c r="CR339" s="72">
        <v>0</v>
      </c>
      <c r="CS339" s="72">
        <v>0</v>
      </c>
      <c r="CT339" s="72">
        <v>0</v>
      </c>
      <c r="CU339" s="72">
        <v>0</v>
      </c>
      <c r="CV339" s="72">
        <v>0</v>
      </c>
      <c r="CW339" s="72">
        <v>0</v>
      </c>
      <c r="CX339" s="72">
        <v>0</v>
      </c>
      <c r="CY339" s="72">
        <v>0</v>
      </c>
      <c r="CZ339" s="72">
        <v>0</v>
      </c>
      <c r="DA339" s="72">
        <v>0</v>
      </c>
      <c r="DB339" s="72">
        <v>0</v>
      </c>
      <c r="DC339" s="72">
        <v>0</v>
      </c>
      <c r="DD339" s="72">
        <v>0</v>
      </c>
      <c r="DE339" s="72">
        <v>0</v>
      </c>
      <c r="DF339" s="72">
        <v>0</v>
      </c>
      <c r="DG339" s="72">
        <v>0</v>
      </c>
      <c r="DH339" s="72">
        <v>0</v>
      </c>
      <c r="DI339" s="72">
        <v>0</v>
      </c>
      <c r="DJ339" s="72">
        <v>0</v>
      </c>
      <c r="DK339" s="72">
        <v>0</v>
      </c>
      <c r="DL339" s="72">
        <v>0</v>
      </c>
      <c r="DM339" s="72">
        <v>0</v>
      </c>
    </row>
    <row r="340" spans="1:117" x14ac:dyDescent="0.35">
      <c r="A340" s="7"/>
      <c r="B340" s="8" t="s">
        <v>584</v>
      </c>
      <c r="C340" s="8" t="s">
        <v>585</v>
      </c>
      <c r="D340" s="10" t="s">
        <v>578</v>
      </c>
      <c r="E340" s="8" t="s">
        <v>1208</v>
      </c>
      <c r="F340" s="10">
        <v>1102</v>
      </c>
      <c r="G340" s="10" t="s">
        <v>40</v>
      </c>
      <c r="H340" s="10" t="s">
        <v>41</v>
      </c>
      <c r="I340" s="11"/>
      <c r="J340" s="10">
        <v>4</v>
      </c>
      <c r="K340" s="10" t="s">
        <v>42</v>
      </c>
      <c r="L340" s="8" t="s">
        <v>583</v>
      </c>
      <c r="M340" s="12"/>
      <c r="N340" s="12">
        <f t="shared" si="7"/>
        <v>0</v>
      </c>
      <c r="O340" s="11"/>
      <c r="P340" s="11"/>
      <c r="Q340" s="11"/>
      <c r="R340" s="11"/>
      <c r="S340" s="11"/>
      <c r="T340" s="11"/>
      <c r="U340" s="11"/>
      <c r="V340" s="11"/>
      <c r="W340" s="11"/>
      <c r="X340" s="11"/>
      <c r="Y340" s="11"/>
      <c r="Z340" s="11"/>
      <c r="AA340" s="11"/>
      <c r="AB340" s="11"/>
      <c r="AC340" s="11"/>
      <c r="AD340" s="11"/>
      <c r="AE340" s="11"/>
      <c r="AF340" s="11"/>
      <c r="AG340" s="11"/>
      <c r="AH340" s="11"/>
      <c r="AI340" s="11"/>
      <c r="AJ340" s="11"/>
      <c r="AK340" s="11"/>
      <c r="AL340" s="11"/>
      <c r="AM340" s="11"/>
      <c r="AN340" s="72"/>
      <c r="AO340" s="72"/>
      <c r="AP340" s="72"/>
      <c r="AQ340" s="72"/>
      <c r="AR340" s="72"/>
      <c r="AS340" s="72"/>
      <c r="AT340" s="72"/>
      <c r="AU340" s="72"/>
      <c r="AV340" s="72"/>
      <c r="AW340" s="72"/>
      <c r="AX340" s="72"/>
      <c r="AY340" s="72"/>
      <c r="AZ340" s="72"/>
      <c r="BA340" s="72"/>
      <c r="BB340" s="72"/>
      <c r="BC340" s="72"/>
      <c r="BD340" s="72"/>
      <c r="BE340" s="72"/>
      <c r="BF340" s="72"/>
      <c r="BG340" s="72"/>
      <c r="BH340" s="72">
        <v>0</v>
      </c>
      <c r="BI340" s="72">
        <v>0</v>
      </c>
      <c r="BJ340" s="72">
        <v>0</v>
      </c>
      <c r="BK340" s="72">
        <v>0</v>
      </c>
      <c r="BL340" s="72">
        <v>0</v>
      </c>
      <c r="BM340" s="72">
        <v>0</v>
      </c>
      <c r="BN340" s="72">
        <v>0</v>
      </c>
      <c r="BO340" s="72">
        <v>0</v>
      </c>
      <c r="BP340" s="72">
        <v>0</v>
      </c>
      <c r="BQ340" s="72">
        <v>0</v>
      </c>
      <c r="BR340" s="72">
        <v>0</v>
      </c>
      <c r="BS340" s="72">
        <v>0</v>
      </c>
      <c r="BT340" s="72">
        <v>0</v>
      </c>
      <c r="BU340" s="72">
        <v>0</v>
      </c>
      <c r="BV340" s="72">
        <v>0</v>
      </c>
      <c r="BW340" s="72">
        <v>0</v>
      </c>
      <c r="BX340" s="72">
        <v>0</v>
      </c>
      <c r="BY340" s="72">
        <v>0</v>
      </c>
      <c r="BZ340" s="72">
        <v>0</v>
      </c>
      <c r="CA340" s="72">
        <v>0</v>
      </c>
      <c r="CB340" s="72">
        <v>0</v>
      </c>
      <c r="CC340" s="72">
        <v>0</v>
      </c>
      <c r="CD340" s="72">
        <v>0</v>
      </c>
      <c r="CE340" s="72">
        <v>0</v>
      </c>
      <c r="CF340" s="72">
        <v>0</v>
      </c>
      <c r="CG340" s="72">
        <v>0</v>
      </c>
      <c r="CH340" s="72">
        <v>0</v>
      </c>
      <c r="CI340" s="72">
        <v>0</v>
      </c>
      <c r="CJ340" s="72">
        <v>0</v>
      </c>
      <c r="CK340" s="72">
        <v>0</v>
      </c>
      <c r="CL340" s="72">
        <v>0</v>
      </c>
      <c r="CM340" s="72">
        <v>0</v>
      </c>
      <c r="CN340" s="72">
        <v>0</v>
      </c>
      <c r="CO340" s="72">
        <v>0</v>
      </c>
      <c r="CP340" s="72">
        <v>0</v>
      </c>
      <c r="CQ340" s="72">
        <v>0</v>
      </c>
      <c r="CR340" s="72">
        <v>0</v>
      </c>
      <c r="CS340" s="72">
        <v>0</v>
      </c>
      <c r="CT340" s="72">
        <v>0</v>
      </c>
      <c r="CU340" s="72">
        <v>0</v>
      </c>
      <c r="CV340" s="72">
        <v>0</v>
      </c>
      <c r="CW340" s="72">
        <v>0</v>
      </c>
      <c r="CX340" s="72">
        <v>0</v>
      </c>
      <c r="CY340" s="72">
        <v>0</v>
      </c>
      <c r="CZ340" s="72">
        <v>0</v>
      </c>
      <c r="DA340" s="72">
        <v>0</v>
      </c>
      <c r="DB340" s="72">
        <v>0</v>
      </c>
      <c r="DC340" s="72">
        <v>0</v>
      </c>
      <c r="DD340" s="72">
        <v>0</v>
      </c>
      <c r="DE340" s="72">
        <v>0</v>
      </c>
      <c r="DF340" s="72">
        <v>0</v>
      </c>
      <c r="DG340" s="72">
        <v>0</v>
      </c>
      <c r="DH340" s="72">
        <v>0</v>
      </c>
      <c r="DI340" s="72">
        <v>0</v>
      </c>
      <c r="DJ340" s="72">
        <v>0</v>
      </c>
      <c r="DK340" s="72">
        <v>0</v>
      </c>
      <c r="DL340" s="72">
        <v>0</v>
      </c>
      <c r="DM340" s="72">
        <v>0</v>
      </c>
    </row>
    <row r="341" spans="1:117" x14ac:dyDescent="0.35">
      <c r="A341" s="7"/>
      <c r="B341" s="8" t="s">
        <v>586</v>
      </c>
      <c r="C341" s="7" t="s">
        <v>587</v>
      </c>
      <c r="D341" s="10" t="s">
        <v>588</v>
      </c>
      <c r="E341" s="8" t="s">
        <v>1206</v>
      </c>
      <c r="F341" s="10">
        <v>1002</v>
      </c>
      <c r="G341" s="10" t="s">
        <v>40</v>
      </c>
      <c r="H341" s="10" t="s">
        <v>41</v>
      </c>
      <c r="I341" s="11">
        <v>4</v>
      </c>
      <c r="J341" s="10"/>
      <c r="K341" s="10" t="s">
        <v>42</v>
      </c>
      <c r="L341" s="8"/>
      <c r="M341" s="12">
        <v>30</v>
      </c>
      <c r="N341" s="12">
        <f t="shared" si="7"/>
        <v>120</v>
      </c>
      <c r="O341" s="11">
        <v>4</v>
      </c>
      <c r="P341" s="11">
        <v>4</v>
      </c>
      <c r="Q341" s="11">
        <v>4</v>
      </c>
      <c r="R341" s="11">
        <v>4</v>
      </c>
      <c r="S341" s="11">
        <v>4</v>
      </c>
      <c r="T341" s="11">
        <v>4</v>
      </c>
      <c r="U341" s="11">
        <v>4</v>
      </c>
      <c r="V341" s="11">
        <v>4</v>
      </c>
      <c r="W341" s="11">
        <v>4</v>
      </c>
      <c r="X341" s="11">
        <v>4</v>
      </c>
      <c r="Y341" s="11">
        <v>4</v>
      </c>
      <c r="Z341" s="11">
        <v>4</v>
      </c>
      <c r="AA341" s="11">
        <v>4</v>
      </c>
      <c r="AB341" s="11">
        <v>4</v>
      </c>
      <c r="AC341" s="11">
        <v>4</v>
      </c>
      <c r="AD341" s="11">
        <v>4</v>
      </c>
      <c r="AE341" s="11">
        <v>4</v>
      </c>
      <c r="AF341" s="11">
        <v>4</v>
      </c>
      <c r="AG341" s="11">
        <v>4</v>
      </c>
      <c r="AH341" s="11">
        <v>4</v>
      </c>
      <c r="AI341" s="11">
        <v>4</v>
      </c>
      <c r="AJ341" s="11">
        <v>4</v>
      </c>
      <c r="AK341" s="11">
        <v>4</v>
      </c>
      <c r="AL341" s="11">
        <v>4</v>
      </c>
      <c r="AM341" s="11">
        <v>4</v>
      </c>
      <c r="AN341" s="72">
        <v>4</v>
      </c>
      <c r="AO341" s="72">
        <v>4</v>
      </c>
      <c r="AP341" s="72">
        <v>4</v>
      </c>
      <c r="AQ341" s="72">
        <v>4</v>
      </c>
      <c r="AR341" s="72">
        <v>4</v>
      </c>
      <c r="AS341" s="72">
        <v>4</v>
      </c>
      <c r="AT341" s="72">
        <v>4</v>
      </c>
      <c r="AU341" s="72">
        <v>4</v>
      </c>
      <c r="AV341" s="72">
        <v>4</v>
      </c>
      <c r="AW341" s="72">
        <v>4</v>
      </c>
      <c r="AX341" s="72">
        <v>4</v>
      </c>
      <c r="AY341" s="72">
        <v>4</v>
      </c>
      <c r="AZ341" s="72">
        <v>4</v>
      </c>
      <c r="BA341" s="72">
        <v>4</v>
      </c>
      <c r="BB341" s="72">
        <v>4</v>
      </c>
      <c r="BC341" s="72">
        <v>4</v>
      </c>
      <c r="BD341" s="72">
        <v>4</v>
      </c>
      <c r="BE341" s="72">
        <v>4</v>
      </c>
      <c r="BF341" s="72">
        <v>4</v>
      </c>
      <c r="BG341" s="72">
        <v>4</v>
      </c>
      <c r="BH341" s="72">
        <v>4</v>
      </c>
      <c r="BI341" s="72">
        <v>4</v>
      </c>
      <c r="BJ341" s="72">
        <v>4</v>
      </c>
      <c r="BK341" s="72">
        <v>4</v>
      </c>
      <c r="BL341" s="72">
        <v>4</v>
      </c>
      <c r="BM341" s="72">
        <v>4</v>
      </c>
      <c r="BN341" s="72">
        <v>4</v>
      </c>
      <c r="BO341" s="72">
        <v>4</v>
      </c>
      <c r="BP341" s="72">
        <v>4</v>
      </c>
      <c r="BQ341" s="72">
        <v>4</v>
      </c>
      <c r="BR341" s="72">
        <v>4</v>
      </c>
      <c r="BS341" s="72">
        <v>4</v>
      </c>
      <c r="BT341" s="72">
        <v>4</v>
      </c>
      <c r="BU341" s="72">
        <v>4</v>
      </c>
      <c r="BV341" s="72">
        <v>4</v>
      </c>
      <c r="BW341" s="72">
        <v>4</v>
      </c>
      <c r="BX341" s="72">
        <v>4</v>
      </c>
      <c r="BY341" s="72">
        <v>4</v>
      </c>
      <c r="BZ341" s="72">
        <v>4</v>
      </c>
      <c r="CA341" s="72">
        <v>4</v>
      </c>
      <c r="CB341" s="72">
        <v>4</v>
      </c>
      <c r="CC341" s="72">
        <v>4</v>
      </c>
      <c r="CD341" s="72">
        <v>4</v>
      </c>
      <c r="CE341" s="72">
        <v>4</v>
      </c>
      <c r="CF341" s="72">
        <v>4</v>
      </c>
      <c r="CG341" s="72">
        <v>4</v>
      </c>
      <c r="CH341" s="72">
        <v>4</v>
      </c>
      <c r="CI341" s="72">
        <v>4</v>
      </c>
      <c r="CJ341" s="72">
        <v>4</v>
      </c>
      <c r="CK341" s="72">
        <v>4</v>
      </c>
      <c r="CL341" s="72">
        <v>4</v>
      </c>
      <c r="CM341" s="72">
        <v>4</v>
      </c>
      <c r="CN341" s="72">
        <v>4</v>
      </c>
      <c r="CO341" s="72">
        <v>4</v>
      </c>
      <c r="CP341" s="72">
        <v>4</v>
      </c>
      <c r="CQ341" s="72">
        <v>4</v>
      </c>
      <c r="CR341" s="72">
        <v>4</v>
      </c>
      <c r="CS341" s="72">
        <v>4</v>
      </c>
      <c r="CT341" s="72">
        <v>4</v>
      </c>
      <c r="CU341" s="72">
        <v>4</v>
      </c>
      <c r="CV341" s="72">
        <v>4</v>
      </c>
      <c r="CW341" s="72">
        <v>4</v>
      </c>
      <c r="CX341" s="72">
        <v>4</v>
      </c>
      <c r="CY341" s="72">
        <v>4</v>
      </c>
      <c r="CZ341" s="72">
        <v>4</v>
      </c>
      <c r="DA341" s="72">
        <v>4</v>
      </c>
      <c r="DB341" s="72">
        <v>4</v>
      </c>
      <c r="DC341" s="72">
        <v>4</v>
      </c>
      <c r="DD341" s="72">
        <v>4</v>
      </c>
      <c r="DE341" s="72">
        <v>4</v>
      </c>
      <c r="DF341" s="72">
        <v>4</v>
      </c>
      <c r="DG341" s="72">
        <v>4</v>
      </c>
      <c r="DH341" s="72">
        <v>4</v>
      </c>
      <c r="DI341" s="72">
        <v>4</v>
      </c>
      <c r="DJ341" s="72">
        <v>4</v>
      </c>
      <c r="DK341" s="72">
        <v>4</v>
      </c>
      <c r="DL341" s="72">
        <v>4</v>
      </c>
      <c r="DM341" s="72">
        <v>4</v>
      </c>
    </row>
    <row r="342" spans="1:117" x14ac:dyDescent="0.35">
      <c r="A342" s="7"/>
      <c r="B342" s="77" t="s">
        <v>1514</v>
      </c>
      <c r="C342" s="118" t="s">
        <v>1517</v>
      </c>
      <c r="D342" s="97" t="s">
        <v>1518</v>
      </c>
      <c r="E342" s="92" t="s">
        <v>1519</v>
      </c>
      <c r="F342" s="10"/>
      <c r="G342" s="10" t="s">
        <v>40</v>
      </c>
      <c r="H342" s="10" t="s">
        <v>41</v>
      </c>
      <c r="I342" s="11"/>
      <c r="J342" s="10"/>
      <c r="K342" s="10"/>
      <c r="L342" s="8"/>
      <c r="M342" s="12">
        <v>135.08437369837105</v>
      </c>
      <c r="N342" s="12">
        <f t="shared" si="7"/>
        <v>135.08437369837105</v>
      </c>
      <c r="O342" s="11"/>
      <c r="P342" s="11"/>
      <c r="Q342" s="11"/>
      <c r="R342" s="11"/>
      <c r="S342" s="11"/>
      <c r="T342" s="11"/>
      <c r="U342" s="11"/>
      <c r="V342" s="11"/>
      <c r="W342" s="11"/>
      <c r="X342" s="11"/>
      <c r="Y342" s="11"/>
      <c r="Z342" s="11"/>
      <c r="AA342" s="11"/>
      <c r="AB342" s="11"/>
      <c r="AC342" s="11"/>
      <c r="AD342" s="11"/>
      <c r="AE342" s="11"/>
      <c r="AF342" s="11"/>
      <c r="AG342" s="11"/>
      <c r="AH342" s="11"/>
      <c r="AI342" s="11"/>
      <c r="AJ342" s="11"/>
      <c r="AK342" s="11"/>
      <c r="AL342" s="11"/>
      <c r="AM342" s="11"/>
      <c r="AN342" s="72"/>
      <c r="AO342" s="72"/>
      <c r="AP342" s="72"/>
      <c r="AQ342" s="72"/>
      <c r="AR342" s="72"/>
      <c r="AS342" s="72"/>
      <c r="AT342" s="72"/>
      <c r="AU342" s="72"/>
      <c r="AV342" s="72"/>
      <c r="AW342" s="72"/>
      <c r="AX342" s="72"/>
      <c r="AY342" s="72"/>
      <c r="AZ342" s="72"/>
      <c r="BA342" s="72"/>
      <c r="BB342" s="72"/>
      <c r="BC342" s="72"/>
      <c r="BD342" s="72"/>
      <c r="BE342" s="72"/>
      <c r="BF342" s="72"/>
      <c r="BG342" s="72"/>
      <c r="BH342" s="72"/>
      <c r="BI342" s="72"/>
      <c r="BJ342" s="72"/>
      <c r="BK342" s="72"/>
      <c r="BL342" s="72"/>
      <c r="BM342" s="72"/>
      <c r="BN342" s="72"/>
      <c r="BO342" s="72"/>
      <c r="BP342" s="72"/>
      <c r="BQ342" s="72"/>
      <c r="BR342" s="72"/>
      <c r="BS342" s="72"/>
      <c r="BT342" s="72"/>
      <c r="BU342" s="72"/>
      <c r="BV342" s="72"/>
      <c r="BW342" s="72"/>
      <c r="BX342" s="72"/>
      <c r="BY342" s="72"/>
      <c r="BZ342" s="72"/>
      <c r="CA342" s="72"/>
      <c r="CB342" s="72"/>
      <c r="CC342" s="72"/>
      <c r="CD342" s="72"/>
      <c r="CE342" s="72"/>
      <c r="CF342" s="72"/>
      <c r="CG342" s="72"/>
      <c r="CH342" s="72"/>
      <c r="CI342" s="72"/>
      <c r="CJ342" s="72"/>
      <c r="CK342" s="72"/>
      <c r="CL342" s="72"/>
      <c r="CM342" s="72"/>
      <c r="CN342" s="72"/>
      <c r="CO342" s="72"/>
      <c r="CP342" s="72"/>
      <c r="CQ342" s="72"/>
      <c r="CR342" s="72"/>
      <c r="CS342" s="72"/>
      <c r="CT342" s="72"/>
      <c r="CU342" s="72"/>
      <c r="CV342" s="72"/>
      <c r="CW342" s="72">
        <v>1</v>
      </c>
      <c r="CX342" s="72">
        <v>1</v>
      </c>
      <c r="CY342" s="72">
        <v>1</v>
      </c>
      <c r="CZ342" s="72">
        <v>1</v>
      </c>
      <c r="DA342" s="72">
        <v>1</v>
      </c>
      <c r="DB342" s="72">
        <v>1</v>
      </c>
      <c r="DC342" s="72">
        <v>1</v>
      </c>
      <c r="DD342" s="72">
        <v>1</v>
      </c>
      <c r="DE342" s="72">
        <v>1</v>
      </c>
      <c r="DF342" s="72">
        <v>1</v>
      </c>
      <c r="DG342" s="72">
        <v>1</v>
      </c>
      <c r="DH342" s="72">
        <v>1</v>
      </c>
      <c r="DI342" s="72">
        <v>1</v>
      </c>
      <c r="DJ342" s="72">
        <v>1</v>
      </c>
      <c r="DK342" s="72">
        <v>1</v>
      </c>
      <c r="DL342" s="72">
        <v>1</v>
      </c>
      <c r="DM342" s="72">
        <v>1</v>
      </c>
    </row>
    <row r="343" spans="1:117" x14ac:dyDescent="0.35">
      <c r="A343" s="7"/>
      <c r="B343" s="77" t="s">
        <v>1515</v>
      </c>
      <c r="C343" s="118" t="s">
        <v>1520</v>
      </c>
      <c r="D343" s="97" t="s">
        <v>1518</v>
      </c>
      <c r="E343" s="92" t="s">
        <v>1519</v>
      </c>
      <c r="F343" s="10"/>
      <c r="G343" s="10" t="s">
        <v>40</v>
      </c>
      <c r="H343" s="10" t="s">
        <v>41</v>
      </c>
      <c r="I343" s="11"/>
      <c r="J343" s="10"/>
      <c r="K343" s="10"/>
      <c r="L343" s="8"/>
      <c r="M343" s="12">
        <v>125.84795848296203</v>
      </c>
      <c r="N343" s="12">
        <f t="shared" si="7"/>
        <v>125.84795848296203</v>
      </c>
      <c r="O343" s="11"/>
      <c r="P343" s="11"/>
      <c r="Q343" s="11"/>
      <c r="R343" s="11"/>
      <c r="S343" s="11"/>
      <c r="T343" s="11"/>
      <c r="U343" s="11"/>
      <c r="V343" s="11"/>
      <c r="W343" s="11"/>
      <c r="X343" s="11"/>
      <c r="Y343" s="11"/>
      <c r="Z343" s="11"/>
      <c r="AA343" s="11"/>
      <c r="AB343" s="11"/>
      <c r="AC343" s="11"/>
      <c r="AD343" s="11"/>
      <c r="AE343" s="11"/>
      <c r="AF343" s="11"/>
      <c r="AG343" s="11"/>
      <c r="AH343" s="11"/>
      <c r="AI343" s="11"/>
      <c r="AJ343" s="11"/>
      <c r="AK343" s="11"/>
      <c r="AL343" s="11"/>
      <c r="AM343" s="11"/>
      <c r="AN343" s="72"/>
      <c r="AO343" s="72"/>
      <c r="AP343" s="72"/>
      <c r="AQ343" s="72"/>
      <c r="AR343" s="72"/>
      <c r="AS343" s="72"/>
      <c r="AT343" s="72"/>
      <c r="AU343" s="72"/>
      <c r="AV343" s="72"/>
      <c r="AW343" s="72"/>
      <c r="AX343" s="72"/>
      <c r="AY343" s="72"/>
      <c r="AZ343" s="72"/>
      <c r="BA343" s="72"/>
      <c r="BB343" s="72"/>
      <c r="BC343" s="72"/>
      <c r="BD343" s="72"/>
      <c r="BE343" s="72"/>
      <c r="BF343" s="72"/>
      <c r="BG343" s="72"/>
      <c r="BH343" s="72"/>
      <c r="BI343" s="72"/>
      <c r="BJ343" s="72"/>
      <c r="BK343" s="72"/>
      <c r="BL343" s="72"/>
      <c r="BM343" s="72"/>
      <c r="BN343" s="72"/>
      <c r="BO343" s="72"/>
      <c r="BP343" s="72"/>
      <c r="BQ343" s="72"/>
      <c r="BR343" s="72"/>
      <c r="BS343" s="72"/>
      <c r="BT343" s="72"/>
      <c r="BU343" s="72"/>
      <c r="BV343" s="72"/>
      <c r="BW343" s="72"/>
      <c r="BX343" s="72"/>
      <c r="BY343" s="72"/>
      <c r="BZ343" s="72"/>
      <c r="CA343" s="72"/>
      <c r="CB343" s="72"/>
      <c r="CC343" s="72"/>
      <c r="CD343" s="72"/>
      <c r="CE343" s="72"/>
      <c r="CF343" s="72"/>
      <c r="CG343" s="72"/>
      <c r="CH343" s="72"/>
      <c r="CI343" s="72"/>
      <c r="CJ343" s="72"/>
      <c r="CK343" s="72"/>
      <c r="CL343" s="72"/>
      <c r="CM343" s="72"/>
      <c r="CN343" s="72"/>
      <c r="CO343" s="72"/>
      <c r="CP343" s="72"/>
      <c r="CQ343" s="72"/>
      <c r="CR343" s="72"/>
      <c r="CS343" s="72"/>
      <c r="CT343" s="72"/>
      <c r="CU343" s="72"/>
      <c r="CV343" s="72"/>
      <c r="CW343" s="72">
        <v>1</v>
      </c>
      <c r="CX343" s="72">
        <v>1</v>
      </c>
      <c r="CY343" s="72">
        <v>1</v>
      </c>
      <c r="CZ343" s="72">
        <v>1</v>
      </c>
      <c r="DA343" s="72">
        <v>1</v>
      </c>
      <c r="DB343" s="72">
        <v>1</v>
      </c>
      <c r="DC343" s="72">
        <v>1</v>
      </c>
      <c r="DD343" s="72">
        <v>1</v>
      </c>
      <c r="DE343" s="72">
        <v>1</v>
      </c>
      <c r="DF343" s="72">
        <v>1</v>
      </c>
      <c r="DG343" s="72">
        <v>1</v>
      </c>
      <c r="DH343" s="72">
        <v>1</v>
      </c>
      <c r="DI343" s="72">
        <v>1</v>
      </c>
      <c r="DJ343" s="72">
        <v>1</v>
      </c>
      <c r="DK343" s="72">
        <v>1</v>
      </c>
      <c r="DL343" s="72">
        <v>1</v>
      </c>
      <c r="DM343" s="72">
        <v>1</v>
      </c>
    </row>
    <row r="344" spans="1:117" x14ac:dyDescent="0.35">
      <c r="A344" s="7"/>
      <c r="B344" s="8">
        <v>20030658</v>
      </c>
      <c r="C344" s="9" t="s">
        <v>589</v>
      </c>
      <c r="D344" s="10" t="s">
        <v>590</v>
      </c>
      <c r="E344" s="8" t="s">
        <v>1228</v>
      </c>
      <c r="F344" s="10">
        <v>1105</v>
      </c>
      <c r="G344" s="10" t="s">
        <v>40</v>
      </c>
      <c r="H344" s="10" t="s">
        <v>95</v>
      </c>
      <c r="I344" s="11">
        <v>3000</v>
      </c>
      <c r="J344" s="10"/>
      <c r="K344" s="10" t="s">
        <v>591</v>
      </c>
      <c r="L344" s="8" t="s">
        <v>189</v>
      </c>
      <c r="M344" s="12"/>
      <c r="N344" s="12">
        <f t="shared" si="7"/>
        <v>0</v>
      </c>
      <c r="O344" s="11">
        <v>3000</v>
      </c>
      <c r="P344" s="11">
        <v>3000</v>
      </c>
      <c r="Q344" s="11">
        <v>3000</v>
      </c>
      <c r="R344" s="11">
        <v>3000</v>
      </c>
      <c r="S344" s="11">
        <v>3000</v>
      </c>
      <c r="T344" s="11">
        <v>3000</v>
      </c>
      <c r="U344" s="11">
        <v>3000</v>
      </c>
      <c r="V344" s="11">
        <v>3000</v>
      </c>
      <c r="W344" s="11">
        <v>3000</v>
      </c>
      <c r="X344" s="11">
        <v>3000</v>
      </c>
      <c r="Y344" s="11">
        <v>3000</v>
      </c>
      <c r="Z344" s="11">
        <v>3000</v>
      </c>
      <c r="AA344" s="11">
        <v>3000</v>
      </c>
      <c r="AB344" s="11">
        <v>3000</v>
      </c>
      <c r="AC344" s="11">
        <v>3000</v>
      </c>
      <c r="AD344" s="11">
        <v>3000</v>
      </c>
      <c r="AE344" s="11">
        <v>3000</v>
      </c>
      <c r="AF344" s="11">
        <v>3000</v>
      </c>
      <c r="AG344" s="11">
        <v>3000</v>
      </c>
      <c r="AH344" s="11">
        <v>3000</v>
      </c>
      <c r="AI344" s="11">
        <v>3000</v>
      </c>
      <c r="AJ344" s="11">
        <v>3000</v>
      </c>
      <c r="AK344" s="11">
        <v>3000</v>
      </c>
      <c r="AL344" s="11">
        <v>3000</v>
      </c>
      <c r="AM344" s="11">
        <v>3000</v>
      </c>
      <c r="AN344" s="72">
        <v>3000</v>
      </c>
      <c r="AO344" s="72">
        <v>3000</v>
      </c>
      <c r="AP344" s="72">
        <v>3000</v>
      </c>
      <c r="AQ344" s="72">
        <v>3000</v>
      </c>
      <c r="AR344" s="72">
        <v>3000</v>
      </c>
      <c r="AS344" s="72">
        <v>3000</v>
      </c>
      <c r="AT344" s="72">
        <v>3000</v>
      </c>
      <c r="AU344" s="72">
        <v>3000</v>
      </c>
      <c r="AV344" s="72">
        <v>3000</v>
      </c>
      <c r="AW344" s="72">
        <v>3000</v>
      </c>
      <c r="AX344" s="72">
        <v>3000</v>
      </c>
      <c r="AY344" s="72">
        <v>3000</v>
      </c>
      <c r="AZ344" s="72">
        <v>3000</v>
      </c>
      <c r="BA344" s="72">
        <v>3000</v>
      </c>
      <c r="BB344" s="72">
        <v>3000</v>
      </c>
      <c r="BC344" s="72">
        <v>3000</v>
      </c>
      <c r="BD344" s="72">
        <v>3000</v>
      </c>
      <c r="BE344" s="72">
        <v>3000</v>
      </c>
      <c r="BF344" s="72">
        <v>3000</v>
      </c>
      <c r="BG344" s="72">
        <v>3000</v>
      </c>
      <c r="BH344" s="72">
        <v>3000</v>
      </c>
      <c r="BI344" s="72">
        <v>3000</v>
      </c>
      <c r="BJ344" s="72">
        <v>3000</v>
      </c>
      <c r="BK344" s="72">
        <v>3000</v>
      </c>
      <c r="BL344" s="72">
        <v>3000</v>
      </c>
      <c r="BM344" s="72">
        <v>3000</v>
      </c>
      <c r="BN344" s="72">
        <v>3000</v>
      </c>
      <c r="BO344" s="72">
        <v>3000</v>
      </c>
      <c r="BP344" s="72">
        <v>3000</v>
      </c>
      <c r="BQ344" s="72">
        <v>3000</v>
      </c>
      <c r="BR344" s="72">
        <v>3000</v>
      </c>
      <c r="BS344" s="72">
        <v>3000</v>
      </c>
      <c r="BT344" s="72">
        <v>3000</v>
      </c>
      <c r="BU344" s="72">
        <v>3000</v>
      </c>
      <c r="BV344" s="72">
        <v>3000</v>
      </c>
      <c r="BW344" s="72">
        <v>3000</v>
      </c>
      <c r="BX344" s="72">
        <v>3000</v>
      </c>
      <c r="BY344" s="72">
        <v>3000</v>
      </c>
      <c r="BZ344" s="72">
        <v>3000</v>
      </c>
      <c r="CA344" s="72">
        <v>3000</v>
      </c>
      <c r="CB344" s="72">
        <v>3000</v>
      </c>
      <c r="CC344" s="72">
        <v>3000</v>
      </c>
      <c r="CD344" s="72">
        <v>3000</v>
      </c>
      <c r="CE344" s="72">
        <v>3000</v>
      </c>
      <c r="CF344" s="72">
        <v>3000</v>
      </c>
      <c r="CG344" s="72">
        <v>3000</v>
      </c>
      <c r="CH344" s="72">
        <v>3000</v>
      </c>
      <c r="CI344" s="72">
        <v>3000</v>
      </c>
      <c r="CJ344" s="72">
        <v>3000</v>
      </c>
      <c r="CK344" s="72">
        <v>3000</v>
      </c>
      <c r="CL344" s="72">
        <v>3000</v>
      </c>
      <c r="CM344" s="72">
        <v>3000</v>
      </c>
      <c r="CN344" s="72">
        <v>3000</v>
      </c>
      <c r="CO344" s="72">
        <v>3000</v>
      </c>
      <c r="CP344" s="72">
        <v>3000</v>
      </c>
      <c r="CQ344" s="72">
        <v>3000</v>
      </c>
      <c r="CR344" s="72">
        <v>3000</v>
      </c>
      <c r="CS344" s="72">
        <v>3000</v>
      </c>
      <c r="CT344" s="72">
        <v>3000</v>
      </c>
      <c r="CU344" s="72">
        <v>3000</v>
      </c>
      <c r="CV344" s="72">
        <v>3000</v>
      </c>
      <c r="CW344" s="72">
        <v>3000</v>
      </c>
      <c r="CX344" s="72">
        <v>3000</v>
      </c>
      <c r="CY344" s="72">
        <v>3000</v>
      </c>
      <c r="CZ344" s="72">
        <v>3000</v>
      </c>
      <c r="DA344" s="72">
        <v>3000</v>
      </c>
      <c r="DB344" s="72">
        <v>3000</v>
      </c>
      <c r="DC344" s="72">
        <v>3000</v>
      </c>
      <c r="DD344" s="72">
        <f t="shared" ref="DD344:DI344" si="8">3000-107</f>
        <v>2893</v>
      </c>
      <c r="DE344" s="72">
        <f t="shared" si="8"/>
        <v>2893</v>
      </c>
      <c r="DF344" s="72">
        <f t="shared" si="8"/>
        <v>2893</v>
      </c>
      <c r="DG344" s="72">
        <f t="shared" si="8"/>
        <v>2893</v>
      </c>
      <c r="DH344" s="72">
        <f t="shared" si="8"/>
        <v>2893</v>
      </c>
      <c r="DI344" s="72">
        <f t="shared" si="8"/>
        <v>2893</v>
      </c>
      <c r="DJ344" s="72">
        <f>3000-107</f>
        <v>2893</v>
      </c>
      <c r="DK344" s="72">
        <f>3000-107</f>
        <v>2893</v>
      </c>
      <c r="DL344" s="72">
        <f>3000-107</f>
        <v>2893</v>
      </c>
      <c r="DM344" s="72">
        <f>3000-107</f>
        <v>2893</v>
      </c>
    </row>
    <row r="345" spans="1:117" x14ac:dyDescent="0.35">
      <c r="A345" s="7"/>
      <c r="B345" s="77" t="s">
        <v>1370</v>
      </c>
      <c r="C345" s="9" t="s">
        <v>1372</v>
      </c>
      <c r="D345" s="10" t="s">
        <v>1373</v>
      </c>
      <c r="E345" s="8" t="s">
        <v>1374</v>
      </c>
      <c r="F345" s="10"/>
      <c r="G345" s="10"/>
      <c r="H345" s="10" t="s">
        <v>41</v>
      </c>
      <c r="I345" s="11"/>
      <c r="J345" s="10"/>
      <c r="K345" s="10"/>
      <c r="L345" s="8"/>
      <c r="M345" s="12">
        <v>475</v>
      </c>
      <c r="N345" s="12">
        <f t="shared" si="7"/>
        <v>0</v>
      </c>
      <c r="O345" s="11"/>
      <c r="P345" s="11"/>
      <c r="Q345" s="11"/>
      <c r="R345" s="11"/>
      <c r="S345" s="11"/>
      <c r="T345" s="11"/>
      <c r="U345" s="11"/>
      <c r="V345" s="11"/>
      <c r="W345" s="11"/>
      <c r="X345" s="11"/>
      <c r="Y345" s="11"/>
      <c r="Z345" s="11"/>
      <c r="AA345" s="11"/>
      <c r="AB345" s="11"/>
      <c r="AC345" s="11"/>
      <c r="AD345" s="11"/>
      <c r="AE345" s="11"/>
      <c r="AF345" s="11"/>
      <c r="AG345" s="11"/>
      <c r="AH345" s="11"/>
      <c r="AI345" s="11"/>
      <c r="AJ345" s="11"/>
      <c r="AK345" s="11"/>
      <c r="AL345" s="11"/>
      <c r="AM345" s="11"/>
      <c r="AN345" s="72"/>
      <c r="AO345" s="72"/>
      <c r="AP345" s="72"/>
      <c r="AQ345" s="72"/>
      <c r="AR345" s="72"/>
      <c r="AS345" s="72"/>
      <c r="AT345" s="72"/>
      <c r="AU345" s="72"/>
      <c r="AV345" s="72"/>
      <c r="AW345" s="72"/>
      <c r="AX345" s="72"/>
      <c r="AY345" s="72"/>
      <c r="AZ345" s="72"/>
      <c r="BA345" s="72"/>
      <c r="BB345" s="72"/>
      <c r="BC345" s="72"/>
      <c r="BD345" s="72"/>
      <c r="BE345" s="72"/>
      <c r="BF345" s="72"/>
      <c r="BG345" s="72"/>
      <c r="BH345" s="72"/>
      <c r="BI345" s="72"/>
      <c r="BJ345" s="72"/>
      <c r="BK345" s="72"/>
      <c r="BL345" s="72"/>
      <c r="BM345" s="72">
        <v>1</v>
      </c>
      <c r="BN345" s="72">
        <v>1</v>
      </c>
      <c r="BO345" s="72">
        <v>1</v>
      </c>
      <c r="BP345" s="72">
        <v>1</v>
      </c>
      <c r="BQ345" s="72">
        <v>1</v>
      </c>
      <c r="BR345" s="72">
        <v>1</v>
      </c>
      <c r="BS345" s="72">
        <v>1</v>
      </c>
      <c r="BT345" s="72">
        <v>1</v>
      </c>
      <c r="BU345" s="72">
        <v>1</v>
      </c>
      <c r="BV345" s="72">
        <v>1</v>
      </c>
      <c r="BW345" s="72">
        <v>1</v>
      </c>
      <c r="BX345" s="72">
        <v>1</v>
      </c>
      <c r="BY345" s="72">
        <v>1</v>
      </c>
      <c r="BZ345" s="72">
        <v>1</v>
      </c>
      <c r="CA345" s="72">
        <v>1</v>
      </c>
      <c r="CB345" s="72">
        <v>1</v>
      </c>
      <c r="CC345" s="72">
        <v>1</v>
      </c>
      <c r="CD345" s="72">
        <v>1</v>
      </c>
      <c r="CE345" s="72">
        <v>1</v>
      </c>
      <c r="CF345" s="72">
        <v>1</v>
      </c>
      <c r="CG345" s="72">
        <v>1</v>
      </c>
      <c r="CH345" s="72">
        <v>1</v>
      </c>
      <c r="CI345" s="72">
        <v>1</v>
      </c>
      <c r="CJ345" s="72">
        <v>1</v>
      </c>
      <c r="CK345" s="72">
        <v>1</v>
      </c>
      <c r="CL345" s="72">
        <v>1</v>
      </c>
      <c r="CM345" s="72">
        <v>1</v>
      </c>
      <c r="CN345" s="72">
        <v>1</v>
      </c>
      <c r="CO345" s="72">
        <v>1</v>
      </c>
      <c r="CP345" s="72">
        <v>1</v>
      </c>
      <c r="CQ345" s="72">
        <v>1</v>
      </c>
      <c r="CR345" s="72">
        <v>1</v>
      </c>
      <c r="CS345" s="72">
        <v>1</v>
      </c>
      <c r="CT345" s="72">
        <v>1</v>
      </c>
      <c r="CU345" s="72">
        <v>1</v>
      </c>
      <c r="CV345" s="72">
        <v>1</v>
      </c>
      <c r="CW345" s="72">
        <v>1</v>
      </c>
      <c r="CX345" s="72">
        <v>1</v>
      </c>
      <c r="CY345" s="72">
        <v>1</v>
      </c>
      <c r="CZ345" s="72">
        <v>0</v>
      </c>
      <c r="DA345" s="72">
        <v>0</v>
      </c>
      <c r="DB345" s="72">
        <v>0</v>
      </c>
      <c r="DC345" s="72">
        <v>0</v>
      </c>
      <c r="DD345" s="72">
        <v>0</v>
      </c>
      <c r="DE345" s="72">
        <v>0</v>
      </c>
      <c r="DF345" s="72">
        <v>0</v>
      </c>
      <c r="DG345" s="72">
        <v>0</v>
      </c>
      <c r="DH345" s="72">
        <v>0</v>
      </c>
      <c r="DI345" s="72">
        <v>0</v>
      </c>
      <c r="DJ345" s="72">
        <v>0</v>
      </c>
      <c r="DK345" s="72">
        <v>0</v>
      </c>
      <c r="DL345" s="72">
        <v>0</v>
      </c>
      <c r="DM345" s="72">
        <v>0</v>
      </c>
    </row>
    <row r="346" spans="1:117" x14ac:dyDescent="0.35">
      <c r="A346" s="7"/>
      <c r="B346" s="21" t="s">
        <v>592</v>
      </c>
      <c r="C346" s="22" t="s">
        <v>593</v>
      </c>
      <c r="D346" s="23" t="s">
        <v>594</v>
      </c>
      <c r="E346" s="21" t="s">
        <v>1221</v>
      </c>
      <c r="F346" s="23">
        <v>1006</v>
      </c>
      <c r="G346" s="10" t="s">
        <v>40</v>
      </c>
      <c r="H346" s="10" t="s">
        <v>41</v>
      </c>
      <c r="I346" s="11">
        <v>2</v>
      </c>
      <c r="J346" s="23"/>
      <c r="K346" s="10"/>
      <c r="L346" s="8"/>
      <c r="M346" s="12"/>
      <c r="N346" s="12">
        <f t="shared" si="7"/>
        <v>0</v>
      </c>
      <c r="O346" s="11">
        <v>2</v>
      </c>
      <c r="P346" s="11">
        <v>2</v>
      </c>
      <c r="Q346" s="11">
        <v>2</v>
      </c>
      <c r="R346" s="11">
        <v>2</v>
      </c>
      <c r="S346" s="11">
        <v>2</v>
      </c>
      <c r="T346" s="11">
        <v>2</v>
      </c>
      <c r="U346" s="11">
        <v>2</v>
      </c>
      <c r="V346" s="11">
        <v>2</v>
      </c>
      <c r="W346" s="11">
        <v>2</v>
      </c>
      <c r="X346" s="11">
        <v>2</v>
      </c>
      <c r="Y346" s="11">
        <v>2</v>
      </c>
      <c r="Z346" s="11">
        <v>2</v>
      </c>
      <c r="AA346" s="11">
        <v>2</v>
      </c>
      <c r="AB346" s="11">
        <v>2</v>
      </c>
      <c r="AC346" s="11">
        <v>2</v>
      </c>
      <c r="AD346" s="11">
        <v>2</v>
      </c>
      <c r="AE346" s="11">
        <v>2</v>
      </c>
      <c r="AF346" s="11">
        <v>2</v>
      </c>
      <c r="AG346" s="11">
        <v>2</v>
      </c>
      <c r="AH346" s="11">
        <v>2</v>
      </c>
      <c r="AI346" s="11">
        <v>2</v>
      </c>
      <c r="AJ346" s="11">
        <v>2</v>
      </c>
      <c r="AK346" s="11">
        <v>2</v>
      </c>
      <c r="AL346" s="11">
        <v>2</v>
      </c>
      <c r="AM346" s="11">
        <v>2</v>
      </c>
      <c r="AN346" s="72">
        <v>2</v>
      </c>
      <c r="AO346" s="72">
        <v>2</v>
      </c>
      <c r="AP346" s="72">
        <v>2</v>
      </c>
      <c r="AQ346" s="72">
        <v>2</v>
      </c>
      <c r="AR346" s="72">
        <v>2</v>
      </c>
      <c r="AS346" s="72">
        <v>2</v>
      </c>
      <c r="AT346" s="72">
        <v>2</v>
      </c>
      <c r="AU346" s="72">
        <v>2</v>
      </c>
      <c r="AV346" s="72">
        <v>2</v>
      </c>
      <c r="AW346" s="72">
        <v>2</v>
      </c>
      <c r="AX346" s="72">
        <v>2</v>
      </c>
      <c r="AY346" s="72">
        <v>2</v>
      </c>
      <c r="AZ346" s="72">
        <v>2</v>
      </c>
      <c r="BA346" s="72">
        <v>2</v>
      </c>
      <c r="BB346" s="72">
        <v>2</v>
      </c>
      <c r="BC346" s="72">
        <v>2</v>
      </c>
      <c r="BD346" s="72">
        <v>2</v>
      </c>
      <c r="BE346" s="72">
        <v>2</v>
      </c>
      <c r="BF346" s="72">
        <v>2</v>
      </c>
      <c r="BG346" s="72">
        <v>2</v>
      </c>
      <c r="BH346" s="72">
        <v>2</v>
      </c>
      <c r="BI346" s="72">
        <v>2</v>
      </c>
      <c r="BJ346" s="72">
        <v>2</v>
      </c>
      <c r="BK346" s="72">
        <v>2</v>
      </c>
      <c r="BL346" s="72">
        <v>2</v>
      </c>
      <c r="BM346" s="72">
        <v>2</v>
      </c>
      <c r="BN346" s="72">
        <v>2</v>
      </c>
      <c r="BO346" s="72">
        <v>2</v>
      </c>
      <c r="BP346" s="72">
        <v>2</v>
      </c>
      <c r="BQ346" s="72">
        <v>2</v>
      </c>
      <c r="BR346" s="72">
        <v>2</v>
      </c>
      <c r="BS346" s="72">
        <v>2</v>
      </c>
      <c r="BT346" s="72">
        <v>2</v>
      </c>
      <c r="BU346" s="72">
        <v>2</v>
      </c>
      <c r="BV346" s="72">
        <v>2</v>
      </c>
      <c r="BW346" s="72">
        <v>2</v>
      </c>
      <c r="BX346" s="72">
        <v>2</v>
      </c>
      <c r="BY346" s="72">
        <v>2</v>
      </c>
      <c r="BZ346" s="72">
        <v>2</v>
      </c>
      <c r="CA346" s="72">
        <v>2</v>
      </c>
      <c r="CB346" s="72">
        <v>2</v>
      </c>
      <c r="CC346" s="72">
        <v>2</v>
      </c>
      <c r="CD346" s="72">
        <v>2</v>
      </c>
      <c r="CE346" s="72">
        <v>2</v>
      </c>
      <c r="CF346" s="72">
        <v>2</v>
      </c>
      <c r="CG346" s="72">
        <v>2</v>
      </c>
      <c r="CH346" s="72">
        <v>2</v>
      </c>
      <c r="CI346" s="72">
        <v>2</v>
      </c>
      <c r="CJ346" s="72">
        <v>2</v>
      </c>
      <c r="CK346" s="72">
        <v>2</v>
      </c>
      <c r="CL346" s="72">
        <v>2</v>
      </c>
      <c r="CM346" s="72">
        <v>2</v>
      </c>
      <c r="CN346" s="72">
        <v>2</v>
      </c>
      <c r="CO346" s="72">
        <v>2</v>
      </c>
      <c r="CP346" s="72">
        <v>2</v>
      </c>
      <c r="CQ346" s="72">
        <v>2</v>
      </c>
      <c r="CR346" s="72">
        <v>2</v>
      </c>
      <c r="CS346" s="72">
        <v>2</v>
      </c>
      <c r="CT346" s="72">
        <v>2</v>
      </c>
      <c r="CU346" s="72">
        <v>2</v>
      </c>
      <c r="CV346" s="72">
        <v>2</v>
      </c>
      <c r="CW346" s="72">
        <v>2</v>
      </c>
      <c r="CX346" s="72">
        <v>2</v>
      </c>
      <c r="CY346" s="72">
        <v>2</v>
      </c>
      <c r="CZ346" s="72">
        <v>2</v>
      </c>
      <c r="DA346" s="72">
        <v>2</v>
      </c>
      <c r="DB346" s="72">
        <v>2</v>
      </c>
      <c r="DC346" s="72">
        <v>2</v>
      </c>
      <c r="DD346" s="72">
        <v>2</v>
      </c>
      <c r="DE346" s="72">
        <v>2</v>
      </c>
      <c r="DF346" s="72">
        <v>2</v>
      </c>
      <c r="DG346" s="72">
        <v>2</v>
      </c>
      <c r="DH346" s="72">
        <v>2</v>
      </c>
      <c r="DI346" s="72">
        <v>2</v>
      </c>
      <c r="DJ346" s="72">
        <v>2</v>
      </c>
      <c r="DK346" s="72">
        <v>2</v>
      </c>
      <c r="DL346" s="72">
        <v>2</v>
      </c>
      <c r="DM346" s="72">
        <v>2</v>
      </c>
    </row>
    <row r="347" spans="1:117" x14ac:dyDescent="0.35">
      <c r="A347" s="7"/>
      <c r="B347" s="8" t="s">
        <v>595</v>
      </c>
      <c r="C347" s="78" t="s">
        <v>1354</v>
      </c>
      <c r="D347" s="10" t="s">
        <v>594</v>
      </c>
      <c r="E347" s="21" t="s">
        <v>1221</v>
      </c>
      <c r="F347" s="10">
        <v>1006</v>
      </c>
      <c r="G347" s="10" t="s">
        <v>40</v>
      </c>
      <c r="H347" s="10" t="s">
        <v>41</v>
      </c>
      <c r="I347" s="11">
        <v>20</v>
      </c>
      <c r="J347" s="10"/>
      <c r="K347" s="10" t="s">
        <v>42</v>
      </c>
      <c r="L347" s="8"/>
      <c r="M347" s="12">
        <v>25.89</v>
      </c>
      <c r="N347" s="12">
        <f t="shared" si="7"/>
        <v>517.79999999999995</v>
      </c>
      <c r="O347" s="11">
        <v>20</v>
      </c>
      <c r="P347" s="11">
        <v>20</v>
      </c>
      <c r="Q347" s="11">
        <v>20</v>
      </c>
      <c r="R347" s="11">
        <v>20</v>
      </c>
      <c r="S347" s="11">
        <v>20</v>
      </c>
      <c r="T347" s="11">
        <v>20</v>
      </c>
      <c r="U347" s="11">
        <v>20</v>
      </c>
      <c r="V347" s="11">
        <v>20</v>
      </c>
      <c r="W347" s="11">
        <v>20</v>
      </c>
      <c r="X347" s="11">
        <v>20</v>
      </c>
      <c r="Y347" s="11">
        <v>20</v>
      </c>
      <c r="Z347" s="11">
        <v>20</v>
      </c>
      <c r="AA347" s="11">
        <v>20</v>
      </c>
      <c r="AB347" s="11">
        <v>20</v>
      </c>
      <c r="AC347" s="11">
        <v>20</v>
      </c>
      <c r="AD347" s="11">
        <v>20</v>
      </c>
      <c r="AE347" s="11">
        <v>20</v>
      </c>
      <c r="AF347" s="11">
        <v>20</v>
      </c>
      <c r="AG347" s="11">
        <v>20</v>
      </c>
      <c r="AH347" s="11">
        <v>20</v>
      </c>
      <c r="AI347" s="11">
        <v>20</v>
      </c>
      <c r="AJ347" s="11">
        <v>20</v>
      </c>
      <c r="AK347" s="11">
        <v>20</v>
      </c>
      <c r="AL347" s="11">
        <v>20</v>
      </c>
      <c r="AM347" s="11">
        <v>20</v>
      </c>
      <c r="AN347" s="72">
        <v>20</v>
      </c>
      <c r="AO347" s="72">
        <v>20</v>
      </c>
      <c r="AP347" s="72">
        <v>20</v>
      </c>
      <c r="AQ347" s="72">
        <v>20</v>
      </c>
      <c r="AR347" s="72">
        <v>20</v>
      </c>
      <c r="AS347" s="72">
        <v>20</v>
      </c>
      <c r="AT347" s="72">
        <v>20</v>
      </c>
      <c r="AU347" s="72">
        <v>20</v>
      </c>
      <c r="AV347" s="72">
        <v>20</v>
      </c>
      <c r="AW347" s="72">
        <v>20</v>
      </c>
      <c r="AX347" s="72">
        <v>20</v>
      </c>
      <c r="AY347" s="72">
        <v>20</v>
      </c>
      <c r="AZ347" s="72">
        <v>20</v>
      </c>
      <c r="BA347" s="72">
        <v>20</v>
      </c>
      <c r="BB347" s="72">
        <v>20</v>
      </c>
      <c r="BC347" s="72">
        <v>20</v>
      </c>
      <c r="BD347" s="72">
        <v>20</v>
      </c>
      <c r="BE347" s="72">
        <v>20</v>
      </c>
      <c r="BF347" s="72">
        <v>20</v>
      </c>
      <c r="BG347" s="72">
        <v>20</v>
      </c>
      <c r="BH347" s="72">
        <v>20</v>
      </c>
      <c r="BI347" s="72">
        <v>20</v>
      </c>
      <c r="BJ347" s="72">
        <v>20</v>
      </c>
      <c r="BK347" s="72">
        <v>20</v>
      </c>
      <c r="BL347" s="72">
        <v>20</v>
      </c>
      <c r="BM347" s="72">
        <v>20</v>
      </c>
      <c r="BN347" s="72">
        <v>20</v>
      </c>
      <c r="BO347" s="72">
        <v>20</v>
      </c>
      <c r="BP347" s="72">
        <v>20</v>
      </c>
      <c r="BQ347" s="72">
        <v>20</v>
      </c>
      <c r="BR347" s="72">
        <v>20</v>
      </c>
      <c r="BS347" s="72">
        <v>20</v>
      </c>
      <c r="BT347" s="72">
        <v>20</v>
      </c>
      <c r="BU347" s="72">
        <v>20</v>
      </c>
      <c r="BV347" s="72">
        <v>20</v>
      </c>
      <c r="BW347" s="72">
        <v>20</v>
      </c>
      <c r="BX347" s="72">
        <v>20</v>
      </c>
      <c r="BY347" s="72">
        <v>20</v>
      </c>
      <c r="BZ347" s="72">
        <v>20</v>
      </c>
      <c r="CA347" s="72">
        <v>20</v>
      </c>
      <c r="CB347" s="72">
        <v>20</v>
      </c>
      <c r="CC347" s="72">
        <v>20</v>
      </c>
      <c r="CD347" s="72">
        <v>20</v>
      </c>
      <c r="CE347" s="72">
        <v>20</v>
      </c>
      <c r="CF347" s="72">
        <v>20</v>
      </c>
      <c r="CG347" s="72">
        <v>20</v>
      </c>
      <c r="CH347" s="72">
        <v>20</v>
      </c>
      <c r="CI347" s="72">
        <v>20</v>
      </c>
      <c r="CJ347" s="72">
        <v>20</v>
      </c>
      <c r="CK347" s="72">
        <v>20</v>
      </c>
      <c r="CL347" s="72">
        <v>20</v>
      </c>
      <c r="CM347" s="72">
        <v>20</v>
      </c>
      <c r="CN347" s="72">
        <v>20</v>
      </c>
      <c r="CO347" s="72">
        <v>20</v>
      </c>
      <c r="CP347" s="72">
        <v>20</v>
      </c>
      <c r="CQ347" s="72">
        <v>20</v>
      </c>
      <c r="CR347" s="72">
        <v>20</v>
      </c>
      <c r="CS347" s="72">
        <v>20</v>
      </c>
      <c r="CT347" s="72">
        <v>20</v>
      </c>
      <c r="CU347" s="72">
        <v>20</v>
      </c>
      <c r="CV347" s="72">
        <v>20</v>
      </c>
      <c r="CW347" s="72">
        <v>20</v>
      </c>
      <c r="CX347" s="72">
        <v>20</v>
      </c>
      <c r="CY347" s="72">
        <v>20</v>
      </c>
      <c r="CZ347" s="72">
        <v>20</v>
      </c>
      <c r="DA347" s="72">
        <v>20</v>
      </c>
      <c r="DB347" s="72">
        <v>20</v>
      </c>
      <c r="DC347" s="72">
        <v>20</v>
      </c>
      <c r="DD347" s="72">
        <v>20</v>
      </c>
      <c r="DE347" s="72">
        <v>20</v>
      </c>
      <c r="DF347" s="72">
        <v>20</v>
      </c>
      <c r="DG347" s="72">
        <v>20</v>
      </c>
      <c r="DH347" s="72">
        <v>20</v>
      </c>
      <c r="DI347" s="72">
        <v>20</v>
      </c>
      <c r="DJ347" s="72">
        <v>20</v>
      </c>
      <c r="DK347" s="72">
        <v>20</v>
      </c>
      <c r="DL347" s="72">
        <v>20</v>
      </c>
      <c r="DM347" s="72">
        <v>20</v>
      </c>
    </row>
    <row r="348" spans="1:117" x14ac:dyDescent="0.35">
      <c r="A348" s="7"/>
      <c r="B348" s="8" t="s">
        <v>596</v>
      </c>
      <c r="C348" s="78" t="s">
        <v>1355</v>
      </c>
      <c r="D348" s="10" t="s">
        <v>594</v>
      </c>
      <c r="E348" s="21" t="s">
        <v>1221</v>
      </c>
      <c r="F348" s="10">
        <v>1006</v>
      </c>
      <c r="G348" s="10" t="s">
        <v>40</v>
      </c>
      <c r="H348" s="10" t="s">
        <v>41</v>
      </c>
      <c r="I348" s="11">
        <v>1</v>
      </c>
      <c r="J348" s="10"/>
      <c r="K348" s="10" t="s">
        <v>42</v>
      </c>
      <c r="L348" s="8"/>
      <c r="M348" s="12">
        <v>39.15</v>
      </c>
      <c r="N348" s="12">
        <f t="shared" si="7"/>
        <v>0</v>
      </c>
      <c r="O348" s="11">
        <v>1</v>
      </c>
      <c r="P348" s="11">
        <v>1</v>
      </c>
      <c r="Q348" s="11">
        <v>1</v>
      </c>
      <c r="R348" s="11">
        <v>1</v>
      </c>
      <c r="S348" s="11">
        <v>1</v>
      </c>
      <c r="T348" s="11">
        <v>1</v>
      </c>
      <c r="U348" s="11">
        <v>1</v>
      </c>
      <c r="V348" s="11">
        <v>1</v>
      </c>
      <c r="W348" s="11">
        <v>1</v>
      </c>
      <c r="X348" s="11">
        <v>1</v>
      </c>
      <c r="Y348" s="11">
        <v>1</v>
      </c>
      <c r="Z348" s="11">
        <v>1</v>
      </c>
      <c r="AA348" s="11">
        <v>1</v>
      </c>
      <c r="AB348" s="11">
        <v>1</v>
      </c>
      <c r="AC348" s="11">
        <v>1</v>
      </c>
      <c r="AD348" s="11">
        <v>1</v>
      </c>
      <c r="AE348" s="11">
        <v>1</v>
      </c>
      <c r="AF348" s="11">
        <v>1</v>
      </c>
      <c r="AG348" s="11">
        <v>1</v>
      </c>
      <c r="AH348" s="11">
        <v>1</v>
      </c>
      <c r="AI348" s="11">
        <v>1</v>
      </c>
      <c r="AJ348" s="11">
        <v>1</v>
      </c>
      <c r="AK348" s="11">
        <v>1</v>
      </c>
      <c r="AL348" s="11">
        <v>1</v>
      </c>
      <c r="AM348" s="11">
        <v>1</v>
      </c>
      <c r="AN348" s="72">
        <v>1</v>
      </c>
      <c r="AO348" s="72">
        <v>1</v>
      </c>
      <c r="AP348" s="72">
        <v>1</v>
      </c>
      <c r="AQ348" s="72">
        <v>1</v>
      </c>
      <c r="AR348" s="72">
        <v>1</v>
      </c>
      <c r="AS348" s="72">
        <v>1</v>
      </c>
      <c r="AT348" s="72">
        <v>1</v>
      </c>
      <c r="AU348" s="72">
        <v>1</v>
      </c>
      <c r="AV348" s="72">
        <v>1</v>
      </c>
      <c r="AW348" s="72">
        <v>1</v>
      </c>
      <c r="AX348" s="72">
        <v>1</v>
      </c>
      <c r="AY348" s="72">
        <v>1</v>
      </c>
      <c r="AZ348" s="72">
        <v>1</v>
      </c>
      <c r="BA348" s="72">
        <v>1</v>
      </c>
      <c r="BB348" s="72">
        <v>1</v>
      </c>
      <c r="BC348" s="72">
        <v>1</v>
      </c>
      <c r="BD348" s="72">
        <v>1</v>
      </c>
      <c r="BE348" s="72">
        <v>1</v>
      </c>
      <c r="BF348" s="72">
        <v>1</v>
      </c>
      <c r="BG348" s="72">
        <v>1</v>
      </c>
      <c r="BH348" s="72">
        <v>1</v>
      </c>
      <c r="BI348" s="72">
        <v>1</v>
      </c>
      <c r="BJ348" s="72">
        <v>1</v>
      </c>
      <c r="BK348" s="72">
        <v>1</v>
      </c>
      <c r="BL348" s="72">
        <v>0</v>
      </c>
      <c r="BM348" s="72">
        <v>0</v>
      </c>
      <c r="BN348" s="72">
        <v>0</v>
      </c>
      <c r="BO348" s="72">
        <v>0</v>
      </c>
      <c r="BP348" s="72">
        <v>0</v>
      </c>
      <c r="BQ348" s="72">
        <v>0</v>
      </c>
      <c r="BR348" s="72">
        <v>0</v>
      </c>
      <c r="BS348" s="72">
        <v>0</v>
      </c>
      <c r="BT348" s="72">
        <v>0</v>
      </c>
      <c r="BU348" s="72">
        <v>0</v>
      </c>
      <c r="BV348" s="72">
        <v>0</v>
      </c>
      <c r="BW348" s="72">
        <v>0</v>
      </c>
      <c r="BX348" s="72">
        <v>0</v>
      </c>
      <c r="BY348" s="72">
        <v>0</v>
      </c>
      <c r="BZ348" s="72">
        <v>0</v>
      </c>
      <c r="CA348" s="72">
        <v>0</v>
      </c>
      <c r="CB348" s="72">
        <v>0</v>
      </c>
      <c r="CC348" s="72">
        <v>0</v>
      </c>
      <c r="CD348" s="72">
        <v>0</v>
      </c>
      <c r="CE348" s="72">
        <v>0</v>
      </c>
      <c r="CF348" s="72">
        <v>0</v>
      </c>
      <c r="CG348" s="72">
        <v>0</v>
      </c>
      <c r="CH348" s="72">
        <v>0</v>
      </c>
      <c r="CI348" s="72">
        <v>0</v>
      </c>
      <c r="CJ348" s="72">
        <v>0</v>
      </c>
      <c r="CK348" s="72">
        <v>0</v>
      </c>
      <c r="CL348" s="72">
        <v>0</v>
      </c>
      <c r="CM348" s="72">
        <v>0</v>
      </c>
      <c r="CN348" s="72">
        <v>0</v>
      </c>
      <c r="CO348" s="72">
        <v>0</v>
      </c>
      <c r="CP348" s="72">
        <v>0</v>
      </c>
      <c r="CQ348" s="72">
        <v>0</v>
      </c>
      <c r="CR348" s="72">
        <v>0</v>
      </c>
      <c r="CS348" s="72">
        <v>0</v>
      </c>
      <c r="CT348" s="72">
        <v>0</v>
      </c>
      <c r="CU348" s="72">
        <v>0</v>
      </c>
      <c r="CV348" s="72">
        <v>0</v>
      </c>
      <c r="CW348" s="72">
        <v>0</v>
      </c>
      <c r="CX348" s="72">
        <v>0</v>
      </c>
      <c r="CY348" s="72">
        <v>0</v>
      </c>
      <c r="CZ348" s="72">
        <v>0</v>
      </c>
      <c r="DA348" s="72">
        <v>0</v>
      </c>
      <c r="DB348" s="72">
        <v>0</v>
      </c>
      <c r="DC348" s="72">
        <v>0</v>
      </c>
      <c r="DD348" s="72">
        <v>0</v>
      </c>
      <c r="DE348" s="72">
        <v>0</v>
      </c>
      <c r="DF348" s="72">
        <v>0</v>
      </c>
      <c r="DG348" s="72">
        <v>0</v>
      </c>
      <c r="DH348" s="72">
        <v>0</v>
      </c>
      <c r="DI348" s="72">
        <v>0</v>
      </c>
      <c r="DJ348" s="72">
        <v>0</v>
      </c>
      <c r="DK348" s="72">
        <v>0</v>
      </c>
      <c r="DL348" s="72">
        <v>0</v>
      </c>
      <c r="DM348" s="72">
        <v>0</v>
      </c>
    </row>
    <row r="349" spans="1:117" x14ac:dyDescent="0.35">
      <c r="A349" s="7"/>
      <c r="B349" s="77" t="s">
        <v>1266</v>
      </c>
      <c r="C349" s="78" t="s">
        <v>1356</v>
      </c>
      <c r="D349" s="10" t="s">
        <v>594</v>
      </c>
      <c r="E349" s="21" t="s">
        <v>1221</v>
      </c>
      <c r="F349" s="10"/>
      <c r="G349" s="10"/>
      <c r="H349" s="10" t="s">
        <v>41</v>
      </c>
      <c r="I349" s="11"/>
      <c r="J349" s="10"/>
      <c r="K349" s="10"/>
      <c r="L349" s="8"/>
      <c r="M349" s="12">
        <v>80.739999999999995</v>
      </c>
      <c r="N349" s="12">
        <f t="shared" si="7"/>
        <v>161.47999999999999</v>
      </c>
      <c r="O349" s="11"/>
      <c r="P349" s="11"/>
      <c r="Q349" s="11"/>
      <c r="R349" s="11"/>
      <c r="S349" s="11"/>
      <c r="T349" s="11"/>
      <c r="U349" s="11"/>
      <c r="V349" s="11"/>
      <c r="W349" s="11"/>
      <c r="X349" s="11"/>
      <c r="Y349" s="11"/>
      <c r="Z349" s="11"/>
      <c r="AA349" s="11"/>
      <c r="AB349" s="11"/>
      <c r="AC349" s="11"/>
      <c r="AD349" s="11"/>
      <c r="AE349" s="11"/>
      <c r="AF349" s="11"/>
      <c r="AG349" s="11"/>
      <c r="AH349" s="11"/>
      <c r="AI349" s="11"/>
      <c r="AJ349" s="11"/>
      <c r="AK349" s="11"/>
      <c r="AL349" s="11"/>
      <c r="AM349" s="11"/>
      <c r="AN349" s="72"/>
      <c r="AO349" s="72"/>
      <c r="AP349" s="72"/>
      <c r="AQ349" s="72"/>
      <c r="AR349" s="72"/>
      <c r="AS349" s="72"/>
      <c r="AT349" s="72"/>
      <c r="AU349" s="72"/>
      <c r="AV349" s="72"/>
      <c r="AW349" s="72">
        <v>2</v>
      </c>
      <c r="AX349" s="72">
        <v>2</v>
      </c>
      <c r="AY349" s="72">
        <v>2</v>
      </c>
      <c r="AZ349" s="72">
        <v>2</v>
      </c>
      <c r="BA349" s="72">
        <v>2</v>
      </c>
      <c r="BB349" s="72">
        <v>2</v>
      </c>
      <c r="BC349" s="72">
        <v>2</v>
      </c>
      <c r="BD349" s="72">
        <v>2</v>
      </c>
      <c r="BE349" s="72">
        <v>2</v>
      </c>
      <c r="BF349" s="72">
        <v>2</v>
      </c>
      <c r="BG349" s="72">
        <v>2</v>
      </c>
      <c r="BH349" s="72">
        <v>2</v>
      </c>
      <c r="BI349" s="72">
        <v>2</v>
      </c>
      <c r="BJ349" s="72">
        <v>2</v>
      </c>
      <c r="BK349" s="72">
        <v>2</v>
      </c>
      <c r="BL349" s="72">
        <v>2</v>
      </c>
      <c r="BM349" s="72">
        <v>2</v>
      </c>
      <c r="BN349" s="72">
        <v>2</v>
      </c>
      <c r="BO349" s="72">
        <v>2</v>
      </c>
      <c r="BP349" s="72">
        <v>2</v>
      </c>
      <c r="BQ349" s="72">
        <v>2</v>
      </c>
      <c r="BR349" s="72">
        <v>2</v>
      </c>
      <c r="BS349" s="72">
        <v>2</v>
      </c>
      <c r="BT349" s="72">
        <v>2</v>
      </c>
      <c r="BU349" s="72">
        <v>2</v>
      </c>
      <c r="BV349" s="72">
        <v>2</v>
      </c>
      <c r="BW349" s="72">
        <v>2</v>
      </c>
      <c r="BX349" s="72">
        <v>2</v>
      </c>
      <c r="BY349" s="72">
        <v>2</v>
      </c>
      <c r="BZ349" s="72">
        <v>2</v>
      </c>
      <c r="CA349" s="72">
        <v>2</v>
      </c>
      <c r="CB349" s="72">
        <v>2</v>
      </c>
      <c r="CC349" s="72">
        <v>2</v>
      </c>
      <c r="CD349" s="72">
        <v>2</v>
      </c>
      <c r="CE349" s="72">
        <v>2</v>
      </c>
      <c r="CF349" s="72">
        <v>2</v>
      </c>
      <c r="CG349" s="72">
        <v>2</v>
      </c>
      <c r="CH349" s="72">
        <v>2</v>
      </c>
      <c r="CI349" s="72">
        <v>2</v>
      </c>
      <c r="CJ349" s="72">
        <v>2</v>
      </c>
      <c r="CK349" s="72">
        <v>2</v>
      </c>
      <c r="CL349" s="72">
        <v>2</v>
      </c>
      <c r="CM349" s="72">
        <v>2</v>
      </c>
      <c r="CN349" s="72">
        <v>2</v>
      </c>
      <c r="CO349" s="72">
        <v>2</v>
      </c>
      <c r="CP349" s="72">
        <v>2</v>
      </c>
      <c r="CQ349" s="72">
        <v>2</v>
      </c>
      <c r="CR349" s="72">
        <v>2</v>
      </c>
      <c r="CS349" s="72">
        <v>2</v>
      </c>
      <c r="CT349" s="72">
        <v>2</v>
      </c>
      <c r="CU349" s="72">
        <v>2</v>
      </c>
      <c r="CV349" s="72">
        <v>2</v>
      </c>
      <c r="CW349" s="72">
        <v>2</v>
      </c>
      <c r="CX349" s="72">
        <v>2</v>
      </c>
      <c r="CY349" s="72">
        <v>2</v>
      </c>
      <c r="CZ349" s="72">
        <v>2</v>
      </c>
      <c r="DA349" s="72">
        <v>2</v>
      </c>
      <c r="DB349" s="72">
        <v>2</v>
      </c>
      <c r="DC349" s="72">
        <v>2</v>
      </c>
      <c r="DD349" s="72">
        <v>2</v>
      </c>
      <c r="DE349" s="72">
        <v>2</v>
      </c>
      <c r="DF349" s="72">
        <v>2</v>
      </c>
      <c r="DG349" s="72">
        <v>2</v>
      </c>
      <c r="DH349" s="72">
        <v>2</v>
      </c>
      <c r="DI349" s="72">
        <v>2</v>
      </c>
      <c r="DJ349" s="72">
        <v>2</v>
      </c>
      <c r="DK349" s="72">
        <v>2</v>
      </c>
      <c r="DL349" s="72">
        <v>2</v>
      </c>
      <c r="DM349" s="72">
        <v>2</v>
      </c>
    </row>
    <row r="350" spans="1:117" x14ac:dyDescent="0.35">
      <c r="A350" s="7"/>
      <c r="B350" s="77" t="s">
        <v>1350</v>
      </c>
      <c r="C350" s="78" t="s">
        <v>1357</v>
      </c>
      <c r="D350" s="10" t="s">
        <v>594</v>
      </c>
      <c r="E350" s="21" t="s">
        <v>1221</v>
      </c>
      <c r="F350" s="10"/>
      <c r="G350" s="10"/>
      <c r="H350" s="10" t="s">
        <v>41</v>
      </c>
      <c r="I350" s="11"/>
      <c r="J350" s="10"/>
      <c r="K350" s="10"/>
      <c r="L350" s="8"/>
      <c r="M350" s="12"/>
      <c r="N350" s="12">
        <f t="shared" si="7"/>
        <v>0</v>
      </c>
      <c r="O350" s="11"/>
      <c r="P350" s="11"/>
      <c r="Q350" s="11"/>
      <c r="R350" s="11"/>
      <c r="S350" s="11"/>
      <c r="T350" s="11"/>
      <c r="U350" s="11"/>
      <c r="V350" s="11"/>
      <c r="W350" s="11"/>
      <c r="X350" s="11"/>
      <c r="Y350" s="11"/>
      <c r="Z350" s="11"/>
      <c r="AA350" s="11"/>
      <c r="AB350" s="11"/>
      <c r="AC350" s="11"/>
      <c r="AD350" s="11"/>
      <c r="AE350" s="11"/>
      <c r="AF350" s="11"/>
      <c r="AG350" s="11"/>
      <c r="AH350" s="11"/>
      <c r="AI350" s="11"/>
      <c r="AJ350" s="11"/>
      <c r="AK350" s="11"/>
      <c r="AL350" s="11"/>
      <c r="AM350" s="11"/>
      <c r="AN350" s="72"/>
      <c r="AO350" s="72"/>
      <c r="AP350" s="72"/>
      <c r="AQ350" s="72"/>
      <c r="AR350" s="72"/>
      <c r="AS350" s="72"/>
      <c r="AT350" s="72"/>
      <c r="AU350" s="72"/>
      <c r="AV350" s="72"/>
      <c r="AW350" s="72"/>
      <c r="AX350" s="72"/>
      <c r="AY350" s="72"/>
      <c r="AZ350" s="72"/>
      <c r="BA350" s="72"/>
      <c r="BB350" s="72"/>
      <c r="BC350" s="72"/>
      <c r="BD350" s="72"/>
      <c r="BE350" s="72"/>
      <c r="BF350" s="72"/>
      <c r="BG350" s="72"/>
      <c r="BH350" s="72"/>
      <c r="BI350" s="72"/>
      <c r="BJ350" s="72">
        <v>2</v>
      </c>
      <c r="BK350" s="72">
        <v>2</v>
      </c>
      <c r="BL350" s="72">
        <v>2</v>
      </c>
      <c r="BM350" s="72">
        <v>2</v>
      </c>
      <c r="BN350" s="72">
        <v>2</v>
      </c>
      <c r="BO350" s="72">
        <v>2</v>
      </c>
      <c r="BP350" s="72">
        <v>2</v>
      </c>
      <c r="BQ350" s="72">
        <v>2</v>
      </c>
      <c r="BR350" s="72">
        <v>2</v>
      </c>
      <c r="BS350" s="72">
        <v>2</v>
      </c>
      <c r="BT350" s="72">
        <v>2</v>
      </c>
      <c r="BU350" s="72">
        <v>2</v>
      </c>
      <c r="BV350" s="72">
        <v>2</v>
      </c>
      <c r="BW350" s="72">
        <v>2</v>
      </c>
      <c r="BX350" s="72">
        <v>2</v>
      </c>
      <c r="BY350" s="72">
        <v>2</v>
      </c>
      <c r="BZ350" s="72">
        <v>2</v>
      </c>
      <c r="CA350" s="72">
        <v>2</v>
      </c>
      <c r="CB350" s="72">
        <v>2</v>
      </c>
      <c r="CC350" s="72">
        <v>2</v>
      </c>
      <c r="CD350" s="72">
        <v>2</v>
      </c>
      <c r="CE350" s="72">
        <v>2</v>
      </c>
      <c r="CF350" s="72">
        <v>2</v>
      </c>
      <c r="CG350" s="72">
        <v>2</v>
      </c>
      <c r="CH350" s="72">
        <v>2</v>
      </c>
      <c r="CI350" s="72">
        <v>2</v>
      </c>
      <c r="CJ350" s="72">
        <v>2</v>
      </c>
      <c r="CK350" s="72">
        <v>2</v>
      </c>
      <c r="CL350" s="72">
        <v>2</v>
      </c>
      <c r="CM350" s="72">
        <v>2</v>
      </c>
      <c r="CN350" s="72">
        <v>2</v>
      </c>
      <c r="CO350" s="72">
        <v>2</v>
      </c>
      <c r="CP350" s="72">
        <v>2</v>
      </c>
      <c r="CQ350" s="72">
        <v>2</v>
      </c>
      <c r="CR350" s="72">
        <v>2</v>
      </c>
      <c r="CS350" s="72">
        <v>2</v>
      </c>
      <c r="CT350" s="72">
        <v>2</v>
      </c>
      <c r="CU350" s="72">
        <v>2</v>
      </c>
      <c r="CV350" s="72">
        <v>2</v>
      </c>
      <c r="CW350" s="72">
        <v>2</v>
      </c>
      <c r="CX350" s="72">
        <v>2</v>
      </c>
      <c r="CY350" s="72">
        <v>2</v>
      </c>
      <c r="CZ350" s="72">
        <v>2</v>
      </c>
      <c r="DA350" s="72">
        <v>2</v>
      </c>
      <c r="DB350" s="72">
        <v>2</v>
      </c>
      <c r="DC350" s="72">
        <v>2</v>
      </c>
      <c r="DD350" s="72">
        <v>2</v>
      </c>
      <c r="DE350" s="72">
        <v>2</v>
      </c>
      <c r="DF350" s="72">
        <v>2</v>
      </c>
      <c r="DG350" s="72">
        <v>2</v>
      </c>
      <c r="DH350" s="72">
        <v>2</v>
      </c>
      <c r="DI350" s="72">
        <v>2</v>
      </c>
      <c r="DJ350" s="72">
        <v>2</v>
      </c>
      <c r="DK350" s="72">
        <v>2</v>
      </c>
      <c r="DL350" s="72">
        <v>2</v>
      </c>
      <c r="DM350" s="72">
        <v>2</v>
      </c>
    </row>
    <row r="351" spans="1:117" x14ac:dyDescent="0.35">
      <c r="A351" s="7"/>
      <c r="B351" s="21" t="s">
        <v>597</v>
      </c>
      <c r="C351" s="22" t="s">
        <v>598</v>
      </c>
      <c r="D351" s="10" t="s">
        <v>594</v>
      </c>
      <c r="E351" s="8" t="s">
        <v>1205</v>
      </c>
      <c r="F351" s="23">
        <v>1006</v>
      </c>
      <c r="G351" s="10" t="s">
        <v>40</v>
      </c>
      <c r="H351" s="10" t="s">
        <v>41</v>
      </c>
      <c r="I351" s="11">
        <v>4</v>
      </c>
      <c r="J351" s="23"/>
      <c r="K351" s="10"/>
      <c r="L351" s="8"/>
      <c r="M351" s="12">
        <v>205</v>
      </c>
      <c r="N351" s="12">
        <f t="shared" si="7"/>
        <v>1230</v>
      </c>
      <c r="O351" s="11">
        <v>6</v>
      </c>
      <c r="P351" s="11">
        <v>6</v>
      </c>
      <c r="Q351" s="11">
        <v>6</v>
      </c>
      <c r="R351" s="11">
        <v>6</v>
      </c>
      <c r="S351" s="11">
        <v>6</v>
      </c>
      <c r="T351" s="11">
        <v>6</v>
      </c>
      <c r="U351" s="11">
        <v>6</v>
      </c>
      <c r="V351" s="11">
        <v>6</v>
      </c>
      <c r="W351" s="11">
        <v>6</v>
      </c>
      <c r="X351" s="11">
        <v>6</v>
      </c>
      <c r="Y351" s="11">
        <v>6</v>
      </c>
      <c r="Z351" s="11">
        <v>6</v>
      </c>
      <c r="AA351" s="11">
        <v>6</v>
      </c>
      <c r="AB351" s="11">
        <v>6</v>
      </c>
      <c r="AC351" s="11">
        <v>6</v>
      </c>
      <c r="AD351" s="11">
        <v>6</v>
      </c>
      <c r="AE351" s="11">
        <v>4</v>
      </c>
      <c r="AF351" s="11">
        <v>4</v>
      </c>
      <c r="AG351" s="11">
        <v>4</v>
      </c>
      <c r="AH351" s="11">
        <v>4</v>
      </c>
      <c r="AI351" s="11">
        <v>4</v>
      </c>
      <c r="AJ351" s="11">
        <v>4</v>
      </c>
      <c r="AK351" s="11">
        <v>4</v>
      </c>
      <c r="AL351" s="11">
        <v>4</v>
      </c>
      <c r="AM351" s="11">
        <v>4</v>
      </c>
      <c r="AN351" s="72">
        <v>4</v>
      </c>
      <c r="AO351" s="72">
        <v>4</v>
      </c>
      <c r="AP351" s="72">
        <v>4</v>
      </c>
      <c r="AQ351" s="72">
        <v>4</v>
      </c>
      <c r="AR351" s="72">
        <v>4</v>
      </c>
      <c r="AS351" s="72">
        <v>4</v>
      </c>
      <c r="AT351" s="72">
        <v>4</v>
      </c>
      <c r="AU351" s="72">
        <v>4</v>
      </c>
      <c r="AV351" s="72">
        <v>4</v>
      </c>
      <c r="AW351" s="72">
        <v>4</v>
      </c>
      <c r="AX351" s="72">
        <v>4</v>
      </c>
      <c r="AY351" s="72">
        <v>4</v>
      </c>
      <c r="AZ351" s="72">
        <v>4</v>
      </c>
      <c r="BA351" s="72">
        <v>4</v>
      </c>
      <c r="BB351" s="72">
        <v>4</v>
      </c>
      <c r="BC351" s="72">
        <v>4</v>
      </c>
      <c r="BD351" s="72">
        <v>4</v>
      </c>
      <c r="BE351" s="72">
        <v>4</v>
      </c>
      <c r="BF351" s="72">
        <v>4</v>
      </c>
      <c r="BG351" s="72">
        <v>4</v>
      </c>
      <c r="BH351" s="72">
        <v>4</v>
      </c>
      <c r="BI351" s="72">
        <v>4</v>
      </c>
      <c r="BJ351" s="72">
        <v>6</v>
      </c>
      <c r="BK351" s="72">
        <v>6</v>
      </c>
      <c r="BL351" s="72">
        <v>6</v>
      </c>
      <c r="BM351" s="72">
        <v>6</v>
      </c>
      <c r="BN351" s="72">
        <v>6</v>
      </c>
      <c r="BO351" s="72">
        <v>6</v>
      </c>
      <c r="BP351" s="72">
        <v>6</v>
      </c>
      <c r="BQ351" s="72">
        <v>6</v>
      </c>
      <c r="BR351" s="72">
        <v>6</v>
      </c>
      <c r="BS351" s="72">
        <v>6</v>
      </c>
      <c r="BT351" s="72">
        <v>6</v>
      </c>
      <c r="BU351" s="72">
        <v>6</v>
      </c>
      <c r="BV351" s="72">
        <v>6</v>
      </c>
      <c r="BW351" s="72">
        <v>6</v>
      </c>
      <c r="BX351" s="72">
        <v>6</v>
      </c>
      <c r="BY351" s="72">
        <v>6</v>
      </c>
      <c r="BZ351" s="72">
        <v>6</v>
      </c>
      <c r="CA351" s="72">
        <v>6</v>
      </c>
      <c r="CB351" s="72">
        <v>6</v>
      </c>
      <c r="CC351" s="72">
        <v>6</v>
      </c>
      <c r="CD351" s="72">
        <v>6</v>
      </c>
      <c r="CE351" s="72">
        <v>6</v>
      </c>
      <c r="CF351" s="72">
        <v>6</v>
      </c>
      <c r="CG351" s="72">
        <v>6</v>
      </c>
      <c r="CH351" s="72">
        <v>6</v>
      </c>
      <c r="CI351" s="72">
        <v>6</v>
      </c>
      <c r="CJ351" s="72">
        <v>6</v>
      </c>
      <c r="CK351" s="72">
        <v>6</v>
      </c>
      <c r="CL351" s="72">
        <v>6</v>
      </c>
      <c r="CM351" s="72">
        <v>6</v>
      </c>
      <c r="CN351" s="72">
        <v>6</v>
      </c>
      <c r="CO351" s="72">
        <v>6</v>
      </c>
      <c r="CP351" s="72">
        <v>6</v>
      </c>
      <c r="CQ351" s="72">
        <v>6</v>
      </c>
      <c r="CR351" s="72">
        <v>6</v>
      </c>
      <c r="CS351" s="72">
        <v>6</v>
      </c>
      <c r="CT351" s="72">
        <v>6</v>
      </c>
      <c r="CU351" s="72">
        <v>6</v>
      </c>
      <c r="CV351" s="72">
        <v>6</v>
      </c>
      <c r="CW351" s="72">
        <v>6</v>
      </c>
      <c r="CX351" s="72">
        <v>6</v>
      </c>
      <c r="CY351" s="72">
        <v>6</v>
      </c>
      <c r="CZ351" s="72">
        <v>6</v>
      </c>
      <c r="DA351" s="72">
        <v>6</v>
      </c>
      <c r="DB351" s="72">
        <v>6</v>
      </c>
      <c r="DC351" s="72">
        <v>6</v>
      </c>
      <c r="DD351" s="72">
        <v>6</v>
      </c>
      <c r="DE351" s="72">
        <v>6</v>
      </c>
      <c r="DF351" s="72">
        <v>6</v>
      </c>
      <c r="DG351" s="72">
        <v>6</v>
      </c>
      <c r="DH351" s="72">
        <v>6</v>
      </c>
      <c r="DI351" s="72">
        <v>6</v>
      </c>
      <c r="DJ351" s="72">
        <v>6</v>
      </c>
      <c r="DK351" s="72">
        <v>6</v>
      </c>
      <c r="DL351" s="72">
        <v>6</v>
      </c>
      <c r="DM351" s="72">
        <v>6</v>
      </c>
    </row>
    <row r="352" spans="1:117" x14ac:dyDescent="0.35">
      <c r="A352" s="7"/>
      <c r="B352" s="21" t="s">
        <v>599</v>
      </c>
      <c r="C352" s="95" t="s">
        <v>1347</v>
      </c>
      <c r="D352" s="10" t="s">
        <v>594</v>
      </c>
      <c r="E352" s="8" t="s">
        <v>1205</v>
      </c>
      <c r="F352" s="23">
        <v>1006</v>
      </c>
      <c r="G352" s="10" t="s">
        <v>40</v>
      </c>
      <c r="H352" s="10" t="s">
        <v>41</v>
      </c>
      <c r="I352" s="11">
        <v>6</v>
      </c>
      <c r="J352" s="23"/>
      <c r="K352" s="10"/>
      <c r="L352" s="8"/>
      <c r="M352" s="12"/>
      <c r="N352" s="12">
        <f t="shared" si="7"/>
        <v>0</v>
      </c>
      <c r="O352" s="11">
        <v>6</v>
      </c>
      <c r="P352" s="11">
        <v>6</v>
      </c>
      <c r="Q352" s="11">
        <v>6</v>
      </c>
      <c r="R352" s="11">
        <v>6</v>
      </c>
      <c r="S352" s="11">
        <v>6</v>
      </c>
      <c r="T352" s="11">
        <v>6</v>
      </c>
      <c r="U352" s="11">
        <v>6</v>
      </c>
      <c r="V352" s="11">
        <v>6</v>
      </c>
      <c r="W352" s="11">
        <v>6</v>
      </c>
      <c r="X352" s="11">
        <v>6</v>
      </c>
      <c r="Y352" s="11">
        <v>6</v>
      </c>
      <c r="Z352" s="11">
        <v>6</v>
      </c>
      <c r="AA352" s="11">
        <v>6</v>
      </c>
      <c r="AB352" s="11">
        <v>6</v>
      </c>
      <c r="AC352" s="11">
        <v>6</v>
      </c>
      <c r="AD352" s="11">
        <v>6</v>
      </c>
      <c r="AE352" s="11">
        <v>6</v>
      </c>
      <c r="AF352" s="11">
        <v>6</v>
      </c>
      <c r="AG352" s="11">
        <v>6</v>
      </c>
      <c r="AH352" s="11">
        <v>6</v>
      </c>
      <c r="AI352" s="11">
        <v>6</v>
      </c>
      <c r="AJ352" s="11">
        <v>6</v>
      </c>
      <c r="AK352" s="11">
        <v>6</v>
      </c>
      <c r="AL352" s="11">
        <v>6</v>
      </c>
      <c r="AM352" s="11">
        <v>6</v>
      </c>
      <c r="AN352" s="72">
        <v>6</v>
      </c>
      <c r="AO352" s="72">
        <v>6</v>
      </c>
      <c r="AP352" s="72">
        <v>6</v>
      </c>
      <c r="AQ352" s="72">
        <v>6</v>
      </c>
      <c r="AR352" s="72">
        <v>6</v>
      </c>
      <c r="AS352" s="72">
        <v>6</v>
      </c>
      <c r="AT352" s="72">
        <v>6</v>
      </c>
      <c r="AU352" s="72">
        <v>6</v>
      </c>
      <c r="AV352" s="72">
        <v>6</v>
      </c>
      <c r="AW352" s="72">
        <v>6</v>
      </c>
      <c r="AX352" s="72">
        <v>6</v>
      </c>
      <c r="AY352" s="72">
        <v>6</v>
      </c>
      <c r="AZ352" s="72">
        <v>6</v>
      </c>
      <c r="BA352" s="72">
        <v>6</v>
      </c>
      <c r="BB352" s="72">
        <v>6</v>
      </c>
      <c r="BC352" s="72">
        <v>6</v>
      </c>
      <c r="BD352" s="72">
        <v>6</v>
      </c>
      <c r="BE352" s="72">
        <v>6</v>
      </c>
      <c r="BF352" s="72">
        <v>6</v>
      </c>
      <c r="BG352" s="72">
        <v>6</v>
      </c>
      <c r="BH352" s="72">
        <v>6</v>
      </c>
      <c r="BI352" s="72">
        <v>6</v>
      </c>
      <c r="BJ352" s="72">
        <v>2</v>
      </c>
      <c r="BK352" s="72">
        <v>2</v>
      </c>
      <c r="BL352" s="72">
        <v>2</v>
      </c>
      <c r="BM352" s="72">
        <v>2</v>
      </c>
      <c r="BN352" s="72">
        <v>2</v>
      </c>
      <c r="BO352" s="72">
        <v>2</v>
      </c>
      <c r="BP352" s="72">
        <v>2</v>
      </c>
      <c r="BQ352" s="72">
        <v>2</v>
      </c>
      <c r="BR352" s="72">
        <v>2</v>
      </c>
      <c r="BS352" s="72">
        <v>2</v>
      </c>
      <c r="BT352" s="72">
        <v>2</v>
      </c>
      <c r="BU352" s="72">
        <v>2</v>
      </c>
      <c r="BV352" s="72">
        <v>2</v>
      </c>
      <c r="BW352" s="72">
        <v>2</v>
      </c>
      <c r="BX352" s="72">
        <v>2</v>
      </c>
      <c r="BY352" s="72">
        <v>2</v>
      </c>
      <c r="BZ352" s="72">
        <v>2</v>
      </c>
      <c r="CA352" s="72">
        <v>2</v>
      </c>
      <c r="CB352" s="72">
        <v>2</v>
      </c>
      <c r="CC352" s="72">
        <v>2</v>
      </c>
      <c r="CD352" s="72">
        <v>2</v>
      </c>
      <c r="CE352" s="72">
        <v>2</v>
      </c>
      <c r="CF352" s="72">
        <v>2</v>
      </c>
      <c r="CG352" s="72">
        <v>2</v>
      </c>
      <c r="CH352" s="72">
        <v>2</v>
      </c>
      <c r="CI352" s="72">
        <v>2</v>
      </c>
      <c r="CJ352" s="72">
        <v>2</v>
      </c>
      <c r="CK352" s="72">
        <v>2</v>
      </c>
      <c r="CL352" s="72">
        <v>2</v>
      </c>
      <c r="CM352" s="72">
        <v>2</v>
      </c>
      <c r="CN352" s="72">
        <v>2</v>
      </c>
      <c r="CO352" s="72">
        <v>2</v>
      </c>
      <c r="CP352" s="72">
        <v>2</v>
      </c>
      <c r="CQ352" s="72">
        <v>2</v>
      </c>
      <c r="CR352" s="72">
        <v>2</v>
      </c>
      <c r="CS352" s="72">
        <v>2</v>
      </c>
      <c r="CT352" s="72">
        <v>2</v>
      </c>
      <c r="CU352" s="72">
        <v>2</v>
      </c>
      <c r="CV352" s="72">
        <v>2</v>
      </c>
      <c r="CW352" s="72">
        <v>2</v>
      </c>
      <c r="CX352" s="72">
        <v>2</v>
      </c>
      <c r="CY352" s="72">
        <v>2</v>
      </c>
      <c r="CZ352" s="72">
        <v>2</v>
      </c>
      <c r="DA352" s="72">
        <v>2</v>
      </c>
      <c r="DB352" s="72">
        <v>2</v>
      </c>
      <c r="DC352" s="72">
        <v>2</v>
      </c>
      <c r="DD352" s="72">
        <v>2</v>
      </c>
      <c r="DE352" s="72">
        <v>2</v>
      </c>
      <c r="DF352" s="72">
        <v>2</v>
      </c>
      <c r="DG352" s="72">
        <v>2</v>
      </c>
      <c r="DH352" s="72">
        <v>2</v>
      </c>
      <c r="DI352" s="72">
        <v>2</v>
      </c>
      <c r="DJ352" s="72">
        <v>2</v>
      </c>
      <c r="DK352" s="72">
        <v>2</v>
      </c>
      <c r="DL352" s="72">
        <v>2</v>
      </c>
      <c r="DM352" s="72">
        <v>2</v>
      </c>
    </row>
    <row r="353" spans="1:117" x14ac:dyDescent="0.35">
      <c r="A353" s="7"/>
      <c r="B353" s="21" t="s">
        <v>600</v>
      </c>
      <c r="C353" s="22" t="s">
        <v>601</v>
      </c>
      <c r="D353" s="10" t="s">
        <v>594</v>
      </c>
      <c r="E353" s="8" t="s">
        <v>1205</v>
      </c>
      <c r="F353" s="23">
        <v>1006</v>
      </c>
      <c r="G353" s="10" t="s">
        <v>40</v>
      </c>
      <c r="H353" s="10" t="s">
        <v>41</v>
      </c>
      <c r="I353" s="11">
        <v>1</v>
      </c>
      <c r="J353" s="23"/>
      <c r="K353" s="10" t="s">
        <v>53</v>
      </c>
      <c r="L353" s="8" t="s">
        <v>602</v>
      </c>
      <c r="M353" s="12">
        <v>205</v>
      </c>
      <c r="N353" s="12">
        <f t="shared" si="7"/>
        <v>0</v>
      </c>
      <c r="O353" s="11"/>
      <c r="P353" s="11"/>
      <c r="Q353" s="11">
        <v>4</v>
      </c>
      <c r="R353" s="11">
        <v>4</v>
      </c>
      <c r="S353" s="11">
        <v>4</v>
      </c>
      <c r="T353" s="11">
        <v>4</v>
      </c>
      <c r="U353" s="11">
        <v>4</v>
      </c>
      <c r="V353" s="11">
        <v>4</v>
      </c>
      <c r="W353" s="11">
        <v>4</v>
      </c>
      <c r="X353" s="11">
        <v>4</v>
      </c>
      <c r="Y353" s="11">
        <v>4</v>
      </c>
      <c r="Z353" s="11">
        <v>4</v>
      </c>
      <c r="AA353" s="11">
        <v>4</v>
      </c>
      <c r="AB353" s="11">
        <v>4</v>
      </c>
      <c r="AC353" s="11">
        <v>4</v>
      </c>
      <c r="AD353" s="11">
        <v>4</v>
      </c>
      <c r="AE353" s="11">
        <v>5</v>
      </c>
      <c r="AF353" s="11">
        <v>5</v>
      </c>
      <c r="AG353" s="11">
        <v>5</v>
      </c>
      <c r="AH353" s="11">
        <v>1</v>
      </c>
      <c r="AI353" s="11">
        <v>1</v>
      </c>
      <c r="AJ353" s="11">
        <v>1</v>
      </c>
      <c r="AK353" s="11">
        <v>1</v>
      </c>
      <c r="AL353" s="11">
        <v>1</v>
      </c>
      <c r="AM353" s="11">
        <v>1</v>
      </c>
      <c r="AN353" s="72">
        <v>1</v>
      </c>
      <c r="AO353" s="72">
        <v>2</v>
      </c>
      <c r="AP353" s="72">
        <v>2</v>
      </c>
      <c r="AQ353" s="72">
        <v>2</v>
      </c>
      <c r="AR353" s="72">
        <v>2</v>
      </c>
      <c r="AS353" s="72">
        <v>2</v>
      </c>
      <c r="AT353" s="72">
        <v>2</v>
      </c>
      <c r="AU353" s="72">
        <v>2</v>
      </c>
      <c r="AV353" s="72">
        <v>2</v>
      </c>
      <c r="AW353" s="72">
        <v>2</v>
      </c>
      <c r="AX353" s="72">
        <v>2</v>
      </c>
      <c r="AY353" s="72">
        <v>2</v>
      </c>
      <c r="AZ353" s="72">
        <v>2</v>
      </c>
      <c r="BA353" s="72">
        <v>2</v>
      </c>
      <c r="BB353" s="72">
        <v>2</v>
      </c>
      <c r="BC353" s="72">
        <v>2</v>
      </c>
      <c r="BD353" s="72">
        <v>2</v>
      </c>
      <c r="BE353" s="72">
        <v>2</v>
      </c>
      <c r="BF353" s="72">
        <v>2</v>
      </c>
      <c r="BG353" s="72">
        <v>2</v>
      </c>
      <c r="BH353" s="72">
        <v>2</v>
      </c>
      <c r="BI353" s="72">
        <v>2</v>
      </c>
      <c r="BJ353" s="72">
        <v>2</v>
      </c>
      <c r="BK353" s="72">
        <v>2</v>
      </c>
      <c r="BL353" s="72">
        <v>2</v>
      </c>
      <c r="BM353" s="72">
        <v>2</v>
      </c>
      <c r="BN353" s="72">
        <v>2</v>
      </c>
      <c r="BO353" s="72">
        <v>2</v>
      </c>
      <c r="BP353" s="72">
        <v>2</v>
      </c>
      <c r="BQ353" s="72">
        <v>2</v>
      </c>
      <c r="BR353" s="72">
        <v>2</v>
      </c>
      <c r="BS353" s="72">
        <v>2</v>
      </c>
      <c r="BT353" s="72">
        <v>0</v>
      </c>
      <c r="BU353" s="72">
        <v>0</v>
      </c>
      <c r="BV353" s="72">
        <v>0</v>
      </c>
      <c r="BW353" s="72">
        <v>0</v>
      </c>
      <c r="BX353" s="72">
        <v>0</v>
      </c>
      <c r="BY353" s="72">
        <v>0</v>
      </c>
      <c r="BZ353" s="72">
        <v>0</v>
      </c>
      <c r="CA353" s="72">
        <v>0</v>
      </c>
      <c r="CB353" s="72">
        <v>0</v>
      </c>
      <c r="CC353" s="72">
        <v>0</v>
      </c>
      <c r="CD353" s="72">
        <v>0</v>
      </c>
      <c r="CE353" s="72">
        <v>0</v>
      </c>
      <c r="CF353" s="72">
        <v>0</v>
      </c>
      <c r="CG353" s="72">
        <v>0</v>
      </c>
      <c r="CH353" s="72">
        <v>0</v>
      </c>
      <c r="CI353" s="72">
        <v>0</v>
      </c>
      <c r="CJ353" s="72">
        <v>0</v>
      </c>
      <c r="CK353" s="72">
        <v>0</v>
      </c>
      <c r="CL353" s="72">
        <v>0</v>
      </c>
      <c r="CM353" s="72">
        <v>0</v>
      </c>
      <c r="CN353" s="72">
        <v>0</v>
      </c>
      <c r="CO353" s="72">
        <v>0</v>
      </c>
      <c r="CP353" s="72">
        <v>0</v>
      </c>
      <c r="CQ353" s="72">
        <v>0</v>
      </c>
      <c r="CR353" s="72">
        <v>0</v>
      </c>
      <c r="CS353" s="72">
        <v>0</v>
      </c>
      <c r="CT353" s="72">
        <v>0</v>
      </c>
      <c r="CU353" s="72">
        <v>0</v>
      </c>
      <c r="CV353" s="72">
        <v>0</v>
      </c>
      <c r="CW353" s="72">
        <v>0</v>
      </c>
      <c r="CX353" s="72">
        <v>0</v>
      </c>
      <c r="CY353" s="72">
        <v>0</v>
      </c>
      <c r="CZ353" s="72">
        <v>0</v>
      </c>
      <c r="DA353" s="72">
        <v>0</v>
      </c>
      <c r="DB353" s="72">
        <v>0</v>
      </c>
      <c r="DC353" s="72">
        <v>0</v>
      </c>
      <c r="DD353" s="72">
        <v>0</v>
      </c>
      <c r="DE353" s="72">
        <v>0</v>
      </c>
      <c r="DF353" s="72">
        <v>0</v>
      </c>
      <c r="DG353" s="72">
        <v>0</v>
      </c>
      <c r="DH353" s="72">
        <v>0</v>
      </c>
      <c r="DI353" s="72">
        <v>0</v>
      </c>
      <c r="DJ353" s="72">
        <v>0</v>
      </c>
      <c r="DK353" s="72">
        <v>0</v>
      </c>
      <c r="DL353" s="72">
        <v>0</v>
      </c>
      <c r="DM353" s="72">
        <v>0</v>
      </c>
    </row>
    <row r="354" spans="1:117" x14ac:dyDescent="0.35">
      <c r="A354" s="7"/>
      <c r="B354" s="79" t="s">
        <v>1169</v>
      </c>
      <c r="C354" s="22" t="s">
        <v>1178</v>
      </c>
      <c r="D354" s="10" t="s">
        <v>594</v>
      </c>
      <c r="E354" s="8" t="s">
        <v>1205</v>
      </c>
      <c r="F354" s="23"/>
      <c r="G354" s="10" t="s">
        <v>40</v>
      </c>
      <c r="H354" s="10" t="s">
        <v>41</v>
      </c>
      <c r="I354" s="11"/>
      <c r="J354" s="23"/>
      <c r="K354" s="10"/>
      <c r="L354" s="8"/>
      <c r="M354" s="12"/>
      <c r="N354" s="12">
        <f t="shared" si="7"/>
        <v>0</v>
      </c>
      <c r="O354" s="11"/>
      <c r="P354" s="11"/>
      <c r="Q354" s="11"/>
      <c r="R354" s="11"/>
      <c r="S354" s="11"/>
      <c r="T354" s="11"/>
      <c r="U354" s="11"/>
      <c r="V354" s="11"/>
      <c r="W354" s="11"/>
      <c r="X354" s="11"/>
      <c r="Y354" s="11"/>
      <c r="Z354" s="11"/>
      <c r="AA354" s="11"/>
      <c r="AB354" s="11"/>
      <c r="AC354" s="11"/>
      <c r="AD354" s="11"/>
      <c r="AE354" s="11"/>
      <c r="AF354" s="11"/>
      <c r="AG354" s="11"/>
      <c r="AH354" s="11"/>
      <c r="AI354" s="11"/>
      <c r="AJ354" s="11"/>
      <c r="AK354" s="11"/>
      <c r="AL354" s="11"/>
      <c r="AM354" s="11"/>
      <c r="AN354" s="72"/>
      <c r="AO354" s="72">
        <v>2</v>
      </c>
      <c r="AP354" s="72">
        <v>2</v>
      </c>
      <c r="AQ354" s="72">
        <v>2</v>
      </c>
      <c r="AR354" s="72">
        <v>2</v>
      </c>
      <c r="AS354" s="72">
        <v>2</v>
      </c>
      <c r="AT354" s="72">
        <v>2</v>
      </c>
      <c r="AU354" s="72">
        <v>2</v>
      </c>
      <c r="AV354" s="72">
        <v>2</v>
      </c>
      <c r="AW354" s="72">
        <v>2</v>
      </c>
      <c r="AX354" s="72">
        <v>2</v>
      </c>
      <c r="AY354" s="72">
        <v>2</v>
      </c>
      <c r="AZ354" s="72">
        <v>2</v>
      </c>
      <c r="BA354" s="72">
        <v>2</v>
      </c>
      <c r="BB354" s="72">
        <v>2</v>
      </c>
      <c r="BC354" s="72">
        <v>2</v>
      </c>
      <c r="BD354" s="72">
        <v>2</v>
      </c>
      <c r="BE354" s="72">
        <v>2</v>
      </c>
      <c r="BF354" s="72">
        <v>2</v>
      </c>
      <c r="BG354" s="72">
        <v>2</v>
      </c>
      <c r="BH354" s="72">
        <v>2</v>
      </c>
      <c r="BI354" s="72">
        <v>2</v>
      </c>
      <c r="BJ354" s="72">
        <v>2</v>
      </c>
      <c r="BK354" s="72">
        <v>2</v>
      </c>
      <c r="BL354" s="72">
        <v>2</v>
      </c>
      <c r="BM354" s="72">
        <v>2</v>
      </c>
      <c r="BN354" s="72">
        <v>2</v>
      </c>
      <c r="BO354" s="72">
        <v>2</v>
      </c>
      <c r="BP354" s="72">
        <v>2</v>
      </c>
      <c r="BQ354" s="72">
        <v>2</v>
      </c>
      <c r="BR354" s="72">
        <v>2</v>
      </c>
      <c r="BS354" s="72">
        <v>2</v>
      </c>
      <c r="BT354" s="72">
        <v>0</v>
      </c>
      <c r="BU354" s="72">
        <v>0</v>
      </c>
      <c r="BV354" s="72">
        <v>0</v>
      </c>
      <c r="BW354" s="72">
        <v>0</v>
      </c>
      <c r="BX354" s="72">
        <v>0</v>
      </c>
      <c r="BY354" s="72">
        <v>0</v>
      </c>
      <c r="BZ354" s="72">
        <v>0</v>
      </c>
      <c r="CA354" s="72">
        <v>0</v>
      </c>
      <c r="CB354" s="72">
        <v>0</v>
      </c>
      <c r="CC354" s="72">
        <v>0</v>
      </c>
      <c r="CD354" s="72">
        <v>0</v>
      </c>
      <c r="CE354" s="72">
        <v>0</v>
      </c>
      <c r="CF354" s="72">
        <v>0</v>
      </c>
      <c r="CG354" s="72">
        <v>0</v>
      </c>
      <c r="CH354" s="72">
        <v>0</v>
      </c>
      <c r="CI354" s="72">
        <v>0</v>
      </c>
      <c r="CJ354" s="72">
        <v>0</v>
      </c>
      <c r="CK354" s="72">
        <v>0</v>
      </c>
      <c r="CL354" s="72">
        <v>0</v>
      </c>
      <c r="CM354" s="72">
        <v>0</v>
      </c>
      <c r="CN354" s="72">
        <v>0</v>
      </c>
      <c r="CO354" s="72">
        <v>0</v>
      </c>
      <c r="CP354" s="72">
        <v>0</v>
      </c>
      <c r="CQ354" s="72">
        <v>0</v>
      </c>
      <c r="CR354" s="72">
        <v>0</v>
      </c>
      <c r="CS354" s="72">
        <v>0</v>
      </c>
      <c r="CT354" s="72">
        <v>0</v>
      </c>
      <c r="CU354" s="72">
        <v>0</v>
      </c>
      <c r="CV354" s="72">
        <v>0</v>
      </c>
      <c r="CW354" s="72">
        <v>0</v>
      </c>
      <c r="CX354" s="72">
        <v>0</v>
      </c>
      <c r="CY354" s="72">
        <v>0</v>
      </c>
      <c r="CZ354" s="72">
        <v>0</v>
      </c>
      <c r="DA354" s="72">
        <v>0</v>
      </c>
      <c r="DB354" s="72">
        <v>0</v>
      </c>
      <c r="DC354" s="72">
        <v>0</v>
      </c>
      <c r="DD354" s="72">
        <v>0</v>
      </c>
      <c r="DE354" s="72">
        <v>0</v>
      </c>
      <c r="DF354" s="72">
        <v>0</v>
      </c>
      <c r="DG354" s="72">
        <v>0</v>
      </c>
      <c r="DH354" s="72">
        <v>0</v>
      </c>
      <c r="DI354" s="72">
        <v>0</v>
      </c>
      <c r="DJ354" s="72">
        <v>0</v>
      </c>
      <c r="DK354" s="72">
        <v>0</v>
      </c>
      <c r="DL354" s="72">
        <v>0</v>
      </c>
      <c r="DM354" s="72">
        <v>0</v>
      </c>
    </row>
    <row r="355" spans="1:117" x14ac:dyDescent="0.35">
      <c r="A355" s="7"/>
      <c r="B355" s="79" t="s">
        <v>1170</v>
      </c>
      <c r="C355" s="22" t="s">
        <v>1179</v>
      </c>
      <c r="D355" s="10" t="s">
        <v>594</v>
      </c>
      <c r="E355" s="8" t="s">
        <v>1205</v>
      </c>
      <c r="F355" s="23"/>
      <c r="G355" s="10" t="s">
        <v>40</v>
      </c>
      <c r="H355" s="10" t="s">
        <v>41</v>
      </c>
      <c r="I355" s="11"/>
      <c r="J355" s="23"/>
      <c r="K355" s="10"/>
      <c r="L355" s="8"/>
      <c r="M355" s="12">
        <v>122.16</v>
      </c>
      <c r="N355" s="12">
        <f t="shared" si="7"/>
        <v>244.32</v>
      </c>
      <c r="O355" s="11"/>
      <c r="P355" s="11"/>
      <c r="Q355" s="11"/>
      <c r="R355" s="11"/>
      <c r="S355" s="11"/>
      <c r="T355" s="11"/>
      <c r="U355" s="11"/>
      <c r="V355" s="11"/>
      <c r="W355" s="11"/>
      <c r="X355" s="11"/>
      <c r="Y355" s="11"/>
      <c r="Z355" s="11"/>
      <c r="AA355" s="11"/>
      <c r="AB355" s="11"/>
      <c r="AC355" s="11"/>
      <c r="AD355" s="11"/>
      <c r="AE355" s="11"/>
      <c r="AF355" s="11"/>
      <c r="AG355" s="11"/>
      <c r="AH355" s="11"/>
      <c r="AI355" s="11"/>
      <c r="AJ355" s="11"/>
      <c r="AK355" s="11"/>
      <c r="AL355" s="11"/>
      <c r="AM355" s="11"/>
      <c r="AN355" s="72"/>
      <c r="AO355" s="72">
        <v>5</v>
      </c>
      <c r="AP355" s="72">
        <v>5</v>
      </c>
      <c r="AQ355" s="72">
        <v>5</v>
      </c>
      <c r="AR355" s="72">
        <v>5</v>
      </c>
      <c r="AS355" s="72">
        <v>5</v>
      </c>
      <c r="AT355" s="72">
        <v>5</v>
      </c>
      <c r="AU355" s="72">
        <v>5</v>
      </c>
      <c r="AV355" s="72">
        <v>5</v>
      </c>
      <c r="AW355" s="72">
        <v>5</v>
      </c>
      <c r="AX355" s="72">
        <v>5</v>
      </c>
      <c r="AY355" s="72">
        <v>5</v>
      </c>
      <c r="AZ355" s="72">
        <v>5</v>
      </c>
      <c r="BA355" s="72">
        <v>5</v>
      </c>
      <c r="BB355" s="72">
        <v>5</v>
      </c>
      <c r="BC355" s="72">
        <v>5</v>
      </c>
      <c r="BD355" s="72">
        <v>5</v>
      </c>
      <c r="BE355" s="72">
        <v>5</v>
      </c>
      <c r="BF355" s="72">
        <v>5</v>
      </c>
      <c r="BG355" s="72">
        <v>5</v>
      </c>
      <c r="BH355" s="72">
        <v>5</v>
      </c>
      <c r="BI355" s="72">
        <v>5</v>
      </c>
      <c r="BJ355" s="72">
        <v>5</v>
      </c>
      <c r="BK355" s="72">
        <v>5</v>
      </c>
      <c r="BL355" s="72">
        <v>5</v>
      </c>
      <c r="BM355" s="72">
        <v>5</v>
      </c>
      <c r="BN355" s="72">
        <v>5</v>
      </c>
      <c r="BO355" s="72">
        <v>5</v>
      </c>
      <c r="BP355" s="72">
        <v>5</v>
      </c>
      <c r="BQ355" s="72">
        <v>5</v>
      </c>
      <c r="BR355" s="72">
        <v>5</v>
      </c>
      <c r="BS355" s="72">
        <v>5</v>
      </c>
      <c r="BT355" s="72">
        <v>2</v>
      </c>
      <c r="BU355" s="72">
        <v>2</v>
      </c>
      <c r="BV355" s="72">
        <v>2</v>
      </c>
      <c r="BW355" s="72">
        <v>2</v>
      </c>
      <c r="BX355" s="72">
        <v>2</v>
      </c>
      <c r="BY355" s="72">
        <v>2</v>
      </c>
      <c r="BZ355" s="72">
        <v>2</v>
      </c>
      <c r="CA355" s="72">
        <v>2</v>
      </c>
      <c r="CB355" s="72">
        <v>2</v>
      </c>
      <c r="CC355" s="72">
        <v>2</v>
      </c>
      <c r="CD355" s="72">
        <v>2</v>
      </c>
      <c r="CE355" s="72">
        <v>2</v>
      </c>
      <c r="CF355" s="72">
        <v>2</v>
      </c>
      <c r="CG355" s="72">
        <v>2</v>
      </c>
      <c r="CH355" s="72">
        <v>2</v>
      </c>
      <c r="CI355" s="72">
        <v>2</v>
      </c>
      <c r="CJ355" s="72">
        <v>2</v>
      </c>
      <c r="CK355" s="72">
        <v>2</v>
      </c>
      <c r="CL355" s="72">
        <v>2</v>
      </c>
      <c r="CM355" s="72">
        <v>2</v>
      </c>
      <c r="CN355" s="72">
        <v>2</v>
      </c>
      <c r="CO355" s="72">
        <v>2</v>
      </c>
      <c r="CP355" s="72">
        <v>2</v>
      </c>
      <c r="CQ355" s="72">
        <v>2</v>
      </c>
      <c r="CR355" s="72">
        <v>2</v>
      </c>
      <c r="CS355" s="72">
        <v>2</v>
      </c>
      <c r="CT355" s="72">
        <v>2</v>
      </c>
      <c r="CU355" s="72">
        <v>2</v>
      </c>
      <c r="CV355" s="72">
        <v>2</v>
      </c>
      <c r="CW355" s="72">
        <v>2</v>
      </c>
      <c r="CX355" s="72">
        <v>2</v>
      </c>
      <c r="CY355" s="72">
        <v>2</v>
      </c>
      <c r="CZ355" s="72">
        <v>2</v>
      </c>
      <c r="DA355" s="72">
        <v>2</v>
      </c>
      <c r="DB355" s="72">
        <v>2</v>
      </c>
      <c r="DC355" s="72">
        <v>2</v>
      </c>
      <c r="DD355" s="72">
        <v>2</v>
      </c>
      <c r="DE355" s="72">
        <v>2</v>
      </c>
      <c r="DF355" s="72">
        <v>2</v>
      </c>
      <c r="DG355" s="72">
        <v>2</v>
      </c>
      <c r="DH355" s="72">
        <v>2</v>
      </c>
      <c r="DI355" s="72">
        <v>2</v>
      </c>
      <c r="DJ355" s="72">
        <v>2</v>
      </c>
      <c r="DK355" s="72">
        <v>2</v>
      </c>
      <c r="DL355" s="72">
        <v>2</v>
      </c>
      <c r="DM355" s="72">
        <v>2</v>
      </c>
    </row>
    <row r="356" spans="1:117" x14ac:dyDescent="0.35">
      <c r="A356" s="7"/>
      <c r="B356" s="79" t="s">
        <v>1351</v>
      </c>
      <c r="C356" s="96" t="s">
        <v>1358</v>
      </c>
      <c r="D356" s="10" t="s">
        <v>594</v>
      </c>
      <c r="E356" s="8" t="s">
        <v>1205</v>
      </c>
      <c r="F356" s="23"/>
      <c r="G356" s="10"/>
      <c r="H356" s="10" t="s">
        <v>41</v>
      </c>
      <c r="I356" s="11"/>
      <c r="J356" s="23"/>
      <c r="K356" s="10"/>
      <c r="L356" s="8"/>
      <c r="M356" s="12"/>
      <c r="N356" s="12">
        <f t="shared" si="7"/>
        <v>0</v>
      </c>
      <c r="O356" s="11"/>
      <c r="P356" s="11"/>
      <c r="Q356" s="11"/>
      <c r="R356" s="11"/>
      <c r="S356" s="11"/>
      <c r="T356" s="11"/>
      <c r="U356" s="11"/>
      <c r="V356" s="11"/>
      <c r="W356" s="11"/>
      <c r="X356" s="11"/>
      <c r="Y356" s="11"/>
      <c r="Z356" s="11"/>
      <c r="AA356" s="11"/>
      <c r="AB356" s="11"/>
      <c r="AC356" s="11"/>
      <c r="AD356" s="11"/>
      <c r="AE356" s="11"/>
      <c r="AF356" s="11"/>
      <c r="AG356" s="11"/>
      <c r="AH356" s="11"/>
      <c r="AI356" s="11"/>
      <c r="AJ356" s="11"/>
      <c r="AK356" s="11"/>
      <c r="AL356" s="11"/>
      <c r="AM356" s="11"/>
      <c r="AN356" s="72"/>
      <c r="AO356" s="72"/>
      <c r="AP356" s="72"/>
      <c r="AQ356" s="72"/>
      <c r="AR356" s="72"/>
      <c r="AS356" s="72"/>
      <c r="AT356" s="72"/>
      <c r="AU356" s="72"/>
      <c r="AV356" s="72"/>
      <c r="AW356" s="72"/>
      <c r="AX356" s="72"/>
      <c r="AY356" s="72"/>
      <c r="AZ356" s="72"/>
      <c r="BA356" s="72"/>
      <c r="BB356" s="72"/>
      <c r="BC356" s="72"/>
      <c r="BD356" s="72"/>
      <c r="BE356" s="72"/>
      <c r="BF356" s="72"/>
      <c r="BG356" s="72"/>
      <c r="BH356" s="72"/>
      <c r="BI356" s="72"/>
      <c r="BJ356" s="72">
        <v>7</v>
      </c>
      <c r="BK356" s="72">
        <v>7</v>
      </c>
      <c r="BL356" s="72">
        <v>7</v>
      </c>
      <c r="BM356" s="72">
        <v>7</v>
      </c>
      <c r="BN356" s="72">
        <v>7</v>
      </c>
      <c r="BO356" s="72">
        <v>7</v>
      </c>
      <c r="BP356" s="72">
        <v>7</v>
      </c>
      <c r="BQ356" s="72">
        <v>7</v>
      </c>
      <c r="BR356" s="72">
        <v>7</v>
      </c>
      <c r="BS356" s="72">
        <v>7</v>
      </c>
      <c r="BT356" s="72">
        <v>7</v>
      </c>
      <c r="BU356" s="72">
        <v>7</v>
      </c>
      <c r="BV356" s="72">
        <v>7</v>
      </c>
      <c r="BW356" s="72">
        <v>7</v>
      </c>
      <c r="BX356" s="72">
        <v>7</v>
      </c>
      <c r="BY356" s="72">
        <v>7</v>
      </c>
      <c r="BZ356" s="72">
        <v>7</v>
      </c>
      <c r="CA356" s="72">
        <v>7</v>
      </c>
      <c r="CB356" s="72">
        <v>7</v>
      </c>
      <c r="CC356" s="72">
        <v>7</v>
      </c>
      <c r="CD356" s="72">
        <v>7</v>
      </c>
      <c r="CE356" s="72">
        <v>7</v>
      </c>
      <c r="CF356" s="72">
        <v>7</v>
      </c>
      <c r="CG356" s="72">
        <v>7</v>
      </c>
      <c r="CH356" s="72">
        <v>7</v>
      </c>
      <c r="CI356" s="72">
        <v>7</v>
      </c>
      <c r="CJ356" s="72">
        <v>7</v>
      </c>
      <c r="CK356" s="72">
        <v>7</v>
      </c>
      <c r="CL356" s="72">
        <v>7</v>
      </c>
      <c r="CM356" s="72">
        <v>7</v>
      </c>
      <c r="CN356" s="72">
        <v>7</v>
      </c>
      <c r="CO356" s="72">
        <v>7</v>
      </c>
      <c r="CP356" s="72">
        <v>7</v>
      </c>
      <c r="CQ356" s="72">
        <v>7</v>
      </c>
      <c r="CR356" s="72">
        <v>7</v>
      </c>
      <c r="CS356" s="72">
        <v>7</v>
      </c>
      <c r="CT356" s="72">
        <v>7</v>
      </c>
      <c r="CU356" s="72">
        <v>7</v>
      </c>
      <c r="CV356" s="72">
        <v>7</v>
      </c>
      <c r="CW356" s="72">
        <v>7</v>
      </c>
      <c r="CX356" s="72">
        <v>7</v>
      </c>
      <c r="CY356" s="72">
        <v>7</v>
      </c>
      <c r="CZ356" s="72">
        <v>7</v>
      </c>
      <c r="DA356" s="72">
        <v>7</v>
      </c>
      <c r="DB356" s="72">
        <v>7</v>
      </c>
      <c r="DC356" s="72">
        <v>7</v>
      </c>
      <c r="DD356" s="72">
        <v>7</v>
      </c>
      <c r="DE356" s="72">
        <v>7</v>
      </c>
      <c r="DF356" s="72">
        <v>7</v>
      </c>
      <c r="DG356" s="72">
        <v>7</v>
      </c>
      <c r="DH356" s="72">
        <v>7</v>
      </c>
      <c r="DI356" s="72">
        <v>7</v>
      </c>
      <c r="DJ356" s="72">
        <v>7</v>
      </c>
      <c r="DK356" s="72">
        <v>7</v>
      </c>
      <c r="DL356" s="72">
        <v>7</v>
      </c>
      <c r="DM356" s="72">
        <v>7</v>
      </c>
    </row>
    <row r="357" spans="1:117" x14ac:dyDescent="0.35">
      <c r="A357" s="7"/>
      <c r="B357" s="8" t="s">
        <v>603</v>
      </c>
      <c r="C357" s="9" t="s">
        <v>604</v>
      </c>
      <c r="D357" s="10" t="s">
        <v>594</v>
      </c>
      <c r="E357" s="8" t="s">
        <v>1060</v>
      </c>
      <c r="F357" s="10">
        <v>1002</v>
      </c>
      <c r="G357" s="10" t="s">
        <v>40</v>
      </c>
      <c r="H357" s="10" t="s">
        <v>41</v>
      </c>
      <c r="I357" s="11">
        <v>1</v>
      </c>
      <c r="J357" s="10"/>
      <c r="K357" s="10" t="s">
        <v>42</v>
      </c>
      <c r="L357" s="8"/>
      <c r="M357" s="12"/>
      <c r="N357" s="12">
        <f t="shared" si="7"/>
        <v>0</v>
      </c>
      <c r="O357" s="11">
        <v>1</v>
      </c>
      <c r="P357" s="11">
        <v>1</v>
      </c>
      <c r="Q357" s="11">
        <v>1</v>
      </c>
      <c r="R357" s="11">
        <v>1</v>
      </c>
      <c r="S357" s="11">
        <v>1</v>
      </c>
      <c r="T357" s="11"/>
      <c r="U357" s="11"/>
      <c r="V357" s="11">
        <v>1</v>
      </c>
      <c r="W357" s="11">
        <v>1</v>
      </c>
      <c r="X357" s="11">
        <v>1</v>
      </c>
      <c r="Y357" s="11">
        <v>1</v>
      </c>
      <c r="Z357" s="11">
        <v>1</v>
      </c>
      <c r="AA357" s="11"/>
      <c r="AB357" s="11"/>
      <c r="AC357" s="11"/>
      <c r="AD357" s="11"/>
      <c r="AE357" s="11"/>
      <c r="AF357" s="11"/>
      <c r="AG357" s="11"/>
      <c r="AH357" s="11"/>
      <c r="AI357" s="11">
        <v>1</v>
      </c>
      <c r="AJ357" s="11">
        <v>1</v>
      </c>
      <c r="AK357" s="11">
        <v>1</v>
      </c>
      <c r="AL357" s="11">
        <v>1</v>
      </c>
      <c r="AM357" s="11">
        <v>1</v>
      </c>
      <c r="AN357" s="72">
        <v>1</v>
      </c>
      <c r="AO357" s="72">
        <v>1</v>
      </c>
      <c r="AP357" s="72">
        <v>1</v>
      </c>
      <c r="AQ357" s="72">
        <v>1</v>
      </c>
      <c r="AR357" s="72">
        <v>1</v>
      </c>
      <c r="AS357" s="72">
        <v>1</v>
      </c>
      <c r="AT357" s="72">
        <v>1</v>
      </c>
      <c r="AU357" s="72">
        <v>0</v>
      </c>
      <c r="AV357" s="72">
        <v>0</v>
      </c>
      <c r="AW357" s="72">
        <v>0</v>
      </c>
      <c r="AX357" s="72">
        <v>0</v>
      </c>
      <c r="AY357" s="72">
        <v>0</v>
      </c>
      <c r="AZ357" s="72">
        <v>0</v>
      </c>
      <c r="BA357" s="72">
        <v>0</v>
      </c>
      <c r="BB357" s="72">
        <v>0</v>
      </c>
      <c r="BC357" s="72">
        <v>0</v>
      </c>
      <c r="BD357" s="72">
        <v>0</v>
      </c>
      <c r="BE357" s="72">
        <v>0</v>
      </c>
      <c r="BF357" s="72">
        <v>0</v>
      </c>
      <c r="BG357" s="72">
        <v>0</v>
      </c>
      <c r="BH357" s="72">
        <v>0</v>
      </c>
      <c r="BI357" s="72">
        <v>0</v>
      </c>
      <c r="BJ357" s="72">
        <v>0</v>
      </c>
      <c r="BK357" s="72">
        <v>0</v>
      </c>
      <c r="BL357" s="72">
        <v>0</v>
      </c>
      <c r="BM357" s="72">
        <v>0</v>
      </c>
      <c r="BN357" s="72">
        <v>0</v>
      </c>
      <c r="BO357" s="72">
        <v>0</v>
      </c>
      <c r="BP357" s="72">
        <v>0</v>
      </c>
      <c r="BQ357" s="72">
        <v>0</v>
      </c>
      <c r="BR357" s="72">
        <v>0</v>
      </c>
      <c r="BS357" s="72">
        <v>0</v>
      </c>
      <c r="BT357" s="72">
        <v>0</v>
      </c>
      <c r="BU357" s="72">
        <v>0</v>
      </c>
      <c r="BV357" s="72">
        <v>0</v>
      </c>
      <c r="BW357" s="72">
        <v>0</v>
      </c>
      <c r="BX357" s="72">
        <v>0</v>
      </c>
      <c r="BY357" s="72">
        <v>0</v>
      </c>
      <c r="BZ357" s="72">
        <v>0</v>
      </c>
      <c r="CA357" s="72">
        <v>0</v>
      </c>
      <c r="CB357" s="72">
        <v>0</v>
      </c>
      <c r="CC357" s="72">
        <v>0</v>
      </c>
      <c r="CD357" s="72">
        <v>0</v>
      </c>
      <c r="CE357" s="72">
        <v>0</v>
      </c>
      <c r="CF357" s="72">
        <v>0</v>
      </c>
      <c r="CG357" s="72">
        <v>0</v>
      </c>
      <c r="CH357" s="72">
        <v>0</v>
      </c>
      <c r="CI357" s="72">
        <v>0</v>
      </c>
      <c r="CJ357" s="72">
        <v>0</v>
      </c>
      <c r="CK357" s="72">
        <v>0</v>
      </c>
      <c r="CL357" s="72">
        <v>0</v>
      </c>
      <c r="CM357" s="72">
        <v>0</v>
      </c>
      <c r="CN357" s="72">
        <v>0</v>
      </c>
      <c r="CO357" s="72">
        <v>0</v>
      </c>
      <c r="CP357" s="72">
        <v>0</v>
      </c>
      <c r="CQ357" s="72">
        <v>0</v>
      </c>
      <c r="CR357" s="72">
        <v>0</v>
      </c>
      <c r="CS357" s="72">
        <v>0</v>
      </c>
      <c r="CT357" s="72">
        <v>0</v>
      </c>
      <c r="CU357" s="72">
        <v>0</v>
      </c>
      <c r="CV357" s="72">
        <v>0</v>
      </c>
      <c r="CW357" s="72">
        <v>0</v>
      </c>
      <c r="CX357" s="72">
        <v>0</v>
      </c>
      <c r="CY357" s="72">
        <v>0</v>
      </c>
      <c r="CZ357" s="72">
        <v>0</v>
      </c>
      <c r="DA357" s="72">
        <v>0</v>
      </c>
      <c r="DB357" s="72">
        <v>0</v>
      </c>
      <c r="DC357" s="72">
        <v>0</v>
      </c>
      <c r="DD357" s="72">
        <v>0</v>
      </c>
      <c r="DE357" s="72">
        <v>0</v>
      </c>
      <c r="DF357" s="72">
        <v>0</v>
      </c>
      <c r="DG357" s="72">
        <v>0</v>
      </c>
      <c r="DH357" s="72">
        <v>0</v>
      </c>
      <c r="DI357" s="72">
        <v>0</v>
      </c>
      <c r="DJ357" s="72">
        <v>0</v>
      </c>
      <c r="DK357" s="72">
        <v>0</v>
      </c>
      <c r="DL357" s="72">
        <v>0</v>
      </c>
      <c r="DM357" s="72">
        <v>0</v>
      </c>
    </row>
    <row r="358" spans="1:117" x14ac:dyDescent="0.35">
      <c r="A358" s="7"/>
      <c r="B358" s="77" t="s">
        <v>1500</v>
      </c>
      <c r="C358" s="9" t="s">
        <v>604</v>
      </c>
      <c r="D358" s="10" t="s">
        <v>594</v>
      </c>
      <c r="E358" s="8" t="s">
        <v>1060</v>
      </c>
      <c r="F358" s="10">
        <v>1002</v>
      </c>
      <c r="G358" s="10" t="s">
        <v>40</v>
      </c>
      <c r="H358" s="10" t="s">
        <v>41</v>
      </c>
      <c r="I358" s="11"/>
      <c r="J358" s="10"/>
      <c r="K358" s="10"/>
      <c r="L358" s="8"/>
      <c r="M358" s="12">
        <v>5680.5839999999998</v>
      </c>
      <c r="N358" s="12">
        <f t="shared" si="7"/>
        <v>0</v>
      </c>
      <c r="O358" s="11"/>
      <c r="P358" s="11"/>
      <c r="Q358" s="11"/>
      <c r="R358" s="11"/>
      <c r="S358" s="11"/>
      <c r="T358" s="11"/>
      <c r="U358" s="11"/>
      <c r="V358" s="11"/>
      <c r="W358" s="11"/>
      <c r="X358" s="11"/>
      <c r="Y358" s="11"/>
      <c r="Z358" s="11"/>
      <c r="AA358" s="11"/>
      <c r="AB358" s="11"/>
      <c r="AC358" s="11"/>
      <c r="AD358" s="11"/>
      <c r="AE358" s="11"/>
      <c r="AF358" s="11"/>
      <c r="AG358" s="11"/>
      <c r="AH358" s="11"/>
      <c r="AI358" s="11"/>
      <c r="AJ358" s="11"/>
      <c r="AK358" s="11"/>
      <c r="AL358" s="11"/>
      <c r="AM358" s="11"/>
      <c r="AN358" s="72"/>
      <c r="AO358" s="72"/>
      <c r="AP358" s="72"/>
      <c r="AQ358" s="72"/>
      <c r="AR358" s="72"/>
      <c r="AS358" s="72"/>
      <c r="AT358" s="72"/>
      <c r="AU358" s="72"/>
      <c r="AV358" s="72"/>
      <c r="AW358" s="72"/>
      <c r="AX358" s="72"/>
      <c r="AY358" s="72"/>
      <c r="AZ358" s="72"/>
      <c r="BA358" s="72"/>
      <c r="BB358" s="72"/>
      <c r="BC358" s="72"/>
      <c r="BD358" s="72"/>
      <c r="BE358" s="72"/>
      <c r="BF358" s="72"/>
      <c r="BG358" s="72"/>
      <c r="BH358" s="72"/>
      <c r="BI358" s="72"/>
      <c r="BJ358" s="72"/>
      <c r="BK358" s="72"/>
      <c r="BL358" s="72"/>
      <c r="BM358" s="72"/>
      <c r="BN358" s="72"/>
      <c r="BO358" s="72"/>
      <c r="BP358" s="72"/>
      <c r="BQ358" s="72"/>
      <c r="BR358" s="72"/>
      <c r="BS358" s="72"/>
      <c r="BT358" s="72"/>
      <c r="BU358" s="72"/>
      <c r="BV358" s="72"/>
      <c r="BW358" s="72"/>
      <c r="BX358" s="72"/>
      <c r="BY358" s="72"/>
      <c r="BZ358" s="72"/>
      <c r="CA358" s="72"/>
      <c r="CB358" s="72"/>
      <c r="CC358" s="72"/>
      <c r="CD358" s="72"/>
      <c r="CE358" s="72"/>
      <c r="CF358" s="72"/>
      <c r="CG358" s="72"/>
      <c r="CH358" s="72"/>
      <c r="CI358" s="72"/>
      <c r="CJ358" s="72"/>
      <c r="CK358" s="72"/>
      <c r="CL358" s="72"/>
      <c r="CM358" s="72"/>
      <c r="CN358" s="72"/>
      <c r="CO358" s="72"/>
      <c r="CP358" s="72"/>
      <c r="CQ358" s="72"/>
      <c r="CR358" s="72">
        <v>1</v>
      </c>
      <c r="CS358" s="72">
        <v>0</v>
      </c>
      <c r="CT358" s="72">
        <v>0</v>
      </c>
      <c r="CU358" s="72">
        <v>0</v>
      </c>
      <c r="CV358" s="72">
        <v>0</v>
      </c>
      <c r="CW358" s="72">
        <v>0</v>
      </c>
      <c r="CX358" s="72">
        <v>0</v>
      </c>
      <c r="CY358" s="72">
        <v>0</v>
      </c>
      <c r="CZ358" s="72">
        <v>0</v>
      </c>
      <c r="DA358" s="72">
        <v>0</v>
      </c>
      <c r="DB358" s="72">
        <v>0</v>
      </c>
      <c r="DC358" s="72">
        <v>0</v>
      </c>
      <c r="DD358" s="72">
        <v>0</v>
      </c>
      <c r="DE358" s="72">
        <v>0</v>
      </c>
      <c r="DF358" s="72">
        <v>0</v>
      </c>
      <c r="DG358" s="72">
        <v>0</v>
      </c>
      <c r="DH358" s="72">
        <v>0</v>
      </c>
      <c r="DI358" s="72">
        <v>0</v>
      </c>
      <c r="DJ358" s="72">
        <v>0</v>
      </c>
      <c r="DK358" s="72">
        <v>0</v>
      </c>
      <c r="DL358" s="72">
        <v>0</v>
      </c>
      <c r="DM358" s="72">
        <v>0</v>
      </c>
    </row>
    <row r="359" spans="1:117" x14ac:dyDescent="0.35">
      <c r="A359" s="7"/>
      <c r="B359" s="8" t="s">
        <v>1267</v>
      </c>
      <c r="C359" s="9" t="s">
        <v>1276</v>
      </c>
      <c r="D359" s="10" t="s">
        <v>594</v>
      </c>
      <c r="E359" s="8" t="s">
        <v>1206</v>
      </c>
      <c r="F359" s="10"/>
      <c r="G359" s="10"/>
      <c r="H359" s="10" t="s">
        <v>41</v>
      </c>
      <c r="I359" s="11"/>
      <c r="J359" s="10"/>
      <c r="K359" s="10"/>
      <c r="L359" s="8"/>
      <c r="M359" s="12">
        <v>190.36</v>
      </c>
      <c r="N359" s="12">
        <f t="shared" si="7"/>
        <v>17893.84</v>
      </c>
      <c r="O359" s="11"/>
      <c r="P359" s="11"/>
      <c r="Q359" s="11"/>
      <c r="R359" s="11"/>
      <c r="S359" s="11"/>
      <c r="T359" s="11"/>
      <c r="U359" s="11"/>
      <c r="V359" s="11"/>
      <c r="W359" s="11"/>
      <c r="X359" s="11"/>
      <c r="Y359" s="11"/>
      <c r="Z359" s="11"/>
      <c r="AA359" s="11"/>
      <c r="AB359" s="11"/>
      <c r="AC359" s="11"/>
      <c r="AD359" s="11"/>
      <c r="AE359" s="11"/>
      <c r="AF359" s="11"/>
      <c r="AG359" s="11"/>
      <c r="AH359" s="11"/>
      <c r="AI359" s="11"/>
      <c r="AJ359" s="11"/>
      <c r="AK359" s="11"/>
      <c r="AL359" s="11"/>
      <c r="AM359" s="11"/>
      <c r="AN359" s="72"/>
      <c r="AO359" s="72"/>
      <c r="AP359" s="72"/>
      <c r="AQ359" s="72"/>
      <c r="AR359" s="72"/>
      <c r="AS359" s="72"/>
      <c r="AT359" s="72"/>
      <c r="AU359" s="72"/>
      <c r="AV359" s="72"/>
      <c r="AW359" s="72">
        <v>204</v>
      </c>
      <c r="AX359" s="72">
        <v>204</v>
      </c>
      <c r="AY359" s="72">
        <v>204</v>
      </c>
      <c r="AZ359" s="72">
        <v>203</v>
      </c>
      <c r="BA359" s="72">
        <v>203</v>
      </c>
      <c r="BB359" s="72">
        <v>204</v>
      </c>
      <c r="BC359" s="72">
        <v>204</v>
      </c>
      <c r="BD359" s="72">
        <v>204</v>
      </c>
      <c r="BE359" s="72">
        <v>204</v>
      </c>
      <c r="BF359" s="72">
        <v>184</v>
      </c>
      <c r="BG359" s="72">
        <v>184</v>
      </c>
      <c r="BH359" s="72">
        <v>184</v>
      </c>
      <c r="BI359" s="72">
        <v>184</v>
      </c>
      <c r="BJ359" s="72">
        <v>184</v>
      </c>
      <c r="BK359" s="72">
        <v>184</v>
      </c>
      <c r="BL359" s="72">
        <v>184</v>
      </c>
      <c r="BM359" s="72">
        <v>184</v>
      </c>
      <c r="BN359" s="72">
        <v>163</v>
      </c>
      <c r="BO359" s="72">
        <v>163</v>
      </c>
      <c r="BP359" s="72">
        <v>162</v>
      </c>
      <c r="BQ359" s="72">
        <v>162</v>
      </c>
      <c r="BR359" s="72">
        <v>161</v>
      </c>
      <c r="BS359" s="72">
        <v>161</v>
      </c>
      <c r="BT359" s="72">
        <v>161</v>
      </c>
      <c r="BU359" s="72">
        <v>161</v>
      </c>
      <c r="BV359" s="72">
        <v>161</v>
      </c>
      <c r="BW359" s="72">
        <v>161</v>
      </c>
      <c r="BX359" s="72">
        <v>161</v>
      </c>
      <c r="BY359" s="72">
        <v>161</v>
      </c>
      <c r="BZ359" s="72">
        <v>161</v>
      </c>
      <c r="CA359" s="72">
        <v>161</v>
      </c>
      <c r="CB359" s="72">
        <v>161</v>
      </c>
      <c r="CC359" s="72">
        <v>161</v>
      </c>
      <c r="CD359" s="72">
        <v>161</v>
      </c>
      <c r="CE359" s="72">
        <v>161</v>
      </c>
      <c r="CF359" s="72">
        <v>161</v>
      </c>
      <c r="CG359" s="72">
        <v>161</v>
      </c>
      <c r="CH359" s="72">
        <v>161</v>
      </c>
      <c r="CI359" s="72">
        <v>161</v>
      </c>
      <c r="CJ359" s="72">
        <v>161</v>
      </c>
      <c r="CK359" s="72">
        <v>161</v>
      </c>
      <c r="CL359" s="72">
        <v>161</v>
      </c>
      <c r="CM359" s="72">
        <v>161</v>
      </c>
      <c r="CN359" s="72">
        <v>161</v>
      </c>
      <c r="CO359" s="72">
        <v>160</v>
      </c>
      <c r="CP359" s="72">
        <v>160</v>
      </c>
      <c r="CQ359" s="72">
        <v>160</v>
      </c>
      <c r="CR359" s="72">
        <v>150</v>
      </c>
      <c r="CS359" s="72">
        <v>145</v>
      </c>
      <c r="CT359" s="72">
        <v>145</v>
      </c>
      <c r="CU359" s="72">
        <v>109</v>
      </c>
      <c r="CV359" s="72">
        <v>109</v>
      </c>
      <c r="CW359" s="72">
        <v>109</v>
      </c>
      <c r="CX359" s="72">
        <v>109</v>
      </c>
      <c r="CY359" s="72">
        <v>109</v>
      </c>
      <c r="CZ359" s="72">
        <v>109</v>
      </c>
      <c r="DA359" s="72">
        <v>109</v>
      </c>
      <c r="DB359" s="72">
        <v>109</v>
      </c>
      <c r="DC359" s="72">
        <v>109</v>
      </c>
      <c r="DD359" s="72">
        <v>109</v>
      </c>
      <c r="DE359" s="72">
        <v>109</v>
      </c>
      <c r="DF359" s="72">
        <v>104</v>
      </c>
      <c r="DG359" s="72">
        <v>104</v>
      </c>
      <c r="DH359" s="72">
        <v>94</v>
      </c>
      <c r="DI359" s="72">
        <v>94</v>
      </c>
      <c r="DJ359" s="72">
        <v>94</v>
      </c>
      <c r="DK359" s="72">
        <v>94</v>
      </c>
      <c r="DL359" s="72">
        <v>94</v>
      </c>
      <c r="DM359" s="72">
        <v>94</v>
      </c>
    </row>
    <row r="360" spans="1:117" x14ac:dyDescent="0.35">
      <c r="A360" s="7"/>
      <c r="B360" s="8" t="s">
        <v>605</v>
      </c>
      <c r="C360" s="9" t="s">
        <v>606</v>
      </c>
      <c r="D360" s="10" t="s">
        <v>594</v>
      </c>
      <c r="E360" s="8" t="s">
        <v>1206</v>
      </c>
      <c r="F360" s="10">
        <v>1002</v>
      </c>
      <c r="G360" s="10" t="s">
        <v>40</v>
      </c>
      <c r="H360" s="10" t="s">
        <v>41</v>
      </c>
      <c r="I360" s="11">
        <v>47</v>
      </c>
      <c r="J360" s="10"/>
      <c r="K360" s="10"/>
      <c r="L360" s="8"/>
      <c r="M360" s="12">
        <v>324.52999999999997</v>
      </c>
      <c r="N360" s="12">
        <f t="shared" si="7"/>
        <v>324.52999999999997</v>
      </c>
      <c r="O360" s="11">
        <v>259</v>
      </c>
      <c r="P360" s="11">
        <v>259</v>
      </c>
      <c r="Q360" s="11">
        <v>259</v>
      </c>
      <c r="R360" s="11">
        <v>259</v>
      </c>
      <c r="S360" s="11">
        <v>259</v>
      </c>
      <c r="T360" s="11">
        <v>259</v>
      </c>
      <c r="U360" s="11">
        <v>52</v>
      </c>
      <c r="V360" s="11">
        <v>52</v>
      </c>
      <c r="W360" s="11">
        <v>52</v>
      </c>
      <c r="X360" s="11">
        <v>52</v>
      </c>
      <c r="Y360" s="11">
        <v>52</v>
      </c>
      <c r="Z360" s="11">
        <v>47</v>
      </c>
      <c r="AA360" s="11">
        <v>47</v>
      </c>
      <c r="AB360" s="11">
        <v>47</v>
      </c>
      <c r="AC360" s="11">
        <v>47</v>
      </c>
      <c r="AD360" s="11">
        <v>47</v>
      </c>
      <c r="AE360" s="11">
        <v>47</v>
      </c>
      <c r="AF360" s="11">
        <v>46</v>
      </c>
      <c r="AG360" s="11">
        <v>47</v>
      </c>
      <c r="AH360" s="11">
        <v>47</v>
      </c>
      <c r="AI360" s="11">
        <v>47</v>
      </c>
      <c r="AJ360" s="11">
        <v>47</v>
      </c>
      <c r="AK360" s="11">
        <v>47</v>
      </c>
      <c r="AL360" s="11">
        <v>47</v>
      </c>
      <c r="AM360" s="11">
        <v>47</v>
      </c>
      <c r="AN360" s="72">
        <v>46</v>
      </c>
      <c r="AO360" s="72">
        <v>47</v>
      </c>
      <c r="AP360" s="72">
        <v>47</v>
      </c>
      <c r="AQ360" s="72">
        <v>47</v>
      </c>
      <c r="AR360" s="72">
        <v>47</v>
      </c>
      <c r="AS360" s="72">
        <v>46</v>
      </c>
      <c r="AT360" s="72">
        <v>46</v>
      </c>
      <c r="AU360" s="72">
        <v>5</v>
      </c>
      <c r="AV360" s="72">
        <v>5</v>
      </c>
      <c r="AW360" s="72">
        <v>5</v>
      </c>
      <c r="AX360" s="72">
        <v>5</v>
      </c>
      <c r="AY360" s="72">
        <v>5</v>
      </c>
      <c r="AZ360" s="72">
        <v>5</v>
      </c>
      <c r="BA360" s="72">
        <v>5</v>
      </c>
      <c r="BB360" s="72">
        <v>5</v>
      </c>
      <c r="BC360" s="72">
        <v>5</v>
      </c>
      <c r="BD360" s="72">
        <v>5</v>
      </c>
      <c r="BE360" s="72">
        <v>5</v>
      </c>
      <c r="BF360" s="72">
        <v>5</v>
      </c>
      <c r="BG360" s="72">
        <v>5</v>
      </c>
      <c r="BH360" s="72">
        <v>5</v>
      </c>
      <c r="BI360" s="72">
        <v>5</v>
      </c>
      <c r="BJ360" s="72">
        <v>5</v>
      </c>
      <c r="BK360" s="72">
        <v>5</v>
      </c>
      <c r="BL360" s="72">
        <v>5</v>
      </c>
      <c r="BM360" s="72">
        <v>4</v>
      </c>
      <c r="BN360" s="72">
        <v>5</v>
      </c>
      <c r="BO360" s="72">
        <v>5</v>
      </c>
      <c r="BP360" s="72">
        <v>5</v>
      </c>
      <c r="BQ360" s="72">
        <v>6</v>
      </c>
      <c r="BR360" s="72">
        <v>1</v>
      </c>
      <c r="BS360" s="72">
        <v>1</v>
      </c>
      <c r="BT360" s="72">
        <v>1</v>
      </c>
      <c r="BU360" s="72">
        <v>1</v>
      </c>
      <c r="BV360" s="72">
        <v>1</v>
      </c>
      <c r="BW360" s="72">
        <v>1</v>
      </c>
      <c r="BX360" s="72">
        <v>1</v>
      </c>
      <c r="BY360" s="72">
        <v>1</v>
      </c>
      <c r="BZ360" s="72">
        <v>1</v>
      </c>
      <c r="CA360" s="72">
        <v>1</v>
      </c>
      <c r="CB360" s="72">
        <v>1</v>
      </c>
      <c r="CC360" s="72">
        <v>1</v>
      </c>
      <c r="CD360" s="72">
        <v>1</v>
      </c>
      <c r="CE360" s="72">
        <v>1</v>
      </c>
      <c r="CF360" s="72">
        <v>1</v>
      </c>
      <c r="CG360" s="72">
        <v>1</v>
      </c>
      <c r="CH360" s="72">
        <v>1</v>
      </c>
      <c r="CI360" s="72">
        <v>1</v>
      </c>
      <c r="CJ360" s="72">
        <v>1</v>
      </c>
      <c r="CK360" s="72">
        <v>1</v>
      </c>
      <c r="CL360" s="72">
        <v>1</v>
      </c>
      <c r="CM360" s="72">
        <v>1</v>
      </c>
      <c r="CN360" s="72">
        <v>1</v>
      </c>
      <c r="CO360" s="72">
        <v>1</v>
      </c>
      <c r="CP360" s="72">
        <v>1</v>
      </c>
      <c r="CQ360" s="72">
        <v>1</v>
      </c>
      <c r="CR360" s="72">
        <v>1</v>
      </c>
      <c r="CS360" s="72">
        <v>1</v>
      </c>
      <c r="CT360" s="72">
        <v>1</v>
      </c>
      <c r="CU360" s="72">
        <v>1</v>
      </c>
      <c r="CV360" s="72">
        <v>1</v>
      </c>
      <c r="CW360" s="72">
        <v>1</v>
      </c>
      <c r="CX360" s="72">
        <v>1</v>
      </c>
      <c r="CY360" s="72">
        <v>1</v>
      </c>
      <c r="CZ360" s="72">
        <v>1</v>
      </c>
      <c r="DA360" s="72">
        <v>1</v>
      </c>
      <c r="DB360" s="72">
        <v>1</v>
      </c>
      <c r="DC360" s="72">
        <v>1</v>
      </c>
      <c r="DD360" s="72">
        <v>1</v>
      </c>
      <c r="DE360" s="72">
        <v>1</v>
      </c>
      <c r="DF360" s="72">
        <v>1</v>
      </c>
      <c r="DG360" s="72">
        <v>1</v>
      </c>
      <c r="DH360" s="72">
        <v>1</v>
      </c>
      <c r="DI360" s="72">
        <v>1</v>
      </c>
      <c r="DJ360" s="72">
        <v>1</v>
      </c>
      <c r="DK360" s="72">
        <v>1</v>
      </c>
      <c r="DL360" s="72">
        <v>1</v>
      </c>
      <c r="DM360" s="72">
        <v>1</v>
      </c>
    </row>
    <row r="361" spans="1:117" x14ac:dyDescent="0.35">
      <c r="A361" s="7"/>
      <c r="B361" s="8" t="s">
        <v>1243</v>
      </c>
      <c r="C361" s="9" t="s">
        <v>606</v>
      </c>
      <c r="D361" s="10" t="s">
        <v>594</v>
      </c>
      <c r="E361" s="8" t="s">
        <v>1206</v>
      </c>
      <c r="F361" s="10">
        <v>1002</v>
      </c>
      <c r="G361" s="10" t="s">
        <v>40</v>
      </c>
      <c r="H361" s="10" t="s">
        <v>41</v>
      </c>
      <c r="I361" s="11"/>
      <c r="J361" s="10"/>
      <c r="K361" s="10"/>
      <c r="L361" s="8"/>
      <c r="M361" s="12"/>
      <c r="N361" s="12">
        <f t="shared" si="7"/>
        <v>0</v>
      </c>
      <c r="O361" s="11"/>
      <c r="P361" s="11"/>
      <c r="Q361" s="11"/>
      <c r="R361" s="11"/>
      <c r="S361" s="11"/>
      <c r="T361" s="11"/>
      <c r="U361" s="11"/>
      <c r="V361" s="11"/>
      <c r="W361" s="11"/>
      <c r="X361" s="11"/>
      <c r="Y361" s="11"/>
      <c r="Z361" s="11"/>
      <c r="AA361" s="11"/>
      <c r="AB361" s="11"/>
      <c r="AC361" s="11"/>
      <c r="AD361" s="11"/>
      <c r="AE361" s="11"/>
      <c r="AF361" s="11"/>
      <c r="AG361" s="11"/>
      <c r="AH361" s="11"/>
      <c r="AI361" s="11"/>
      <c r="AJ361" s="11"/>
      <c r="AK361" s="11"/>
      <c r="AL361" s="11"/>
      <c r="AM361" s="11"/>
      <c r="AN361" s="72"/>
      <c r="AO361" s="72"/>
      <c r="AP361" s="72"/>
      <c r="AQ361" s="72"/>
      <c r="AR361" s="72"/>
      <c r="AS361" s="72">
        <v>225</v>
      </c>
      <c r="AT361" s="72">
        <v>245</v>
      </c>
      <c r="AU361" s="72">
        <v>0</v>
      </c>
      <c r="AV361" s="72">
        <v>0</v>
      </c>
      <c r="AW361" s="72">
        <v>0</v>
      </c>
      <c r="AX361" s="72">
        <v>0</v>
      </c>
      <c r="AY361" s="72">
        <v>0</v>
      </c>
      <c r="AZ361" s="72">
        <v>0</v>
      </c>
      <c r="BA361" s="72">
        <v>0</v>
      </c>
      <c r="BB361" s="72">
        <v>0</v>
      </c>
      <c r="BC361" s="72">
        <v>0</v>
      </c>
      <c r="BD361" s="72">
        <v>0</v>
      </c>
      <c r="BE361" s="72">
        <v>0</v>
      </c>
      <c r="BF361" s="72">
        <v>0</v>
      </c>
      <c r="BG361" s="72">
        <v>0</v>
      </c>
      <c r="BH361" s="72">
        <v>0</v>
      </c>
      <c r="BI361" s="72">
        <v>0</v>
      </c>
      <c r="BJ361" s="72">
        <v>0</v>
      </c>
      <c r="BK361" s="72">
        <v>0</v>
      </c>
      <c r="BL361" s="72">
        <v>0</v>
      </c>
      <c r="BM361" s="72">
        <v>0</v>
      </c>
      <c r="BN361" s="72">
        <v>0</v>
      </c>
      <c r="BO361" s="72">
        <v>0</v>
      </c>
      <c r="BP361" s="72">
        <v>0</v>
      </c>
      <c r="BQ361" s="72">
        <v>0</v>
      </c>
      <c r="BR361" s="72">
        <v>0</v>
      </c>
      <c r="BS361" s="72">
        <v>0</v>
      </c>
      <c r="BT361" s="72">
        <v>0</v>
      </c>
      <c r="BU361" s="72">
        <v>0</v>
      </c>
      <c r="BV361" s="72">
        <v>0</v>
      </c>
      <c r="BW361" s="72">
        <v>0</v>
      </c>
      <c r="BX361" s="72">
        <v>0</v>
      </c>
      <c r="BY361" s="72">
        <v>0</v>
      </c>
      <c r="BZ361" s="72">
        <v>0</v>
      </c>
      <c r="CA361" s="72">
        <v>0</v>
      </c>
      <c r="CB361" s="72">
        <v>0</v>
      </c>
      <c r="CC361" s="72">
        <v>0</v>
      </c>
      <c r="CD361" s="72">
        <v>0</v>
      </c>
      <c r="CE361" s="72">
        <v>0</v>
      </c>
      <c r="CF361" s="72">
        <v>0</v>
      </c>
      <c r="CG361" s="72">
        <v>0</v>
      </c>
      <c r="CH361" s="72">
        <v>0</v>
      </c>
      <c r="CI361" s="72">
        <v>0</v>
      </c>
      <c r="CJ361" s="72">
        <v>20</v>
      </c>
      <c r="CK361" s="72">
        <v>20</v>
      </c>
      <c r="CL361" s="72">
        <v>0</v>
      </c>
      <c r="CM361" s="72">
        <v>0</v>
      </c>
      <c r="CN361" s="72">
        <v>0</v>
      </c>
      <c r="CO361" s="72">
        <v>0</v>
      </c>
      <c r="CP361" s="72">
        <v>0</v>
      </c>
      <c r="CQ361" s="72">
        <v>0</v>
      </c>
      <c r="CR361" s="72">
        <v>0</v>
      </c>
      <c r="CS361" s="72">
        <v>0</v>
      </c>
      <c r="CT361" s="72">
        <v>0</v>
      </c>
      <c r="CU361" s="72">
        <v>0</v>
      </c>
      <c r="CV361" s="72">
        <v>0</v>
      </c>
      <c r="CW361" s="72">
        <v>0</v>
      </c>
      <c r="CX361" s="72">
        <v>0</v>
      </c>
      <c r="CY361" s="72">
        <v>0</v>
      </c>
      <c r="CZ361" s="72">
        <v>0</v>
      </c>
      <c r="DA361" s="72">
        <v>0</v>
      </c>
      <c r="DB361" s="72">
        <v>0</v>
      </c>
      <c r="DC361" s="72">
        <v>0</v>
      </c>
      <c r="DD361" s="72">
        <v>0</v>
      </c>
      <c r="DE361" s="72">
        <v>0</v>
      </c>
      <c r="DF361" s="72">
        <v>0</v>
      </c>
      <c r="DG361" s="72">
        <v>0</v>
      </c>
      <c r="DH361" s="72">
        <v>0</v>
      </c>
      <c r="DI361" s="72">
        <v>0</v>
      </c>
      <c r="DJ361" s="72">
        <v>0</v>
      </c>
      <c r="DK361" s="72">
        <v>0</v>
      </c>
      <c r="DL361" s="72">
        <v>0</v>
      </c>
      <c r="DM361" s="72">
        <v>0</v>
      </c>
    </row>
    <row r="362" spans="1:117" x14ac:dyDescent="0.35">
      <c r="A362" s="7"/>
      <c r="B362" s="8" t="s">
        <v>607</v>
      </c>
      <c r="C362" s="9" t="s">
        <v>608</v>
      </c>
      <c r="D362" s="10" t="s">
        <v>594</v>
      </c>
      <c r="E362" s="8" t="s">
        <v>1206</v>
      </c>
      <c r="F362" s="10">
        <v>1002</v>
      </c>
      <c r="G362" s="10" t="s">
        <v>40</v>
      </c>
      <c r="H362" s="10" t="s">
        <v>41</v>
      </c>
      <c r="I362" s="11">
        <v>1</v>
      </c>
      <c r="J362" s="10"/>
      <c r="K362" s="10"/>
      <c r="L362" s="8"/>
      <c r="M362" s="12">
        <v>559.26</v>
      </c>
      <c r="N362" s="12">
        <f t="shared" si="7"/>
        <v>559.26</v>
      </c>
      <c r="O362" s="11">
        <v>1</v>
      </c>
      <c r="P362" s="11">
        <v>1</v>
      </c>
      <c r="Q362" s="11">
        <v>1</v>
      </c>
      <c r="R362" s="11">
        <v>1</v>
      </c>
      <c r="S362" s="11">
        <v>1</v>
      </c>
      <c r="T362" s="11">
        <v>1</v>
      </c>
      <c r="U362" s="11">
        <v>1</v>
      </c>
      <c r="V362" s="11">
        <v>1</v>
      </c>
      <c r="W362" s="11">
        <v>1</v>
      </c>
      <c r="X362" s="11">
        <v>1</v>
      </c>
      <c r="Y362" s="11">
        <v>1</v>
      </c>
      <c r="Z362" s="11">
        <v>1</v>
      </c>
      <c r="AA362" s="11">
        <v>1</v>
      </c>
      <c r="AB362" s="11">
        <v>1</v>
      </c>
      <c r="AC362" s="11">
        <v>1</v>
      </c>
      <c r="AD362" s="11">
        <v>1</v>
      </c>
      <c r="AE362" s="11">
        <v>1</v>
      </c>
      <c r="AF362" s="11">
        <v>1</v>
      </c>
      <c r="AG362" s="11">
        <v>1</v>
      </c>
      <c r="AH362" s="11">
        <v>1</v>
      </c>
      <c r="AI362" s="11">
        <v>1</v>
      </c>
      <c r="AJ362" s="11">
        <v>1</v>
      </c>
      <c r="AK362" s="11">
        <v>1</v>
      </c>
      <c r="AL362" s="11">
        <v>1</v>
      </c>
      <c r="AM362" s="11">
        <v>1</v>
      </c>
      <c r="AN362" s="72">
        <v>1</v>
      </c>
      <c r="AO362" s="72">
        <v>1</v>
      </c>
      <c r="AP362" s="72">
        <v>1</v>
      </c>
      <c r="AQ362" s="72">
        <v>1</v>
      </c>
      <c r="AR362" s="72">
        <v>1</v>
      </c>
      <c r="AS362" s="72">
        <v>1</v>
      </c>
      <c r="AT362" s="72">
        <v>1</v>
      </c>
      <c r="AU362" s="72">
        <v>1</v>
      </c>
      <c r="AV362" s="72">
        <v>1</v>
      </c>
      <c r="AW362" s="72">
        <v>1</v>
      </c>
      <c r="AX362" s="72">
        <v>1</v>
      </c>
      <c r="AY362" s="72">
        <v>1</v>
      </c>
      <c r="AZ362" s="72">
        <v>1</v>
      </c>
      <c r="BA362" s="72">
        <v>1</v>
      </c>
      <c r="BB362" s="72">
        <v>1</v>
      </c>
      <c r="BC362" s="72">
        <v>1</v>
      </c>
      <c r="BD362" s="72">
        <v>1</v>
      </c>
      <c r="BE362" s="72">
        <v>1</v>
      </c>
      <c r="BF362" s="72">
        <v>1</v>
      </c>
      <c r="BG362" s="72">
        <v>1</v>
      </c>
      <c r="BH362" s="72">
        <v>1</v>
      </c>
      <c r="BI362" s="72">
        <v>1</v>
      </c>
      <c r="BJ362" s="72">
        <v>1</v>
      </c>
      <c r="BK362" s="72">
        <v>1</v>
      </c>
      <c r="BL362" s="72">
        <v>1</v>
      </c>
      <c r="BM362" s="72">
        <v>1</v>
      </c>
      <c r="BN362" s="72">
        <v>1</v>
      </c>
      <c r="BO362" s="72">
        <v>1</v>
      </c>
      <c r="BP362" s="72">
        <v>1</v>
      </c>
      <c r="BQ362" s="72">
        <v>1</v>
      </c>
      <c r="BR362" s="72">
        <v>1</v>
      </c>
      <c r="BS362" s="72">
        <v>1</v>
      </c>
      <c r="BT362" s="72">
        <v>1</v>
      </c>
      <c r="BU362" s="72">
        <v>1</v>
      </c>
      <c r="BV362" s="72">
        <v>1</v>
      </c>
      <c r="BW362" s="72">
        <v>1</v>
      </c>
      <c r="BX362" s="72">
        <v>1</v>
      </c>
      <c r="BY362" s="72">
        <v>1</v>
      </c>
      <c r="BZ362" s="72">
        <v>1</v>
      </c>
      <c r="CA362" s="72">
        <v>1</v>
      </c>
      <c r="CB362" s="72">
        <v>1</v>
      </c>
      <c r="CC362" s="72">
        <v>1</v>
      </c>
      <c r="CD362" s="72">
        <v>1</v>
      </c>
      <c r="CE362" s="72">
        <v>1</v>
      </c>
      <c r="CF362" s="72">
        <v>1</v>
      </c>
      <c r="CG362" s="72">
        <v>1</v>
      </c>
      <c r="CH362" s="72">
        <v>1</v>
      </c>
      <c r="CI362" s="72">
        <v>1</v>
      </c>
      <c r="CJ362" s="72">
        <v>1</v>
      </c>
      <c r="CK362" s="72">
        <v>1</v>
      </c>
      <c r="CL362" s="72">
        <v>1</v>
      </c>
      <c r="CM362" s="72">
        <v>1</v>
      </c>
      <c r="CN362" s="72">
        <v>1</v>
      </c>
      <c r="CO362" s="72">
        <v>1</v>
      </c>
      <c r="CP362" s="72">
        <v>1</v>
      </c>
      <c r="CQ362" s="72">
        <v>1</v>
      </c>
      <c r="CR362" s="72">
        <v>1</v>
      </c>
      <c r="CS362" s="72">
        <v>1</v>
      </c>
      <c r="CT362" s="72">
        <v>1</v>
      </c>
      <c r="CU362" s="72">
        <v>1</v>
      </c>
      <c r="CV362" s="72">
        <v>1</v>
      </c>
      <c r="CW362" s="72">
        <v>1</v>
      </c>
      <c r="CX362" s="72">
        <v>1</v>
      </c>
      <c r="CY362" s="72">
        <v>1</v>
      </c>
      <c r="CZ362" s="72">
        <v>1</v>
      </c>
      <c r="DA362" s="72">
        <v>1</v>
      </c>
      <c r="DB362" s="72">
        <v>1</v>
      </c>
      <c r="DC362" s="72">
        <v>1</v>
      </c>
      <c r="DD362" s="72">
        <v>1</v>
      </c>
      <c r="DE362" s="72">
        <v>1</v>
      </c>
      <c r="DF362" s="72">
        <v>1</v>
      </c>
      <c r="DG362" s="72">
        <v>1</v>
      </c>
      <c r="DH362" s="72">
        <v>1</v>
      </c>
      <c r="DI362" s="72">
        <v>1</v>
      </c>
      <c r="DJ362" s="72">
        <v>1</v>
      </c>
      <c r="DK362" s="72">
        <v>1</v>
      </c>
      <c r="DL362" s="72">
        <v>1</v>
      </c>
      <c r="DM362" s="72">
        <v>1</v>
      </c>
    </row>
    <row r="363" spans="1:117" x14ac:dyDescent="0.35">
      <c r="A363" s="7"/>
      <c r="B363" s="8" t="s">
        <v>609</v>
      </c>
      <c r="C363" s="9" t="s">
        <v>610</v>
      </c>
      <c r="D363" s="10" t="s">
        <v>594</v>
      </c>
      <c r="E363" s="8" t="s">
        <v>1206</v>
      </c>
      <c r="F363" s="10">
        <v>1002</v>
      </c>
      <c r="G363" s="10" t="s">
        <v>40</v>
      </c>
      <c r="H363" s="10" t="s">
        <v>41</v>
      </c>
      <c r="I363" s="11">
        <v>1</v>
      </c>
      <c r="J363" s="10"/>
      <c r="K363" s="10"/>
      <c r="L363" s="8"/>
      <c r="M363" s="12"/>
      <c r="N363" s="12">
        <f t="shared" si="7"/>
        <v>0</v>
      </c>
      <c r="O363" s="11">
        <v>1</v>
      </c>
      <c r="P363" s="11">
        <v>1</v>
      </c>
      <c r="Q363" s="11">
        <v>1</v>
      </c>
      <c r="R363" s="11">
        <v>1</v>
      </c>
      <c r="S363" s="11">
        <v>1</v>
      </c>
      <c r="T363" s="11">
        <v>1</v>
      </c>
      <c r="U363" s="11">
        <v>1</v>
      </c>
      <c r="V363" s="11">
        <v>1</v>
      </c>
      <c r="W363" s="11">
        <v>1</v>
      </c>
      <c r="X363" s="11">
        <v>1</v>
      </c>
      <c r="Y363" s="11">
        <v>1</v>
      </c>
      <c r="Z363" s="11">
        <v>1</v>
      </c>
      <c r="AA363" s="11">
        <v>1</v>
      </c>
      <c r="AB363" s="11">
        <v>1</v>
      </c>
      <c r="AC363" s="11">
        <v>1</v>
      </c>
      <c r="AD363" s="11">
        <v>1</v>
      </c>
      <c r="AE363" s="11">
        <v>1</v>
      </c>
      <c r="AF363" s="11">
        <v>1</v>
      </c>
      <c r="AG363" s="11">
        <v>1</v>
      </c>
      <c r="AH363" s="11">
        <v>1</v>
      </c>
      <c r="AI363" s="11">
        <v>1</v>
      </c>
      <c r="AJ363" s="11">
        <v>1</v>
      </c>
      <c r="AK363" s="11">
        <v>1</v>
      </c>
      <c r="AL363" s="11">
        <v>1</v>
      </c>
      <c r="AM363" s="11">
        <v>1</v>
      </c>
      <c r="AN363" s="72">
        <v>1</v>
      </c>
      <c r="AO363" s="72">
        <v>1</v>
      </c>
      <c r="AP363" s="72">
        <v>1</v>
      </c>
      <c r="AQ363" s="72">
        <v>1</v>
      </c>
      <c r="AR363" s="72">
        <v>1</v>
      </c>
      <c r="AS363" s="72">
        <v>1</v>
      </c>
      <c r="AT363" s="72">
        <v>1</v>
      </c>
      <c r="AU363" s="72">
        <v>1</v>
      </c>
      <c r="AV363" s="72">
        <v>1</v>
      </c>
      <c r="AW363" s="72">
        <v>1</v>
      </c>
      <c r="AX363" s="72">
        <v>1</v>
      </c>
      <c r="AY363" s="72">
        <v>1</v>
      </c>
      <c r="AZ363" s="72">
        <v>1</v>
      </c>
      <c r="BA363" s="72">
        <v>1</v>
      </c>
      <c r="BB363" s="72">
        <v>1</v>
      </c>
      <c r="BC363" s="72">
        <v>1</v>
      </c>
      <c r="BD363" s="72">
        <v>1</v>
      </c>
      <c r="BE363" s="72">
        <v>1</v>
      </c>
      <c r="BF363" s="72">
        <v>1</v>
      </c>
      <c r="BG363" s="72">
        <v>1</v>
      </c>
      <c r="BH363" s="72">
        <v>1</v>
      </c>
      <c r="BI363" s="72">
        <v>1</v>
      </c>
      <c r="BJ363" s="72">
        <v>1</v>
      </c>
      <c r="BK363" s="72">
        <v>1</v>
      </c>
      <c r="BL363" s="72">
        <v>1</v>
      </c>
      <c r="BM363" s="72">
        <v>1</v>
      </c>
      <c r="BN363" s="72">
        <v>1</v>
      </c>
      <c r="BO363" s="72">
        <v>1</v>
      </c>
      <c r="BP363" s="72">
        <v>1</v>
      </c>
      <c r="BQ363" s="72">
        <v>1</v>
      </c>
      <c r="BR363" s="72">
        <v>1</v>
      </c>
      <c r="BS363" s="72">
        <v>1</v>
      </c>
      <c r="BT363" s="72">
        <v>1</v>
      </c>
      <c r="BU363" s="72">
        <v>1</v>
      </c>
      <c r="BV363" s="72">
        <v>1</v>
      </c>
      <c r="BW363" s="72">
        <v>1</v>
      </c>
      <c r="BX363" s="72">
        <v>1</v>
      </c>
      <c r="BY363" s="72">
        <v>1</v>
      </c>
      <c r="BZ363" s="72">
        <v>1</v>
      </c>
      <c r="CA363" s="72">
        <v>1</v>
      </c>
      <c r="CB363" s="72">
        <v>1</v>
      </c>
      <c r="CC363" s="72">
        <v>1</v>
      </c>
      <c r="CD363" s="72">
        <v>1</v>
      </c>
      <c r="CE363" s="72">
        <v>1</v>
      </c>
      <c r="CF363" s="72">
        <v>1</v>
      </c>
      <c r="CG363" s="72">
        <v>1</v>
      </c>
      <c r="CH363" s="72">
        <v>1</v>
      </c>
      <c r="CI363" s="72">
        <v>1</v>
      </c>
      <c r="CJ363" s="72">
        <v>1</v>
      </c>
      <c r="CK363" s="72">
        <v>1</v>
      </c>
      <c r="CL363" s="72">
        <v>1</v>
      </c>
      <c r="CM363" s="72">
        <v>1</v>
      </c>
      <c r="CN363" s="72">
        <v>1</v>
      </c>
      <c r="CO363" s="72">
        <v>1</v>
      </c>
      <c r="CP363" s="72">
        <v>1</v>
      </c>
      <c r="CQ363" s="72">
        <v>1</v>
      </c>
      <c r="CR363" s="72">
        <v>1</v>
      </c>
      <c r="CS363" s="72">
        <v>1</v>
      </c>
      <c r="CT363" s="72">
        <v>1</v>
      </c>
      <c r="CU363" s="72">
        <v>1</v>
      </c>
      <c r="CV363" s="72">
        <v>1</v>
      </c>
      <c r="CW363" s="72">
        <v>1</v>
      </c>
      <c r="CX363" s="72">
        <v>1</v>
      </c>
      <c r="CY363" s="72">
        <v>1</v>
      </c>
      <c r="CZ363" s="72">
        <v>1</v>
      </c>
      <c r="DA363" s="72">
        <v>1</v>
      </c>
      <c r="DB363" s="72">
        <v>1</v>
      </c>
      <c r="DC363" s="72">
        <v>1</v>
      </c>
      <c r="DD363" s="72">
        <v>1</v>
      </c>
      <c r="DE363" s="72">
        <v>1</v>
      </c>
      <c r="DF363" s="72">
        <v>1</v>
      </c>
      <c r="DG363" s="72">
        <v>1</v>
      </c>
      <c r="DH363" s="72">
        <v>1</v>
      </c>
      <c r="DI363" s="72">
        <v>1</v>
      </c>
      <c r="DJ363" s="72">
        <v>1</v>
      </c>
      <c r="DK363" s="72">
        <v>1</v>
      </c>
      <c r="DL363" s="72">
        <v>1</v>
      </c>
      <c r="DM363" s="72">
        <v>1</v>
      </c>
    </row>
    <row r="364" spans="1:117" x14ac:dyDescent="0.35">
      <c r="A364" s="7"/>
      <c r="B364" s="8" t="s">
        <v>611</v>
      </c>
      <c r="C364" s="9" t="s">
        <v>612</v>
      </c>
      <c r="D364" s="10" t="s">
        <v>594</v>
      </c>
      <c r="E364" s="8" t="s">
        <v>1206</v>
      </c>
      <c r="F364" s="10">
        <v>1002</v>
      </c>
      <c r="G364" s="10" t="s">
        <v>40</v>
      </c>
      <c r="H364" s="10" t="s">
        <v>41</v>
      </c>
      <c r="I364" s="11">
        <v>2</v>
      </c>
      <c r="J364" s="10"/>
      <c r="K364" s="10"/>
      <c r="L364" s="8"/>
      <c r="M364" s="12">
        <v>249</v>
      </c>
      <c r="N364" s="12">
        <f t="shared" si="7"/>
        <v>0</v>
      </c>
      <c r="O364" s="11">
        <v>2</v>
      </c>
      <c r="P364" s="11">
        <v>2</v>
      </c>
      <c r="Q364" s="11">
        <v>2</v>
      </c>
      <c r="R364" s="11">
        <v>2</v>
      </c>
      <c r="S364" s="11">
        <v>2</v>
      </c>
      <c r="T364" s="11">
        <v>2</v>
      </c>
      <c r="U364" s="11">
        <v>2</v>
      </c>
      <c r="V364" s="11">
        <v>2</v>
      </c>
      <c r="W364" s="11">
        <v>2</v>
      </c>
      <c r="X364" s="11">
        <v>2</v>
      </c>
      <c r="Y364" s="11">
        <v>2</v>
      </c>
      <c r="Z364" s="11">
        <v>2</v>
      </c>
      <c r="AA364" s="11">
        <v>2</v>
      </c>
      <c r="AB364" s="11">
        <v>2</v>
      </c>
      <c r="AC364" s="11">
        <v>2</v>
      </c>
      <c r="AD364" s="11">
        <v>2</v>
      </c>
      <c r="AE364" s="11">
        <v>2</v>
      </c>
      <c r="AF364" s="11">
        <v>2</v>
      </c>
      <c r="AG364" s="11">
        <v>2</v>
      </c>
      <c r="AH364" s="11">
        <v>2</v>
      </c>
      <c r="AI364" s="11">
        <v>2</v>
      </c>
      <c r="AJ364" s="11">
        <v>2</v>
      </c>
      <c r="AK364" s="11">
        <v>2</v>
      </c>
      <c r="AL364" s="11">
        <v>2</v>
      </c>
      <c r="AM364" s="11">
        <v>2</v>
      </c>
      <c r="AN364" s="72">
        <v>2</v>
      </c>
      <c r="AO364" s="72">
        <v>2</v>
      </c>
      <c r="AP364" s="72">
        <v>2</v>
      </c>
      <c r="AQ364" s="72">
        <v>2</v>
      </c>
      <c r="AR364" s="72">
        <v>2</v>
      </c>
      <c r="AS364" s="72">
        <v>2</v>
      </c>
      <c r="AT364" s="72">
        <v>2</v>
      </c>
      <c r="AU364" s="72">
        <v>2</v>
      </c>
      <c r="AV364" s="72">
        <v>2</v>
      </c>
      <c r="AW364" s="72">
        <v>2</v>
      </c>
      <c r="AX364" s="72">
        <v>2</v>
      </c>
      <c r="AY364" s="72">
        <v>2</v>
      </c>
      <c r="AZ364" s="72">
        <v>2</v>
      </c>
      <c r="BA364" s="72">
        <v>2</v>
      </c>
      <c r="BB364" s="72">
        <v>2</v>
      </c>
      <c r="BC364" s="72">
        <v>2</v>
      </c>
      <c r="BD364" s="72">
        <v>2</v>
      </c>
      <c r="BE364" s="72">
        <v>2</v>
      </c>
      <c r="BF364" s="72">
        <v>2</v>
      </c>
      <c r="BG364" s="72">
        <v>2</v>
      </c>
      <c r="BH364" s="72">
        <v>2</v>
      </c>
      <c r="BI364" s="72">
        <v>2</v>
      </c>
      <c r="BJ364" s="72">
        <v>0</v>
      </c>
      <c r="BK364" s="72">
        <v>0</v>
      </c>
      <c r="BL364" s="72">
        <v>0</v>
      </c>
      <c r="BM364" s="72">
        <v>0</v>
      </c>
      <c r="BN364" s="72">
        <v>0</v>
      </c>
      <c r="BO364" s="72">
        <v>0</v>
      </c>
      <c r="BP364" s="72">
        <v>0</v>
      </c>
      <c r="BQ364" s="72">
        <v>0</v>
      </c>
      <c r="BR364" s="72">
        <v>0</v>
      </c>
      <c r="BS364" s="72">
        <v>0</v>
      </c>
      <c r="BT364" s="72">
        <v>0</v>
      </c>
      <c r="BU364" s="72">
        <v>0</v>
      </c>
      <c r="BV364" s="72">
        <v>0</v>
      </c>
      <c r="BW364" s="72">
        <v>0</v>
      </c>
      <c r="BX364" s="72">
        <v>0</v>
      </c>
      <c r="BY364" s="72">
        <v>0</v>
      </c>
      <c r="BZ364" s="72">
        <v>0</v>
      </c>
      <c r="CA364" s="72">
        <v>0</v>
      </c>
      <c r="CB364" s="72">
        <v>0</v>
      </c>
      <c r="CC364" s="72">
        <v>0</v>
      </c>
      <c r="CD364" s="72">
        <v>0</v>
      </c>
      <c r="CE364" s="72">
        <v>0</v>
      </c>
      <c r="CF364" s="72">
        <v>0</v>
      </c>
      <c r="CG364" s="72">
        <v>0</v>
      </c>
      <c r="CH364" s="72">
        <v>0</v>
      </c>
      <c r="CI364" s="72">
        <v>0</v>
      </c>
      <c r="CJ364" s="72">
        <v>0</v>
      </c>
      <c r="CK364" s="72">
        <v>0</v>
      </c>
      <c r="CL364" s="72">
        <v>0</v>
      </c>
      <c r="CM364" s="72">
        <v>0</v>
      </c>
      <c r="CN364" s="72">
        <v>0</v>
      </c>
      <c r="CO364" s="72">
        <v>0</v>
      </c>
      <c r="CP364" s="72">
        <v>0</v>
      </c>
      <c r="CQ364" s="72">
        <v>0</v>
      </c>
      <c r="CR364" s="72">
        <v>0</v>
      </c>
      <c r="CS364" s="72">
        <v>0</v>
      </c>
      <c r="CT364" s="72">
        <v>0</v>
      </c>
      <c r="CU364" s="72">
        <v>0</v>
      </c>
      <c r="CV364" s="72">
        <v>0</v>
      </c>
      <c r="CW364" s="72">
        <v>0</v>
      </c>
      <c r="CX364" s="72">
        <v>0</v>
      </c>
      <c r="CY364" s="72">
        <v>0</v>
      </c>
      <c r="CZ364" s="72">
        <v>0</v>
      </c>
      <c r="DA364" s="72">
        <v>0</v>
      </c>
      <c r="DB364" s="72">
        <v>0</v>
      </c>
      <c r="DC364" s="72">
        <v>0</v>
      </c>
      <c r="DD364" s="72">
        <v>0</v>
      </c>
      <c r="DE364" s="72">
        <v>0</v>
      </c>
      <c r="DF364" s="72">
        <v>0</v>
      </c>
      <c r="DG364" s="72">
        <v>0</v>
      </c>
      <c r="DH364" s="72">
        <v>0</v>
      </c>
      <c r="DI364" s="72">
        <v>0</v>
      </c>
      <c r="DJ364" s="72">
        <v>0</v>
      </c>
      <c r="DK364" s="72">
        <v>0</v>
      </c>
      <c r="DL364" s="72">
        <v>0</v>
      </c>
      <c r="DM364" s="72">
        <v>0</v>
      </c>
    </row>
    <row r="365" spans="1:117" x14ac:dyDescent="0.35">
      <c r="A365" s="7"/>
      <c r="B365" s="8" t="s">
        <v>613</v>
      </c>
      <c r="C365" s="9" t="s">
        <v>614</v>
      </c>
      <c r="D365" s="10" t="s">
        <v>594</v>
      </c>
      <c r="E365" s="8" t="s">
        <v>1206</v>
      </c>
      <c r="F365" s="10">
        <v>1002</v>
      </c>
      <c r="G365" s="10" t="s">
        <v>40</v>
      </c>
      <c r="H365" s="10" t="s">
        <v>41</v>
      </c>
      <c r="I365" s="11">
        <v>100</v>
      </c>
      <c r="J365" s="10"/>
      <c r="K365" s="10"/>
      <c r="L365" s="8"/>
      <c r="M365" s="12">
        <v>264.27</v>
      </c>
      <c r="N365" s="12">
        <f t="shared" si="7"/>
        <v>2114.16</v>
      </c>
      <c r="O365" s="11">
        <v>25</v>
      </c>
      <c r="P365" s="11">
        <v>25</v>
      </c>
      <c r="Q365" s="11">
        <v>25</v>
      </c>
      <c r="R365" s="11">
        <v>25</v>
      </c>
      <c r="S365" s="11">
        <v>25</v>
      </c>
      <c r="T365" s="11">
        <v>0</v>
      </c>
      <c r="U365" s="11">
        <v>0</v>
      </c>
      <c r="V365" s="11">
        <v>0</v>
      </c>
      <c r="W365" s="11">
        <v>0</v>
      </c>
      <c r="X365" s="11">
        <v>0</v>
      </c>
      <c r="Y365" s="11">
        <v>0</v>
      </c>
      <c r="Z365" s="11">
        <v>0</v>
      </c>
      <c r="AA365" s="11">
        <v>0</v>
      </c>
      <c r="AB365" s="11">
        <v>150</v>
      </c>
      <c r="AC365" s="11">
        <v>148</v>
      </c>
      <c r="AD365" s="11">
        <v>148</v>
      </c>
      <c r="AE365" s="11">
        <v>118</v>
      </c>
      <c r="AF365" s="11">
        <v>117</v>
      </c>
      <c r="AG365" s="11">
        <v>118</v>
      </c>
      <c r="AH365" s="11">
        <v>118</v>
      </c>
      <c r="AI365" s="11">
        <v>118</v>
      </c>
      <c r="AJ365" s="11">
        <v>100</v>
      </c>
      <c r="AK365" s="11">
        <v>100</v>
      </c>
      <c r="AL365" s="11">
        <v>100</v>
      </c>
      <c r="AM365" s="11">
        <v>100</v>
      </c>
      <c r="AN365" s="72">
        <v>97</v>
      </c>
      <c r="AO365" s="72">
        <v>197</v>
      </c>
      <c r="AP365" s="72">
        <v>193</v>
      </c>
      <c r="AQ365" s="72">
        <v>183</v>
      </c>
      <c r="AR365" s="72">
        <v>183</v>
      </c>
      <c r="AS365" s="72">
        <v>183</v>
      </c>
      <c r="AT365" s="72">
        <v>183</v>
      </c>
      <c r="AU365" s="72">
        <v>183</v>
      </c>
      <c r="AV365" s="72">
        <v>183</v>
      </c>
      <c r="AW365" s="72">
        <v>157</v>
      </c>
      <c r="AX365" s="72">
        <v>157</v>
      </c>
      <c r="AY365" s="72">
        <v>157</v>
      </c>
      <c r="AZ365" s="72">
        <v>157</v>
      </c>
      <c r="BA365" s="72">
        <v>157</v>
      </c>
      <c r="BB365" s="72">
        <v>157</v>
      </c>
      <c r="BC365" s="72">
        <v>157</v>
      </c>
      <c r="BD365" s="72">
        <v>155</v>
      </c>
      <c r="BE365" s="72">
        <v>139</v>
      </c>
      <c r="BF365" s="72">
        <v>132</v>
      </c>
      <c r="BG365" s="72">
        <v>132</v>
      </c>
      <c r="BH365" s="72">
        <v>112</v>
      </c>
      <c r="BI365" s="72">
        <v>112</v>
      </c>
      <c r="BJ365" s="72">
        <v>112</v>
      </c>
      <c r="BK365" s="72">
        <v>112</v>
      </c>
      <c r="BL365" s="72">
        <v>112</v>
      </c>
      <c r="BM365" s="72">
        <v>112</v>
      </c>
      <c r="BN365" s="72">
        <v>112</v>
      </c>
      <c r="BO365" s="72">
        <v>102</v>
      </c>
      <c r="BP365" s="72">
        <v>102</v>
      </c>
      <c r="BQ365" s="72">
        <v>98</v>
      </c>
      <c r="BR365" s="72">
        <v>93</v>
      </c>
      <c r="BS365" s="72">
        <v>77</v>
      </c>
      <c r="BT365" s="72">
        <v>77</v>
      </c>
      <c r="BU365" s="72">
        <v>77</v>
      </c>
      <c r="BV365" s="72">
        <v>77</v>
      </c>
      <c r="BW365" s="72">
        <v>77</v>
      </c>
      <c r="BX365" s="72">
        <v>77</v>
      </c>
      <c r="BY365" s="72">
        <v>77</v>
      </c>
      <c r="BZ365" s="72">
        <v>77</v>
      </c>
      <c r="CA365" s="72">
        <v>77</v>
      </c>
      <c r="CB365" s="72">
        <v>77</v>
      </c>
      <c r="CC365" s="72">
        <v>77</v>
      </c>
      <c r="CD365" s="72">
        <v>77</v>
      </c>
      <c r="CE365" s="72">
        <v>56</v>
      </c>
      <c r="CF365" s="72">
        <v>56</v>
      </c>
      <c r="CG365" s="72">
        <v>56</v>
      </c>
      <c r="CH365" s="72">
        <v>56</v>
      </c>
      <c r="CI365" s="72">
        <v>56</v>
      </c>
      <c r="CJ365" s="72">
        <v>32</v>
      </c>
      <c r="CK365" s="72">
        <v>32</v>
      </c>
      <c r="CL365" s="72">
        <v>28</v>
      </c>
      <c r="CM365" s="72">
        <v>28</v>
      </c>
      <c r="CN365" s="72">
        <v>28</v>
      </c>
      <c r="CO365" s="72">
        <v>26</v>
      </c>
      <c r="CP365" s="72">
        <v>26</v>
      </c>
      <c r="CQ365" s="72">
        <v>26</v>
      </c>
      <c r="CR365" s="72">
        <v>26</v>
      </c>
      <c r="CS365" s="72">
        <v>26</v>
      </c>
      <c r="CT365" s="72">
        <v>26</v>
      </c>
      <c r="CU365" s="72">
        <v>26</v>
      </c>
      <c r="CV365" s="72">
        <v>27</v>
      </c>
      <c r="CW365" s="72">
        <v>27</v>
      </c>
      <c r="CX365" s="72">
        <v>27</v>
      </c>
      <c r="CY365" s="72">
        <v>27</v>
      </c>
      <c r="CZ365" s="72">
        <v>27</v>
      </c>
      <c r="DA365" s="72">
        <v>27</v>
      </c>
      <c r="DB365" s="72">
        <v>26</v>
      </c>
      <c r="DC365" s="72">
        <v>26</v>
      </c>
      <c r="DD365" s="72">
        <v>25</v>
      </c>
      <c r="DE365" s="72">
        <v>23</v>
      </c>
      <c r="DF365" s="72">
        <v>23</v>
      </c>
      <c r="DG365" s="72">
        <v>23</v>
      </c>
      <c r="DH365" s="72">
        <v>23</v>
      </c>
      <c r="DI365" s="72">
        <v>8</v>
      </c>
      <c r="DJ365" s="72">
        <v>8</v>
      </c>
      <c r="DK365" s="72">
        <v>8</v>
      </c>
      <c r="DL365" s="72">
        <v>8</v>
      </c>
      <c r="DM365" s="72">
        <v>8</v>
      </c>
    </row>
    <row r="366" spans="1:117" x14ac:dyDescent="0.35">
      <c r="A366" s="7"/>
      <c r="B366" s="8" t="s">
        <v>615</v>
      </c>
      <c r="C366" s="9" t="s">
        <v>616</v>
      </c>
      <c r="D366" s="10" t="s">
        <v>594</v>
      </c>
      <c r="E366" s="8" t="s">
        <v>1206</v>
      </c>
      <c r="F366" s="10">
        <v>1002</v>
      </c>
      <c r="G366" s="10" t="s">
        <v>40</v>
      </c>
      <c r="H366" s="10" t="s">
        <v>41</v>
      </c>
      <c r="I366" s="11">
        <v>4</v>
      </c>
      <c r="J366" s="10">
        <v>3</v>
      </c>
      <c r="K366" s="10" t="s">
        <v>53</v>
      </c>
      <c r="L366" s="14" t="s">
        <v>617</v>
      </c>
      <c r="M366" s="12">
        <v>392.16</v>
      </c>
      <c r="N366" s="12">
        <f t="shared" si="7"/>
        <v>34117.920000000006</v>
      </c>
      <c r="O366" s="11">
        <v>39</v>
      </c>
      <c r="P366" s="11">
        <v>39</v>
      </c>
      <c r="Q366" s="11">
        <v>69</v>
      </c>
      <c r="R366" s="11">
        <v>68</v>
      </c>
      <c r="S366" s="11">
        <v>68</v>
      </c>
      <c r="T366" s="11">
        <v>62</v>
      </c>
      <c r="U366" s="11">
        <v>30</v>
      </c>
      <c r="V366" s="11">
        <v>33</v>
      </c>
      <c r="W366" s="11">
        <v>1</v>
      </c>
      <c r="X366" s="11">
        <v>1</v>
      </c>
      <c r="Y366" s="11">
        <v>1</v>
      </c>
      <c r="Z366" s="11">
        <v>6</v>
      </c>
      <c r="AA366" s="11">
        <v>6</v>
      </c>
      <c r="AB366" s="11">
        <v>6</v>
      </c>
      <c r="AC366" s="11">
        <v>6</v>
      </c>
      <c r="AD366" s="11">
        <v>6</v>
      </c>
      <c r="AE366" s="11">
        <v>3</v>
      </c>
      <c r="AF366" s="11">
        <v>2</v>
      </c>
      <c r="AG366" s="11">
        <v>3</v>
      </c>
      <c r="AH366" s="11">
        <v>3</v>
      </c>
      <c r="AI366" s="11">
        <v>4</v>
      </c>
      <c r="AJ366" s="11">
        <v>4</v>
      </c>
      <c r="AK366" s="11">
        <v>4</v>
      </c>
      <c r="AL366" s="11">
        <v>3</v>
      </c>
      <c r="AM366" s="11">
        <v>3</v>
      </c>
      <c r="AN366" s="72">
        <v>2</v>
      </c>
      <c r="AO366" s="72">
        <v>3</v>
      </c>
      <c r="AP366" s="72">
        <v>3</v>
      </c>
      <c r="AQ366" s="72">
        <v>3</v>
      </c>
      <c r="AR366" s="72">
        <v>21</v>
      </c>
      <c r="AS366" s="72">
        <v>4</v>
      </c>
      <c r="AT366" s="72">
        <v>1</v>
      </c>
      <c r="AU366" s="72">
        <v>1</v>
      </c>
      <c r="AV366" s="72">
        <v>1</v>
      </c>
      <c r="AW366" s="72">
        <v>61</v>
      </c>
      <c r="AX366" s="72">
        <v>61</v>
      </c>
      <c r="AY366" s="72">
        <v>29</v>
      </c>
      <c r="AZ366" s="72">
        <v>29</v>
      </c>
      <c r="BA366" s="72">
        <v>28</v>
      </c>
      <c r="BB366" s="72">
        <v>28</v>
      </c>
      <c r="BC366" s="72">
        <v>28</v>
      </c>
      <c r="BD366" s="72">
        <v>28</v>
      </c>
      <c r="BE366" s="72">
        <v>28</v>
      </c>
      <c r="BF366" s="72">
        <v>28</v>
      </c>
      <c r="BG366" s="72">
        <v>28</v>
      </c>
      <c r="BH366" s="72">
        <v>28</v>
      </c>
      <c r="BI366" s="72">
        <v>28</v>
      </c>
      <c r="BJ366" s="72">
        <v>28</v>
      </c>
      <c r="BK366" s="72">
        <v>28</v>
      </c>
      <c r="BL366" s="72">
        <v>28</v>
      </c>
      <c r="BM366" s="72">
        <v>27</v>
      </c>
      <c r="BN366" s="72">
        <v>28</v>
      </c>
      <c r="BO366" s="72">
        <v>58</v>
      </c>
      <c r="BP366" s="72">
        <v>21</v>
      </c>
      <c r="BQ366" s="72">
        <v>21</v>
      </c>
      <c r="BR366" s="72">
        <v>6</v>
      </c>
      <c r="BS366" s="72">
        <v>2</v>
      </c>
      <c r="BT366" s="72">
        <v>2</v>
      </c>
      <c r="BU366" s="72">
        <v>2</v>
      </c>
      <c r="BV366" s="72">
        <v>2</v>
      </c>
      <c r="BW366" s="72">
        <v>2</v>
      </c>
      <c r="BX366" s="72">
        <v>2</v>
      </c>
      <c r="BY366" s="72">
        <v>2</v>
      </c>
      <c r="BZ366" s="72">
        <v>2</v>
      </c>
      <c r="CA366" s="72">
        <v>2</v>
      </c>
      <c r="CB366" s="72">
        <v>2</v>
      </c>
      <c r="CC366" s="72">
        <v>2</v>
      </c>
      <c r="CD366" s="72">
        <v>2</v>
      </c>
      <c r="CE366" s="72">
        <v>2</v>
      </c>
      <c r="CF366" s="72">
        <v>2</v>
      </c>
      <c r="CG366" s="72">
        <v>2</v>
      </c>
      <c r="CH366" s="72">
        <v>2</v>
      </c>
      <c r="CI366" s="72">
        <v>2</v>
      </c>
      <c r="CJ366" s="72">
        <v>34</v>
      </c>
      <c r="CK366" s="72">
        <v>24</v>
      </c>
      <c r="CL366" s="72">
        <v>57</v>
      </c>
      <c r="CM366" s="72">
        <v>44</v>
      </c>
      <c r="CN366" s="72">
        <v>44</v>
      </c>
      <c r="CO366" s="72">
        <v>43</v>
      </c>
      <c r="CP366" s="72">
        <v>43</v>
      </c>
      <c r="CQ366" s="72">
        <v>43</v>
      </c>
      <c r="CR366" s="72">
        <v>88</v>
      </c>
      <c r="CS366" s="72">
        <v>48</v>
      </c>
      <c r="CT366" s="72">
        <v>48</v>
      </c>
      <c r="CU366" s="72">
        <v>31</v>
      </c>
      <c r="CV366" s="72">
        <v>31</v>
      </c>
      <c r="CW366" s="72">
        <v>29</v>
      </c>
      <c r="CX366" s="72">
        <v>29</v>
      </c>
      <c r="CY366" s="72">
        <v>134</v>
      </c>
      <c r="CZ366" s="72">
        <v>134</v>
      </c>
      <c r="DA366" s="72">
        <v>130</v>
      </c>
      <c r="DB366" s="72">
        <v>130</v>
      </c>
      <c r="DC366" s="72">
        <v>129</v>
      </c>
      <c r="DD366" s="72">
        <v>129</v>
      </c>
      <c r="DE366" s="72">
        <v>129</v>
      </c>
      <c r="DF366" s="72">
        <v>107</v>
      </c>
      <c r="DG366" s="72">
        <v>107</v>
      </c>
      <c r="DH366" s="72">
        <v>75</v>
      </c>
      <c r="DI366" s="72">
        <v>75</v>
      </c>
      <c r="DJ366" s="72">
        <v>75</v>
      </c>
      <c r="DK366" s="72">
        <v>75</v>
      </c>
      <c r="DL366" s="72">
        <v>87</v>
      </c>
      <c r="DM366" s="72">
        <v>87</v>
      </c>
    </row>
    <row r="367" spans="1:117" x14ac:dyDescent="0.35">
      <c r="A367" s="7"/>
      <c r="B367" s="77" t="s">
        <v>1268</v>
      </c>
      <c r="C367" s="9" t="s">
        <v>1277</v>
      </c>
      <c r="D367" s="10" t="s">
        <v>594</v>
      </c>
      <c r="E367" s="8" t="s">
        <v>1206</v>
      </c>
      <c r="F367" s="10"/>
      <c r="G367" s="10"/>
      <c r="H367" s="10" t="s">
        <v>41</v>
      </c>
      <c r="I367" s="11"/>
      <c r="J367" s="10"/>
      <c r="K367" s="10"/>
      <c r="L367" s="14"/>
      <c r="M367" s="12"/>
      <c r="N367" s="12">
        <f t="shared" si="7"/>
        <v>0</v>
      </c>
      <c r="O367" s="11"/>
      <c r="P367" s="11"/>
      <c r="Q367" s="11"/>
      <c r="R367" s="11"/>
      <c r="S367" s="11"/>
      <c r="T367" s="11"/>
      <c r="U367" s="11"/>
      <c r="V367" s="11"/>
      <c r="W367" s="11"/>
      <c r="X367" s="11"/>
      <c r="Y367" s="11"/>
      <c r="Z367" s="11"/>
      <c r="AA367" s="11"/>
      <c r="AB367" s="11"/>
      <c r="AC367" s="11"/>
      <c r="AD367" s="11"/>
      <c r="AE367" s="11"/>
      <c r="AF367" s="11"/>
      <c r="AG367" s="11"/>
      <c r="AH367" s="11"/>
      <c r="AI367" s="11"/>
      <c r="AJ367" s="11"/>
      <c r="AK367" s="11"/>
      <c r="AL367" s="11"/>
      <c r="AM367" s="11"/>
      <c r="AN367" s="72"/>
      <c r="AO367" s="72"/>
      <c r="AP367" s="72"/>
      <c r="AQ367" s="72"/>
      <c r="AR367" s="72"/>
      <c r="AS367" s="72"/>
      <c r="AT367" s="72"/>
      <c r="AU367" s="72"/>
      <c r="AV367" s="72"/>
      <c r="AW367" s="72">
        <v>4</v>
      </c>
      <c r="AX367" s="72">
        <v>4</v>
      </c>
      <c r="AY367" s="72">
        <v>4</v>
      </c>
      <c r="AZ367" s="72">
        <v>4</v>
      </c>
      <c r="BA367" s="72">
        <v>4</v>
      </c>
      <c r="BB367" s="72">
        <v>4</v>
      </c>
      <c r="BC367" s="72">
        <v>4</v>
      </c>
      <c r="BD367" s="72">
        <v>4</v>
      </c>
      <c r="BE367" s="72">
        <v>4</v>
      </c>
      <c r="BF367" s="72">
        <v>4</v>
      </c>
      <c r="BG367" s="72">
        <v>4</v>
      </c>
      <c r="BH367" s="72">
        <v>4</v>
      </c>
      <c r="BI367" s="72">
        <v>4</v>
      </c>
      <c r="BJ367" s="72">
        <v>4</v>
      </c>
      <c r="BK367" s="72">
        <v>4</v>
      </c>
      <c r="BL367" s="72">
        <v>4</v>
      </c>
      <c r="BM367" s="72">
        <v>4</v>
      </c>
      <c r="BN367" s="72">
        <v>4</v>
      </c>
      <c r="BO367" s="72">
        <v>4</v>
      </c>
      <c r="BP367" s="72">
        <v>4</v>
      </c>
      <c r="BQ367" s="72">
        <v>4</v>
      </c>
      <c r="BR367" s="72">
        <v>0</v>
      </c>
      <c r="BS367" s="72">
        <v>0</v>
      </c>
      <c r="BT367" s="72">
        <v>0</v>
      </c>
      <c r="BU367" s="72">
        <v>0</v>
      </c>
      <c r="BV367" s="72">
        <v>0</v>
      </c>
      <c r="BW367" s="72">
        <v>0</v>
      </c>
      <c r="BX367" s="72">
        <v>0</v>
      </c>
      <c r="BY367" s="72">
        <v>0</v>
      </c>
      <c r="BZ367" s="72">
        <v>0</v>
      </c>
      <c r="CA367" s="72">
        <v>0</v>
      </c>
      <c r="CB367" s="72">
        <v>0</v>
      </c>
      <c r="CC367" s="72">
        <v>0</v>
      </c>
      <c r="CD367" s="72">
        <v>0</v>
      </c>
      <c r="CE367" s="72">
        <v>0</v>
      </c>
      <c r="CF367" s="72">
        <v>0</v>
      </c>
      <c r="CG367" s="72">
        <v>0</v>
      </c>
      <c r="CH367" s="72">
        <v>0</v>
      </c>
      <c r="CI367" s="72">
        <v>0</v>
      </c>
      <c r="CJ367" s="72">
        <v>0</v>
      </c>
      <c r="CK367" s="72">
        <v>0</v>
      </c>
      <c r="CL367" s="72">
        <v>0</v>
      </c>
      <c r="CM367" s="72">
        <v>0</v>
      </c>
      <c r="CN367" s="72">
        <v>0</v>
      </c>
      <c r="CO367" s="72">
        <v>0</v>
      </c>
      <c r="CP367" s="72">
        <v>0</v>
      </c>
      <c r="CQ367" s="72">
        <v>0</v>
      </c>
      <c r="CR367" s="72">
        <v>0</v>
      </c>
      <c r="CS367" s="72">
        <v>0</v>
      </c>
      <c r="CT367" s="72">
        <v>0</v>
      </c>
      <c r="CU367" s="72">
        <v>0</v>
      </c>
      <c r="CV367" s="72">
        <v>0</v>
      </c>
      <c r="CW367" s="72">
        <v>0</v>
      </c>
      <c r="CX367" s="72">
        <v>0</v>
      </c>
      <c r="CY367" s="72">
        <v>0</v>
      </c>
      <c r="CZ367" s="72">
        <v>0</v>
      </c>
      <c r="DA367" s="72">
        <v>0</v>
      </c>
      <c r="DB367" s="72">
        <v>0</v>
      </c>
      <c r="DC367" s="72">
        <v>0</v>
      </c>
      <c r="DD367" s="72">
        <v>0</v>
      </c>
      <c r="DE367" s="72">
        <v>0</v>
      </c>
      <c r="DF367" s="72">
        <v>0</v>
      </c>
      <c r="DG367" s="72">
        <v>0</v>
      </c>
      <c r="DH367" s="72">
        <v>0</v>
      </c>
      <c r="DI367" s="72">
        <v>0</v>
      </c>
      <c r="DJ367" s="72">
        <v>0</v>
      </c>
      <c r="DK367" s="72">
        <v>0</v>
      </c>
      <c r="DL367" s="72">
        <v>0</v>
      </c>
      <c r="DM367" s="72">
        <v>0</v>
      </c>
    </row>
    <row r="368" spans="1:117" x14ac:dyDescent="0.35">
      <c r="A368" s="7"/>
      <c r="B368" s="8" t="s">
        <v>618</v>
      </c>
      <c r="C368" s="9" t="s">
        <v>619</v>
      </c>
      <c r="D368" s="10" t="s">
        <v>594</v>
      </c>
      <c r="E368" s="8" t="s">
        <v>1206</v>
      </c>
      <c r="F368" s="10">
        <v>1002</v>
      </c>
      <c r="G368" s="10" t="s">
        <v>40</v>
      </c>
      <c r="H368" s="10" t="s">
        <v>41</v>
      </c>
      <c r="I368" s="11">
        <v>27</v>
      </c>
      <c r="J368" s="10"/>
      <c r="K368" s="10"/>
      <c r="L368" s="14" t="s">
        <v>620</v>
      </c>
      <c r="M368" s="12">
        <v>350</v>
      </c>
      <c r="N368" s="12">
        <f t="shared" si="7"/>
        <v>0</v>
      </c>
      <c r="O368" s="11">
        <v>62</v>
      </c>
      <c r="P368" s="11">
        <v>62</v>
      </c>
      <c r="Q368" s="11">
        <v>62</v>
      </c>
      <c r="R368" s="11">
        <v>62</v>
      </c>
      <c r="S368" s="11">
        <v>62</v>
      </c>
      <c r="T368" s="11">
        <v>62</v>
      </c>
      <c r="U368" s="11">
        <v>0</v>
      </c>
      <c r="V368" s="11">
        <v>1</v>
      </c>
      <c r="W368" s="11">
        <v>4</v>
      </c>
      <c r="X368" s="11">
        <v>4</v>
      </c>
      <c r="Y368" s="11">
        <v>4</v>
      </c>
      <c r="Z368" s="11">
        <v>4</v>
      </c>
      <c r="AA368" s="11">
        <v>4</v>
      </c>
      <c r="AB368" s="11">
        <v>42</v>
      </c>
      <c r="AC368" s="11">
        <v>42</v>
      </c>
      <c r="AD368" s="11">
        <v>52</v>
      </c>
      <c r="AE368" s="11">
        <v>27</v>
      </c>
      <c r="AF368" s="11">
        <v>27</v>
      </c>
      <c r="AG368" s="11">
        <v>27</v>
      </c>
      <c r="AH368" s="11">
        <v>27</v>
      </c>
      <c r="AI368" s="11">
        <v>27</v>
      </c>
      <c r="AJ368" s="11">
        <v>27</v>
      </c>
      <c r="AK368" s="11">
        <v>27</v>
      </c>
      <c r="AL368" s="11">
        <v>27</v>
      </c>
      <c r="AM368" s="11">
        <v>27</v>
      </c>
      <c r="AN368" s="72">
        <v>27</v>
      </c>
      <c r="AO368" s="72">
        <v>27</v>
      </c>
      <c r="AP368" s="72">
        <v>27</v>
      </c>
      <c r="AQ368" s="72">
        <v>27</v>
      </c>
      <c r="AR368" s="72">
        <v>27</v>
      </c>
      <c r="AS368" s="72">
        <v>27</v>
      </c>
      <c r="AT368" s="72">
        <v>27</v>
      </c>
      <c r="AU368" s="72">
        <v>27</v>
      </c>
      <c r="AV368" s="72">
        <v>27</v>
      </c>
      <c r="AW368" s="72">
        <v>64</v>
      </c>
      <c r="AX368" s="72">
        <v>64</v>
      </c>
      <c r="AY368" s="72">
        <v>64</v>
      </c>
      <c r="AZ368" s="72">
        <v>64</v>
      </c>
      <c r="BA368" s="72">
        <v>64</v>
      </c>
      <c r="BB368" s="72">
        <v>61</v>
      </c>
      <c r="BC368" s="72">
        <v>61</v>
      </c>
      <c r="BD368" s="72">
        <v>61</v>
      </c>
      <c r="BE368" s="72">
        <v>58</v>
      </c>
      <c r="BF368" s="72">
        <v>58</v>
      </c>
      <c r="BG368" s="72">
        <v>58</v>
      </c>
      <c r="BH368" s="72">
        <v>46</v>
      </c>
      <c r="BI368" s="72">
        <v>46</v>
      </c>
      <c r="BJ368" s="72">
        <v>46</v>
      </c>
      <c r="BK368" s="72">
        <v>48</v>
      </c>
      <c r="BL368" s="72">
        <v>48</v>
      </c>
      <c r="BM368" s="72">
        <v>40</v>
      </c>
      <c r="BN368" s="72">
        <v>38</v>
      </c>
      <c r="BO368" s="72">
        <v>40</v>
      </c>
      <c r="BP368" s="72">
        <v>40</v>
      </c>
      <c r="BQ368" s="72">
        <v>2</v>
      </c>
      <c r="BR368" s="72">
        <v>2</v>
      </c>
      <c r="BS368" s="72">
        <v>2</v>
      </c>
      <c r="BT368" s="72">
        <v>2</v>
      </c>
      <c r="BU368" s="72">
        <v>2</v>
      </c>
      <c r="BV368" s="72">
        <v>2</v>
      </c>
      <c r="BW368" s="72">
        <v>2</v>
      </c>
      <c r="BX368" s="72">
        <v>2</v>
      </c>
      <c r="BY368" s="72">
        <v>2</v>
      </c>
      <c r="BZ368" s="72">
        <v>2</v>
      </c>
      <c r="CA368" s="72">
        <v>2</v>
      </c>
      <c r="CB368" s="72">
        <v>2</v>
      </c>
      <c r="CC368" s="72">
        <v>2</v>
      </c>
      <c r="CD368" s="72">
        <v>2</v>
      </c>
      <c r="CE368" s="72">
        <v>2</v>
      </c>
      <c r="CF368" s="72">
        <v>2</v>
      </c>
      <c r="CG368" s="72">
        <v>2</v>
      </c>
      <c r="CH368" s="72">
        <v>2</v>
      </c>
      <c r="CI368" s="72">
        <v>2</v>
      </c>
      <c r="CJ368" s="72">
        <v>2</v>
      </c>
      <c r="CK368" s="72">
        <v>2</v>
      </c>
      <c r="CL368" s="72">
        <v>0</v>
      </c>
      <c r="CM368" s="72">
        <v>0</v>
      </c>
      <c r="CN368" s="72">
        <v>0</v>
      </c>
      <c r="CO368" s="72">
        <v>0</v>
      </c>
      <c r="CP368" s="72">
        <v>0</v>
      </c>
      <c r="CQ368" s="72">
        <v>0</v>
      </c>
      <c r="CR368" s="72">
        <v>0</v>
      </c>
      <c r="CS368" s="72">
        <v>0</v>
      </c>
      <c r="CT368" s="72">
        <v>0</v>
      </c>
      <c r="CU368" s="72">
        <v>0</v>
      </c>
      <c r="CV368" s="72">
        <v>0</v>
      </c>
      <c r="CW368" s="72">
        <v>0</v>
      </c>
      <c r="CX368" s="72">
        <v>0</v>
      </c>
      <c r="CY368" s="72">
        <v>0</v>
      </c>
      <c r="CZ368" s="72">
        <v>0</v>
      </c>
      <c r="DA368" s="72">
        <v>0</v>
      </c>
      <c r="DB368" s="72">
        <v>0</v>
      </c>
      <c r="DC368" s="72">
        <v>0</v>
      </c>
      <c r="DD368" s="72">
        <v>0</v>
      </c>
      <c r="DE368" s="72">
        <v>0</v>
      </c>
      <c r="DF368" s="72">
        <v>0</v>
      </c>
      <c r="DG368" s="72">
        <v>0</v>
      </c>
      <c r="DH368" s="72">
        <v>0</v>
      </c>
      <c r="DI368" s="72">
        <v>0</v>
      </c>
      <c r="DJ368" s="72">
        <v>0</v>
      </c>
      <c r="DK368" s="72">
        <v>0</v>
      </c>
      <c r="DL368" s="72">
        <v>0</v>
      </c>
      <c r="DM368" s="72">
        <v>0</v>
      </c>
    </row>
    <row r="369" spans="1:117" x14ac:dyDescent="0.35">
      <c r="A369" s="7"/>
      <c r="B369" s="8" t="s">
        <v>621</v>
      </c>
      <c r="C369" s="9" t="s">
        <v>622</v>
      </c>
      <c r="D369" s="10" t="s">
        <v>594</v>
      </c>
      <c r="E369" s="8" t="s">
        <v>1206</v>
      </c>
      <c r="F369" s="10">
        <v>1002</v>
      </c>
      <c r="G369" s="10" t="s">
        <v>40</v>
      </c>
      <c r="H369" s="10" t="s">
        <v>41</v>
      </c>
      <c r="I369" s="11">
        <v>1</v>
      </c>
      <c r="J369" s="10"/>
      <c r="K369" s="10" t="s">
        <v>42</v>
      </c>
      <c r="L369" s="8"/>
      <c r="M369" s="12"/>
      <c r="N369" s="12">
        <f t="shared" si="7"/>
        <v>0</v>
      </c>
      <c r="O369" s="11">
        <v>1</v>
      </c>
      <c r="P369" s="11">
        <v>1</v>
      </c>
      <c r="Q369" s="11">
        <v>1</v>
      </c>
      <c r="R369" s="11">
        <v>1</v>
      </c>
      <c r="S369" s="11">
        <v>1</v>
      </c>
      <c r="T369" s="11">
        <v>1</v>
      </c>
      <c r="U369" s="11">
        <v>1</v>
      </c>
      <c r="V369" s="11">
        <v>1</v>
      </c>
      <c r="W369" s="11">
        <v>1</v>
      </c>
      <c r="X369" s="11">
        <v>1</v>
      </c>
      <c r="Y369" s="11">
        <v>1</v>
      </c>
      <c r="Z369" s="11">
        <v>1</v>
      </c>
      <c r="AA369" s="11">
        <v>1</v>
      </c>
      <c r="AB369" s="11">
        <v>1</v>
      </c>
      <c r="AC369" s="11">
        <v>1</v>
      </c>
      <c r="AD369" s="11">
        <v>1</v>
      </c>
      <c r="AE369" s="11">
        <v>1</v>
      </c>
      <c r="AF369" s="11">
        <v>1</v>
      </c>
      <c r="AG369" s="11">
        <v>1</v>
      </c>
      <c r="AH369" s="11">
        <v>1</v>
      </c>
      <c r="AI369" s="11">
        <v>1</v>
      </c>
      <c r="AJ369" s="11">
        <v>1</v>
      </c>
      <c r="AK369" s="11">
        <v>1</v>
      </c>
      <c r="AL369" s="11">
        <v>1</v>
      </c>
      <c r="AM369" s="11">
        <v>1</v>
      </c>
      <c r="AN369" s="72">
        <v>1</v>
      </c>
      <c r="AO369" s="72">
        <v>1</v>
      </c>
      <c r="AP369" s="72">
        <v>1</v>
      </c>
      <c r="AQ369" s="72">
        <v>1</v>
      </c>
      <c r="AR369" s="72">
        <v>1</v>
      </c>
      <c r="AS369" s="72">
        <v>1</v>
      </c>
      <c r="AT369" s="72">
        <v>1</v>
      </c>
      <c r="AU369" s="72">
        <v>1</v>
      </c>
      <c r="AV369" s="72">
        <v>1</v>
      </c>
      <c r="AW369" s="72">
        <v>1</v>
      </c>
      <c r="AX369" s="72">
        <v>1</v>
      </c>
      <c r="AY369" s="72">
        <v>1</v>
      </c>
      <c r="AZ369" s="72">
        <v>1</v>
      </c>
      <c r="BA369" s="72">
        <v>1</v>
      </c>
      <c r="BB369" s="72">
        <v>1</v>
      </c>
      <c r="BC369" s="72">
        <v>1</v>
      </c>
      <c r="BD369" s="72">
        <v>1</v>
      </c>
      <c r="BE369" s="72">
        <v>1</v>
      </c>
      <c r="BF369" s="72">
        <v>1</v>
      </c>
      <c r="BG369" s="72">
        <v>1</v>
      </c>
      <c r="BH369" s="72">
        <v>1</v>
      </c>
      <c r="BI369" s="72">
        <v>1</v>
      </c>
      <c r="BJ369" s="72">
        <v>1</v>
      </c>
      <c r="BK369" s="72">
        <v>1</v>
      </c>
      <c r="BL369" s="72">
        <v>1</v>
      </c>
      <c r="BM369" s="72">
        <v>1</v>
      </c>
      <c r="BN369" s="72">
        <v>1</v>
      </c>
      <c r="BO369" s="72">
        <v>1</v>
      </c>
      <c r="BP369" s="72">
        <v>1</v>
      </c>
      <c r="BQ369" s="72">
        <v>1</v>
      </c>
      <c r="BR369" s="72">
        <v>1</v>
      </c>
      <c r="BS369" s="72">
        <v>1</v>
      </c>
      <c r="BT369" s="72">
        <v>1</v>
      </c>
      <c r="BU369" s="72">
        <v>1</v>
      </c>
      <c r="BV369" s="72">
        <v>1</v>
      </c>
      <c r="BW369" s="72">
        <v>1</v>
      </c>
      <c r="BX369" s="72">
        <v>1</v>
      </c>
      <c r="BY369" s="72">
        <v>1</v>
      </c>
      <c r="BZ369" s="72">
        <v>1</v>
      </c>
      <c r="CA369" s="72">
        <v>1</v>
      </c>
      <c r="CB369" s="72">
        <v>1</v>
      </c>
      <c r="CC369" s="72">
        <v>1</v>
      </c>
      <c r="CD369" s="72">
        <v>1</v>
      </c>
      <c r="CE369" s="72">
        <v>1</v>
      </c>
      <c r="CF369" s="72">
        <v>1</v>
      </c>
      <c r="CG369" s="72">
        <v>1</v>
      </c>
      <c r="CH369" s="72">
        <v>1</v>
      </c>
      <c r="CI369" s="72">
        <v>1</v>
      </c>
      <c r="CJ369" s="72">
        <v>1</v>
      </c>
      <c r="CK369" s="72">
        <v>1</v>
      </c>
      <c r="CL369" s="72">
        <v>1</v>
      </c>
      <c r="CM369" s="72">
        <v>1</v>
      </c>
      <c r="CN369" s="72">
        <v>1</v>
      </c>
      <c r="CO369" s="72">
        <v>1</v>
      </c>
      <c r="CP369" s="72">
        <v>1</v>
      </c>
      <c r="CQ369" s="72">
        <v>1</v>
      </c>
      <c r="CR369" s="72">
        <v>1</v>
      </c>
      <c r="CS369" s="72">
        <v>1</v>
      </c>
      <c r="CT369" s="72">
        <v>1</v>
      </c>
      <c r="CU369" s="72">
        <v>1</v>
      </c>
      <c r="CV369" s="72">
        <v>1</v>
      </c>
      <c r="CW369" s="72">
        <v>1</v>
      </c>
      <c r="CX369" s="72">
        <v>1</v>
      </c>
      <c r="CY369" s="72">
        <v>1</v>
      </c>
      <c r="CZ369" s="72">
        <v>1</v>
      </c>
      <c r="DA369" s="72">
        <v>1</v>
      </c>
      <c r="DB369" s="72">
        <v>1</v>
      </c>
      <c r="DC369" s="72">
        <v>1</v>
      </c>
      <c r="DD369" s="72">
        <v>1</v>
      </c>
      <c r="DE369" s="72">
        <v>1</v>
      </c>
      <c r="DF369" s="72">
        <v>1</v>
      </c>
      <c r="DG369" s="72">
        <v>1</v>
      </c>
      <c r="DH369" s="72">
        <v>1</v>
      </c>
      <c r="DI369" s="72">
        <v>1</v>
      </c>
      <c r="DJ369" s="72">
        <v>1</v>
      </c>
      <c r="DK369" s="72">
        <v>1</v>
      </c>
      <c r="DL369" s="72">
        <v>1</v>
      </c>
      <c r="DM369" s="72">
        <v>1</v>
      </c>
    </row>
    <row r="370" spans="1:117" x14ac:dyDescent="0.35">
      <c r="A370" s="7"/>
      <c r="B370" s="8" t="s">
        <v>623</v>
      </c>
      <c r="C370" s="9" t="s">
        <v>624</v>
      </c>
      <c r="D370" s="10" t="s">
        <v>594</v>
      </c>
      <c r="E370" s="8" t="s">
        <v>1206</v>
      </c>
      <c r="F370" s="10">
        <v>1002</v>
      </c>
      <c r="G370" s="10" t="s">
        <v>40</v>
      </c>
      <c r="H370" s="10" t="s">
        <v>41</v>
      </c>
      <c r="I370" s="11">
        <v>4</v>
      </c>
      <c r="J370" s="10"/>
      <c r="K370" s="10"/>
      <c r="L370" s="8"/>
      <c r="M370" s="12">
        <v>724.8</v>
      </c>
      <c r="N370" s="12">
        <f t="shared" si="7"/>
        <v>0</v>
      </c>
      <c r="O370" s="11">
        <v>4</v>
      </c>
      <c r="P370" s="11">
        <v>4</v>
      </c>
      <c r="Q370" s="11">
        <v>4</v>
      </c>
      <c r="R370" s="11">
        <v>4</v>
      </c>
      <c r="S370" s="11">
        <v>4</v>
      </c>
      <c r="T370" s="11">
        <v>4</v>
      </c>
      <c r="U370" s="11">
        <v>4</v>
      </c>
      <c r="V370" s="11">
        <v>4</v>
      </c>
      <c r="W370" s="11">
        <v>4</v>
      </c>
      <c r="X370" s="11">
        <v>4</v>
      </c>
      <c r="Y370" s="11">
        <v>4</v>
      </c>
      <c r="Z370" s="11">
        <v>4</v>
      </c>
      <c r="AA370" s="11">
        <v>4</v>
      </c>
      <c r="AB370" s="11">
        <v>4</v>
      </c>
      <c r="AC370" s="11">
        <v>4</v>
      </c>
      <c r="AD370" s="11">
        <v>4</v>
      </c>
      <c r="AE370" s="11">
        <v>4</v>
      </c>
      <c r="AF370" s="11">
        <v>4</v>
      </c>
      <c r="AG370" s="11">
        <v>4</v>
      </c>
      <c r="AH370" s="11">
        <v>4</v>
      </c>
      <c r="AI370" s="11">
        <v>4</v>
      </c>
      <c r="AJ370" s="11">
        <v>4</v>
      </c>
      <c r="AK370" s="11">
        <v>4</v>
      </c>
      <c r="AL370" s="11">
        <v>4</v>
      </c>
      <c r="AM370" s="11">
        <v>4</v>
      </c>
      <c r="AN370" s="72">
        <v>4</v>
      </c>
      <c r="AO370" s="72">
        <v>4</v>
      </c>
      <c r="AP370" s="72">
        <v>4</v>
      </c>
      <c r="AQ370" s="72">
        <v>4</v>
      </c>
      <c r="AR370" s="72">
        <v>4</v>
      </c>
      <c r="AS370" s="72">
        <v>4</v>
      </c>
      <c r="AT370" s="72">
        <v>4</v>
      </c>
      <c r="AU370" s="72">
        <v>4</v>
      </c>
      <c r="AV370" s="72">
        <v>4</v>
      </c>
      <c r="AW370" s="72">
        <v>4</v>
      </c>
      <c r="AX370" s="72">
        <v>4</v>
      </c>
      <c r="AY370" s="72">
        <v>4</v>
      </c>
      <c r="AZ370" s="72">
        <v>4</v>
      </c>
      <c r="BA370" s="72">
        <v>4</v>
      </c>
      <c r="BB370" s="72">
        <v>4</v>
      </c>
      <c r="BC370" s="72">
        <v>4</v>
      </c>
      <c r="BD370" s="72">
        <v>4</v>
      </c>
      <c r="BE370" s="72">
        <v>4</v>
      </c>
      <c r="BF370" s="72">
        <v>1</v>
      </c>
      <c r="BG370" s="72">
        <v>1</v>
      </c>
      <c r="BH370" s="72">
        <v>1</v>
      </c>
      <c r="BI370" s="72">
        <v>1</v>
      </c>
      <c r="BJ370" s="72">
        <v>1</v>
      </c>
      <c r="BK370" s="72">
        <v>1</v>
      </c>
      <c r="BL370" s="72">
        <v>1</v>
      </c>
      <c r="BM370" s="72">
        <v>1</v>
      </c>
      <c r="BN370" s="72">
        <v>1</v>
      </c>
      <c r="BO370" s="72">
        <v>1</v>
      </c>
      <c r="BP370" s="72">
        <v>1</v>
      </c>
      <c r="BQ370" s="72">
        <v>1</v>
      </c>
      <c r="BR370" s="72">
        <v>1</v>
      </c>
      <c r="BS370" s="72">
        <v>1</v>
      </c>
      <c r="BT370" s="72">
        <v>1</v>
      </c>
      <c r="BU370" s="72">
        <v>1</v>
      </c>
      <c r="BV370" s="72">
        <v>1</v>
      </c>
      <c r="BW370" s="72">
        <v>1</v>
      </c>
      <c r="BX370" s="72">
        <v>1</v>
      </c>
      <c r="BY370" s="72">
        <v>1</v>
      </c>
      <c r="BZ370" s="72">
        <v>1</v>
      </c>
      <c r="CA370" s="72">
        <v>1</v>
      </c>
      <c r="CB370" s="72">
        <v>1</v>
      </c>
      <c r="CC370" s="72">
        <v>1</v>
      </c>
      <c r="CD370" s="72">
        <v>1</v>
      </c>
      <c r="CE370" s="72">
        <v>1</v>
      </c>
      <c r="CF370" s="72">
        <v>1</v>
      </c>
      <c r="CG370" s="72">
        <v>1</v>
      </c>
      <c r="CH370" s="72">
        <v>1</v>
      </c>
      <c r="CI370" s="72">
        <v>1</v>
      </c>
      <c r="CJ370" s="72">
        <v>1</v>
      </c>
      <c r="CK370" s="72">
        <v>1</v>
      </c>
      <c r="CL370" s="72">
        <v>1</v>
      </c>
      <c r="CM370" s="72">
        <v>1</v>
      </c>
      <c r="CN370" s="72">
        <v>1</v>
      </c>
      <c r="CO370" s="72">
        <v>1</v>
      </c>
      <c r="CP370" s="72">
        <v>1</v>
      </c>
      <c r="CQ370" s="72">
        <v>1</v>
      </c>
      <c r="CR370" s="72">
        <v>0</v>
      </c>
      <c r="CS370" s="72">
        <v>0</v>
      </c>
      <c r="CT370" s="72">
        <v>0</v>
      </c>
      <c r="CU370" s="72">
        <v>0</v>
      </c>
      <c r="CV370" s="72">
        <v>0</v>
      </c>
      <c r="CW370" s="72">
        <v>0</v>
      </c>
      <c r="CX370" s="72">
        <v>0</v>
      </c>
      <c r="CY370" s="72">
        <v>0</v>
      </c>
      <c r="CZ370" s="72">
        <v>0</v>
      </c>
      <c r="DA370" s="72">
        <v>0</v>
      </c>
      <c r="DB370" s="72">
        <v>0</v>
      </c>
      <c r="DC370" s="72">
        <v>0</v>
      </c>
      <c r="DD370" s="72">
        <v>0</v>
      </c>
      <c r="DE370" s="72">
        <v>0</v>
      </c>
      <c r="DF370" s="72">
        <v>0</v>
      </c>
      <c r="DG370" s="72">
        <v>0</v>
      </c>
      <c r="DH370" s="72">
        <v>0</v>
      </c>
      <c r="DI370" s="72">
        <v>0</v>
      </c>
      <c r="DJ370" s="72">
        <v>0</v>
      </c>
      <c r="DK370" s="72">
        <v>0</v>
      </c>
      <c r="DL370" s="72">
        <v>0</v>
      </c>
      <c r="DM370" s="72">
        <v>0</v>
      </c>
    </row>
    <row r="371" spans="1:117" x14ac:dyDescent="0.35">
      <c r="A371" s="7"/>
      <c r="B371" s="8" t="s">
        <v>625</v>
      </c>
      <c r="C371" s="9" t="s">
        <v>626</v>
      </c>
      <c r="D371" s="10" t="s">
        <v>594</v>
      </c>
      <c r="E371" s="8" t="s">
        <v>1206</v>
      </c>
      <c r="F371" s="10">
        <v>1002</v>
      </c>
      <c r="G371" s="10" t="s">
        <v>40</v>
      </c>
      <c r="H371" s="10" t="s">
        <v>41</v>
      </c>
      <c r="I371" s="11">
        <v>4</v>
      </c>
      <c r="J371" s="10"/>
      <c r="K371" s="10"/>
      <c r="L371" s="8"/>
      <c r="M371" s="12">
        <v>525</v>
      </c>
      <c r="N371" s="12">
        <f t="shared" si="7"/>
        <v>525</v>
      </c>
      <c r="O371" s="11">
        <v>1</v>
      </c>
      <c r="P371" s="11">
        <v>1</v>
      </c>
      <c r="Q371" s="11">
        <v>1</v>
      </c>
      <c r="R371" s="11">
        <v>1</v>
      </c>
      <c r="S371" s="11">
        <v>1</v>
      </c>
      <c r="T371" s="11">
        <v>1</v>
      </c>
      <c r="U371" s="11">
        <v>1</v>
      </c>
      <c r="V371" s="11">
        <v>1</v>
      </c>
      <c r="W371" s="11">
        <v>1</v>
      </c>
      <c r="X371" s="11">
        <v>1</v>
      </c>
      <c r="Y371" s="11">
        <v>1</v>
      </c>
      <c r="Z371" s="11">
        <v>1</v>
      </c>
      <c r="AA371" s="11">
        <v>1</v>
      </c>
      <c r="AB371" s="11">
        <v>1</v>
      </c>
      <c r="AC371" s="11">
        <v>6</v>
      </c>
      <c r="AD371" s="11">
        <v>6</v>
      </c>
      <c r="AE371" s="11">
        <v>6</v>
      </c>
      <c r="AF371" s="11">
        <v>6</v>
      </c>
      <c r="AG371" s="11">
        <v>6</v>
      </c>
      <c r="AH371" s="11">
        <v>6</v>
      </c>
      <c r="AI371" s="11">
        <v>6</v>
      </c>
      <c r="AJ371" s="11">
        <v>4</v>
      </c>
      <c r="AK371" s="11">
        <v>4</v>
      </c>
      <c r="AL371" s="11">
        <v>4</v>
      </c>
      <c r="AM371" s="11">
        <v>4</v>
      </c>
      <c r="AN371" s="72">
        <v>1</v>
      </c>
      <c r="AO371" s="72">
        <v>1</v>
      </c>
      <c r="AP371" s="72">
        <v>1</v>
      </c>
      <c r="AQ371" s="72">
        <v>1</v>
      </c>
      <c r="AR371" s="72">
        <v>1</v>
      </c>
      <c r="AS371" s="72">
        <v>1</v>
      </c>
      <c r="AT371" s="72">
        <v>1</v>
      </c>
      <c r="AU371" s="72">
        <v>1</v>
      </c>
      <c r="AV371" s="72">
        <v>1</v>
      </c>
      <c r="AW371" s="72">
        <v>1</v>
      </c>
      <c r="AX371" s="72">
        <v>1</v>
      </c>
      <c r="AY371" s="72">
        <v>1</v>
      </c>
      <c r="AZ371" s="72">
        <v>1</v>
      </c>
      <c r="BA371" s="72">
        <v>1</v>
      </c>
      <c r="BB371" s="72">
        <v>1</v>
      </c>
      <c r="BC371" s="72">
        <v>1</v>
      </c>
      <c r="BD371" s="72">
        <v>1</v>
      </c>
      <c r="BE371" s="72">
        <v>1</v>
      </c>
      <c r="BF371" s="72">
        <v>1</v>
      </c>
      <c r="BG371" s="72">
        <v>1</v>
      </c>
      <c r="BH371" s="72">
        <v>1</v>
      </c>
      <c r="BI371" s="72">
        <v>1</v>
      </c>
      <c r="BJ371" s="72">
        <v>1</v>
      </c>
      <c r="BK371" s="72">
        <v>1</v>
      </c>
      <c r="BL371" s="72">
        <v>1</v>
      </c>
      <c r="BM371" s="72">
        <v>1</v>
      </c>
      <c r="BN371" s="72">
        <v>1</v>
      </c>
      <c r="BO371" s="72">
        <v>1</v>
      </c>
      <c r="BP371" s="72">
        <v>1</v>
      </c>
      <c r="BQ371" s="72">
        <v>1</v>
      </c>
      <c r="BR371" s="72">
        <v>1</v>
      </c>
      <c r="BS371" s="72">
        <v>1</v>
      </c>
      <c r="BT371" s="72">
        <v>1</v>
      </c>
      <c r="BU371" s="72">
        <v>1</v>
      </c>
      <c r="BV371" s="72">
        <v>1</v>
      </c>
      <c r="BW371" s="72">
        <v>1</v>
      </c>
      <c r="BX371" s="72">
        <v>1</v>
      </c>
      <c r="BY371" s="72">
        <v>1</v>
      </c>
      <c r="BZ371" s="72">
        <v>1</v>
      </c>
      <c r="CA371" s="72">
        <v>1</v>
      </c>
      <c r="CB371" s="72">
        <v>1</v>
      </c>
      <c r="CC371" s="72">
        <v>1</v>
      </c>
      <c r="CD371" s="72">
        <v>1</v>
      </c>
      <c r="CE371" s="72">
        <v>1</v>
      </c>
      <c r="CF371" s="72">
        <v>1</v>
      </c>
      <c r="CG371" s="72">
        <v>1</v>
      </c>
      <c r="CH371" s="72">
        <v>1</v>
      </c>
      <c r="CI371" s="72">
        <v>1</v>
      </c>
      <c r="CJ371" s="72">
        <v>1</v>
      </c>
      <c r="CK371" s="72">
        <v>1</v>
      </c>
      <c r="CL371" s="72">
        <v>1</v>
      </c>
      <c r="CM371" s="72">
        <v>1</v>
      </c>
      <c r="CN371" s="72">
        <v>1</v>
      </c>
      <c r="CO371" s="72">
        <v>1</v>
      </c>
      <c r="CP371" s="72">
        <v>1</v>
      </c>
      <c r="CQ371" s="72">
        <v>1</v>
      </c>
      <c r="CR371" s="72">
        <v>1</v>
      </c>
      <c r="CS371" s="72">
        <v>1</v>
      </c>
      <c r="CT371" s="72">
        <v>1</v>
      </c>
      <c r="CU371" s="72">
        <v>1</v>
      </c>
      <c r="CV371" s="72">
        <v>1</v>
      </c>
      <c r="CW371" s="72">
        <v>1</v>
      </c>
      <c r="CX371" s="72">
        <v>1</v>
      </c>
      <c r="CY371" s="72">
        <v>1</v>
      </c>
      <c r="CZ371" s="72">
        <v>1</v>
      </c>
      <c r="DA371" s="72">
        <v>1</v>
      </c>
      <c r="DB371" s="72">
        <v>1</v>
      </c>
      <c r="DC371" s="72">
        <v>1</v>
      </c>
      <c r="DD371" s="72">
        <v>1</v>
      </c>
      <c r="DE371" s="72">
        <v>1</v>
      </c>
      <c r="DF371" s="72">
        <v>1</v>
      </c>
      <c r="DG371" s="72">
        <v>1</v>
      </c>
      <c r="DH371" s="72">
        <v>1</v>
      </c>
      <c r="DI371" s="72">
        <v>1</v>
      </c>
      <c r="DJ371" s="72">
        <v>1</v>
      </c>
      <c r="DK371" s="72">
        <v>1</v>
      </c>
      <c r="DL371" s="72">
        <v>1</v>
      </c>
      <c r="DM371" s="72">
        <v>1</v>
      </c>
    </row>
    <row r="372" spans="1:117" x14ac:dyDescent="0.35">
      <c r="A372" s="7"/>
      <c r="B372" s="8" t="s">
        <v>627</v>
      </c>
      <c r="C372" s="9" t="s">
        <v>628</v>
      </c>
      <c r="D372" s="10" t="s">
        <v>594</v>
      </c>
      <c r="E372" s="8" t="s">
        <v>1206</v>
      </c>
      <c r="F372" s="10">
        <v>1002</v>
      </c>
      <c r="G372" s="10" t="s">
        <v>40</v>
      </c>
      <c r="H372" s="10" t="s">
        <v>41</v>
      </c>
      <c r="I372" s="11">
        <v>18</v>
      </c>
      <c r="J372" s="10"/>
      <c r="K372" s="10"/>
      <c r="L372" s="8" t="s">
        <v>629</v>
      </c>
      <c r="M372" s="12">
        <v>433.49</v>
      </c>
      <c r="N372" s="12">
        <f t="shared" si="7"/>
        <v>26876.38</v>
      </c>
      <c r="O372" s="11">
        <v>33</v>
      </c>
      <c r="P372" s="11">
        <v>33</v>
      </c>
      <c r="Q372" s="11">
        <v>38</v>
      </c>
      <c r="R372" s="11">
        <v>38</v>
      </c>
      <c r="S372" s="11">
        <v>38</v>
      </c>
      <c r="T372" s="11">
        <v>35</v>
      </c>
      <c r="U372" s="11">
        <v>24</v>
      </c>
      <c r="V372" s="11">
        <v>29</v>
      </c>
      <c r="W372" s="11">
        <v>29</v>
      </c>
      <c r="X372" s="11">
        <v>22</v>
      </c>
      <c r="Y372" s="11">
        <v>7</v>
      </c>
      <c r="Z372" s="11">
        <v>12</v>
      </c>
      <c r="AA372" s="11">
        <v>12</v>
      </c>
      <c r="AB372" s="11">
        <v>22</v>
      </c>
      <c r="AC372" s="11">
        <v>22</v>
      </c>
      <c r="AD372" s="11">
        <v>10</v>
      </c>
      <c r="AE372" s="11">
        <v>10</v>
      </c>
      <c r="AF372" s="11">
        <v>22</v>
      </c>
      <c r="AG372" s="11">
        <v>22</v>
      </c>
      <c r="AH372" s="11">
        <v>17</v>
      </c>
      <c r="AI372" s="11">
        <v>17</v>
      </c>
      <c r="AJ372" s="11">
        <v>18</v>
      </c>
      <c r="AK372" s="11">
        <v>18</v>
      </c>
      <c r="AL372" s="11">
        <v>18</v>
      </c>
      <c r="AM372" s="11">
        <v>18</v>
      </c>
      <c r="AN372" s="72">
        <v>17</v>
      </c>
      <c r="AO372" s="72">
        <v>100</v>
      </c>
      <c r="AP372" s="72">
        <v>100</v>
      </c>
      <c r="AQ372" s="72">
        <v>99</v>
      </c>
      <c r="AR372" s="72">
        <v>94</v>
      </c>
      <c r="AS372" s="72">
        <v>93</v>
      </c>
      <c r="AT372" s="72">
        <v>93</v>
      </c>
      <c r="AU372" s="72">
        <v>93</v>
      </c>
      <c r="AV372" s="72">
        <v>93</v>
      </c>
      <c r="AW372" s="72">
        <v>51</v>
      </c>
      <c r="AX372" s="72">
        <v>51</v>
      </c>
      <c r="AY372" s="72">
        <v>51</v>
      </c>
      <c r="AZ372" s="72">
        <v>50</v>
      </c>
      <c r="BA372" s="72">
        <v>47</v>
      </c>
      <c r="BB372" s="72">
        <v>43</v>
      </c>
      <c r="BC372" s="72">
        <v>42</v>
      </c>
      <c r="BD372" s="72">
        <v>33</v>
      </c>
      <c r="BE372" s="72">
        <v>24</v>
      </c>
      <c r="BF372" s="72">
        <v>17</v>
      </c>
      <c r="BG372" s="72">
        <v>17</v>
      </c>
      <c r="BH372" s="72">
        <v>13</v>
      </c>
      <c r="BI372" s="72">
        <v>13</v>
      </c>
      <c r="BJ372" s="72">
        <v>6</v>
      </c>
      <c r="BK372" s="72">
        <v>13</v>
      </c>
      <c r="BL372" s="72">
        <v>13</v>
      </c>
      <c r="BM372" s="72">
        <v>12</v>
      </c>
      <c r="BN372" s="72">
        <v>9</v>
      </c>
      <c r="BO372" s="72">
        <v>28</v>
      </c>
      <c r="BP372" s="72">
        <v>20</v>
      </c>
      <c r="BQ372" s="72">
        <v>8</v>
      </c>
      <c r="BR372" s="72">
        <v>8</v>
      </c>
      <c r="BS372" s="72">
        <v>8</v>
      </c>
      <c r="BT372" s="72">
        <v>8</v>
      </c>
      <c r="BU372" s="72">
        <v>8</v>
      </c>
      <c r="BV372" s="72">
        <v>8</v>
      </c>
      <c r="BW372" s="72">
        <v>8</v>
      </c>
      <c r="BX372" s="72">
        <v>8</v>
      </c>
      <c r="BY372" s="72">
        <v>7</v>
      </c>
      <c r="BZ372" s="72">
        <v>2</v>
      </c>
      <c r="CA372" s="72">
        <v>1</v>
      </c>
      <c r="CB372" s="72">
        <v>0</v>
      </c>
      <c r="CC372" s="72">
        <v>0</v>
      </c>
      <c r="CD372" s="72">
        <v>0</v>
      </c>
      <c r="CE372" s="72">
        <v>0</v>
      </c>
      <c r="CF372" s="72">
        <v>0</v>
      </c>
      <c r="CG372" s="72">
        <v>0</v>
      </c>
      <c r="CH372" s="72">
        <v>0</v>
      </c>
      <c r="CI372" s="72">
        <v>0</v>
      </c>
      <c r="CJ372" s="72">
        <v>32</v>
      </c>
      <c r="CK372" s="72">
        <v>32</v>
      </c>
      <c r="CL372" s="72">
        <v>23</v>
      </c>
      <c r="CM372" s="72">
        <v>23</v>
      </c>
      <c r="CN372" s="72">
        <v>22</v>
      </c>
      <c r="CO372" s="72">
        <v>21</v>
      </c>
      <c r="CP372" s="72">
        <v>17</v>
      </c>
      <c r="CQ372" s="72">
        <v>17</v>
      </c>
      <c r="CR372" s="72">
        <v>35</v>
      </c>
      <c r="CS372" s="72">
        <v>32</v>
      </c>
      <c r="CT372" s="72">
        <v>32</v>
      </c>
      <c r="CU372" s="72">
        <v>32</v>
      </c>
      <c r="CV372" s="72">
        <v>51</v>
      </c>
      <c r="CW372" s="72">
        <v>49</v>
      </c>
      <c r="CX372" s="72">
        <v>48</v>
      </c>
      <c r="CY372" s="72">
        <v>88</v>
      </c>
      <c r="CZ372" s="72">
        <v>88</v>
      </c>
      <c r="DA372" s="72">
        <v>88</v>
      </c>
      <c r="DB372" s="72">
        <v>88</v>
      </c>
      <c r="DC372" s="72">
        <v>88</v>
      </c>
      <c r="DD372" s="72">
        <v>82</v>
      </c>
      <c r="DE372" s="72">
        <v>80</v>
      </c>
      <c r="DF372" s="72">
        <v>78</v>
      </c>
      <c r="DG372" s="72">
        <v>78</v>
      </c>
      <c r="DH372" s="72">
        <v>74</v>
      </c>
      <c r="DI372" s="72">
        <v>73</v>
      </c>
      <c r="DJ372" s="72">
        <v>73</v>
      </c>
      <c r="DK372" s="72">
        <v>72</v>
      </c>
      <c r="DL372" s="72">
        <v>72</v>
      </c>
      <c r="DM372" s="72">
        <v>62</v>
      </c>
    </row>
    <row r="373" spans="1:117" x14ac:dyDescent="0.35">
      <c r="A373" s="7"/>
      <c r="B373" s="8" t="s">
        <v>630</v>
      </c>
      <c r="C373" s="9" t="s">
        <v>631</v>
      </c>
      <c r="D373" s="10" t="s">
        <v>594</v>
      </c>
      <c r="E373" s="8" t="s">
        <v>1206</v>
      </c>
      <c r="F373" s="10">
        <v>1002</v>
      </c>
      <c r="G373" s="10" t="s">
        <v>40</v>
      </c>
      <c r="H373" s="10" t="s">
        <v>41</v>
      </c>
      <c r="I373" s="11">
        <v>1</v>
      </c>
      <c r="J373" s="10"/>
      <c r="K373" s="10"/>
      <c r="L373" s="8" t="s">
        <v>632</v>
      </c>
      <c r="M373" s="12"/>
      <c r="N373" s="12">
        <f t="shared" si="7"/>
        <v>0</v>
      </c>
      <c r="O373" s="11"/>
      <c r="P373" s="11"/>
      <c r="Q373" s="11"/>
      <c r="R373" s="11"/>
      <c r="S373" s="11"/>
      <c r="T373" s="11"/>
      <c r="U373" s="11"/>
      <c r="V373" s="11"/>
      <c r="W373" s="11"/>
      <c r="X373" s="11"/>
      <c r="Y373" s="11"/>
      <c r="Z373" s="11"/>
      <c r="AA373" s="11"/>
      <c r="AB373" s="11"/>
      <c r="AC373" s="11"/>
      <c r="AD373" s="11"/>
      <c r="AE373" s="11"/>
      <c r="AF373" s="11"/>
      <c r="AG373" s="11"/>
      <c r="AH373" s="11">
        <v>1</v>
      </c>
      <c r="AI373" s="11">
        <v>1</v>
      </c>
      <c r="AJ373" s="11">
        <v>1</v>
      </c>
      <c r="AK373" s="11">
        <v>1</v>
      </c>
      <c r="AL373" s="11">
        <v>1</v>
      </c>
      <c r="AM373" s="11">
        <v>1</v>
      </c>
      <c r="AN373" s="72">
        <v>1</v>
      </c>
      <c r="AO373" s="72">
        <v>1</v>
      </c>
      <c r="AP373" s="72">
        <v>1</v>
      </c>
      <c r="AQ373" s="72">
        <v>1</v>
      </c>
      <c r="AR373" s="72">
        <v>1</v>
      </c>
      <c r="AS373" s="72">
        <v>1</v>
      </c>
      <c r="AT373" s="72">
        <v>1</v>
      </c>
      <c r="AU373" s="72">
        <v>1</v>
      </c>
      <c r="AV373" s="72">
        <v>1</v>
      </c>
      <c r="AW373" s="72">
        <v>1</v>
      </c>
      <c r="AX373" s="72">
        <v>1</v>
      </c>
      <c r="AY373" s="72">
        <v>1</v>
      </c>
      <c r="AZ373" s="72">
        <v>0</v>
      </c>
      <c r="BA373" s="72">
        <v>0</v>
      </c>
      <c r="BB373" s="72">
        <v>0</v>
      </c>
      <c r="BC373" s="72">
        <v>0</v>
      </c>
      <c r="BD373" s="72">
        <v>0</v>
      </c>
      <c r="BE373" s="72">
        <v>0</v>
      </c>
      <c r="BF373" s="72">
        <v>0</v>
      </c>
      <c r="BG373" s="72">
        <v>0</v>
      </c>
      <c r="BH373" s="72">
        <v>0</v>
      </c>
      <c r="BI373" s="72">
        <v>0</v>
      </c>
      <c r="BJ373" s="72">
        <v>0</v>
      </c>
      <c r="BK373" s="72">
        <v>0</v>
      </c>
      <c r="BL373" s="72">
        <v>0</v>
      </c>
      <c r="BM373" s="72">
        <v>0</v>
      </c>
      <c r="BN373" s="72">
        <v>0</v>
      </c>
      <c r="BO373" s="72">
        <v>0</v>
      </c>
      <c r="BP373" s="72">
        <v>0</v>
      </c>
      <c r="BQ373" s="72">
        <v>0</v>
      </c>
      <c r="BR373" s="72">
        <v>1</v>
      </c>
      <c r="BS373" s="72">
        <v>0</v>
      </c>
      <c r="BT373" s="72">
        <v>0</v>
      </c>
      <c r="BU373" s="72">
        <v>0</v>
      </c>
      <c r="BV373" s="72">
        <v>0</v>
      </c>
      <c r="BW373" s="72">
        <v>0</v>
      </c>
      <c r="BX373" s="72">
        <v>0</v>
      </c>
      <c r="BY373" s="72">
        <v>0</v>
      </c>
      <c r="BZ373" s="72">
        <v>0</v>
      </c>
      <c r="CA373" s="72">
        <v>0</v>
      </c>
      <c r="CB373" s="72">
        <v>0</v>
      </c>
      <c r="CC373" s="72">
        <v>0</v>
      </c>
      <c r="CD373" s="72">
        <v>0</v>
      </c>
      <c r="CE373" s="72">
        <v>0</v>
      </c>
      <c r="CF373" s="72">
        <v>0</v>
      </c>
      <c r="CG373" s="72">
        <v>0</v>
      </c>
      <c r="CH373" s="72">
        <v>0</v>
      </c>
      <c r="CI373" s="72">
        <v>0</v>
      </c>
      <c r="CJ373" s="72">
        <v>0</v>
      </c>
      <c r="CK373" s="72">
        <v>0</v>
      </c>
      <c r="CL373" s="72">
        <v>0</v>
      </c>
      <c r="CM373" s="72">
        <v>0</v>
      </c>
      <c r="CN373" s="72">
        <v>0</v>
      </c>
      <c r="CO373" s="72">
        <v>0</v>
      </c>
      <c r="CP373" s="72">
        <v>0</v>
      </c>
      <c r="CQ373" s="72">
        <v>0</v>
      </c>
      <c r="CR373" s="72">
        <v>0</v>
      </c>
      <c r="CS373" s="72">
        <v>0</v>
      </c>
      <c r="CT373" s="72">
        <v>0</v>
      </c>
      <c r="CU373" s="72">
        <v>0</v>
      </c>
      <c r="CV373" s="72">
        <v>0</v>
      </c>
      <c r="CW373" s="72">
        <v>0</v>
      </c>
      <c r="CX373" s="72">
        <v>0</v>
      </c>
      <c r="CY373" s="72">
        <v>0</v>
      </c>
      <c r="CZ373" s="72">
        <v>0</v>
      </c>
      <c r="DA373" s="72">
        <v>0</v>
      </c>
      <c r="DB373" s="72">
        <v>0</v>
      </c>
      <c r="DC373" s="72">
        <v>0</v>
      </c>
      <c r="DD373" s="72">
        <v>0</v>
      </c>
      <c r="DE373" s="72">
        <v>0</v>
      </c>
      <c r="DF373" s="72">
        <v>0</v>
      </c>
      <c r="DG373" s="72">
        <v>0</v>
      </c>
      <c r="DH373" s="72">
        <v>0</v>
      </c>
      <c r="DI373" s="72">
        <v>0</v>
      </c>
      <c r="DJ373" s="72">
        <v>0</v>
      </c>
      <c r="DK373" s="72">
        <v>0</v>
      </c>
      <c r="DL373" s="72">
        <v>0</v>
      </c>
      <c r="DM373" s="72">
        <v>0</v>
      </c>
    </row>
    <row r="374" spans="1:117" x14ac:dyDescent="0.35">
      <c r="A374" s="7"/>
      <c r="B374" s="8" t="s">
        <v>633</v>
      </c>
      <c r="C374" s="9" t="s">
        <v>634</v>
      </c>
      <c r="D374" s="10" t="s">
        <v>594</v>
      </c>
      <c r="E374" s="8" t="s">
        <v>1206</v>
      </c>
      <c r="F374" s="10">
        <v>1002</v>
      </c>
      <c r="G374" s="10" t="s">
        <v>40</v>
      </c>
      <c r="H374" s="10" t="s">
        <v>41</v>
      </c>
      <c r="I374" s="11">
        <v>5</v>
      </c>
      <c r="J374" s="10"/>
      <c r="K374" s="10"/>
      <c r="L374" s="8"/>
      <c r="M374" s="12">
        <v>813.96</v>
      </c>
      <c r="N374" s="12">
        <f t="shared" si="7"/>
        <v>0</v>
      </c>
      <c r="O374" s="11">
        <v>5</v>
      </c>
      <c r="P374" s="11">
        <v>5</v>
      </c>
      <c r="Q374" s="11">
        <v>5</v>
      </c>
      <c r="R374" s="11">
        <v>5</v>
      </c>
      <c r="S374" s="11">
        <v>5</v>
      </c>
      <c r="T374" s="11">
        <v>5</v>
      </c>
      <c r="U374" s="11">
        <v>5</v>
      </c>
      <c r="V374" s="11">
        <v>0</v>
      </c>
      <c r="W374" s="11">
        <v>0</v>
      </c>
      <c r="X374" s="11">
        <v>0</v>
      </c>
      <c r="Y374" s="11">
        <v>0</v>
      </c>
      <c r="Z374" s="11">
        <v>5</v>
      </c>
      <c r="AA374" s="11">
        <v>5</v>
      </c>
      <c r="AB374" s="11">
        <v>5</v>
      </c>
      <c r="AC374" s="11">
        <v>5</v>
      </c>
      <c r="AD374" s="11">
        <v>5</v>
      </c>
      <c r="AE374" s="11">
        <v>5</v>
      </c>
      <c r="AF374" s="11">
        <v>5</v>
      </c>
      <c r="AG374" s="11">
        <v>5</v>
      </c>
      <c r="AH374" s="11">
        <v>5</v>
      </c>
      <c r="AI374" s="11">
        <v>5</v>
      </c>
      <c r="AJ374" s="11">
        <v>5</v>
      </c>
      <c r="AK374" s="11">
        <v>5</v>
      </c>
      <c r="AL374" s="11">
        <v>5</v>
      </c>
      <c r="AM374" s="11">
        <v>5</v>
      </c>
      <c r="AN374" s="72">
        <v>5</v>
      </c>
      <c r="AO374" s="72">
        <v>5</v>
      </c>
      <c r="AP374" s="72">
        <v>5</v>
      </c>
      <c r="AQ374" s="72">
        <v>5</v>
      </c>
      <c r="AR374" s="72">
        <v>5</v>
      </c>
      <c r="AS374" s="72">
        <v>5</v>
      </c>
      <c r="AT374" s="72">
        <v>5</v>
      </c>
      <c r="AU374" s="72">
        <v>5</v>
      </c>
      <c r="AV374" s="72">
        <v>5</v>
      </c>
      <c r="AW374" s="72">
        <v>5</v>
      </c>
      <c r="AX374" s="72">
        <v>5</v>
      </c>
      <c r="AY374" s="72">
        <v>5</v>
      </c>
      <c r="AZ374" s="72">
        <v>5</v>
      </c>
      <c r="BA374" s="72">
        <v>5</v>
      </c>
      <c r="BB374" s="72">
        <v>5</v>
      </c>
      <c r="BC374" s="72">
        <v>5</v>
      </c>
      <c r="BD374" s="72">
        <v>5</v>
      </c>
      <c r="BE374" s="72">
        <v>5</v>
      </c>
      <c r="BF374" s="72">
        <v>5</v>
      </c>
      <c r="BG374" s="72">
        <v>5</v>
      </c>
      <c r="BH374" s="72">
        <v>5</v>
      </c>
      <c r="BI374" s="72">
        <v>5</v>
      </c>
      <c r="BJ374" s="72">
        <v>5</v>
      </c>
      <c r="BK374" s="72">
        <v>5</v>
      </c>
      <c r="BL374" s="72">
        <v>5</v>
      </c>
      <c r="BM374" s="72">
        <v>5</v>
      </c>
      <c r="BN374" s="72">
        <v>3</v>
      </c>
      <c r="BO374" s="72">
        <v>3</v>
      </c>
      <c r="BP374" s="72">
        <v>3</v>
      </c>
      <c r="BQ374" s="72">
        <v>3</v>
      </c>
      <c r="BR374" s="72">
        <v>0</v>
      </c>
      <c r="BS374" s="72">
        <v>0</v>
      </c>
      <c r="BT374" s="72">
        <v>0</v>
      </c>
      <c r="BU374" s="72">
        <v>0</v>
      </c>
      <c r="BV374" s="72">
        <v>0</v>
      </c>
      <c r="BW374" s="72">
        <v>0</v>
      </c>
      <c r="BX374" s="72">
        <v>0</v>
      </c>
      <c r="BY374" s="72">
        <v>0</v>
      </c>
      <c r="BZ374" s="72">
        <v>0</v>
      </c>
      <c r="CA374" s="72">
        <v>0</v>
      </c>
      <c r="CB374" s="72">
        <v>0</v>
      </c>
      <c r="CC374" s="72">
        <v>0</v>
      </c>
      <c r="CD374" s="72">
        <v>0</v>
      </c>
      <c r="CE374" s="72">
        <v>0</v>
      </c>
      <c r="CF374" s="72">
        <v>0</v>
      </c>
      <c r="CG374" s="72">
        <v>0</v>
      </c>
      <c r="CH374" s="72">
        <v>0</v>
      </c>
      <c r="CI374" s="72">
        <v>0</v>
      </c>
      <c r="CJ374" s="72">
        <v>0</v>
      </c>
      <c r="CK374" s="72">
        <v>0</v>
      </c>
      <c r="CL374" s="72">
        <v>0</v>
      </c>
      <c r="CM374" s="72">
        <v>0</v>
      </c>
      <c r="CN374" s="72">
        <v>0</v>
      </c>
      <c r="CO374" s="72">
        <v>0</v>
      </c>
      <c r="CP374" s="72">
        <v>0</v>
      </c>
      <c r="CQ374" s="72">
        <v>0</v>
      </c>
      <c r="CR374" s="72">
        <v>0</v>
      </c>
      <c r="CS374" s="72">
        <v>0</v>
      </c>
      <c r="CT374" s="72">
        <v>0</v>
      </c>
      <c r="CU374" s="72">
        <v>0</v>
      </c>
      <c r="CV374" s="72">
        <v>0</v>
      </c>
      <c r="CW374" s="72">
        <v>0</v>
      </c>
      <c r="CX374" s="72">
        <v>0</v>
      </c>
      <c r="CY374" s="72">
        <v>0</v>
      </c>
      <c r="CZ374" s="72">
        <v>0</v>
      </c>
      <c r="DA374" s="72">
        <v>0</v>
      </c>
      <c r="DB374" s="72">
        <v>0</v>
      </c>
      <c r="DC374" s="72">
        <v>0</v>
      </c>
      <c r="DD374" s="72">
        <v>0</v>
      </c>
      <c r="DE374" s="72">
        <v>0</v>
      </c>
      <c r="DF374" s="72">
        <v>0</v>
      </c>
      <c r="DG374" s="72">
        <v>0</v>
      </c>
      <c r="DH374" s="72">
        <v>0</v>
      </c>
      <c r="DI374" s="72">
        <v>0</v>
      </c>
      <c r="DJ374" s="72">
        <v>0</v>
      </c>
      <c r="DK374" s="72">
        <v>0</v>
      </c>
      <c r="DL374" s="72">
        <v>0</v>
      </c>
      <c r="DM374" s="72">
        <v>0</v>
      </c>
    </row>
    <row r="375" spans="1:117" x14ac:dyDescent="0.35">
      <c r="A375" s="7"/>
      <c r="B375" s="21" t="s">
        <v>635</v>
      </c>
      <c r="C375" s="22" t="s">
        <v>636</v>
      </c>
      <c r="D375" s="10" t="s">
        <v>594</v>
      </c>
      <c r="E375" s="8" t="s">
        <v>1205</v>
      </c>
      <c r="F375" s="23">
        <v>1006</v>
      </c>
      <c r="G375" s="10" t="s">
        <v>40</v>
      </c>
      <c r="H375" s="10" t="s">
        <v>41</v>
      </c>
      <c r="I375" s="11">
        <v>0</v>
      </c>
      <c r="J375" s="23"/>
      <c r="K375" s="10"/>
      <c r="L375" s="8"/>
      <c r="M375" s="12"/>
      <c r="N375" s="12">
        <f t="shared" si="7"/>
        <v>0</v>
      </c>
      <c r="O375" s="11">
        <v>32</v>
      </c>
      <c r="P375" s="11">
        <v>32</v>
      </c>
      <c r="Q375" s="11">
        <v>32</v>
      </c>
      <c r="R375" s="11">
        <v>32</v>
      </c>
      <c r="S375" s="11">
        <v>32</v>
      </c>
      <c r="T375" s="11">
        <v>32</v>
      </c>
      <c r="U375" s="11">
        <v>32</v>
      </c>
      <c r="V375" s="11">
        <v>32</v>
      </c>
      <c r="W375" s="11">
        <v>32</v>
      </c>
      <c r="X375" s="11">
        <v>32</v>
      </c>
      <c r="Y375" s="11">
        <v>0</v>
      </c>
      <c r="Z375" s="11">
        <v>0</v>
      </c>
      <c r="AA375" s="11">
        <v>0</v>
      </c>
      <c r="AB375" s="11">
        <v>0</v>
      </c>
      <c r="AC375" s="11">
        <v>0</v>
      </c>
      <c r="AD375" s="11">
        <v>0</v>
      </c>
      <c r="AE375" s="11">
        <v>0</v>
      </c>
      <c r="AF375" s="11">
        <v>0</v>
      </c>
      <c r="AG375" s="11">
        <v>0</v>
      </c>
      <c r="AH375" s="11">
        <v>0</v>
      </c>
      <c r="AI375" s="11">
        <v>0</v>
      </c>
      <c r="AJ375" s="11">
        <v>0</v>
      </c>
      <c r="AK375" s="11">
        <v>0</v>
      </c>
      <c r="AL375" s="11">
        <v>0</v>
      </c>
      <c r="AM375" s="11">
        <v>0</v>
      </c>
      <c r="AN375" s="72">
        <v>0</v>
      </c>
      <c r="AO375" s="72">
        <v>0</v>
      </c>
      <c r="AP375" s="72">
        <v>0</v>
      </c>
      <c r="AQ375" s="72">
        <v>0</v>
      </c>
      <c r="AR375" s="72">
        <v>0</v>
      </c>
      <c r="AS375" s="72">
        <v>0</v>
      </c>
      <c r="AT375" s="72">
        <v>0</v>
      </c>
      <c r="AU375" s="72">
        <v>0</v>
      </c>
      <c r="AV375" s="72">
        <v>0</v>
      </c>
      <c r="AW375" s="72">
        <v>0</v>
      </c>
      <c r="AX375" s="72">
        <v>0</v>
      </c>
      <c r="AY375" s="72">
        <v>0</v>
      </c>
      <c r="AZ375" s="72">
        <v>0</v>
      </c>
      <c r="BA375" s="72">
        <v>0</v>
      </c>
      <c r="BB375" s="72">
        <v>0</v>
      </c>
      <c r="BC375" s="72">
        <v>0</v>
      </c>
      <c r="BD375" s="72">
        <v>0</v>
      </c>
      <c r="BE375" s="72">
        <v>0</v>
      </c>
      <c r="BF375" s="72">
        <v>0</v>
      </c>
      <c r="BG375" s="72">
        <v>0</v>
      </c>
      <c r="BH375" s="72">
        <v>0</v>
      </c>
      <c r="BI375" s="72">
        <v>0</v>
      </c>
      <c r="BJ375" s="72">
        <v>0</v>
      </c>
      <c r="BK375" s="72">
        <v>0</v>
      </c>
      <c r="BL375" s="72">
        <v>0</v>
      </c>
      <c r="BM375" s="72">
        <v>0</v>
      </c>
      <c r="BN375" s="72">
        <v>0</v>
      </c>
      <c r="BO375" s="72">
        <v>0</v>
      </c>
      <c r="BP375" s="72">
        <v>0</v>
      </c>
      <c r="BQ375" s="72">
        <v>0</v>
      </c>
      <c r="BR375" s="72">
        <v>0</v>
      </c>
      <c r="BS375" s="72">
        <v>0</v>
      </c>
      <c r="BT375" s="72">
        <v>0</v>
      </c>
      <c r="BU375" s="72">
        <v>0</v>
      </c>
      <c r="BV375" s="72">
        <v>0</v>
      </c>
      <c r="BW375" s="72">
        <v>0</v>
      </c>
      <c r="BX375" s="72">
        <v>0</v>
      </c>
      <c r="BY375" s="72">
        <v>0</v>
      </c>
      <c r="BZ375" s="72">
        <v>0</v>
      </c>
      <c r="CA375" s="72">
        <v>0</v>
      </c>
      <c r="CB375" s="72">
        <v>0</v>
      </c>
      <c r="CC375" s="72">
        <v>0</v>
      </c>
      <c r="CD375" s="72">
        <v>0</v>
      </c>
      <c r="CE375" s="72">
        <v>0</v>
      </c>
      <c r="CF375" s="72">
        <v>0</v>
      </c>
      <c r="CG375" s="72">
        <v>0</v>
      </c>
      <c r="CH375" s="72">
        <v>0</v>
      </c>
      <c r="CI375" s="72">
        <v>0</v>
      </c>
      <c r="CJ375" s="72">
        <v>0</v>
      </c>
      <c r="CK375" s="72">
        <v>0</v>
      </c>
      <c r="CL375" s="72">
        <v>0</v>
      </c>
      <c r="CM375" s="72">
        <v>0</v>
      </c>
      <c r="CN375" s="72">
        <v>0</v>
      </c>
      <c r="CO375" s="72">
        <v>0</v>
      </c>
      <c r="CP375" s="72">
        <v>0</v>
      </c>
      <c r="CQ375" s="72">
        <v>0</v>
      </c>
      <c r="CR375" s="72">
        <v>0</v>
      </c>
      <c r="CS375" s="72">
        <v>0</v>
      </c>
      <c r="CT375" s="72">
        <v>0</v>
      </c>
      <c r="CU375" s="72">
        <v>0</v>
      </c>
      <c r="CV375" s="72">
        <v>0</v>
      </c>
      <c r="CW375" s="72">
        <v>0</v>
      </c>
      <c r="CX375" s="72">
        <v>0</v>
      </c>
      <c r="CY375" s="72">
        <v>0</v>
      </c>
      <c r="CZ375" s="72">
        <v>0</v>
      </c>
      <c r="DA375" s="72">
        <v>0</v>
      </c>
      <c r="DB375" s="72">
        <v>0</v>
      </c>
      <c r="DC375" s="72">
        <v>0</v>
      </c>
      <c r="DD375" s="72">
        <v>0</v>
      </c>
      <c r="DE375" s="72">
        <v>0</v>
      </c>
      <c r="DF375" s="72">
        <v>0</v>
      </c>
      <c r="DG375" s="72">
        <v>0</v>
      </c>
      <c r="DH375" s="72">
        <v>0</v>
      </c>
      <c r="DI375" s="72">
        <v>0</v>
      </c>
      <c r="DJ375" s="72">
        <v>0</v>
      </c>
      <c r="DK375" s="72">
        <v>52</v>
      </c>
      <c r="DL375" s="72">
        <v>52</v>
      </c>
      <c r="DM375" s="72">
        <v>52</v>
      </c>
    </row>
    <row r="376" spans="1:117" x14ac:dyDescent="0.35">
      <c r="A376" s="7"/>
      <c r="B376" s="8" t="s">
        <v>637</v>
      </c>
      <c r="C376" s="9" t="s">
        <v>638</v>
      </c>
      <c r="D376" s="10" t="s">
        <v>594</v>
      </c>
      <c r="E376" s="8" t="s">
        <v>1205</v>
      </c>
      <c r="F376" s="10">
        <v>1006</v>
      </c>
      <c r="G376" s="10" t="s">
        <v>40</v>
      </c>
      <c r="H376" s="10" t="s">
        <v>41</v>
      </c>
      <c r="I376" s="11">
        <v>2</v>
      </c>
      <c r="J376" s="10"/>
      <c r="K376" s="10" t="s">
        <v>42</v>
      </c>
      <c r="L376" s="8"/>
      <c r="M376" s="12">
        <v>17</v>
      </c>
      <c r="N376" s="12">
        <f t="shared" si="7"/>
        <v>0</v>
      </c>
      <c r="O376" s="11">
        <v>2</v>
      </c>
      <c r="P376" s="11">
        <v>2</v>
      </c>
      <c r="Q376" s="11">
        <v>2</v>
      </c>
      <c r="R376" s="11">
        <v>2</v>
      </c>
      <c r="S376" s="11">
        <v>2</v>
      </c>
      <c r="T376" s="11">
        <v>2</v>
      </c>
      <c r="U376" s="11">
        <v>2</v>
      </c>
      <c r="V376" s="11">
        <v>2</v>
      </c>
      <c r="W376" s="11">
        <v>2</v>
      </c>
      <c r="X376" s="11">
        <v>2</v>
      </c>
      <c r="Y376" s="11">
        <v>2</v>
      </c>
      <c r="Z376" s="11">
        <v>2</v>
      </c>
      <c r="AA376" s="11">
        <v>2</v>
      </c>
      <c r="AB376" s="11">
        <v>2</v>
      </c>
      <c r="AC376" s="11">
        <v>2</v>
      </c>
      <c r="AD376" s="11">
        <v>2</v>
      </c>
      <c r="AE376" s="11">
        <v>2</v>
      </c>
      <c r="AF376" s="11">
        <v>2</v>
      </c>
      <c r="AG376" s="11">
        <v>2</v>
      </c>
      <c r="AH376" s="11">
        <v>2</v>
      </c>
      <c r="AI376" s="11">
        <v>2</v>
      </c>
      <c r="AJ376" s="11">
        <v>2</v>
      </c>
      <c r="AK376" s="11">
        <v>2</v>
      </c>
      <c r="AL376" s="11">
        <v>2</v>
      </c>
      <c r="AM376" s="11">
        <v>2</v>
      </c>
      <c r="AN376" s="72">
        <v>2</v>
      </c>
      <c r="AO376" s="72">
        <v>2</v>
      </c>
      <c r="AP376" s="72">
        <v>2</v>
      </c>
      <c r="AQ376" s="72">
        <v>2</v>
      </c>
      <c r="AR376" s="72">
        <v>2</v>
      </c>
      <c r="AS376" s="72">
        <v>2</v>
      </c>
      <c r="AT376" s="72">
        <v>2</v>
      </c>
      <c r="AU376" s="72">
        <v>2</v>
      </c>
      <c r="AV376" s="72">
        <v>2</v>
      </c>
      <c r="AW376" s="72">
        <v>2</v>
      </c>
      <c r="AX376" s="72">
        <v>2</v>
      </c>
      <c r="AY376" s="72">
        <v>2</v>
      </c>
      <c r="AZ376" s="72">
        <v>2</v>
      </c>
      <c r="BA376" s="72">
        <v>2</v>
      </c>
      <c r="BB376" s="72">
        <v>2</v>
      </c>
      <c r="BC376" s="72">
        <v>2</v>
      </c>
      <c r="BD376" s="72">
        <v>2</v>
      </c>
      <c r="BE376" s="72">
        <v>2</v>
      </c>
      <c r="BF376" s="72">
        <v>2</v>
      </c>
      <c r="BG376" s="72">
        <v>2</v>
      </c>
      <c r="BH376" s="72">
        <v>2</v>
      </c>
      <c r="BI376" s="72">
        <v>2</v>
      </c>
      <c r="BJ376" s="72">
        <v>2</v>
      </c>
      <c r="BK376" s="72">
        <v>2</v>
      </c>
      <c r="BL376" s="72">
        <v>2</v>
      </c>
      <c r="BM376" s="72">
        <v>2</v>
      </c>
      <c r="BN376" s="72">
        <v>2</v>
      </c>
      <c r="BO376" s="72">
        <v>2</v>
      </c>
      <c r="BP376" s="72">
        <v>2</v>
      </c>
      <c r="BQ376" s="72">
        <v>2</v>
      </c>
      <c r="BR376" s="72">
        <v>2</v>
      </c>
      <c r="BS376" s="72">
        <v>2</v>
      </c>
      <c r="BT376" s="72">
        <v>2</v>
      </c>
      <c r="BU376" s="72">
        <v>2</v>
      </c>
      <c r="BV376" s="72">
        <v>2</v>
      </c>
      <c r="BW376" s="72">
        <v>2</v>
      </c>
      <c r="BX376" s="72">
        <v>2</v>
      </c>
      <c r="BY376" s="72">
        <v>2</v>
      </c>
      <c r="BZ376" s="72">
        <v>2</v>
      </c>
      <c r="CA376" s="72">
        <v>2</v>
      </c>
      <c r="CB376" s="72">
        <v>2</v>
      </c>
      <c r="CC376" s="72">
        <v>2</v>
      </c>
      <c r="CD376" s="72">
        <v>2</v>
      </c>
      <c r="CE376" s="72">
        <v>2</v>
      </c>
      <c r="CF376" s="72">
        <v>2</v>
      </c>
      <c r="CG376" s="72">
        <v>2</v>
      </c>
      <c r="CH376" s="72">
        <v>2</v>
      </c>
      <c r="CI376" s="72">
        <v>2</v>
      </c>
      <c r="CJ376" s="72">
        <v>2</v>
      </c>
      <c r="CK376" s="72">
        <v>2</v>
      </c>
      <c r="CL376" s="72">
        <v>2</v>
      </c>
      <c r="CM376" s="72">
        <v>2</v>
      </c>
      <c r="CN376" s="72">
        <v>2</v>
      </c>
      <c r="CO376" s="72">
        <v>2</v>
      </c>
      <c r="CP376" s="72">
        <v>2</v>
      </c>
      <c r="CQ376" s="72">
        <v>2</v>
      </c>
      <c r="CR376" s="72">
        <v>2</v>
      </c>
      <c r="CS376" s="72">
        <v>2</v>
      </c>
      <c r="CT376" s="72">
        <v>2</v>
      </c>
      <c r="CU376" s="72">
        <v>0</v>
      </c>
      <c r="CV376" s="72">
        <v>0</v>
      </c>
      <c r="CW376" s="72">
        <v>0</v>
      </c>
      <c r="CX376" s="72">
        <v>0</v>
      </c>
      <c r="CY376" s="72">
        <v>0</v>
      </c>
      <c r="CZ376" s="72">
        <v>0</v>
      </c>
      <c r="DA376" s="72">
        <v>0</v>
      </c>
      <c r="DB376" s="72">
        <v>0</v>
      </c>
      <c r="DC376" s="72">
        <v>0</v>
      </c>
      <c r="DD376" s="72">
        <v>0</v>
      </c>
      <c r="DE376" s="72">
        <v>0</v>
      </c>
      <c r="DF376" s="72">
        <v>0</v>
      </c>
      <c r="DG376" s="72">
        <v>0</v>
      </c>
      <c r="DH376" s="72">
        <v>0</v>
      </c>
      <c r="DI376" s="72">
        <v>0</v>
      </c>
      <c r="DJ376" s="72">
        <v>0</v>
      </c>
      <c r="DK376" s="72">
        <v>0</v>
      </c>
      <c r="DL376" s="72">
        <v>0</v>
      </c>
      <c r="DM376" s="72">
        <v>0</v>
      </c>
    </row>
    <row r="377" spans="1:117" x14ac:dyDescent="0.35">
      <c r="A377" s="7"/>
      <c r="B377" s="77" t="s">
        <v>1352</v>
      </c>
      <c r="C377" s="78" t="s">
        <v>1359</v>
      </c>
      <c r="D377" s="10" t="s">
        <v>594</v>
      </c>
      <c r="E377" s="8" t="s">
        <v>1206</v>
      </c>
      <c r="F377" s="10"/>
      <c r="G377" s="10"/>
      <c r="H377" s="10" t="s">
        <v>41</v>
      </c>
      <c r="I377" s="11"/>
      <c r="J377" s="10"/>
      <c r="K377" s="10"/>
      <c r="L377" s="8"/>
      <c r="M377" s="12">
        <v>200</v>
      </c>
      <c r="N377" s="12">
        <f t="shared" si="7"/>
        <v>400</v>
      </c>
      <c r="O377" s="11"/>
      <c r="P377" s="11"/>
      <c r="Q377" s="11"/>
      <c r="R377" s="11"/>
      <c r="S377" s="11"/>
      <c r="T377" s="11"/>
      <c r="U377" s="11"/>
      <c r="V377" s="11"/>
      <c r="W377" s="11"/>
      <c r="X377" s="11"/>
      <c r="Y377" s="11"/>
      <c r="Z377" s="11"/>
      <c r="AA377" s="11"/>
      <c r="AB377" s="11"/>
      <c r="AC377" s="11"/>
      <c r="AD377" s="11"/>
      <c r="AE377" s="11"/>
      <c r="AF377" s="11"/>
      <c r="AG377" s="11"/>
      <c r="AH377" s="11"/>
      <c r="AI377" s="11"/>
      <c r="AJ377" s="11"/>
      <c r="AK377" s="11"/>
      <c r="AL377" s="11"/>
      <c r="AM377" s="11"/>
      <c r="AN377" s="72"/>
      <c r="AO377" s="72"/>
      <c r="AP377" s="72"/>
      <c r="AQ377" s="72"/>
      <c r="AR377" s="72"/>
      <c r="AS377" s="72"/>
      <c r="AT377" s="72"/>
      <c r="AU377" s="72"/>
      <c r="AV377" s="72"/>
      <c r="AW377" s="72"/>
      <c r="AX377" s="72"/>
      <c r="AY377" s="72"/>
      <c r="AZ377" s="72"/>
      <c r="BA377" s="72"/>
      <c r="BB377" s="72"/>
      <c r="BC377" s="72"/>
      <c r="BD377" s="72"/>
      <c r="BE377" s="72"/>
      <c r="BF377" s="72"/>
      <c r="BG377" s="72"/>
      <c r="BH377" s="72"/>
      <c r="BI377" s="72"/>
      <c r="BJ377" s="72">
        <v>6</v>
      </c>
      <c r="BK377" s="72">
        <v>4</v>
      </c>
      <c r="BL377" s="72">
        <v>4</v>
      </c>
      <c r="BM377" s="72">
        <v>2</v>
      </c>
      <c r="BN377" s="72">
        <v>2</v>
      </c>
      <c r="BO377" s="72">
        <v>2</v>
      </c>
      <c r="BP377" s="72">
        <v>2</v>
      </c>
      <c r="BQ377" s="72">
        <v>2</v>
      </c>
      <c r="BR377" s="72">
        <v>2</v>
      </c>
      <c r="BS377" s="72">
        <v>2</v>
      </c>
      <c r="BT377" s="72">
        <v>2</v>
      </c>
      <c r="BU377" s="72">
        <v>2</v>
      </c>
      <c r="BV377" s="72">
        <v>2</v>
      </c>
      <c r="BW377" s="72">
        <v>2</v>
      </c>
      <c r="BX377" s="72">
        <v>2</v>
      </c>
      <c r="BY377" s="72">
        <v>2</v>
      </c>
      <c r="BZ377" s="72">
        <v>2</v>
      </c>
      <c r="CA377" s="72">
        <v>2</v>
      </c>
      <c r="CB377" s="72">
        <v>2</v>
      </c>
      <c r="CC377" s="72">
        <v>2</v>
      </c>
      <c r="CD377" s="72">
        <v>2</v>
      </c>
      <c r="CE377" s="72">
        <v>2</v>
      </c>
      <c r="CF377" s="72">
        <v>2</v>
      </c>
      <c r="CG377" s="72">
        <v>2</v>
      </c>
      <c r="CH377" s="72">
        <v>2</v>
      </c>
      <c r="CI377" s="72">
        <v>2</v>
      </c>
      <c r="CJ377" s="72">
        <v>2</v>
      </c>
      <c r="CK377" s="72">
        <v>2</v>
      </c>
      <c r="CL377" s="72">
        <v>2</v>
      </c>
      <c r="CM377" s="72">
        <v>2</v>
      </c>
      <c r="CN377" s="72">
        <v>2</v>
      </c>
      <c r="CO377" s="72">
        <v>2</v>
      </c>
      <c r="CP377" s="72">
        <v>2</v>
      </c>
      <c r="CQ377" s="72">
        <v>2</v>
      </c>
      <c r="CR377" s="72">
        <v>2</v>
      </c>
      <c r="CS377" s="72">
        <v>2</v>
      </c>
      <c r="CT377" s="72">
        <v>2</v>
      </c>
      <c r="CU377" s="72">
        <v>2</v>
      </c>
      <c r="CV377" s="72">
        <v>2</v>
      </c>
      <c r="CW377" s="72">
        <v>2</v>
      </c>
      <c r="CX377" s="72">
        <v>2</v>
      </c>
      <c r="CY377" s="72">
        <v>2</v>
      </c>
      <c r="CZ377" s="72">
        <v>2</v>
      </c>
      <c r="DA377" s="72">
        <v>2</v>
      </c>
      <c r="DB377" s="72">
        <v>2</v>
      </c>
      <c r="DC377" s="72">
        <v>2</v>
      </c>
      <c r="DD377" s="72">
        <v>2</v>
      </c>
      <c r="DE377" s="72">
        <v>2</v>
      </c>
      <c r="DF377" s="72">
        <v>2</v>
      </c>
      <c r="DG377" s="72">
        <v>2</v>
      </c>
      <c r="DH377" s="72">
        <v>2</v>
      </c>
      <c r="DI377" s="72">
        <v>2</v>
      </c>
      <c r="DJ377" s="72">
        <v>2</v>
      </c>
      <c r="DK377" s="72">
        <v>2</v>
      </c>
      <c r="DL377" s="72">
        <v>2</v>
      </c>
      <c r="DM377" s="72">
        <v>2</v>
      </c>
    </row>
    <row r="378" spans="1:117" x14ac:dyDescent="0.35">
      <c r="A378" s="7"/>
      <c r="B378" s="77" t="s">
        <v>1171</v>
      </c>
      <c r="C378" s="78" t="s">
        <v>1180</v>
      </c>
      <c r="D378" s="10" t="s">
        <v>594</v>
      </c>
      <c r="E378" s="8" t="s">
        <v>1206</v>
      </c>
      <c r="F378" s="10">
        <v>1006</v>
      </c>
      <c r="G378" s="10" t="s">
        <v>40</v>
      </c>
      <c r="H378" s="10" t="s">
        <v>41</v>
      </c>
      <c r="I378" s="11"/>
      <c r="J378" s="10"/>
      <c r="K378" s="10" t="s">
        <v>153</v>
      </c>
      <c r="L378" s="8"/>
      <c r="M378" s="12">
        <v>207.53</v>
      </c>
      <c r="N378" s="12">
        <f t="shared" si="7"/>
        <v>0</v>
      </c>
      <c r="O378" s="11"/>
      <c r="P378" s="11"/>
      <c r="Q378" s="11"/>
      <c r="R378" s="11"/>
      <c r="S378" s="11"/>
      <c r="T378" s="11"/>
      <c r="U378" s="11"/>
      <c r="V378" s="11"/>
      <c r="W378" s="11"/>
      <c r="X378" s="11"/>
      <c r="Y378" s="11"/>
      <c r="Z378" s="11"/>
      <c r="AA378" s="11"/>
      <c r="AB378" s="11"/>
      <c r="AC378" s="11"/>
      <c r="AD378" s="11"/>
      <c r="AE378" s="11"/>
      <c r="AF378" s="11"/>
      <c r="AG378" s="11"/>
      <c r="AH378" s="11"/>
      <c r="AI378" s="11"/>
      <c r="AJ378" s="11"/>
      <c r="AK378" s="11"/>
      <c r="AL378" s="11"/>
      <c r="AM378" s="11"/>
      <c r="AN378" s="72"/>
      <c r="AO378" s="72">
        <v>5</v>
      </c>
      <c r="AP378" s="72">
        <v>5</v>
      </c>
      <c r="AQ378" s="72">
        <v>5</v>
      </c>
      <c r="AR378" s="72">
        <v>5</v>
      </c>
      <c r="AS378" s="72">
        <v>5</v>
      </c>
      <c r="AT378" s="72">
        <v>5</v>
      </c>
      <c r="AU378" s="72">
        <v>5</v>
      </c>
      <c r="AV378" s="72">
        <v>5</v>
      </c>
      <c r="AW378" s="72">
        <v>5</v>
      </c>
      <c r="AX378" s="72">
        <v>5</v>
      </c>
      <c r="AY378" s="72">
        <v>5</v>
      </c>
      <c r="AZ378" s="72">
        <v>5</v>
      </c>
      <c r="BA378" s="72">
        <v>5</v>
      </c>
      <c r="BB378" s="72">
        <v>5</v>
      </c>
      <c r="BC378" s="72">
        <v>5</v>
      </c>
      <c r="BD378" s="72">
        <v>5</v>
      </c>
      <c r="BE378" s="72">
        <v>5</v>
      </c>
      <c r="BF378" s="72">
        <v>5</v>
      </c>
      <c r="BG378" s="72">
        <v>5</v>
      </c>
      <c r="BH378" s="72">
        <v>5</v>
      </c>
      <c r="BI378" s="72">
        <v>5</v>
      </c>
      <c r="BJ378" s="72">
        <v>5</v>
      </c>
      <c r="BK378" s="72">
        <v>5</v>
      </c>
      <c r="BL378" s="72">
        <v>5</v>
      </c>
      <c r="BM378" s="72">
        <v>5</v>
      </c>
      <c r="BN378" s="72">
        <v>5</v>
      </c>
      <c r="BO378" s="72">
        <v>5</v>
      </c>
      <c r="BP378" s="72">
        <v>5</v>
      </c>
      <c r="BQ378" s="72">
        <v>5</v>
      </c>
      <c r="BR378" s="72">
        <v>5</v>
      </c>
      <c r="BS378" s="72">
        <v>5</v>
      </c>
      <c r="BT378" s="72">
        <v>5</v>
      </c>
      <c r="BU378" s="72">
        <v>5</v>
      </c>
      <c r="BV378" s="72">
        <v>5</v>
      </c>
      <c r="BW378" s="72">
        <v>5</v>
      </c>
      <c r="BX378" s="72">
        <v>5</v>
      </c>
      <c r="BY378" s="72">
        <v>5</v>
      </c>
      <c r="BZ378" s="72">
        <v>5</v>
      </c>
      <c r="CA378" s="72">
        <v>5</v>
      </c>
      <c r="CB378" s="72">
        <v>5</v>
      </c>
      <c r="CC378" s="72">
        <v>5</v>
      </c>
      <c r="CD378" s="72">
        <v>5</v>
      </c>
      <c r="CE378" s="72">
        <v>5</v>
      </c>
      <c r="CF378" s="72">
        <v>5</v>
      </c>
      <c r="CG378" s="72">
        <v>5</v>
      </c>
      <c r="CH378" s="72">
        <v>5</v>
      </c>
      <c r="CI378" s="72">
        <v>5</v>
      </c>
      <c r="CJ378" s="72">
        <v>5</v>
      </c>
      <c r="CK378" s="72">
        <v>5</v>
      </c>
      <c r="CL378" s="72">
        <v>5</v>
      </c>
      <c r="CM378" s="72">
        <v>5</v>
      </c>
      <c r="CN378" s="72">
        <v>5</v>
      </c>
      <c r="CO378" s="72">
        <v>5</v>
      </c>
      <c r="CP378" s="72">
        <v>5</v>
      </c>
      <c r="CQ378" s="72">
        <v>5</v>
      </c>
      <c r="CR378" s="72">
        <v>5</v>
      </c>
      <c r="CS378" s="72">
        <v>5</v>
      </c>
      <c r="CT378" s="72">
        <v>5</v>
      </c>
      <c r="CU378" s="72">
        <v>5</v>
      </c>
      <c r="CV378" s="72">
        <v>5</v>
      </c>
      <c r="CW378" s="72">
        <v>5</v>
      </c>
      <c r="CX378" s="72">
        <v>5</v>
      </c>
      <c r="CY378" s="72">
        <v>5</v>
      </c>
      <c r="CZ378" s="72">
        <v>5</v>
      </c>
      <c r="DA378" s="72">
        <v>5</v>
      </c>
      <c r="DB378" s="72">
        <v>0</v>
      </c>
      <c r="DC378" s="72">
        <v>0</v>
      </c>
      <c r="DD378" s="72">
        <v>0</v>
      </c>
      <c r="DE378" s="72">
        <v>0</v>
      </c>
      <c r="DF378" s="72">
        <v>0</v>
      </c>
      <c r="DG378" s="72">
        <v>0</v>
      </c>
      <c r="DH378" s="72">
        <v>0</v>
      </c>
      <c r="DI378" s="72">
        <v>0</v>
      </c>
      <c r="DJ378" s="72">
        <v>0</v>
      </c>
      <c r="DK378" s="72">
        <v>0</v>
      </c>
      <c r="DL378" s="72">
        <v>0</v>
      </c>
      <c r="DM378" s="72">
        <v>0</v>
      </c>
    </row>
    <row r="379" spans="1:117" x14ac:dyDescent="0.35">
      <c r="A379" s="7"/>
      <c r="B379" s="77" t="s">
        <v>1486</v>
      </c>
      <c r="C379" s="78" t="s">
        <v>1180</v>
      </c>
      <c r="D379" s="10" t="s">
        <v>594</v>
      </c>
      <c r="E379" s="8" t="s">
        <v>1206</v>
      </c>
      <c r="F379" s="10">
        <v>1006</v>
      </c>
      <c r="G379" s="10" t="s">
        <v>40</v>
      </c>
      <c r="H379" s="10" t="s">
        <v>41</v>
      </c>
      <c r="I379" s="11"/>
      <c r="J379" s="10"/>
      <c r="K379" s="10"/>
      <c r="L379" s="8"/>
      <c r="M379" s="12">
        <v>131.33000000000001</v>
      </c>
      <c r="N379" s="12">
        <f t="shared" si="7"/>
        <v>34145.800000000003</v>
      </c>
      <c r="O379" s="11"/>
      <c r="P379" s="11"/>
      <c r="Q379" s="11"/>
      <c r="R379" s="11"/>
      <c r="S379" s="11"/>
      <c r="T379" s="11"/>
      <c r="U379" s="11"/>
      <c r="V379" s="11"/>
      <c r="W379" s="11"/>
      <c r="X379" s="11"/>
      <c r="Y379" s="11"/>
      <c r="Z379" s="11"/>
      <c r="AA379" s="11"/>
      <c r="AB379" s="11"/>
      <c r="AC379" s="11"/>
      <c r="AD379" s="11"/>
      <c r="AE379" s="11"/>
      <c r="AF379" s="11"/>
      <c r="AG379" s="11"/>
      <c r="AH379" s="11"/>
      <c r="AI379" s="11"/>
      <c r="AJ379" s="11"/>
      <c r="AK379" s="11"/>
      <c r="AL379" s="11"/>
      <c r="AM379" s="11"/>
      <c r="AN379" s="72"/>
      <c r="AO379" s="72"/>
      <c r="AP379" s="72"/>
      <c r="AQ379" s="72"/>
      <c r="AR379" s="72"/>
      <c r="AS379" s="72"/>
      <c r="AT379" s="72"/>
      <c r="AU379" s="72"/>
      <c r="AV379" s="72"/>
      <c r="AW379" s="72"/>
      <c r="AX379" s="72"/>
      <c r="AY379" s="72"/>
      <c r="AZ379" s="72"/>
      <c r="BA379" s="72"/>
      <c r="BB379" s="72"/>
      <c r="BC379" s="72"/>
      <c r="BD379" s="72"/>
      <c r="BE379" s="72"/>
      <c r="BF379" s="72"/>
      <c r="BG379" s="72"/>
      <c r="BH379" s="72"/>
      <c r="BI379" s="72"/>
      <c r="BJ379" s="72"/>
      <c r="BK379" s="72"/>
      <c r="BL379" s="72"/>
      <c r="BM379" s="72"/>
      <c r="BN379" s="72"/>
      <c r="BO379" s="72"/>
      <c r="BP379" s="72"/>
      <c r="BQ379" s="72"/>
      <c r="BR379" s="72"/>
      <c r="BS379" s="72"/>
      <c r="BT379" s="72"/>
      <c r="BU379" s="72"/>
      <c r="BV379" s="72"/>
      <c r="BW379" s="72"/>
      <c r="BX379" s="72"/>
      <c r="BY379" s="72"/>
      <c r="BZ379" s="72"/>
      <c r="CA379" s="72"/>
      <c r="CB379" s="72"/>
      <c r="CC379" s="72"/>
      <c r="CD379" s="72"/>
      <c r="CE379" s="72"/>
      <c r="CF379" s="72"/>
      <c r="CG379" s="72"/>
      <c r="CH379" s="72"/>
      <c r="CI379" s="72"/>
      <c r="CJ379" s="72">
        <v>329</v>
      </c>
      <c r="CK379" s="72">
        <v>329</v>
      </c>
      <c r="CL379" s="72">
        <v>329</v>
      </c>
      <c r="CM379" s="72">
        <v>329</v>
      </c>
      <c r="CN379" s="72">
        <v>313</v>
      </c>
      <c r="CO379" s="72">
        <v>313</v>
      </c>
      <c r="CP379" s="72">
        <v>312</v>
      </c>
      <c r="CQ379" s="72">
        <v>312</v>
      </c>
      <c r="CR379" s="72">
        <v>312</v>
      </c>
      <c r="CS379" s="72">
        <v>252</v>
      </c>
      <c r="CT379" s="72">
        <v>252</v>
      </c>
      <c r="CU379" s="72">
        <v>252</v>
      </c>
      <c r="CV379" s="72">
        <v>440</v>
      </c>
      <c r="CW379" s="72">
        <v>440</v>
      </c>
      <c r="CX379" s="72">
        <v>436</v>
      </c>
      <c r="CY379" s="72">
        <v>436</v>
      </c>
      <c r="CZ379" s="72">
        <v>436</v>
      </c>
      <c r="DA379" s="72">
        <v>436</v>
      </c>
      <c r="DB379" s="72">
        <v>426</v>
      </c>
      <c r="DC379" s="72">
        <v>426</v>
      </c>
      <c r="DD379" s="72">
        <v>426</v>
      </c>
      <c r="DE379" s="72">
        <v>426</v>
      </c>
      <c r="DF379" s="72">
        <v>426</v>
      </c>
      <c r="DG379" s="72">
        <v>276</v>
      </c>
      <c r="DH379" s="72">
        <v>276</v>
      </c>
      <c r="DI379" s="72">
        <v>268</v>
      </c>
      <c r="DJ379" s="72">
        <v>268</v>
      </c>
      <c r="DK379" s="72">
        <v>260</v>
      </c>
      <c r="DL379" s="72">
        <v>260</v>
      </c>
      <c r="DM379" s="72">
        <v>260</v>
      </c>
    </row>
    <row r="380" spans="1:117" x14ac:dyDescent="0.35">
      <c r="A380" s="7"/>
      <c r="B380" s="8" t="s">
        <v>639</v>
      </c>
      <c r="C380" s="9" t="s">
        <v>640</v>
      </c>
      <c r="D380" s="10" t="s">
        <v>594</v>
      </c>
      <c r="E380" s="8" t="s">
        <v>1206</v>
      </c>
      <c r="F380" s="10">
        <v>1002</v>
      </c>
      <c r="G380" s="10" t="s">
        <v>40</v>
      </c>
      <c r="H380" s="10" t="s">
        <v>41</v>
      </c>
      <c r="I380" s="11">
        <v>1</v>
      </c>
      <c r="J380" s="10"/>
      <c r="K380" s="10"/>
      <c r="L380" s="8"/>
      <c r="M380" s="12">
        <v>460</v>
      </c>
      <c r="N380" s="12">
        <f t="shared" si="7"/>
        <v>460</v>
      </c>
      <c r="O380" s="11">
        <v>1</v>
      </c>
      <c r="P380" s="11">
        <v>1</v>
      </c>
      <c r="Q380" s="11">
        <v>1</v>
      </c>
      <c r="R380" s="11">
        <v>1</v>
      </c>
      <c r="S380" s="11">
        <v>1</v>
      </c>
      <c r="T380" s="11">
        <v>1</v>
      </c>
      <c r="U380" s="11">
        <v>1</v>
      </c>
      <c r="V380" s="11">
        <v>1</v>
      </c>
      <c r="W380" s="11">
        <v>1</v>
      </c>
      <c r="X380" s="11">
        <v>1</v>
      </c>
      <c r="Y380" s="11">
        <v>1</v>
      </c>
      <c r="Z380" s="11">
        <v>1</v>
      </c>
      <c r="AA380" s="11">
        <v>1</v>
      </c>
      <c r="AB380" s="11">
        <v>1</v>
      </c>
      <c r="AC380" s="11">
        <v>1</v>
      </c>
      <c r="AD380" s="11">
        <v>1</v>
      </c>
      <c r="AE380" s="11">
        <v>1</v>
      </c>
      <c r="AF380" s="11">
        <v>1</v>
      </c>
      <c r="AG380" s="11">
        <v>1</v>
      </c>
      <c r="AH380" s="11">
        <v>1</v>
      </c>
      <c r="AI380" s="11">
        <v>1</v>
      </c>
      <c r="AJ380" s="11">
        <v>1</v>
      </c>
      <c r="AK380" s="11">
        <v>1</v>
      </c>
      <c r="AL380" s="11">
        <v>1</v>
      </c>
      <c r="AM380" s="11">
        <v>1</v>
      </c>
      <c r="AN380" s="72">
        <v>1</v>
      </c>
      <c r="AO380" s="72">
        <v>1</v>
      </c>
      <c r="AP380" s="72">
        <v>1</v>
      </c>
      <c r="AQ380" s="72">
        <v>1</v>
      </c>
      <c r="AR380" s="72">
        <v>1</v>
      </c>
      <c r="AS380" s="72">
        <v>1</v>
      </c>
      <c r="AT380" s="72">
        <v>1</v>
      </c>
      <c r="AU380" s="72">
        <v>1</v>
      </c>
      <c r="AV380" s="72">
        <v>1</v>
      </c>
      <c r="AW380" s="72">
        <v>1</v>
      </c>
      <c r="AX380" s="72">
        <v>1</v>
      </c>
      <c r="AY380" s="72">
        <v>1</v>
      </c>
      <c r="AZ380" s="72">
        <v>1</v>
      </c>
      <c r="BA380" s="72">
        <v>1</v>
      </c>
      <c r="BB380" s="72">
        <v>1</v>
      </c>
      <c r="BC380" s="72">
        <v>1</v>
      </c>
      <c r="BD380" s="72">
        <v>1</v>
      </c>
      <c r="BE380" s="72">
        <v>1</v>
      </c>
      <c r="BF380" s="72">
        <v>1</v>
      </c>
      <c r="BG380" s="72">
        <v>1</v>
      </c>
      <c r="BH380" s="72">
        <v>0</v>
      </c>
      <c r="BI380" s="72">
        <v>0</v>
      </c>
      <c r="BJ380" s="72">
        <v>0</v>
      </c>
      <c r="BK380" s="72">
        <v>0</v>
      </c>
      <c r="BL380" s="72">
        <v>0</v>
      </c>
      <c r="BM380" s="72">
        <v>0</v>
      </c>
      <c r="BN380" s="72">
        <v>0</v>
      </c>
      <c r="BO380" s="72">
        <v>1</v>
      </c>
      <c r="BP380" s="72">
        <v>1</v>
      </c>
      <c r="BQ380" s="72">
        <v>1</v>
      </c>
      <c r="BR380" s="72">
        <v>1</v>
      </c>
      <c r="BS380" s="72">
        <v>1</v>
      </c>
      <c r="BT380" s="72">
        <v>1</v>
      </c>
      <c r="BU380" s="72">
        <v>1</v>
      </c>
      <c r="BV380" s="72">
        <v>1</v>
      </c>
      <c r="BW380" s="72">
        <v>1</v>
      </c>
      <c r="BX380" s="72">
        <v>1</v>
      </c>
      <c r="BY380" s="72">
        <v>1</v>
      </c>
      <c r="BZ380" s="72">
        <v>1</v>
      </c>
      <c r="CA380" s="72">
        <v>1</v>
      </c>
      <c r="CB380" s="72">
        <v>1</v>
      </c>
      <c r="CC380" s="72">
        <v>1</v>
      </c>
      <c r="CD380" s="72">
        <v>1</v>
      </c>
      <c r="CE380" s="72">
        <v>1</v>
      </c>
      <c r="CF380" s="72">
        <v>1</v>
      </c>
      <c r="CG380" s="72">
        <v>1</v>
      </c>
      <c r="CH380" s="72">
        <v>1</v>
      </c>
      <c r="CI380" s="72">
        <v>1</v>
      </c>
      <c r="CJ380" s="72">
        <v>1</v>
      </c>
      <c r="CK380" s="72">
        <v>1</v>
      </c>
      <c r="CL380" s="72">
        <v>1</v>
      </c>
      <c r="CM380" s="72">
        <v>1</v>
      </c>
      <c r="CN380" s="72">
        <v>1</v>
      </c>
      <c r="CO380" s="72">
        <v>1</v>
      </c>
      <c r="CP380" s="72">
        <v>1</v>
      </c>
      <c r="CQ380" s="72">
        <v>1</v>
      </c>
      <c r="CR380" s="72">
        <v>1</v>
      </c>
      <c r="CS380" s="72">
        <v>1</v>
      </c>
      <c r="CT380" s="72">
        <v>1</v>
      </c>
      <c r="CU380" s="72">
        <v>1</v>
      </c>
      <c r="CV380" s="72">
        <v>1</v>
      </c>
      <c r="CW380" s="72">
        <v>1</v>
      </c>
      <c r="CX380" s="72">
        <v>1</v>
      </c>
      <c r="CY380" s="72">
        <v>1</v>
      </c>
      <c r="CZ380" s="72">
        <v>1</v>
      </c>
      <c r="DA380" s="72">
        <v>1</v>
      </c>
      <c r="DB380" s="72">
        <v>1</v>
      </c>
      <c r="DC380" s="72">
        <v>1</v>
      </c>
      <c r="DD380" s="72">
        <v>1</v>
      </c>
      <c r="DE380" s="72">
        <v>1</v>
      </c>
      <c r="DF380" s="72">
        <v>1</v>
      </c>
      <c r="DG380" s="72">
        <v>1</v>
      </c>
      <c r="DH380" s="72">
        <v>1</v>
      </c>
      <c r="DI380" s="72">
        <v>1</v>
      </c>
      <c r="DJ380" s="72">
        <v>1</v>
      </c>
      <c r="DK380" s="72">
        <v>1</v>
      </c>
      <c r="DL380" s="72">
        <v>1</v>
      </c>
      <c r="DM380" s="72">
        <v>1</v>
      </c>
    </row>
    <row r="381" spans="1:117" x14ac:dyDescent="0.35">
      <c r="A381" s="7"/>
      <c r="B381" s="77" t="s">
        <v>1172</v>
      </c>
      <c r="C381" s="9" t="s">
        <v>1181</v>
      </c>
      <c r="D381" s="10" t="s">
        <v>594</v>
      </c>
      <c r="E381" s="8" t="s">
        <v>1206</v>
      </c>
      <c r="F381" s="10">
        <v>1002</v>
      </c>
      <c r="G381" s="10" t="s">
        <v>40</v>
      </c>
      <c r="H381" s="10" t="s">
        <v>41</v>
      </c>
      <c r="I381" s="11"/>
      <c r="J381" s="10"/>
      <c r="K381" s="10"/>
      <c r="L381" s="8"/>
      <c r="M381" s="12">
        <v>395</v>
      </c>
      <c r="N381" s="12">
        <f t="shared" si="7"/>
        <v>395</v>
      </c>
      <c r="O381" s="11"/>
      <c r="P381" s="11"/>
      <c r="Q381" s="11"/>
      <c r="R381" s="11"/>
      <c r="S381" s="11"/>
      <c r="T381" s="11"/>
      <c r="U381" s="11"/>
      <c r="V381" s="11"/>
      <c r="W381" s="11"/>
      <c r="X381" s="11"/>
      <c r="Y381" s="11"/>
      <c r="Z381" s="11"/>
      <c r="AA381" s="11"/>
      <c r="AB381" s="11"/>
      <c r="AC381" s="11"/>
      <c r="AD381" s="11"/>
      <c r="AE381" s="11"/>
      <c r="AF381" s="11"/>
      <c r="AG381" s="11"/>
      <c r="AH381" s="11"/>
      <c r="AI381" s="11"/>
      <c r="AJ381" s="11"/>
      <c r="AK381" s="11"/>
      <c r="AL381" s="11"/>
      <c r="AM381" s="11"/>
      <c r="AN381" s="72"/>
      <c r="AO381" s="72">
        <v>32</v>
      </c>
      <c r="AP381" s="72">
        <v>32</v>
      </c>
      <c r="AQ381" s="72">
        <v>32</v>
      </c>
      <c r="AR381" s="72">
        <v>32</v>
      </c>
      <c r="AS381" s="72">
        <v>32</v>
      </c>
      <c r="AT381" s="72">
        <v>32</v>
      </c>
      <c r="AU381" s="72">
        <v>32</v>
      </c>
      <c r="AV381" s="72">
        <v>32</v>
      </c>
      <c r="AW381" s="72">
        <v>32</v>
      </c>
      <c r="AX381" s="72">
        <v>32</v>
      </c>
      <c r="AY381" s="72">
        <v>32</v>
      </c>
      <c r="AZ381" s="72">
        <v>32</v>
      </c>
      <c r="BA381" s="72">
        <v>32</v>
      </c>
      <c r="BB381" s="72">
        <v>32</v>
      </c>
      <c r="BC381" s="72">
        <v>32</v>
      </c>
      <c r="BD381" s="72">
        <v>32</v>
      </c>
      <c r="BE381" s="72">
        <v>32</v>
      </c>
      <c r="BF381" s="72">
        <v>32</v>
      </c>
      <c r="BG381" s="72">
        <v>32</v>
      </c>
      <c r="BH381" s="72">
        <v>29</v>
      </c>
      <c r="BI381" s="72">
        <v>29</v>
      </c>
      <c r="BJ381" s="72">
        <v>29</v>
      </c>
      <c r="BK381" s="72">
        <v>29</v>
      </c>
      <c r="BL381" s="72">
        <v>29</v>
      </c>
      <c r="BM381" s="72">
        <v>29</v>
      </c>
      <c r="BN381" s="72">
        <v>29</v>
      </c>
      <c r="BO381" s="72">
        <v>29</v>
      </c>
      <c r="BP381" s="72">
        <v>26</v>
      </c>
      <c r="BQ381" s="72">
        <v>24</v>
      </c>
      <c r="BR381" s="72">
        <v>24</v>
      </c>
      <c r="BS381" s="72">
        <v>24</v>
      </c>
      <c r="BT381" s="72">
        <v>24</v>
      </c>
      <c r="BU381" s="72">
        <v>24</v>
      </c>
      <c r="BV381" s="72">
        <v>24</v>
      </c>
      <c r="BW381" s="72">
        <v>23</v>
      </c>
      <c r="BX381" s="72">
        <v>23</v>
      </c>
      <c r="BY381" s="72">
        <v>13</v>
      </c>
      <c r="BZ381" s="72">
        <v>13</v>
      </c>
      <c r="CA381" s="72">
        <v>13</v>
      </c>
      <c r="CB381" s="72">
        <v>13</v>
      </c>
      <c r="CC381" s="72">
        <v>13</v>
      </c>
      <c r="CD381" s="72">
        <v>13</v>
      </c>
      <c r="CE381" s="72">
        <v>13</v>
      </c>
      <c r="CF381" s="72">
        <v>12</v>
      </c>
      <c r="CG381" s="72">
        <v>12</v>
      </c>
      <c r="CH381" s="72">
        <v>12</v>
      </c>
      <c r="CI381" s="72">
        <v>12</v>
      </c>
      <c r="CJ381" s="72">
        <v>12</v>
      </c>
      <c r="CK381" s="72">
        <v>12</v>
      </c>
      <c r="CL381" s="72">
        <v>9</v>
      </c>
      <c r="CM381" s="72">
        <v>9</v>
      </c>
      <c r="CN381" s="72">
        <v>9</v>
      </c>
      <c r="CO381" s="72">
        <v>9</v>
      </c>
      <c r="CP381" s="72">
        <v>9</v>
      </c>
      <c r="CQ381" s="72">
        <v>9</v>
      </c>
      <c r="CR381" s="72">
        <v>9</v>
      </c>
      <c r="CS381" s="72">
        <v>9</v>
      </c>
      <c r="CT381" s="72">
        <v>9</v>
      </c>
      <c r="CU381" s="72">
        <v>9</v>
      </c>
      <c r="CV381" s="72">
        <v>9</v>
      </c>
      <c r="CW381" s="72">
        <v>9</v>
      </c>
      <c r="CX381" s="72">
        <v>9</v>
      </c>
      <c r="CY381" s="72">
        <v>9</v>
      </c>
      <c r="CZ381" s="72">
        <v>9</v>
      </c>
      <c r="DA381" s="72">
        <v>9</v>
      </c>
      <c r="DB381" s="72">
        <v>6</v>
      </c>
      <c r="DC381" s="72">
        <v>6</v>
      </c>
      <c r="DD381" s="72">
        <v>6</v>
      </c>
      <c r="DE381" s="72">
        <v>6</v>
      </c>
      <c r="DF381" s="72">
        <v>6</v>
      </c>
      <c r="DG381" s="72">
        <v>6</v>
      </c>
      <c r="DH381" s="72">
        <v>2</v>
      </c>
      <c r="DI381" s="72">
        <v>2</v>
      </c>
      <c r="DJ381" s="72">
        <v>1</v>
      </c>
      <c r="DK381" s="72">
        <v>1</v>
      </c>
      <c r="DL381" s="72">
        <v>1</v>
      </c>
      <c r="DM381" s="72">
        <v>1</v>
      </c>
    </row>
    <row r="382" spans="1:117" x14ac:dyDescent="0.35">
      <c r="A382" s="7"/>
      <c r="B382" s="8" t="s">
        <v>641</v>
      </c>
      <c r="C382" s="9" t="s">
        <v>642</v>
      </c>
      <c r="D382" s="10" t="s">
        <v>594</v>
      </c>
      <c r="E382" s="8" t="s">
        <v>1206</v>
      </c>
      <c r="F382" s="10">
        <v>1002</v>
      </c>
      <c r="G382" s="10" t="s">
        <v>40</v>
      </c>
      <c r="H382" s="10" t="s">
        <v>41</v>
      </c>
      <c r="I382" s="11">
        <v>0</v>
      </c>
      <c r="J382" s="10"/>
      <c r="K382" s="10"/>
      <c r="L382" s="8"/>
      <c r="M382" s="12"/>
      <c r="N382" s="12">
        <f t="shared" si="7"/>
        <v>0</v>
      </c>
      <c r="O382" s="11">
        <v>3</v>
      </c>
      <c r="P382" s="11">
        <v>3</v>
      </c>
      <c r="Q382" s="11">
        <v>3</v>
      </c>
      <c r="R382" s="11">
        <v>3</v>
      </c>
      <c r="S382" s="11">
        <v>3</v>
      </c>
      <c r="T382" s="11">
        <v>1</v>
      </c>
      <c r="U382" s="11">
        <v>1</v>
      </c>
      <c r="V382" s="11">
        <v>1</v>
      </c>
      <c r="W382" s="11">
        <v>1</v>
      </c>
      <c r="X382" s="11">
        <v>1</v>
      </c>
      <c r="Y382" s="11">
        <v>1</v>
      </c>
      <c r="Z382" s="11">
        <v>0</v>
      </c>
      <c r="AA382" s="11">
        <v>0</v>
      </c>
      <c r="AB382" s="11">
        <v>0</v>
      </c>
      <c r="AC382" s="11">
        <v>0</v>
      </c>
      <c r="AD382" s="11">
        <v>0</v>
      </c>
      <c r="AE382" s="11">
        <v>0</v>
      </c>
      <c r="AF382" s="11">
        <v>0</v>
      </c>
      <c r="AG382" s="11">
        <v>0</v>
      </c>
      <c r="AH382" s="11">
        <v>0</v>
      </c>
      <c r="AI382" s="11">
        <v>0</v>
      </c>
      <c r="AJ382" s="11">
        <v>0</v>
      </c>
      <c r="AK382" s="11">
        <v>0</v>
      </c>
      <c r="AL382" s="11">
        <v>0</v>
      </c>
      <c r="AM382" s="11">
        <v>0</v>
      </c>
      <c r="AN382" s="72">
        <v>0</v>
      </c>
      <c r="AO382" s="72">
        <v>0</v>
      </c>
      <c r="AP382" s="72">
        <v>0</v>
      </c>
      <c r="AQ382" s="72">
        <v>0</v>
      </c>
      <c r="AR382" s="72">
        <v>0</v>
      </c>
      <c r="AS382" s="72">
        <v>0</v>
      </c>
      <c r="AT382" s="72">
        <v>0</v>
      </c>
      <c r="AU382" s="72">
        <v>0</v>
      </c>
      <c r="AV382" s="72">
        <v>0</v>
      </c>
      <c r="AW382" s="72">
        <v>0</v>
      </c>
      <c r="AX382" s="72">
        <v>0</v>
      </c>
      <c r="AY382" s="72">
        <v>0</v>
      </c>
      <c r="AZ382" s="72">
        <v>0</v>
      </c>
      <c r="BA382" s="72">
        <v>0</v>
      </c>
      <c r="BB382" s="72">
        <v>0</v>
      </c>
      <c r="BC382" s="72">
        <v>0</v>
      </c>
      <c r="BD382" s="72">
        <v>0</v>
      </c>
      <c r="BE382" s="72">
        <v>0</v>
      </c>
      <c r="BF382" s="72">
        <v>0</v>
      </c>
      <c r="BG382" s="72">
        <v>0</v>
      </c>
      <c r="BH382" s="72">
        <v>0</v>
      </c>
      <c r="BI382" s="72">
        <v>0</v>
      </c>
      <c r="BJ382" s="72">
        <v>0</v>
      </c>
      <c r="BK382" s="72">
        <v>0</v>
      </c>
      <c r="BL382" s="72">
        <v>0</v>
      </c>
      <c r="BM382" s="72">
        <v>0</v>
      </c>
      <c r="BN382" s="72">
        <v>0</v>
      </c>
      <c r="BO382" s="72">
        <v>0</v>
      </c>
      <c r="BP382" s="72">
        <v>0</v>
      </c>
      <c r="BQ382" s="72">
        <v>0</v>
      </c>
      <c r="BR382" s="72">
        <v>0</v>
      </c>
      <c r="BS382" s="72">
        <v>0</v>
      </c>
      <c r="BT382" s="72">
        <v>0</v>
      </c>
      <c r="BU382" s="72">
        <v>0</v>
      </c>
      <c r="BV382" s="72">
        <v>0</v>
      </c>
      <c r="BW382" s="72">
        <v>0</v>
      </c>
      <c r="BX382" s="72">
        <v>0</v>
      </c>
      <c r="BY382" s="72">
        <v>0</v>
      </c>
      <c r="BZ382" s="72">
        <v>0</v>
      </c>
      <c r="CA382" s="72">
        <v>0</v>
      </c>
      <c r="CB382" s="72">
        <v>0</v>
      </c>
      <c r="CC382" s="72">
        <v>0</v>
      </c>
      <c r="CD382" s="72">
        <v>0</v>
      </c>
      <c r="CE382" s="72">
        <v>0</v>
      </c>
      <c r="CF382" s="72">
        <v>0</v>
      </c>
      <c r="CG382" s="72">
        <v>0</v>
      </c>
      <c r="CH382" s="72">
        <v>0</v>
      </c>
      <c r="CI382" s="72">
        <v>0</v>
      </c>
      <c r="CJ382" s="72">
        <v>0</v>
      </c>
      <c r="CK382" s="72">
        <v>0</v>
      </c>
      <c r="CL382" s="72">
        <v>0</v>
      </c>
      <c r="CM382" s="72">
        <v>0</v>
      </c>
      <c r="CN382" s="72">
        <v>0</v>
      </c>
      <c r="CO382" s="72">
        <v>0</v>
      </c>
      <c r="CP382" s="72">
        <v>0</v>
      </c>
      <c r="CQ382" s="72">
        <v>0</v>
      </c>
      <c r="CR382" s="72">
        <v>0</v>
      </c>
      <c r="CS382" s="72">
        <v>0</v>
      </c>
      <c r="CT382" s="72">
        <v>0</v>
      </c>
      <c r="CU382" s="72">
        <v>0</v>
      </c>
      <c r="CV382" s="72">
        <v>0</v>
      </c>
      <c r="CW382" s="72">
        <v>0</v>
      </c>
      <c r="CX382" s="72">
        <v>0</v>
      </c>
      <c r="CY382" s="72">
        <v>0</v>
      </c>
      <c r="CZ382" s="72">
        <v>0</v>
      </c>
      <c r="DA382" s="72">
        <v>0</v>
      </c>
      <c r="DB382" s="72">
        <v>0</v>
      </c>
      <c r="DC382" s="72">
        <v>0</v>
      </c>
      <c r="DD382" s="72">
        <v>0</v>
      </c>
      <c r="DE382" s="72">
        <v>0</v>
      </c>
      <c r="DF382" s="72">
        <v>0</v>
      </c>
      <c r="DG382" s="72">
        <v>0</v>
      </c>
      <c r="DH382" s="72">
        <v>0</v>
      </c>
      <c r="DI382" s="72">
        <v>0</v>
      </c>
      <c r="DJ382" s="72">
        <v>0</v>
      </c>
      <c r="DK382" s="72">
        <v>0</v>
      </c>
      <c r="DL382" s="72">
        <v>0</v>
      </c>
      <c r="DM382" s="72">
        <v>0</v>
      </c>
    </row>
    <row r="383" spans="1:117" x14ac:dyDescent="0.35">
      <c r="A383" s="7"/>
      <c r="B383" s="8" t="s">
        <v>643</v>
      </c>
      <c r="C383" s="9" t="s">
        <v>644</v>
      </c>
      <c r="D383" s="10" t="s">
        <v>594</v>
      </c>
      <c r="E383" s="8" t="s">
        <v>1203</v>
      </c>
      <c r="F383" s="10">
        <v>1002</v>
      </c>
      <c r="G383" s="10" t="s">
        <v>40</v>
      </c>
      <c r="H383" s="10" t="s">
        <v>41</v>
      </c>
      <c r="I383" s="11">
        <v>1</v>
      </c>
      <c r="J383" s="10"/>
      <c r="K383" s="10" t="s">
        <v>153</v>
      </c>
      <c r="L383" s="8"/>
      <c r="M383" s="12"/>
      <c r="N383" s="12">
        <f t="shared" si="7"/>
        <v>0</v>
      </c>
      <c r="O383" s="11">
        <v>1</v>
      </c>
      <c r="P383" s="11">
        <v>1</v>
      </c>
      <c r="Q383" s="11">
        <v>1</v>
      </c>
      <c r="R383" s="11">
        <v>1</v>
      </c>
      <c r="S383" s="11">
        <v>1</v>
      </c>
      <c r="T383" s="11">
        <v>1</v>
      </c>
      <c r="U383" s="11">
        <v>1</v>
      </c>
      <c r="V383" s="11">
        <v>1</v>
      </c>
      <c r="W383" s="11">
        <v>1</v>
      </c>
      <c r="X383" s="11">
        <v>1</v>
      </c>
      <c r="Y383" s="11">
        <v>1</v>
      </c>
      <c r="Z383" s="11">
        <v>1</v>
      </c>
      <c r="AA383" s="11">
        <v>1</v>
      </c>
      <c r="AB383" s="11">
        <v>1</v>
      </c>
      <c r="AC383" s="11">
        <v>1</v>
      </c>
      <c r="AD383" s="11">
        <v>1</v>
      </c>
      <c r="AE383" s="11">
        <v>1</v>
      </c>
      <c r="AF383" s="11">
        <v>1</v>
      </c>
      <c r="AG383" s="11">
        <v>1</v>
      </c>
      <c r="AH383" s="11">
        <v>1</v>
      </c>
      <c r="AI383" s="11">
        <v>1</v>
      </c>
      <c r="AJ383" s="11">
        <v>1</v>
      </c>
      <c r="AK383" s="11">
        <v>1</v>
      </c>
      <c r="AL383" s="11">
        <v>1</v>
      </c>
      <c r="AM383" s="11">
        <v>1</v>
      </c>
      <c r="AN383" s="72">
        <v>1</v>
      </c>
      <c r="AO383" s="72">
        <v>1</v>
      </c>
      <c r="AP383" s="72">
        <v>1</v>
      </c>
      <c r="AQ383" s="72">
        <v>1</v>
      </c>
      <c r="AR383" s="72">
        <v>1</v>
      </c>
      <c r="AS383" s="72">
        <v>1</v>
      </c>
      <c r="AT383" s="72">
        <v>1</v>
      </c>
      <c r="AU383" s="72">
        <v>1</v>
      </c>
      <c r="AV383" s="72">
        <v>1</v>
      </c>
      <c r="AW383" s="72">
        <v>1</v>
      </c>
      <c r="AX383" s="72">
        <v>1</v>
      </c>
      <c r="AY383" s="72">
        <v>1</v>
      </c>
      <c r="AZ383" s="72">
        <v>1</v>
      </c>
      <c r="BA383" s="72">
        <v>1</v>
      </c>
      <c r="BB383" s="72">
        <v>1</v>
      </c>
      <c r="BC383" s="72">
        <v>1</v>
      </c>
      <c r="BD383" s="72">
        <v>1</v>
      </c>
      <c r="BE383" s="72">
        <v>1</v>
      </c>
      <c r="BF383" s="72">
        <v>1</v>
      </c>
      <c r="BG383" s="72">
        <v>1</v>
      </c>
      <c r="BH383" s="72">
        <v>1</v>
      </c>
      <c r="BI383" s="72">
        <v>1</v>
      </c>
      <c r="BJ383" s="72">
        <v>1</v>
      </c>
      <c r="BK383" s="72">
        <v>1</v>
      </c>
      <c r="BL383" s="72">
        <v>1</v>
      </c>
      <c r="BM383" s="72">
        <v>1</v>
      </c>
      <c r="BN383" s="72">
        <v>1</v>
      </c>
      <c r="BO383" s="72">
        <v>1</v>
      </c>
      <c r="BP383" s="72">
        <v>1</v>
      </c>
      <c r="BQ383" s="72">
        <v>1</v>
      </c>
      <c r="BR383" s="72">
        <v>1</v>
      </c>
      <c r="BS383" s="72">
        <v>1</v>
      </c>
      <c r="BT383" s="72">
        <v>1</v>
      </c>
      <c r="BU383" s="72">
        <v>1</v>
      </c>
      <c r="BV383" s="72">
        <v>1</v>
      </c>
      <c r="BW383" s="72">
        <v>1</v>
      </c>
      <c r="BX383" s="72">
        <v>1</v>
      </c>
      <c r="BY383" s="72">
        <v>1</v>
      </c>
      <c r="BZ383" s="72">
        <v>1</v>
      </c>
      <c r="CA383" s="72">
        <v>1</v>
      </c>
      <c r="CB383" s="72">
        <v>1</v>
      </c>
      <c r="CC383" s="72">
        <v>1</v>
      </c>
      <c r="CD383" s="72">
        <v>1</v>
      </c>
      <c r="CE383" s="72">
        <v>1</v>
      </c>
      <c r="CF383" s="72">
        <v>1</v>
      </c>
      <c r="CG383" s="72">
        <v>1</v>
      </c>
      <c r="CH383" s="72">
        <v>1</v>
      </c>
      <c r="CI383" s="72">
        <v>1</v>
      </c>
      <c r="CJ383" s="72">
        <v>1</v>
      </c>
      <c r="CK383" s="72">
        <v>1</v>
      </c>
      <c r="CL383" s="72">
        <v>1</v>
      </c>
      <c r="CM383" s="72">
        <v>1</v>
      </c>
      <c r="CN383" s="72">
        <v>1</v>
      </c>
      <c r="CO383" s="72">
        <v>1</v>
      </c>
      <c r="CP383" s="72">
        <v>1</v>
      </c>
      <c r="CQ383" s="72">
        <v>1</v>
      </c>
      <c r="CR383" s="72">
        <v>1</v>
      </c>
      <c r="CS383" s="72">
        <v>1</v>
      </c>
      <c r="CT383" s="72">
        <v>1</v>
      </c>
      <c r="CU383" s="72">
        <v>1</v>
      </c>
      <c r="CV383" s="72">
        <v>1</v>
      </c>
      <c r="CW383" s="72">
        <v>1</v>
      </c>
      <c r="CX383" s="72">
        <v>1</v>
      </c>
      <c r="CY383" s="72">
        <v>1</v>
      </c>
      <c r="CZ383" s="72">
        <v>1</v>
      </c>
      <c r="DA383" s="72">
        <v>1</v>
      </c>
      <c r="DB383" s="72">
        <v>1</v>
      </c>
      <c r="DC383" s="72">
        <v>1</v>
      </c>
      <c r="DD383" s="72">
        <v>1</v>
      </c>
      <c r="DE383" s="72">
        <v>1</v>
      </c>
      <c r="DF383" s="72">
        <v>1</v>
      </c>
      <c r="DG383" s="72">
        <v>1</v>
      </c>
      <c r="DH383" s="72">
        <v>1</v>
      </c>
      <c r="DI383" s="72">
        <v>1</v>
      </c>
      <c r="DJ383" s="72">
        <v>1</v>
      </c>
      <c r="DK383" s="72">
        <v>1</v>
      </c>
      <c r="DL383" s="72">
        <v>1</v>
      </c>
      <c r="DM383" s="72">
        <v>1</v>
      </c>
    </row>
    <row r="384" spans="1:117" x14ac:dyDescent="0.35">
      <c r="A384" s="7"/>
      <c r="B384" s="8" t="s">
        <v>1173</v>
      </c>
      <c r="C384" s="9" t="s">
        <v>1182</v>
      </c>
      <c r="D384" s="10" t="s">
        <v>594</v>
      </c>
      <c r="E384" s="8" t="s">
        <v>1203</v>
      </c>
      <c r="F384" s="10">
        <v>1002</v>
      </c>
      <c r="G384" s="10" t="s">
        <v>40</v>
      </c>
      <c r="H384" s="10" t="s">
        <v>41</v>
      </c>
      <c r="I384" s="11"/>
      <c r="J384" s="10"/>
      <c r="K384" s="10"/>
      <c r="L384" s="8"/>
      <c r="M384" s="12">
        <v>1094.81</v>
      </c>
      <c r="N384" s="12">
        <f t="shared" si="7"/>
        <v>0</v>
      </c>
      <c r="O384" s="11"/>
      <c r="P384" s="11"/>
      <c r="Q384" s="11"/>
      <c r="R384" s="11"/>
      <c r="S384" s="11"/>
      <c r="T384" s="11"/>
      <c r="U384" s="11"/>
      <c r="V384" s="11"/>
      <c r="W384" s="11"/>
      <c r="X384" s="11"/>
      <c r="Y384" s="11"/>
      <c r="Z384" s="11"/>
      <c r="AA384" s="11"/>
      <c r="AB384" s="11"/>
      <c r="AC384" s="11"/>
      <c r="AD384" s="11"/>
      <c r="AE384" s="11"/>
      <c r="AF384" s="11"/>
      <c r="AG384" s="11"/>
      <c r="AH384" s="11"/>
      <c r="AI384" s="11"/>
      <c r="AJ384" s="11"/>
      <c r="AK384" s="11"/>
      <c r="AL384" s="11"/>
      <c r="AM384" s="11"/>
      <c r="AN384" s="72"/>
      <c r="AO384" s="72">
        <v>5</v>
      </c>
      <c r="AP384" s="72">
        <v>5</v>
      </c>
      <c r="AQ384" s="72">
        <v>5</v>
      </c>
      <c r="AR384" s="72">
        <v>5</v>
      </c>
      <c r="AS384" s="72">
        <v>5</v>
      </c>
      <c r="AT384" s="72">
        <v>5</v>
      </c>
      <c r="AU384" s="72">
        <v>5</v>
      </c>
      <c r="AV384" s="72">
        <v>5</v>
      </c>
      <c r="AW384" s="72">
        <v>5</v>
      </c>
      <c r="AX384" s="72">
        <v>5</v>
      </c>
      <c r="AY384" s="72">
        <v>5</v>
      </c>
      <c r="AZ384" s="72">
        <v>5</v>
      </c>
      <c r="BA384" s="72">
        <v>5</v>
      </c>
      <c r="BB384" s="72">
        <v>5</v>
      </c>
      <c r="BC384" s="72">
        <v>5</v>
      </c>
      <c r="BD384" s="72">
        <v>5</v>
      </c>
      <c r="BE384" s="72">
        <v>5</v>
      </c>
      <c r="BF384" s="72">
        <v>5</v>
      </c>
      <c r="BG384" s="72">
        <v>5</v>
      </c>
      <c r="BH384" s="72">
        <v>5</v>
      </c>
      <c r="BI384" s="72">
        <v>5</v>
      </c>
      <c r="BJ384" s="72">
        <v>5</v>
      </c>
      <c r="BK384" s="72">
        <v>5</v>
      </c>
      <c r="BL384" s="72">
        <v>5</v>
      </c>
      <c r="BM384" s="72">
        <v>5</v>
      </c>
      <c r="BN384" s="72">
        <v>5</v>
      </c>
      <c r="BO384" s="72">
        <v>5</v>
      </c>
      <c r="BP384" s="72">
        <v>5</v>
      </c>
      <c r="BQ384" s="72">
        <v>5</v>
      </c>
      <c r="BR384" s="72">
        <v>5</v>
      </c>
      <c r="BS384" s="72">
        <v>5</v>
      </c>
      <c r="BT384" s="72">
        <v>5</v>
      </c>
      <c r="BU384" s="72">
        <v>5</v>
      </c>
      <c r="BV384" s="72">
        <v>5</v>
      </c>
      <c r="BW384" s="72">
        <v>5</v>
      </c>
      <c r="BX384" s="72">
        <v>5</v>
      </c>
      <c r="BY384" s="72">
        <v>5</v>
      </c>
      <c r="BZ384" s="72">
        <v>5</v>
      </c>
      <c r="CA384" s="72">
        <v>5</v>
      </c>
      <c r="CB384" s="72">
        <v>5</v>
      </c>
      <c r="CC384" s="72">
        <v>5</v>
      </c>
      <c r="CD384" s="72">
        <v>5</v>
      </c>
      <c r="CE384" s="72">
        <v>5</v>
      </c>
      <c r="CF384" s="72">
        <v>0</v>
      </c>
      <c r="CG384" s="72">
        <v>0</v>
      </c>
      <c r="CH384" s="72">
        <v>0</v>
      </c>
      <c r="CI384" s="72">
        <v>0</v>
      </c>
      <c r="CJ384" s="72">
        <v>0</v>
      </c>
      <c r="CK384" s="72">
        <v>0</v>
      </c>
      <c r="CL384" s="72">
        <v>0</v>
      </c>
      <c r="CM384" s="72">
        <v>0</v>
      </c>
      <c r="CN384" s="72">
        <v>0</v>
      </c>
      <c r="CO384" s="72">
        <v>0</v>
      </c>
      <c r="CP384" s="72">
        <v>0</v>
      </c>
      <c r="CQ384" s="72">
        <v>0</v>
      </c>
      <c r="CR384" s="72">
        <v>0</v>
      </c>
      <c r="CS384" s="72">
        <v>0</v>
      </c>
      <c r="CT384" s="72">
        <v>0</v>
      </c>
      <c r="CU384" s="72">
        <v>0</v>
      </c>
      <c r="CV384" s="72">
        <v>0</v>
      </c>
      <c r="CW384" s="72">
        <v>0</v>
      </c>
      <c r="CX384" s="72">
        <v>0</v>
      </c>
      <c r="CY384" s="72">
        <v>0</v>
      </c>
      <c r="CZ384" s="72">
        <v>0</v>
      </c>
      <c r="DA384" s="72">
        <v>0</v>
      </c>
      <c r="DB384" s="72">
        <v>0</v>
      </c>
      <c r="DC384" s="72">
        <v>0</v>
      </c>
      <c r="DD384" s="72">
        <v>0</v>
      </c>
      <c r="DE384" s="72">
        <v>0</v>
      </c>
      <c r="DF384" s="72">
        <v>0</v>
      </c>
      <c r="DG384" s="72">
        <v>0</v>
      </c>
      <c r="DH384" s="72">
        <v>0</v>
      </c>
      <c r="DI384" s="72">
        <v>0</v>
      </c>
      <c r="DJ384" s="72">
        <v>0</v>
      </c>
      <c r="DK384" s="72">
        <v>0</v>
      </c>
      <c r="DL384" s="72">
        <v>0</v>
      </c>
      <c r="DM384" s="72">
        <v>0</v>
      </c>
    </row>
    <row r="385" spans="1:117" x14ac:dyDescent="0.35">
      <c r="A385" s="7"/>
      <c r="B385" s="8" t="s">
        <v>645</v>
      </c>
      <c r="C385" s="9" t="s">
        <v>646</v>
      </c>
      <c r="D385" s="10" t="s">
        <v>594</v>
      </c>
      <c r="E385" s="8" t="s">
        <v>1203</v>
      </c>
      <c r="F385" s="10">
        <v>1002</v>
      </c>
      <c r="G385" s="10" t="s">
        <v>40</v>
      </c>
      <c r="H385" s="10" t="s">
        <v>41</v>
      </c>
      <c r="I385" s="11">
        <v>1</v>
      </c>
      <c r="J385" s="10"/>
      <c r="K385" s="10" t="s">
        <v>42</v>
      </c>
      <c r="L385" s="8" t="s">
        <v>647</v>
      </c>
      <c r="M385" s="12">
        <v>1775</v>
      </c>
      <c r="N385" s="12">
        <f t="shared" si="7"/>
        <v>1775</v>
      </c>
      <c r="O385" s="11">
        <v>1</v>
      </c>
      <c r="P385" s="11">
        <v>1</v>
      </c>
      <c r="Q385" s="11">
        <v>1</v>
      </c>
      <c r="R385" s="11">
        <v>1</v>
      </c>
      <c r="S385" s="11">
        <v>1</v>
      </c>
      <c r="T385" s="11">
        <v>1</v>
      </c>
      <c r="U385" s="11">
        <v>1</v>
      </c>
      <c r="V385" s="11">
        <v>1</v>
      </c>
      <c r="W385" s="11">
        <v>1</v>
      </c>
      <c r="X385" s="11">
        <v>1</v>
      </c>
      <c r="Y385" s="11">
        <v>1</v>
      </c>
      <c r="Z385" s="11">
        <v>1</v>
      </c>
      <c r="AA385" s="11">
        <v>1</v>
      </c>
      <c r="AB385" s="11">
        <v>1</v>
      </c>
      <c r="AC385" s="11">
        <v>1</v>
      </c>
      <c r="AD385" s="11">
        <v>1</v>
      </c>
      <c r="AE385" s="11">
        <v>1</v>
      </c>
      <c r="AF385" s="11">
        <v>1</v>
      </c>
      <c r="AG385" s="11">
        <v>1</v>
      </c>
      <c r="AH385" s="11">
        <v>1</v>
      </c>
      <c r="AI385" s="11">
        <v>1</v>
      </c>
      <c r="AJ385" s="11">
        <v>1</v>
      </c>
      <c r="AK385" s="11">
        <v>1</v>
      </c>
      <c r="AL385" s="11">
        <v>1</v>
      </c>
      <c r="AM385" s="11">
        <v>1</v>
      </c>
      <c r="AN385" s="72">
        <v>1</v>
      </c>
      <c r="AO385" s="72">
        <v>1</v>
      </c>
      <c r="AP385" s="72">
        <v>1</v>
      </c>
      <c r="AQ385" s="72">
        <v>1</v>
      </c>
      <c r="AR385" s="72">
        <v>1</v>
      </c>
      <c r="AS385" s="72">
        <v>1</v>
      </c>
      <c r="AT385" s="72">
        <v>1</v>
      </c>
      <c r="AU385" s="72">
        <v>1</v>
      </c>
      <c r="AV385" s="72">
        <v>1</v>
      </c>
      <c r="AW385" s="72">
        <v>1</v>
      </c>
      <c r="AX385" s="72">
        <v>1</v>
      </c>
      <c r="AY385" s="72">
        <v>1</v>
      </c>
      <c r="AZ385" s="72">
        <v>1</v>
      </c>
      <c r="BA385" s="72">
        <v>1</v>
      </c>
      <c r="BB385" s="72">
        <v>1</v>
      </c>
      <c r="BC385" s="72">
        <v>1</v>
      </c>
      <c r="BD385" s="72">
        <v>1</v>
      </c>
      <c r="BE385" s="72">
        <v>1</v>
      </c>
      <c r="BF385" s="72">
        <v>1</v>
      </c>
      <c r="BG385" s="72">
        <v>1</v>
      </c>
      <c r="BH385" s="72">
        <v>1</v>
      </c>
      <c r="BI385" s="72">
        <v>1</v>
      </c>
      <c r="BJ385" s="72">
        <v>1</v>
      </c>
      <c r="BK385" s="72">
        <v>1</v>
      </c>
      <c r="BL385" s="72">
        <v>1</v>
      </c>
      <c r="BM385" s="72">
        <v>1</v>
      </c>
      <c r="BN385" s="72">
        <v>1</v>
      </c>
      <c r="BO385" s="72">
        <v>1</v>
      </c>
      <c r="BP385" s="72">
        <v>1</v>
      </c>
      <c r="BQ385" s="72">
        <v>1</v>
      </c>
      <c r="BR385" s="72">
        <v>1</v>
      </c>
      <c r="BS385" s="72">
        <v>1</v>
      </c>
      <c r="BT385" s="72">
        <v>1</v>
      </c>
      <c r="BU385" s="72">
        <v>1</v>
      </c>
      <c r="BV385" s="72">
        <v>1</v>
      </c>
      <c r="BW385" s="72">
        <v>1</v>
      </c>
      <c r="BX385" s="72">
        <v>1</v>
      </c>
      <c r="BY385" s="72">
        <v>1</v>
      </c>
      <c r="BZ385" s="72">
        <v>1</v>
      </c>
      <c r="CA385" s="72">
        <v>1</v>
      </c>
      <c r="CB385" s="72">
        <v>1</v>
      </c>
      <c r="CC385" s="72">
        <v>1</v>
      </c>
      <c r="CD385" s="72">
        <v>1</v>
      </c>
      <c r="CE385" s="72">
        <v>1</v>
      </c>
      <c r="CF385" s="72">
        <v>1</v>
      </c>
      <c r="CG385" s="72">
        <v>1</v>
      </c>
      <c r="CH385" s="72">
        <v>1</v>
      </c>
      <c r="CI385" s="72">
        <v>1</v>
      </c>
      <c r="CJ385" s="72">
        <v>1</v>
      </c>
      <c r="CK385" s="72">
        <v>1</v>
      </c>
      <c r="CL385" s="72">
        <v>1</v>
      </c>
      <c r="CM385" s="72">
        <v>1</v>
      </c>
      <c r="CN385" s="72">
        <v>1</v>
      </c>
      <c r="CO385" s="72">
        <v>1</v>
      </c>
      <c r="CP385" s="72">
        <v>1</v>
      </c>
      <c r="CQ385" s="72">
        <v>1</v>
      </c>
      <c r="CR385" s="72">
        <v>1</v>
      </c>
      <c r="CS385" s="72">
        <v>1</v>
      </c>
      <c r="CT385" s="72">
        <v>1</v>
      </c>
      <c r="CU385" s="72">
        <v>1</v>
      </c>
      <c r="CV385" s="72">
        <v>1</v>
      </c>
      <c r="CW385" s="72">
        <v>1</v>
      </c>
      <c r="CX385" s="72">
        <v>1</v>
      </c>
      <c r="CY385" s="72">
        <v>1</v>
      </c>
      <c r="CZ385" s="72">
        <v>1</v>
      </c>
      <c r="DA385" s="72">
        <v>1</v>
      </c>
      <c r="DB385" s="72">
        <v>1</v>
      </c>
      <c r="DC385" s="72">
        <v>1</v>
      </c>
      <c r="DD385" s="72">
        <v>1</v>
      </c>
      <c r="DE385" s="72">
        <v>1</v>
      </c>
      <c r="DF385" s="72">
        <v>1</v>
      </c>
      <c r="DG385" s="72">
        <v>1</v>
      </c>
      <c r="DH385" s="72">
        <v>1</v>
      </c>
      <c r="DI385" s="72">
        <v>1</v>
      </c>
      <c r="DJ385" s="72">
        <v>1</v>
      </c>
      <c r="DK385" s="72">
        <v>1</v>
      </c>
      <c r="DL385" s="72">
        <v>1</v>
      </c>
      <c r="DM385" s="72">
        <v>1</v>
      </c>
    </row>
    <row r="386" spans="1:117" x14ac:dyDescent="0.35">
      <c r="A386" s="7"/>
      <c r="B386" s="8" t="s">
        <v>648</v>
      </c>
      <c r="C386" s="9" t="s">
        <v>649</v>
      </c>
      <c r="D386" s="10" t="s">
        <v>594</v>
      </c>
      <c r="E386" s="8" t="s">
        <v>1203</v>
      </c>
      <c r="F386" s="10">
        <v>1002</v>
      </c>
      <c r="G386" s="10" t="s">
        <v>40</v>
      </c>
      <c r="H386" s="10" t="s">
        <v>41</v>
      </c>
      <c r="I386" s="11">
        <v>5</v>
      </c>
      <c r="J386" s="10"/>
      <c r="K386" s="10" t="s">
        <v>42</v>
      </c>
      <c r="L386" s="8"/>
      <c r="M386" s="12">
        <v>530</v>
      </c>
      <c r="N386" s="12">
        <f t="shared" si="7"/>
        <v>0</v>
      </c>
      <c r="O386" s="11"/>
      <c r="P386" s="11"/>
      <c r="Q386" s="11"/>
      <c r="R386" s="11"/>
      <c r="S386" s="11"/>
      <c r="T386" s="11"/>
      <c r="U386" s="11"/>
      <c r="V386" s="11"/>
      <c r="W386" s="11"/>
      <c r="X386" s="11"/>
      <c r="Y386" s="11"/>
      <c r="Z386" s="11"/>
      <c r="AA386" s="11"/>
      <c r="AB386" s="11">
        <v>5</v>
      </c>
      <c r="AC386" s="11">
        <v>5</v>
      </c>
      <c r="AD386" s="11">
        <v>5</v>
      </c>
      <c r="AE386" s="11">
        <v>5</v>
      </c>
      <c r="AF386" s="11">
        <v>5</v>
      </c>
      <c r="AG386" s="11">
        <v>5</v>
      </c>
      <c r="AH386" s="11">
        <v>5</v>
      </c>
      <c r="AI386" s="11">
        <v>5</v>
      </c>
      <c r="AJ386" s="11">
        <v>5</v>
      </c>
      <c r="AK386" s="11">
        <v>5</v>
      </c>
      <c r="AL386" s="11">
        <v>5</v>
      </c>
      <c r="AM386" s="11">
        <v>5</v>
      </c>
      <c r="AN386" s="72">
        <v>5</v>
      </c>
      <c r="AO386" s="72">
        <v>5</v>
      </c>
      <c r="AP386" s="72">
        <v>5</v>
      </c>
      <c r="AQ386" s="72">
        <v>0</v>
      </c>
      <c r="AR386" s="72">
        <v>0</v>
      </c>
      <c r="AS386" s="72">
        <v>0</v>
      </c>
      <c r="AT386" s="72">
        <v>0</v>
      </c>
      <c r="AU386" s="72">
        <v>0</v>
      </c>
      <c r="AV386" s="72">
        <v>0</v>
      </c>
      <c r="AW386" s="72">
        <v>0</v>
      </c>
      <c r="AX386" s="72">
        <v>0</v>
      </c>
      <c r="AY386" s="72">
        <v>0</v>
      </c>
      <c r="AZ386" s="72">
        <v>0</v>
      </c>
      <c r="BA386" s="72">
        <v>0</v>
      </c>
      <c r="BB386" s="72">
        <v>0</v>
      </c>
      <c r="BC386" s="72">
        <v>0</v>
      </c>
      <c r="BD386" s="72">
        <v>0</v>
      </c>
      <c r="BE386" s="72">
        <v>0</v>
      </c>
      <c r="BF386" s="72">
        <v>0</v>
      </c>
      <c r="BG386" s="72">
        <v>0</v>
      </c>
      <c r="BH386" s="72">
        <v>0</v>
      </c>
      <c r="BI386" s="72">
        <v>0</v>
      </c>
      <c r="BJ386" s="72">
        <v>0</v>
      </c>
      <c r="BK386" s="72">
        <v>0</v>
      </c>
      <c r="BL386" s="72">
        <v>0</v>
      </c>
      <c r="BM386" s="72">
        <v>0</v>
      </c>
      <c r="BN386" s="72">
        <v>0</v>
      </c>
      <c r="BO386" s="72">
        <v>0</v>
      </c>
      <c r="BP386" s="72">
        <v>0</v>
      </c>
      <c r="BQ386" s="72">
        <v>0</v>
      </c>
      <c r="BR386" s="72">
        <v>0</v>
      </c>
      <c r="BS386" s="72">
        <v>0</v>
      </c>
      <c r="BT386" s="72">
        <v>0</v>
      </c>
      <c r="BU386" s="72">
        <v>0</v>
      </c>
      <c r="BV386" s="72">
        <v>0</v>
      </c>
      <c r="BW386" s="72">
        <v>0</v>
      </c>
      <c r="BX386" s="72">
        <v>0</v>
      </c>
      <c r="BY386" s="72">
        <v>0</v>
      </c>
      <c r="BZ386" s="72">
        <v>0</v>
      </c>
      <c r="CA386" s="72">
        <v>0</v>
      </c>
      <c r="CB386" s="72">
        <v>0</v>
      </c>
      <c r="CC386" s="72">
        <v>0</v>
      </c>
      <c r="CD386" s="72">
        <v>0</v>
      </c>
      <c r="CE386" s="72">
        <v>0</v>
      </c>
      <c r="CF386" s="72">
        <v>0</v>
      </c>
      <c r="CG386" s="72">
        <v>0</v>
      </c>
      <c r="CH386" s="72">
        <v>0</v>
      </c>
      <c r="CI386" s="72">
        <v>0</v>
      </c>
      <c r="CJ386" s="72">
        <v>0</v>
      </c>
      <c r="CK386" s="72">
        <v>0</v>
      </c>
      <c r="CL386" s="72">
        <v>0</v>
      </c>
      <c r="CM386" s="72">
        <v>0</v>
      </c>
      <c r="CN386" s="72">
        <v>0</v>
      </c>
      <c r="CO386" s="72">
        <v>0</v>
      </c>
      <c r="CP386" s="72">
        <v>0</v>
      </c>
      <c r="CQ386" s="72">
        <v>0</v>
      </c>
      <c r="CR386" s="72">
        <v>0</v>
      </c>
      <c r="CS386" s="72">
        <v>0</v>
      </c>
      <c r="CT386" s="72">
        <v>0</v>
      </c>
      <c r="CU386" s="72">
        <v>0</v>
      </c>
      <c r="CV386" s="72">
        <v>0</v>
      </c>
      <c r="CW386" s="72">
        <v>0</v>
      </c>
      <c r="CX386" s="72">
        <v>0</v>
      </c>
      <c r="CY386" s="72">
        <v>0</v>
      </c>
      <c r="CZ386" s="72">
        <v>0</v>
      </c>
      <c r="DA386" s="72">
        <v>0</v>
      </c>
      <c r="DB386" s="72">
        <v>0</v>
      </c>
      <c r="DC386" s="72">
        <v>0</v>
      </c>
      <c r="DD386" s="72">
        <v>0</v>
      </c>
      <c r="DE386" s="72">
        <v>0</v>
      </c>
      <c r="DF386" s="72">
        <v>0</v>
      </c>
      <c r="DG386" s="72">
        <v>0</v>
      </c>
      <c r="DH386" s="72">
        <v>0</v>
      </c>
      <c r="DI386" s="72">
        <v>0</v>
      </c>
      <c r="DJ386" s="72">
        <v>0</v>
      </c>
      <c r="DK386" s="72">
        <v>0</v>
      </c>
      <c r="DL386" s="72">
        <v>0</v>
      </c>
      <c r="DM386" s="72">
        <v>0</v>
      </c>
    </row>
    <row r="387" spans="1:117" ht="39.85" x14ac:dyDescent="0.35">
      <c r="A387" s="7"/>
      <c r="B387" s="8" t="s">
        <v>650</v>
      </c>
      <c r="C387" s="9" t="s">
        <v>651</v>
      </c>
      <c r="D387" s="10" t="s">
        <v>594</v>
      </c>
      <c r="E387" s="8" t="s">
        <v>1203</v>
      </c>
      <c r="F387" s="10">
        <v>1002</v>
      </c>
      <c r="G387" s="10" t="s">
        <v>40</v>
      </c>
      <c r="H387" s="10" t="s">
        <v>41</v>
      </c>
      <c r="I387" s="11">
        <v>1</v>
      </c>
      <c r="J387" s="10">
        <v>2</v>
      </c>
      <c r="K387" s="10" t="s">
        <v>153</v>
      </c>
      <c r="L387" s="14" t="s">
        <v>652</v>
      </c>
      <c r="M387" s="12">
        <v>875.72</v>
      </c>
      <c r="N387" s="12">
        <f t="shared" ref="N387:N446" si="9">M387*DM387</f>
        <v>0</v>
      </c>
      <c r="O387" s="11">
        <v>16</v>
      </c>
      <c r="P387" s="11">
        <v>16</v>
      </c>
      <c r="Q387" s="11">
        <v>15</v>
      </c>
      <c r="R387" s="11">
        <v>15</v>
      </c>
      <c r="S387" s="11">
        <v>15</v>
      </c>
      <c r="T387" s="11">
        <v>13</v>
      </c>
      <c r="U387" s="11">
        <v>0</v>
      </c>
      <c r="V387" s="11">
        <v>0</v>
      </c>
      <c r="W387" s="11">
        <v>0</v>
      </c>
      <c r="X387" s="11">
        <v>0</v>
      </c>
      <c r="Y387" s="11">
        <v>0</v>
      </c>
      <c r="Z387" s="11">
        <v>0</v>
      </c>
      <c r="AA387" s="11">
        <v>0</v>
      </c>
      <c r="AB387" s="11">
        <v>20</v>
      </c>
      <c r="AC387" s="11">
        <v>20</v>
      </c>
      <c r="AD387" s="11">
        <v>20</v>
      </c>
      <c r="AE387" s="11">
        <v>1</v>
      </c>
      <c r="AF387" s="11">
        <v>1</v>
      </c>
      <c r="AG387" s="11">
        <v>1</v>
      </c>
      <c r="AH387" s="11">
        <v>1</v>
      </c>
      <c r="AI387" s="11">
        <v>1</v>
      </c>
      <c r="AJ387" s="11">
        <v>1</v>
      </c>
      <c r="AK387" s="11">
        <v>1</v>
      </c>
      <c r="AL387" s="11">
        <v>1</v>
      </c>
      <c r="AM387" s="11">
        <v>1</v>
      </c>
      <c r="AN387" s="72">
        <v>1</v>
      </c>
      <c r="AO387" s="72">
        <v>7</v>
      </c>
      <c r="AP387" s="72">
        <v>7</v>
      </c>
      <c r="AQ387" s="72">
        <v>0</v>
      </c>
      <c r="AR387" s="72">
        <v>1</v>
      </c>
      <c r="AS387" s="72">
        <v>1</v>
      </c>
      <c r="AT387" s="72">
        <v>1</v>
      </c>
      <c r="AU387" s="72">
        <v>10</v>
      </c>
      <c r="AV387" s="72">
        <v>10</v>
      </c>
      <c r="AW387" s="72">
        <v>25</v>
      </c>
      <c r="AX387" s="72">
        <v>25</v>
      </c>
      <c r="AY387" s="72">
        <v>25</v>
      </c>
      <c r="AZ387" s="72">
        <v>25</v>
      </c>
      <c r="BA387" s="72">
        <v>25</v>
      </c>
      <c r="BB387" s="72">
        <v>25</v>
      </c>
      <c r="BC387" s="72">
        <v>25</v>
      </c>
      <c r="BD387" s="72">
        <v>24</v>
      </c>
      <c r="BE387" s="72">
        <v>24</v>
      </c>
      <c r="BF387" s="72">
        <v>24</v>
      </c>
      <c r="BG387" s="72">
        <v>24</v>
      </c>
      <c r="BH387" s="72">
        <v>24</v>
      </c>
      <c r="BI387" s="72">
        <v>24</v>
      </c>
      <c r="BJ387" s="72">
        <v>24</v>
      </c>
      <c r="BK387" s="72">
        <v>21</v>
      </c>
      <c r="BL387" s="72">
        <v>21</v>
      </c>
      <c r="BM387" s="72">
        <v>21</v>
      </c>
      <c r="BN387" s="72">
        <v>0</v>
      </c>
      <c r="BO387" s="72">
        <v>0</v>
      </c>
      <c r="BP387" s="72">
        <v>0</v>
      </c>
      <c r="BQ387" s="72">
        <v>0</v>
      </c>
      <c r="BR387" s="72">
        <v>0</v>
      </c>
      <c r="BS387" s="72">
        <v>1</v>
      </c>
      <c r="BT387" s="72">
        <v>1</v>
      </c>
      <c r="BU387" s="72">
        <v>1</v>
      </c>
      <c r="BV387" s="72">
        <v>2</v>
      </c>
      <c r="BW387" s="72">
        <v>1</v>
      </c>
      <c r="BX387" s="72">
        <v>1</v>
      </c>
      <c r="BY387" s="72">
        <v>1</v>
      </c>
      <c r="BZ387" s="72">
        <v>1</v>
      </c>
      <c r="CA387" s="72">
        <v>1</v>
      </c>
      <c r="CB387" s="72">
        <v>1</v>
      </c>
      <c r="CC387" s="72">
        <v>1</v>
      </c>
      <c r="CD387" s="72">
        <v>1</v>
      </c>
      <c r="CE387" s="72">
        <v>1</v>
      </c>
      <c r="CF387" s="72">
        <v>1</v>
      </c>
      <c r="CG387" s="72">
        <v>1</v>
      </c>
      <c r="CH387" s="72">
        <v>1</v>
      </c>
      <c r="CI387" s="72">
        <v>1</v>
      </c>
      <c r="CJ387" s="72">
        <v>1</v>
      </c>
      <c r="CK387" s="72">
        <v>1</v>
      </c>
      <c r="CL387" s="72">
        <v>1</v>
      </c>
      <c r="CM387" s="72">
        <v>1</v>
      </c>
      <c r="CN387" s="72">
        <v>1</v>
      </c>
      <c r="CO387" s="72">
        <v>1</v>
      </c>
      <c r="CP387" s="72">
        <v>1</v>
      </c>
      <c r="CQ387" s="72">
        <v>1</v>
      </c>
      <c r="CR387" s="72">
        <v>1</v>
      </c>
      <c r="CS387" s="72">
        <v>1</v>
      </c>
      <c r="CT387" s="72">
        <v>0</v>
      </c>
      <c r="CU387" s="72">
        <v>0</v>
      </c>
      <c r="CV387" s="72">
        <v>0</v>
      </c>
      <c r="CW387" s="72">
        <v>0</v>
      </c>
      <c r="CX387" s="72">
        <v>0</v>
      </c>
      <c r="CY387" s="72">
        <v>0</v>
      </c>
      <c r="CZ387" s="72">
        <v>0</v>
      </c>
      <c r="DA387" s="72">
        <v>0</v>
      </c>
      <c r="DB387" s="72">
        <v>0</v>
      </c>
      <c r="DC387" s="72">
        <v>0</v>
      </c>
      <c r="DD387" s="72">
        <v>0</v>
      </c>
      <c r="DE387" s="72">
        <v>0</v>
      </c>
      <c r="DF387" s="72">
        <v>0</v>
      </c>
      <c r="DG387" s="72">
        <v>0</v>
      </c>
      <c r="DH387" s="72">
        <v>0</v>
      </c>
      <c r="DI387" s="72">
        <v>0</v>
      </c>
      <c r="DJ387" s="72">
        <v>0</v>
      </c>
      <c r="DK387" s="72">
        <v>0</v>
      </c>
      <c r="DL387" s="72">
        <v>0</v>
      </c>
      <c r="DM387" s="72">
        <v>0</v>
      </c>
    </row>
    <row r="388" spans="1:117" x14ac:dyDescent="0.35">
      <c r="A388" s="7"/>
      <c r="B388" s="8" t="s">
        <v>1353</v>
      </c>
      <c r="C388" s="9" t="s">
        <v>651</v>
      </c>
      <c r="D388" s="10" t="s">
        <v>594</v>
      </c>
      <c r="E388" s="8" t="s">
        <v>1203</v>
      </c>
      <c r="F388" s="10"/>
      <c r="G388" s="10"/>
      <c r="H388" s="10" t="s">
        <v>41</v>
      </c>
      <c r="I388" s="11"/>
      <c r="J388" s="10"/>
      <c r="K388" s="10"/>
      <c r="L388" s="14"/>
      <c r="M388" s="12"/>
      <c r="N388" s="12">
        <f t="shared" si="9"/>
        <v>0</v>
      </c>
      <c r="O388" s="11"/>
      <c r="P388" s="11"/>
      <c r="Q388" s="11"/>
      <c r="R388" s="11"/>
      <c r="S388" s="11"/>
      <c r="T388" s="11"/>
      <c r="U388" s="11"/>
      <c r="V388" s="11"/>
      <c r="W388" s="11"/>
      <c r="X388" s="11"/>
      <c r="Y388" s="11"/>
      <c r="Z388" s="11"/>
      <c r="AA388" s="11"/>
      <c r="AB388" s="11"/>
      <c r="AC388" s="11"/>
      <c r="AD388" s="11"/>
      <c r="AE388" s="11"/>
      <c r="AF388" s="11"/>
      <c r="AG388" s="11"/>
      <c r="AH388" s="11"/>
      <c r="AI388" s="11"/>
      <c r="AJ388" s="11"/>
      <c r="AK388" s="11"/>
      <c r="AL388" s="11"/>
      <c r="AM388" s="11"/>
      <c r="AN388" s="72"/>
      <c r="AO388" s="72"/>
      <c r="AP388" s="72"/>
      <c r="AQ388" s="72"/>
      <c r="AR388" s="72"/>
      <c r="AS388" s="72"/>
      <c r="AT388" s="72"/>
      <c r="AU388" s="72"/>
      <c r="AV388" s="72"/>
      <c r="AW388" s="72"/>
      <c r="AX388" s="72"/>
      <c r="AY388" s="72"/>
      <c r="AZ388" s="72"/>
      <c r="BA388" s="72"/>
      <c r="BB388" s="72"/>
      <c r="BC388" s="72"/>
      <c r="BD388" s="72"/>
      <c r="BE388" s="72"/>
      <c r="BF388" s="72"/>
      <c r="BG388" s="72"/>
      <c r="BH388" s="72"/>
      <c r="BI388" s="72"/>
      <c r="BJ388" s="72">
        <v>1</v>
      </c>
      <c r="BK388" s="72">
        <v>1</v>
      </c>
      <c r="BL388" s="72">
        <v>1</v>
      </c>
      <c r="BM388" s="72">
        <v>1</v>
      </c>
      <c r="BN388" s="72">
        <v>0</v>
      </c>
      <c r="BO388" s="72">
        <v>0</v>
      </c>
      <c r="BP388" s="72">
        <v>0</v>
      </c>
      <c r="BQ388" s="72">
        <v>0</v>
      </c>
      <c r="BR388" s="72">
        <v>0</v>
      </c>
      <c r="BS388" s="72">
        <v>0</v>
      </c>
      <c r="BT388" s="72">
        <v>0</v>
      </c>
      <c r="BU388" s="72">
        <v>0</v>
      </c>
      <c r="BV388" s="72">
        <v>0</v>
      </c>
      <c r="BW388" s="72">
        <v>0</v>
      </c>
      <c r="BX388" s="72">
        <v>0</v>
      </c>
      <c r="BY388" s="72">
        <v>0</v>
      </c>
      <c r="BZ388" s="72">
        <v>0</v>
      </c>
      <c r="CA388" s="72">
        <v>0</v>
      </c>
      <c r="CB388" s="72">
        <v>0</v>
      </c>
      <c r="CC388" s="72">
        <v>0</v>
      </c>
      <c r="CD388" s="72">
        <v>0</v>
      </c>
      <c r="CE388" s="72">
        <v>0</v>
      </c>
      <c r="CF388" s="72">
        <v>0</v>
      </c>
      <c r="CG388" s="72">
        <v>0</v>
      </c>
      <c r="CH388" s="72">
        <v>0</v>
      </c>
      <c r="CI388" s="72">
        <v>0</v>
      </c>
      <c r="CJ388" s="72">
        <v>0</v>
      </c>
      <c r="CK388" s="72">
        <v>0</v>
      </c>
      <c r="CL388" s="72">
        <v>0</v>
      </c>
      <c r="CM388" s="72">
        <v>0</v>
      </c>
      <c r="CN388" s="72">
        <v>0</v>
      </c>
      <c r="CO388" s="72">
        <v>0</v>
      </c>
      <c r="CP388" s="72">
        <v>0</v>
      </c>
      <c r="CQ388" s="72">
        <v>0</v>
      </c>
      <c r="CR388" s="72">
        <v>0</v>
      </c>
      <c r="CS388" s="72">
        <v>0</v>
      </c>
      <c r="CT388" s="72">
        <v>0</v>
      </c>
      <c r="CU388" s="72">
        <v>0</v>
      </c>
      <c r="CV388" s="72">
        <v>0</v>
      </c>
      <c r="CW388" s="72">
        <v>0</v>
      </c>
      <c r="CX388" s="72">
        <v>0</v>
      </c>
      <c r="CY388" s="72">
        <v>0</v>
      </c>
      <c r="CZ388" s="72">
        <v>0</v>
      </c>
      <c r="DA388" s="72">
        <v>0</v>
      </c>
      <c r="DB388" s="72">
        <v>0</v>
      </c>
      <c r="DC388" s="72">
        <v>0</v>
      </c>
      <c r="DD388" s="72">
        <v>0</v>
      </c>
      <c r="DE388" s="72">
        <v>0</v>
      </c>
      <c r="DF388" s="72">
        <v>0</v>
      </c>
      <c r="DG388" s="72">
        <v>0</v>
      </c>
      <c r="DH388" s="72">
        <v>0</v>
      </c>
      <c r="DI388" s="72">
        <v>0</v>
      </c>
      <c r="DJ388" s="72">
        <v>0</v>
      </c>
      <c r="DK388" s="72">
        <v>0</v>
      </c>
      <c r="DL388" s="72">
        <v>0</v>
      </c>
      <c r="DM388" s="72">
        <v>0</v>
      </c>
    </row>
    <row r="389" spans="1:117" ht="39.85" x14ac:dyDescent="0.35">
      <c r="A389" s="7"/>
      <c r="B389" s="8" t="s">
        <v>653</v>
      </c>
      <c r="C389" s="9" t="s">
        <v>654</v>
      </c>
      <c r="D389" s="10" t="s">
        <v>594</v>
      </c>
      <c r="E389" s="8" t="s">
        <v>1203</v>
      </c>
      <c r="F389" s="10">
        <v>1002</v>
      </c>
      <c r="G389" s="10" t="s">
        <v>40</v>
      </c>
      <c r="H389" s="10" t="s">
        <v>41</v>
      </c>
      <c r="I389" s="11">
        <v>1</v>
      </c>
      <c r="J389" s="10">
        <v>0</v>
      </c>
      <c r="K389" s="10" t="s">
        <v>153</v>
      </c>
      <c r="L389" s="14" t="s">
        <v>655</v>
      </c>
      <c r="M389" s="12">
        <v>975</v>
      </c>
      <c r="N389" s="12">
        <f t="shared" si="9"/>
        <v>0</v>
      </c>
      <c r="O389" s="11"/>
      <c r="P389" s="11"/>
      <c r="Q389" s="11">
        <v>6</v>
      </c>
      <c r="R389" s="11">
        <v>6</v>
      </c>
      <c r="S389" s="11">
        <v>6</v>
      </c>
      <c r="T389" s="11">
        <v>6</v>
      </c>
      <c r="U389" s="11">
        <v>6</v>
      </c>
      <c r="V389" s="11">
        <v>6</v>
      </c>
      <c r="W389" s="11">
        <v>6</v>
      </c>
      <c r="X389" s="11">
        <v>5</v>
      </c>
      <c r="Y389" s="11">
        <v>5</v>
      </c>
      <c r="Z389" s="11">
        <v>5</v>
      </c>
      <c r="AA389" s="11">
        <v>5</v>
      </c>
      <c r="AB389" s="11">
        <v>6</v>
      </c>
      <c r="AC389" s="11">
        <v>6</v>
      </c>
      <c r="AD389" s="11">
        <v>6</v>
      </c>
      <c r="AE389" s="11">
        <v>6</v>
      </c>
      <c r="AF389" s="11">
        <v>6</v>
      </c>
      <c r="AG389" s="11">
        <v>6</v>
      </c>
      <c r="AH389" s="11">
        <v>0</v>
      </c>
      <c r="AI389" s="11">
        <v>0</v>
      </c>
      <c r="AJ389" s="11">
        <v>1</v>
      </c>
      <c r="AK389" s="11">
        <v>1</v>
      </c>
      <c r="AL389" s="11">
        <v>1</v>
      </c>
      <c r="AM389" s="11">
        <v>1</v>
      </c>
      <c r="AN389" s="72">
        <v>1</v>
      </c>
      <c r="AO389" s="72">
        <v>1</v>
      </c>
      <c r="AP389" s="72">
        <v>1</v>
      </c>
      <c r="AQ389" s="72">
        <v>1</v>
      </c>
      <c r="AR389" s="72">
        <v>1</v>
      </c>
      <c r="AS389" s="72">
        <v>1</v>
      </c>
      <c r="AT389" s="72">
        <v>1</v>
      </c>
      <c r="AU389" s="72">
        <v>1</v>
      </c>
      <c r="AV389" s="72">
        <v>1</v>
      </c>
      <c r="AW389" s="72">
        <v>1</v>
      </c>
      <c r="AX389" s="72">
        <v>1</v>
      </c>
      <c r="AY389" s="72">
        <v>1</v>
      </c>
      <c r="AZ389" s="72">
        <v>1</v>
      </c>
      <c r="BA389" s="72">
        <v>1</v>
      </c>
      <c r="BB389" s="72">
        <v>0</v>
      </c>
      <c r="BC389" s="72">
        <v>0</v>
      </c>
      <c r="BD389" s="72">
        <v>0</v>
      </c>
      <c r="BE389" s="72">
        <v>0</v>
      </c>
      <c r="BF389" s="72">
        <v>0</v>
      </c>
      <c r="BG389" s="72">
        <v>0</v>
      </c>
      <c r="BH389" s="72">
        <v>0</v>
      </c>
      <c r="BI389" s="72">
        <v>0</v>
      </c>
      <c r="BJ389" s="72">
        <v>0</v>
      </c>
      <c r="BK389" s="72">
        <v>0</v>
      </c>
      <c r="BL389" s="72">
        <v>0</v>
      </c>
      <c r="BM389" s="72">
        <v>0</v>
      </c>
      <c r="BN389" s="72">
        <v>0</v>
      </c>
      <c r="BO389" s="72">
        <v>0</v>
      </c>
      <c r="BP389" s="72">
        <v>0</v>
      </c>
      <c r="BQ389" s="72">
        <v>0</v>
      </c>
      <c r="BR389" s="72">
        <v>0</v>
      </c>
      <c r="BS389" s="72">
        <v>0</v>
      </c>
      <c r="BT389" s="72">
        <v>0</v>
      </c>
      <c r="BU389" s="72">
        <v>0</v>
      </c>
      <c r="BV389" s="72">
        <v>0</v>
      </c>
      <c r="BW389" s="72">
        <v>0</v>
      </c>
      <c r="BX389" s="72">
        <v>0</v>
      </c>
      <c r="BY389" s="72">
        <v>0</v>
      </c>
      <c r="BZ389" s="72">
        <v>0</v>
      </c>
      <c r="CA389" s="72">
        <v>0</v>
      </c>
      <c r="CB389" s="72">
        <v>0</v>
      </c>
      <c r="CC389" s="72">
        <v>0</v>
      </c>
      <c r="CD389" s="72">
        <v>0</v>
      </c>
      <c r="CE389" s="72">
        <v>0</v>
      </c>
      <c r="CF389" s="72">
        <v>0</v>
      </c>
      <c r="CG389" s="72">
        <v>0</v>
      </c>
      <c r="CH389" s="72">
        <v>0</v>
      </c>
      <c r="CI389" s="72">
        <v>0</v>
      </c>
      <c r="CJ389" s="72">
        <v>0</v>
      </c>
      <c r="CK389" s="72">
        <v>0</v>
      </c>
      <c r="CL389" s="72">
        <v>0</v>
      </c>
      <c r="CM389" s="72">
        <v>0</v>
      </c>
      <c r="CN389" s="72">
        <v>0</v>
      </c>
      <c r="CO389" s="72">
        <v>0</v>
      </c>
      <c r="CP389" s="72">
        <v>0</v>
      </c>
      <c r="CQ389" s="72">
        <v>0</v>
      </c>
      <c r="CR389" s="72">
        <v>0</v>
      </c>
      <c r="CS389" s="72">
        <v>0</v>
      </c>
      <c r="CT389" s="72">
        <v>0</v>
      </c>
      <c r="CU389" s="72">
        <v>0</v>
      </c>
      <c r="CV389" s="72">
        <v>0</v>
      </c>
      <c r="CW389" s="72">
        <v>0</v>
      </c>
      <c r="CX389" s="72">
        <v>0</v>
      </c>
      <c r="CY389" s="72">
        <v>0</v>
      </c>
      <c r="CZ389" s="72">
        <v>0</v>
      </c>
      <c r="DA389" s="72">
        <v>0</v>
      </c>
      <c r="DB389" s="72">
        <v>0</v>
      </c>
      <c r="DC389" s="72">
        <v>0</v>
      </c>
      <c r="DD389" s="72">
        <v>0</v>
      </c>
      <c r="DE389" s="72">
        <v>0</v>
      </c>
      <c r="DF389" s="72">
        <v>0</v>
      </c>
      <c r="DG389" s="72">
        <v>0</v>
      </c>
      <c r="DH389" s="72">
        <v>0</v>
      </c>
      <c r="DI389" s="72">
        <v>0</v>
      </c>
      <c r="DJ389" s="72">
        <v>0</v>
      </c>
      <c r="DK389" s="72">
        <v>0</v>
      </c>
      <c r="DL389" s="72">
        <v>0</v>
      </c>
      <c r="DM389" s="72">
        <v>0</v>
      </c>
    </row>
    <row r="390" spans="1:117" x14ac:dyDescent="0.35">
      <c r="A390" s="7"/>
      <c r="B390" s="8" t="s">
        <v>1269</v>
      </c>
      <c r="C390" s="78" t="s">
        <v>1278</v>
      </c>
      <c r="D390" s="10" t="s">
        <v>594</v>
      </c>
      <c r="E390" s="8" t="s">
        <v>1203</v>
      </c>
      <c r="F390" s="10"/>
      <c r="G390" s="10"/>
      <c r="H390" s="10" t="s">
        <v>41</v>
      </c>
      <c r="I390" s="11"/>
      <c r="J390" s="10"/>
      <c r="K390" s="10"/>
      <c r="L390" s="14"/>
      <c r="M390" s="12"/>
      <c r="N390" s="12">
        <f t="shared" si="9"/>
        <v>0</v>
      </c>
      <c r="O390" s="11"/>
      <c r="P390" s="11"/>
      <c r="Q390" s="11"/>
      <c r="R390" s="11"/>
      <c r="S390" s="11"/>
      <c r="T390" s="11"/>
      <c r="U390" s="11"/>
      <c r="V390" s="11"/>
      <c r="W390" s="11"/>
      <c r="X390" s="11"/>
      <c r="Y390" s="11"/>
      <c r="Z390" s="11"/>
      <c r="AA390" s="11"/>
      <c r="AB390" s="11"/>
      <c r="AC390" s="11"/>
      <c r="AD390" s="11"/>
      <c r="AE390" s="11"/>
      <c r="AF390" s="11"/>
      <c r="AG390" s="11"/>
      <c r="AH390" s="11"/>
      <c r="AI390" s="11"/>
      <c r="AJ390" s="11"/>
      <c r="AK390" s="11"/>
      <c r="AL390" s="11"/>
      <c r="AM390" s="11"/>
      <c r="AN390" s="72"/>
      <c r="AO390" s="72"/>
      <c r="AP390" s="72"/>
      <c r="AQ390" s="72"/>
      <c r="AR390" s="72"/>
      <c r="AS390" s="72"/>
      <c r="AT390" s="72"/>
      <c r="AU390" s="72"/>
      <c r="AV390" s="72"/>
      <c r="AW390" s="72">
        <v>1</v>
      </c>
      <c r="AX390" s="72">
        <v>1</v>
      </c>
      <c r="AY390" s="72">
        <v>1</v>
      </c>
      <c r="AZ390" s="72">
        <v>1</v>
      </c>
      <c r="BA390" s="72">
        <v>1</v>
      </c>
      <c r="BB390" s="72">
        <v>0</v>
      </c>
      <c r="BC390" s="72">
        <v>0</v>
      </c>
      <c r="BD390" s="72">
        <v>0</v>
      </c>
      <c r="BE390" s="72">
        <v>0</v>
      </c>
      <c r="BF390" s="72">
        <v>0</v>
      </c>
      <c r="BG390" s="72">
        <v>0</v>
      </c>
      <c r="BH390" s="72">
        <v>0</v>
      </c>
      <c r="BI390" s="72">
        <v>0</v>
      </c>
      <c r="BJ390" s="72">
        <v>0</v>
      </c>
      <c r="BK390" s="72">
        <v>0</v>
      </c>
      <c r="BL390" s="72">
        <v>0</v>
      </c>
      <c r="BM390" s="72">
        <v>0</v>
      </c>
      <c r="BN390" s="72">
        <v>0</v>
      </c>
      <c r="BO390" s="72">
        <v>0</v>
      </c>
      <c r="BP390" s="72">
        <v>0</v>
      </c>
      <c r="BQ390" s="72">
        <v>0</v>
      </c>
      <c r="BR390" s="72">
        <v>0</v>
      </c>
      <c r="BS390" s="72">
        <v>0</v>
      </c>
      <c r="BT390" s="72">
        <v>0</v>
      </c>
      <c r="BU390" s="72">
        <v>0</v>
      </c>
      <c r="BV390" s="72">
        <v>0</v>
      </c>
      <c r="BW390" s="72">
        <v>0</v>
      </c>
      <c r="BX390" s="72">
        <v>0</v>
      </c>
      <c r="BY390" s="72">
        <v>0</v>
      </c>
      <c r="BZ390" s="72">
        <v>0</v>
      </c>
      <c r="CA390" s="72">
        <v>0</v>
      </c>
      <c r="CB390" s="72">
        <v>0</v>
      </c>
      <c r="CC390" s="72">
        <v>0</v>
      </c>
      <c r="CD390" s="72">
        <v>0</v>
      </c>
      <c r="CE390" s="72">
        <v>0</v>
      </c>
      <c r="CF390" s="72">
        <v>0</v>
      </c>
      <c r="CG390" s="72">
        <v>0</v>
      </c>
      <c r="CH390" s="72">
        <v>0</v>
      </c>
      <c r="CI390" s="72">
        <v>0</v>
      </c>
      <c r="CJ390" s="72">
        <v>0</v>
      </c>
      <c r="CK390" s="72">
        <v>0</v>
      </c>
      <c r="CL390" s="72">
        <v>0</v>
      </c>
      <c r="CM390" s="72">
        <v>0</v>
      </c>
      <c r="CN390" s="72">
        <v>0</v>
      </c>
      <c r="CO390" s="72">
        <v>0</v>
      </c>
      <c r="CP390" s="72">
        <v>0</v>
      </c>
      <c r="CQ390" s="72">
        <v>0</v>
      </c>
      <c r="CR390" s="72">
        <v>0</v>
      </c>
      <c r="CS390" s="72">
        <v>0</v>
      </c>
      <c r="CT390" s="72">
        <v>0</v>
      </c>
      <c r="CU390" s="72">
        <v>0</v>
      </c>
      <c r="CV390" s="72">
        <v>0</v>
      </c>
      <c r="CW390" s="72">
        <v>0</v>
      </c>
      <c r="CX390" s="72">
        <v>0</v>
      </c>
      <c r="CY390" s="72">
        <v>0</v>
      </c>
      <c r="CZ390" s="72">
        <v>0</v>
      </c>
      <c r="DA390" s="72">
        <v>0</v>
      </c>
      <c r="DB390" s="72">
        <v>0</v>
      </c>
      <c r="DC390" s="72">
        <v>0</v>
      </c>
      <c r="DD390" s="72">
        <v>0</v>
      </c>
      <c r="DE390" s="72">
        <v>0</v>
      </c>
      <c r="DF390" s="72">
        <v>0</v>
      </c>
      <c r="DG390" s="72">
        <v>0</v>
      </c>
      <c r="DH390" s="72">
        <v>0</v>
      </c>
      <c r="DI390" s="72">
        <v>0</v>
      </c>
      <c r="DJ390" s="72">
        <v>0</v>
      </c>
      <c r="DK390" s="72">
        <v>0</v>
      </c>
      <c r="DL390" s="72">
        <v>0</v>
      </c>
      <c r="DM390" s="72">
        <v>0</v>
      </c>
    </row>
    <row r="391" spans="1:117" x14ac:dyDescent="0.35">
      <c r="A391" s="7"/>
      <c r="B391" s="8" t="s">
        <v>656</v>
      </c>
      <c r="C391" s="9" t="s">
        <v>657</v>
      </c>
      <c r="D391" s="10" t="s">
        <v>594</v>
      </c>
      <c r="E391" s="8" t="s">
        <v>1203</v>
      </c>
      <c r="F391" s="10">
        <v>1002</v>
      </c>
      <c r="G391" s="10" t="s">
        <v>40</v>
      </c>
      <c r="H391" s="10" t="s">
        <v>41</v>
      </c>
      <c r="I391" s="11">
        <v>1</v>
      </c>
      <c r="J391" s="10"/>
      <c r="K391" s="10" t="s">
        <v>42</v>
      </c>
      <c r="L391" s="8" t="s">
        <v>658</v>
      </c>
      <c r="M391" s="12"/>
      <c r="N391" s="12">
        <f t="shared" si="9"/>
        <v>0</v>
      </c>
      <c r="O391" s="11">
        <v>6</v>
      </c>
      <c r="P391" s="11">
        <v>6</v>
      </c>
      <c r="Q391" s="11">
        <v>6</v>
      </c>
      <c r="R391" s="11">
        <v>6</v>
      </c>
      <c r="S391" s="11">
        <v>6</v>
      </c>
      <c r="T391" s="11">
        <v>0</v>
      </c>
      <c r="U391" s="11">
        <v>0</v>
      </c>
      <c r="V391" s="11">
        <v>0</v>
      </c>
      <c r="W391" s="11">
        <v>0</v>
      </c>
      <c r="X391" s="11">
        <v>0</v>
      </c>
      <c r="Y391" s="11">
        <v>0</v>
      </c>
      <c r="Z391" s="11">
        <v>0</v>
      </c>
      <c r="AA391" s="11">
        <v>0</v>
      </c>
      <c r="AB391" s="11">
        <v>0</v>
      </c>
      <c r="AC391" s="11">
        <v>0</v>
      </c>
      <c r="AD391" s="11">
        <v>0</v>
      </c>
      <c r="AE391" s="11">
        <v>0</v>
      </c>
      <c r="AF391" s="11">
        <v>0</v>
      </c>
      <c r="AG391" s="11">
        <v>0</v>
      </c>
      <c r="AH391" s="11">
        <v>0</v>
      </c>
      <c r="AI391" s="11">
        <v>0</v>
      </c>
      <c r="AJ391" s="11">
        <v>1</v>
      </c>
      <c r="AK391" s="11">
        <v>1</v>
      </c>
      <c r="AL391" s="11">
        <v>1</v>
      </c>
      <c r="AM391" s="11">
        <v>1</v>
      </c>
      <c r="AN391" s="72">
        <v>1</v>
      </c>
      <c r="AO391" s="72">
        <v>1</v>
      </c>
      <c r="AP391" s="72">
        <v>1</v>
      </c>
      <c r="AQ391" s="72">
        <v>1</v>
      </c>
      <c r="AR391" s="72">
        <v>1</v>
      </c>
      <c r="AS391" s="72">
        <v>1</v>
      </c>
      <c r="AT391" s="72">
        <v>1</v>
      </c>
      <c r="AU391" s="72">
        <v>1</v>
      </c>
      <c r="AV391" s="72">
        <v>1</v>
      </c>
      <c r="AW391" s="72">
        <v>1</v>
      </c>
      <c r="AX391" s="72">
        <v>1</v>
      </c>
      <c r="AY391" s="72">
        <v>1</v>
      </c>
      <c r="AZ391" s="72">
        <v>1</v>
      </c>
      <c r="BA391" s="72">
        <v>0</v>
      </c>
      <c r="BB391" s="72">
        <v>0</v>
      </c>
      <c r="BC391" s="72">
        <v>0</v>
      </c>
      <c r="BD391" s="72">
        <v>0</v>
      </c>
      <c r="BE391" s="72">
        <v>0</v>
      </c>
      <c r="BF391" s="72">
        <v>0</v>
      </c>
      <c r="BG391" s="72">
        <v>0</v>
      </c>
      <c r="BH391" s="72">
        <v>0</v>
      </c>
      <c r="BI391" s="72">
        <v>0</v>
      </c>
      <c r="BJ391" s="72">
        <v>0</v>
      </c>
      <c r="BK391" s="72">
        <v>0</v>
      </c>
      <c r="BL391" s="72">
        <v>0</v>
      </c>
      <c r="BM391" s="72">
        <v>0</v>
      </c>
      <c r="BN391" s="72">
        <v>0</v>
      </c>
      <c r="BO391" s="72">
        <v>0</v>
      </c>
      <c r="BP391" s="72">
        <v>0</v>
      </c>
      <c r="BQ391" s="72">
        <v>0</v>
      </c>
      <c r="BR391" s="72">
        <v>0</v>
      </c>
      <c r="BS391" s="72">
        <v>0</v>
      </c>
      <c r="BT391" s="72">
        <v>0</v>
      </c>
      <c r="BU391" s="72">
        <v>0</v>
      </c>
      <c r="BV391" s="72">
        <v>0</v>
      </c>
      <c r="BW391" s="72">
        <v>0</v>
      </c>
      <c r="BX391" s="72">
        <v>0</v>
      </c>
      <c r="BY391" s="72">
        <v>0</v>
      </c>
      <c r="BZ391" s="72">
        <v>0</v>
      </c>
      <c r="CA391" s="72">
        <v>0</v>
      </c>
      <c r="CB391" s="72">
        <v>0</v>
      </c>
      <c r="CC391" s="72">
        <v>0</v>
      </c>
      <c r="CD391" s="72">
        <v>0</v>
      </c>
      <c r="CE391" s="72">
        <v>0</v>
      </c>
      <c r="CF391" s="72">
        <v>0</v>
      </c>
      <c r="CG391" s="72">
        <v>0</v>
      </c>
      <c r="CH391" s="72">
        <v>0</v>
      </c>
      <c r="CI391" s="72">
        <v>0</v>
      </c>
      <c r="CJ391" s="72">
        <v>0</v>
      </c>
      <c r="CK391" s="72">
        <v>0</v>
      </c>
      <c r="CL391" s="72">
        <v>0</v>
      </c>
      <c r="CM391" s="72">
        <v>0</v>
      </c>
      <c r="CN391" s="72">
        <v>0</v>
      </c>
      <c r="CO391" s="72">
        <v>0</v>
      </c>
      <c r="CP391" s="72">
        <v>0</v>
      </c>
      <c r="CQ391" s="72">
        <v>0</v>
      </c>
      <c r="CR391" s="72">
        <v>0</v>
      </c>
      <c r="CS391" s="72">
        <v>0</v>
      </c>
      <c r="CT391" s="72">
        <v>0</v>
      </c>
      <c r="CU391" s="72">
        <v>0</v>
      </c>
      <c r="CV391" s="72">
        <v>0</v>
      </c>
      <c r="CW391" s="72">
        <v>0</v>
      </c>
      <c r="CX391" s="72">
        <v>0</v>
      </c>
      <c r="CY391" s="72">
        <v>0</v>
      </c>
      <c r="CZ391" s="72">
        <v>0</v>
      </c>
      <c r="DA391" s="72">
        <v>0</v>
      </c>
      <c r="DB391" s="72">
        <v>0</v>
      </c>
      <c r="DC391" s="72">
        <v>0</v>
      </c>
      <c r="DD391" s="72">
        <v>0</v>
      </c>
      <c r="DE391" s="72">
        <v>0</v>
      </c>
      <c r="DF391" s="72">
        <v>0</v>
      </c>
      <c r="DG391" s="72">
        <v>0</v>
      </c>
      <c r="DH391" s="72">
        <v>0</v>
      </c>
      <c r="DI391" s="72">
        <v>0</v>
      </c>
      <c r="DJ391" s="72">
        <v>0</v>
      </c>
      <c r="DK391" s="72">
        <v>0</v>
      </c>
      <c r="DL391" s="72">
        <v>0</v>
      </c>
      <c r="DM391" s="72">
        <v>0</v>
      </c>
    </row>
    <row r="392" spans="1:117" x14ac:dyDescent="0.35">
      <c r="A392" s="7"/>
      <c r="B392" s="8" t="s">
        <v>660</v>
      </c>
      <c r="C392" s="9" t="s">
        <v>661</v>
      </c>
      <c r="D392" s="10" t="s">
        <v>594</v>
      </c>
      <c r="E392" s="8" t="s">
        <v>1203</v>
      </c>
      <c r="F392" s="10">
        <v>1002</v>
      </c>
      <c r="G392" s="10" t="s">
        <v>40</v>
      </c>
      <c r="H392" s="10" t="s">
        <v>41</v>
      </c>
      <c r="I392" s="11">
        <v>11</v>
      </c>
      <c r="J392" s="10"/>
      <c r="K392" s="10" t="s">
        <v>42</v>
      </c>
      <c r="L392" s="8" t="s">
        <v>662</v>
      </c>
      <c r="M392" s="12">
        <v>1323</v>
      </c>
      <c r="N392" s="12">
        <f t="shared" si="9"/>
        <v>0</v>
      </c>
      <c r="O392" s="11"/>
      <c r="P392" s="11"/>
      <c r="Q392" s="11">
        <v>30</v>
      </c>
      <c r="R392" s="11"/>
      <c r="S392" s="11"/>
      <c r="T392" s="11"/>
      <c r="U392" s="11"/>
      <c r="V392" s="11"/>
      <c r="W392" s="11"/>
      <c r="X392" s="11"/>
      <c r="Y392" s="11"/>
      <c r="Z392" s="11"/>
      <c r="AA392" s="11"/>
      <c r="AB392" s="11">
        <v>11</v>
      </c>
      <c r="AC392" s="11">
        <v>11</v>
      </c>
      <c r="AD392" s="11">
        <v>11</v>
      </c>
      <c r="AE392" s="11">
        <v>11</v>
      </c>
      <c r="AF392" s="11">
        <v>11</v>
      </c>
      <c r="AG392" s="11">
        <v>11</v>
      </c>
      <c r="AH392" s="11">
        <v>11</v>
      </c>
      <c r="AI392" s="11">
        <v>11</v>
      </c>
      <c r="AJ392" s="11">
        <v>11</v>
      </c>
      <c r="AK392" s="11">
        <v>11</v>
      </c>
      <c r="AL392" s="11">
        <v>11</v>
      </c>
      <c r="AM392" s="11">
        <v>11</v>
      </c>
      <c r="AN392" s="72">
        <v>11</v>
      </c>
      <c r="AO392" s="72">
        <v>11</v>
      </c>
      <c r="AP392" s="72">
        <v>11</v>
      </c>
      <c r="AQ392" s="72">
        <v>11</v>
      </c>
      <c r="AR392" s="72">
        <v>11</v>
      </c>
      <c r="AS392" s="72">
        <v>11</v>
      </c>
      <c r="AT392" s="72">
        <v>10</v>
      </c>
      <c r="AU392" s="72">
        <v>10</v>
      </c>
      <c r="AV392" s="72">
        <v>10</v>
      </c>
      <c r="AW392" s="72">
        <v>25</v>
      </c>
      <c r="AX392" s="72">
        <v>25</v>
      </c>
      <c r="AY392" s="72">
        <v>25</v>
      </c>
      <c r="AZ392" s="72">
        <v>25</v>
      </c>
      <c r="BA392" s="72">
        <v>25</v>
      </c>
      <c r="BB392" s="72">
        <v>25</v>
      </c>
      <c r="BC392" s="72">
        <v>25</v>
      </c>
      <c r="BD392" s="72">
        <v>25</v>
      </c>
      <c r="BE392" s="72">
        <v>25</v>
      </c>
      <c r="BF392" s="72">
        <v>25</v>
      </c>
      <c r="BG392" s="72">
        <v>25</v>
      </c>
      <c r="BH392" s="72">
        <v>25</v>
      </c>
      <c r="BI392" s="72">
        <v>25</v>
      </c>
      <c r="BJ392" s="72">
        <v>25</v>
      </c>
      <c r="BK392" s="72">
        <v>25</v>
      </c>
      <c r="BL392" s="72">
        <v>25</v>
      </c>
      <c r="BM392" s="72">
        <v>25</v>
      </c>
      <c r="BN392" s="72">
        <v>14</v>
      </c>
      <c r="BO392" s="72">
        <v>14</v>
      </c>
      <c r="BP392" s="72">
        <v>13</v>
      </c>
      <c r="BQ392" s="72">
        <v>13</v>
      </c>
      <c r="BR392" s="72">
        <v>3</v>
      </c>
      <c r="BS392" s="72">
        <v>0</v>
      </c>
      <c r="BT392" s="72">
        <v>0</v>
      </c>
      <c r="BU392" s="72">
        <v>0</v>
      </c>
      <c r="BV392" s="72">
        <v>0</v>
      </c>
      <c r="BW392" s="72">
        <v>0</v>
      </c>
      <c r="BX392" s="72">
        <v>0</v>
      </c>
      <c r="BY392" s="72">
        <v>0</v>
      </c>
      <c r="BZ392" s="72">
        <v>0</v>
      </c>
      <c r="CA392" s="72">
        <v>0</v>
      </c>
      <c r="CB392" s="72">
        <v>0</v>
      </c>
      <c r="CC392" s="72">
        <v>0</v>
      </c>
      <c r="CD392" s="72">
        <v>0</v>
      </c>
      <c r="CE392" s="72">
        <v>0</v>
      </c>
      <c r="CF392" s="72">
        <v>0</v>
      </c>
      <c r="CG392" s="72">
        <v>0</v>
      </c>
      <c r="CH392" s="72">
        <v>0</v>
      </c>
      <c r="CI392" s="72">
        <v>0</v>
      </c>
      <c r="CJ392" s="72">
        <v>0</v>
      </c>
      <c r="CK392" s="72">
        <v>0</v>
      </c>
      <c r="CL392" s="72">
        <v>0</v>
      </c>
      <c r="CM392" s="72">
        <v>0</v>
      </c>
      <c r="CN392" s="72">
        <v>0</v>
      </c>
      <c r="CO392" s="72">
        <v>0</v>
      </c>
      <c r="CP392" s="72">
        <v>0</v>
      </c>
      <c r="CQ392" s="72">
        <v>0</v>
      </c>
      <c r="CR392" s="72">
        <v>0</v>
      </c>
      <c r="CS392" s="72">
        <v>0</v>
      </c>
      <c r="CT392" s="72">
        <v>0</v>
      </c>
      <c r="CU392" s="72">
        <v>0</v>
      </c>
      <c r="CV392" s="72">
        <v>0</v>
      </c>
      <c r="CW392" s="72">
        <v>0</v>
      </c>
      <c r="CX392" s="72">
        <v>0</v>
      </c>
      <c r="CY392" s="72">
        <v>0</v>
      </c>
      <c r="CZ392" s="72">
        <v>0</v>
      </c>
      <c r="DA392" s="72">
        <v>0</v>
      </c>
      <c r="DB392" s="72">
        <v>0</v>
      </c>
      <c r="DC392" s="72">
        <v>0</v>
      </c>
      <c r="DD392" s="72">
        <v>0</v>
      </c>
      <c r="DE392" s="72">
        <v>0</v>
      </c>
      <c r="DF392" s="72">
        <v>0</v>
      </c>
      <c r="DG392" s="72">
        <v>0</v>
      </c>
      <c r="DH392" s="72">
        <v>0</v>
      </c>
      <c r="DI392" s="72">
        <v>0</v>
      </c>
      <c r="DJ392" s="72">
        <v>0</v>
      </c>
      <c r="DK392" s="72">
        <v>0</v>
      </c>
      <c r="DL392" s="72">
        <v>0</v>
      </c>
      <c r="DM392" s="72">
        <v>0</v>
      </c>
    </row>
    <row r="393" spans="1:117" x14ac:dyDescent="0.35">
      <c r="A393" s="7"/>
      <c r="B393" s="77" t="s">
        <v>1388</v>
      </c>
      <c r="C393" s="9" t="s">
        <v>1390</v>
      </c>
      <c r="D393" s="10" t="s">
        <v>594</v>
      </c>
      <c r="E393" s="8" t="s">
        <v>1203</v>
      </c>
      <c r="F393" s="10"/>
      <c r="G393" s="10"/>
      <c r="H393" s="10" t="s">
        <v>41</v>
      </c>
      <c r="I393" s="11">
        <v>0</v>
      </c>
      <c r="J393" s="10"/>
      <c r="K393" s="10"/>
      <c r="L393" s="8"/>
      <c r="M393" s="12"/>
      <c r="N393" s="12">
        <f t="shared" si="9"/>
        <v>0</v>
      </c>
      <c r="O393" s="11">
        <v>0</v>
      </c>
      <c r="P393" s="11">
        <v>0</v>
      </c>
      <c r="Q393" s="11">
        <v>0</v>
      </c>
      <c r="R393" s="11">
        <v>0</v>
      </c>
      <c r="S393" s="11">
        <v>0</v>
      </c>
      <c r="T393" s="11">
        <v>0</v>
      </c>
      <c r="U393" s="11">
        <v>0</v>
      </c>
      <c r="V393" s="11">
        <v>0</v>
      </c>
      <c r="W393" s="11">
        <v>0</v>
      </c>
      <c r="X393" s="11">
        <v>0</v>
      </c>
      <c r="Y393" s="11">
        <v>0</v>
      </c>
      <c r="Z393" s="11">
        <v>0</v>
      </c>
      <c r="AA393" s="11">
        <v>0</v>
      </c>
      <c r="AB393" s="11">
        <v>0</v>
      </c>
      <c r="AC393" s="11">
        <v>0</v>
      </c>
      <c r="AD393" s="11">
        <v>0</v>
      </c>
      <c r="AE393" s="11">
        <v>0</v>
      </c>
      <c r="AF393" s="11">
        <v>0</v>
      </c>
      <c r="AG393" s="11">
        <v>0</v>
      </c>
      <c r="AH393" s="11">
        <v>0</v>
      </c>
      <c r="AI393" s="11">
        <v>0</v>
      </c>
      <c r="AJ393" s="11">
        <v>0</v>
      </c>
      <c r="AK393" s="11">
        <v>0</v>
      </c>
      <c r="AL393" s="11">
        <v>0</v>
      </c>
      <c r="AM393" s="11">
        <v>0</v>
      </c>
      <c r="AN393" s="72">
        <v>0</v>
      </c>
      <c r="AO393" s="72">
        <v>0</v>
      </c>
      <c r="AP393" s="72">
        <v>0</v>
      </c>
      <c r="AQ393" s="72">
        <v>0</v>
      </c>
      <c r="AR393" s="72">
        <v>0</v>
      </c>
      <c r="AS393" s="72">
        <v>0</v>
      </c>
      <c r="AT393" s="72">
        <v>0</v>
      </c>
      <c r="AU393" s="72">
        <v>0</v>
      </c>
      <c r="AV393" s="72">
        <v>0</v>
      </c>
      <c r="AW393" s="72">
        <v>0</v>
      </c>
      <c r="AX393" s="72">
        <v>0</v>
      </c>
      <c r="AY393" s="72">
        <v>0</v>
      </c>
      <c r="AZ393" s="72">
        <v>0</v>
      </c>
      <c r="BA393" s="72">
        <v>0</v>
      </c>
      <c r="BB393" s="72">
        <v>0</v>
      </c>
      <c r="BC393" s="72">
        <v>0</v>
      </c>
      <c r="BD393" s="72">
        <v>0</v>
      </c>
      <c r="BE393" s="72">
        <v>0</v>
      </c>
      <c r="BF393" s="72">
        <v>0</v>
      </c>
      <c r="BG393" s="72">
        <v>0</v>
      </c>
      <c r="BH393" s="72">
        <v>0</v>
      </c>
      <c r="BI393" s="72">
        <v>0</v>
      </c>
      <c r="BJ393" s="72">
        <v>0</v>
      </c>
      <c r="BK393" s="72">
        <v>0</v>
      </c>
      <c r="BL393" s="72">
        <v>0</v>
      </c>
      <c r="BM393" s="72">
        <v>0</v>
      </c>
      <c r="BN393" s="72">
        <v>0</v>
      </c>
      <c r="BO393" s="72">
        <v>0</v>
      </c>
      <c r="BP393" s="72">
        <v>0</v>
      </c>
      <c r="BQ393" s="72">
        <v>0</v>
      </c>
      <c r="BR393" s="72">
        <v>0</v>
      </c>
      <c r="BS393" s="72">
        <v>0</v>
      </c>
      <c r="BT393" s="72">
        <v>0</v>
      </c>
      <c r="BU393" s="72">
        <v>0</v>
      </c>
      <c r="BV393" s="72">
        <v>1</v>
      </c>
      <c r="BW393" s="72">
        <v>0</v>
      </c>
      <c r="BX393" s="72">
        <v>0</v>
      </c>
      <c r="BY393" s="72">
        <v>0</v>
      </c>
      <c r="BZ393" s="72">
        <v>0</v>
      </c>
      <c r="CA393" s="72">
        <v>0</v>
      </c>
      <c r="CB393" s="72">
        <v>0</v>
      </c>
      <c r="CC393" s="72">
        <v>0</v>
      </c>
      <c r="CD393" s="72">
        <v>0</v>
      </c>
      <c r="CE393" s="72">
        <v>0</v>
      </c>
      <c r="CF393" s="72">
        <v>0</v>
      </c>
      <c r="CG393" s="72">
        <v>0</v>
      </c>
      <c r="CH393" s="72">
        <v>0</v>
      </c>
      <c r="CI393" s="72">
        <v>0</v>
      </c>
      <c r="CJ393" s="72">
        <v>0</v>
      </c>
      <c r="CK393" s="72">
        <v>0</v>
      </c>
      <c r="CL393" s="72">
        <v>0</v>
      </c>
      <c r="CM393" s="72">
        <v>0</v>
      </c>
      <c r="CN393" s="72">
        <v>0</v>
      </c>
      <c r="CO393" s="72">
        <v>0</v>
      </c>
      <c r="CP393" s="72">
        <v>0</v>
      </c>
      <c r="CQ393" s="72">
        <v>0</v>
      </c>
      <c r="CR393" s="72">
        <v>0</v>
      </c>
      <c r="CS393" s="72">
        <v>0</v>
      </c>
      <c r="CT393" s="72">
        <v>0</v>
      </c>
      <c r="CU393" s="72">
        <v>0</v>
      </c>
      <c r="CV393" s="72">
        <v>0</v>
      </c>
      <c r="CW393" s="72">
        <v>0</v>
      </c>
      <c r="CX393" s="72">
        <v>0</v>
      </c>
      <c r="CY393" s="72">
        <v>0</v>
      </c>
      <c r="CZ393" s="72">
        <v>0</v>
      </c>
      <c r="DA393" s="72">
        <v>0</v>
      </c>
      <c r="DB393" s="72">
        <v>0</v>
      </c>
      <c r="DC393" s="72">
        <v>0</v>
      </c>
      <c r="DD393" s="72">
        <v>0</v>
      </c>
      <c r="DE393" s="72">
        <v>0</v>
      </c>
      <c r="DF393" s="72">
        <v>0</v>
      </c>
      <c r="DG393" s="72">
        <v>0</v>
      </c>
      <c r="DH393" s="72">
        <v>0</v>
      </c>
      <c r="DI393" s="72">
        <v>0</v>
      </c>
      <c r="DJ393" s="72">
        <v>0</v>
      </c>
      <c r="DK393" s="72">
        <v>0</v>
      </c>
      <c r="DL393" s="72">
        <v>0</v>
      </c>
      <c r="DM393" s="72">
        <v>0</v>
      </c>
    </row>
    <row r="394" spans="1:117" x14ac:dyDescent="0.35">
      <c r="A394" s="7"/>
      <c r="B394" s="8" t="s">
        <v>663</v>
      </c>
      <c r="C394" s="9" t="s">
        <v>664</v>
      </c>
      <c r="D394" s="10" t="s">
        <v>594</v>
      </c>
      <c r="E394" s="8" t="s">
        <v>1203</v>
      </c>
      <c r="F394" s="10">
        <v>1002</v>
      </c>
      <c r="G394" s="10" t="s">
        <v>40</v>
      </c>
      <c r="H394" s="10" t="s">
        <v>41</v>
      </c>
      <c r="I394" s="11">
        <v>20</v>
      </c>
      <c r="J394" s="10"/>
      <c r="K394" s="10" t="s">
        <v>153</v>
      </c>
      <c r="L394" s="8"/>
      <c r="M394" s="12">
        <v>1348</v>
      </c>
      <c r="N394" s="12">
        <f t="shared" si="9"/>
        <v>0</v>
      </c>
      <c r="O394" s="11">
        <v>25</v>
      </c>
      <c r="P394" s="11">
        <v>25</v>
      </c>
      <c r="Q394" s="11">
        <v>30</v>
      </c>
      <c r="R394" s="11">
        <v>30</v>
      </c>
      <c r="S394" s="11">
        <v>30</v>
      </c>
      <c r="T394" s="11">
        <v>30</v>
      </c>
      <c r="U394" s="11">
        <v>22</v>
      </c>
      <c r="V394" s="11">
        <v>22</v>
      </c>
      <c r="W394" s="11">
        <v>22</v>
      </c>
      <c r="X394" s="11">
        <v>22</v>
      </c>
      <c r="Y394" s="11">
        <v>22</v>
      </c>
      <c r="Z394" s="11">
        <v>22</v>
      </c>
      <c r="AA394" s="11">
        <v>22</v>
      </c>
      <c r="AB394" s="11">
        <v>23</v>
      </c>
      <c r="AC394" s="11">
        <v>23</v>
      </c>
      <c r="AD394" s="11">
        <v>23</v>
      </c>
      <c r="AE394" s="11">
        <v>22</v>
      </c>
      <c r="AF394" s="11">
        <v>22</v>
      </c>
      <c r="AG394" s="11">
        <v>22</v>
      </c>
      <c r="AH394" s="11">
        <v>22</v>
      </c>
      <c r="AI394" s="11">
        <v>20</v>
      </c>
      <c r="AJ394" s="11">
        <v>20</v>
      </c>
      <c r="AK394" s="11">
        <v>20</v>
      </c>
      <c r="AL394" s="11">
        <v>20</v>
      </c>
      <c r="AM394" s="11">
        <v>20</v>
      </c>
      <c r="AN394" s="72">
        <v>20</v>
      </c>
      <c r="AO394" s="72">
        <v>23</v>
      </c>
      <c r="AP394" s="72">
        <v>21</v>
      </c>
      <c r="AQ394" s="72">
        <v>21</v>
      </c>
      <c r="AR394" s="72">
        <v>21</v>
      </c>
      <c r="AS394" s="72">
        <v>21</v>
      </c>
      <c r="AT394" s="72">
        <v>21</v>
      </c>
      <c r="AU394" s="72">
        <v>21</v>
      </c>
      <c r="AV394" s="72">
        <v>21</v>
      </c>
      <c r="AW394" s="72">
        <v>36</v>
      </c>
      <c r="AX394" s="72">
        <v>36</v>
      </c>
      <c r="AY394" s="72">
        <v>29</v>
      </c>
      <c r="AZ394" s="72">
        <v>29</v>
      </c>
      <c r="BA394" s="72">
        <v>29</v>
      </c>
      <c r="BB394" s="72">
        <v>28</v>
      </c>
      <c r="BC394" s="72">
        <v>28</v>
      </c>
      <c r="BD394" s="72">
        <v>28</v>
      </c>
      <c r="BE394" s="72">
        <v>28</v>
      </c>
      <c r="BF394" s="72">
        <v>28</v>
      </c>
      <c r="BG394" s="72">
        <v>28</v>
      </c>
      <c r="BH394" s="72">
        <v>28</v>
      </c>
      <c r="BI394" s="72">
        <v>28</v>
      </c>
      <c r="BJ394" s="72">
        <v>28</v>
      </c>
      <c r="BK394" s="72">
        <v>28</v>
      </c>
      <c r="BL394" s="72">
        <v>28</v>
      </c>
      <c r="BM394" s="72">
        <v>28</v>
      </c>
      <c r="BN394" s="72">
        <v>16</v>
      </c>
      <c r="BO394" s="72">
        <v>16</v>
      </c>
      <c r="BP394" s="72">
        <v>16</v>
      </c>
      <c r="BQ394" s="72">
        <v>0</v>
      </c>
      <c r="BR394" s="72">
        <v>0</v>
      </c>
      <c r="BS394" s="72">
        <v>0</v>
      </c>
      <c r="BT394" s="72">
        <v>0</v>
      </c>
      <c r="BU394" s="72">
        <v>0</v>
      </c>
      <c r="BV394" s="72">
        <v>0</v>
      </c>
      <c r="BW394" s="72">
        <v>0</v>
      </c>
      <c r="BX394" s="72">
        <v>0</v>
      </c>
      <c r="BY394" s="72">
        <v>0</v>
      </c>
      <c r="BZ394" s="72">
        <v>0</v>
      </c>
      <c r="CA394" s="72">
        <v>0</v>
      </c>
      <c r="CB394" s="72">
        <v>0</v>
      </c>
      <c r="CC394" s="72">
        <v>0</v>
      </c>
      <c r="CD394" s="72">
        <v>0</v>
      </c>
      <c r="CE394" s="72">
        <v>0</v>
      </c>
      <c r="CF394" s="72">
        <v>0</v>
      </c>
      <c r="CG394" s="72">
        <v>0</v>
      </c>
      <c r="CH394" s="72">
        <v>0</v>
      </c>
      <c r="CI394" s="72">
        <v>0</v>
      </c>
      <c r="CJ394" s="72">
        <v>0</v>
      </c>
      <c r="CK394" s="72">
        <v>0</v>
      </c>
      <c r="CL394" s="72">
        <v>0</v>
      </c>
      <c r="CM394" s="72">
        <v>0</v>
      </c>
      <c r="CN394" s="72">
        <v>0</v>
      </c>
      <c r="CO394" s="72">
        <v>0</v>
      </c>
      <c r="CP394" s="72">
        <v>0</v>
      </c>
      <c r="CQ394" s="72">
        <v>0</v>
      </c>
      <c r="CR394" s="72">
        <v>0</v>
      </c>
      <c r="CS394" s="72">
        <v>0</v>
      </c>
      <c r="CT394" s="72">
        <v>0</v>
      </c>
      <c r="CU394" s="72">
        <v>0</v>
      </c>
      <c r="CV394" s="72">
        <v>0</v>
      </c>
      <c r="CW394" s="72">
        <v>0</v>
      </c>
      <c r="CX394" s="72">
        <v>0</v>
      </c>
      <c r="CY394" s="72">
        <v>0</v>
      </c>
      <c r="CZ394" s="72">
        <v>0</v>
      </c>
      <c r="DA394" s="72">
        <v>0</v>
      </c>
      <c r="DB394" s="72">
        <v>0</v>
      </c>
      <c r="DC394" s="72">
        <v>0</v>
      </c>
      <c r="DD394" s="72">
        <v>0</v>
      </c>
      <c r="DE394" s="72">
        <v>0</v>
      </c>
      <c r="DF394" s="72">
        <v>0</v>
      </c>
      <c r="DG394" s="72">
        <v>0</v>
      </c>
      <c r="DH394" s="72">
        <v>0</v>
      </c>
      <c r="DI394" s="72">
        <v>0</v>
      </c>
      <c r="DJ394" s="72">
        <v>0</v>
      </c>
      <c r="DK394" s="72">
        <v>0</v>
      </c>
      <c r="DL394" s="72">
        <v>0</v>
      </c>
      <c r="DM394" s="72">
        <v>0</v>
      </c>
    </row>
    <row r="395" spans="1:117" x14ac:dyDescent="0.35">
      <c r="A395" s="7"/>
      <c r="B395" s="77" t="s">
        <v>1337</v>
      </c>
      <c r="C395" s="9" t="s">
        <v>664</v>
      </c>
      <c r="D395" s="10" t="s">
        <v>594</v>
      </c>
      <c r="E395" s="8" t="s">
        <v>1203</v>
      </c>
      <c r="F395" s="10">
        <v>1002</v>
      </c>
      <c r="G395" s="10" t="s">
        <v>40</v>
      </c>
      <c r="H395" s="10" t="s">
        <v>41</v>
      </c>
      <c r="I395" s="11">
        <v>0</v>
      </c>
      <c r="J395" s="10">
        <v>1</v>
      </c>
      <c r="K395" s="10" t="s">
        <v>659</v>
      </c>
      <c r="L395" s="8" t="s">
        <v>665</v>
      </c>
      <c r="M395" s="12"/>
      <c r="N395" s="12">
        <f t="shared" si="9"/>
        <v>0</v>
      </c>
      <c r="O395" s="11">
        <v>0</v>
      </c>
      <c r="P395" s="11">
        <v>0</v>
      </c>
      <c r="Q395" s="11"/>
      <c r="R395" s="11">
        <v>0</v>
      </c>
      <c r="S395" s="11">
        <v>0</v>
      </c>
      <c r="T395" s="11">
        <v>0</v>
      </c>
      <c r="U395" s="11">
        <v>0</v>
      </c>
      <c r="V395" s="11">
        <v>0</v>
      </c>
      <c r="W395" s="11">
        <v>0</v>
      </c>
      <c r="X395" s="11">
        <v>0</v>
      </c>
      <c r="Y395" s="11">
        <v>0</v>
      </c>
      <c r="Z395" s="11">
        <v>0</v>
      </c>
      <c r="AA395" s="11">
        <v>22</v>
      </c>
      <c r="AB395" s="11">
        <v>0</v>
      </c>
      <c r="AC395" s="11">
        <v>0</v>
      </c>
      <c r="AD395" s="11">
        <v>0</v>
      </c>
      <c r="AE395" s="11">
        <v>0</v>
      </c>
      <c r="AF395" s="11">
        <v>0</v>
      </c>
      <c r="AG395" s="11">
        <v>0</v>
      </c>
      <c r="AH395" s="11">
        <v>0</v>
      </c>
      <c r="AI395" s="11">
        <v>0</v>
      </c>
      <c r="AJ395" s="11">
        <v>0</v>
      </c>
      <c r="AK395" s="11">
        <v>0</v>
      </c>
      <c r="AL395" s="11">
        <v>0</v>
      </c>
      <c r="AM395" s="11">
        <v>0</v>
      </c>
      <c r="AN395" s="72">
        <v>0</v>
      </c>
      <c r="AO395" s="72">
        <v>0</v>
      </c>
      <c r="AP395" s="72">
        <v>0</v>
      </c>
      <c r="AQ395" s="72">
        <v>0</v>
      </c>
      <c r="AR395" s="72">
        <v>0</v>
      </c>
      <c r="AS395" s="72">
        <v>0</v>
      </c>
      <c r="AT395" s="72">
        <v>0</v>
      </c>
      <c r="AU395" s="72">
        <v>0</v>
      </c>
      <c r="AV395" s="72">
        <v>0</v>
      </c>
      <c r="AW395" s="72">
        <v>0</v>
      </c>
      <c r="AX395" s="72">
        <v>0</v>
      </c>
      <c r="AY395" s="72">
        <v>0</v>
      </c>
      <c r="AZ395" s="72">
        <v>0</v>
      </c>
      <c r="BA395" s="72">
        <v>0</v>
      </c>
      <c r="BB395" s="72">
        <v>0</v>
      </c>
      <c r="BC395" s="72">
        <v>0</v>
      </c>
      <c r="BD395" s="72">
        <v>0</v>
      </c>
      <c r="BE395" s="72">
        <v>0</v>
      </c>
      <c r="BF395" s="72">
        <v>0</v>
      </c>
      <c r="BG395" s="72">
        <v>0</v>
      </c>
      <c r="BH395" s="72">
        <v>0</v>
      </c>
      <c r="BI395" s="72">
        <v>0</v>
      </c>
      <c r="BJ395" s="72">
        <v>0</v>
      </c>
      <c r="BK395" s="72">
        <v>0</v>
      </c>
      <c r="BL395" s="72">
        <v>0</v>
      </c>
      <c r="BM395" s="72">
        <v>0</v>
      </c>
      <c r="BN395" s="72">
        <v>0</v>
      </c>
      <c r="BO395" s="72">
        <v>0</v>
      </c>
      <c r="BP395" s="72">
        <v>0</v>
      </c>
      <c r="BQ395" s="72">
        <v>0</v>
      </c>
      <c r="BR395" s="72">
        <v>0</v>
      </c>
      <c r="BS395" s="72">
        <v>0</v>
      </c>
      <c r="BT395" s="72">
        <v>0</v>
      </c>
      <c r="BU395" s="72">
        <v>0</v>
      </c>
      <c r="BV395" s="72">
        <v>0</v>
      </c>
      <c r="BW395" s="72">
        <v>0</v>
      </c>
      <c r="BX395" s="72">
        <v>0</v>
      </c>
      <c r="BY395" s="72">
        <v>0</v>
      </c>
      <c r="BZ395" s="72">
        <v>0</v>
      </c>
      <c r="CA395" s="72">
        <v>0</v>
      </c>
      <c r="CB395" s="72">
        <v>0</v>
      </c>
      <c r="CC395" s="72">
        <v>0</v>
      </c>
      <c r="CD395" s="72">
        <v>0</v>
      </c>
      <c r="CE395" s="72">
        <v>0</v>
      </c>
      <c r="CF395" s="72">
        <v>0</v>
      </c>
      <c r="CG395" s="72">
        <v>0</v>
      </c>
      <c r="CH395" s="72">
        <v>0</v>
      </c>
      <c r="CI395" s="72">
        <v>0</v>
      </c>
      <c r="CJ395" s="72">
        <v>0</v>
      </c>
      <c r="CK395" s="72">
        <v>0</v>
      </c>
      <c r="CL395" s="72">
        <v>0</v>
      </c>
      <c r="CM395" s="72">
        <v>0</v>
      </c>
      <c r="CN395" s="72">
        <v>0</v>
      </c>
      <c r="CO395" s="72">
        <v>0</v>
      </c>
      <c r="CP395" s="72">
        <v>0</v>
      </c>
      <c r="CQ395" s="72">
        <v>0</v>
      </c>
      <c r="CR395" s="72">
        <v>0</v>
      </c>
      <c r="CS395" s="72">
        <v>0</v>
      </c>
      <c r="CT395" s="72">
        <v>0</v>
      </c>
      <c r="CU395" s="72">
        <v>0</v>
      </c>
      <c r="CV395" s="72">
        <v>0</v>
      </c>
      <c r="CW395" s="72">
        <v>0</v>
      </c>
      <c r="CX395" s="72">
        <v>0</v>
      </c>
      <c r="CY395" s="72">
        <v>0</v>
      </c>
      <c r="CZ395" s="72">
        <v>0</v>
      </c>
      <c r="DA395" s="72">
        <v>0</v>
      </c>
      <c r="DB395" s="72">
        <v>0</v>
      </c>
      <c r="DC395" s="72">
        <v>0</v>
      </c>
      <c r="DD395" s="72">
        <v>0</v>
      </c>
      <c r="DE395" s="72">
        <v>0</v>
      </c>
      <c r="DF395" s="72">
        <v>0</v>
      </c>
      <c r="DG395" s="72">
        <v>0</v>
      </c>
      <c r="DH395" s="72">
        <v>0</v>
      </c>
      <c r="DI395" s="72">
        <v>0</v>
      </c>
      <c r="DJ395" s="72">
        <v>0</v>
      </c>
      <c r="DK395" s="72">
        <v>0</v>
      </c>
      <c r="DL395" s="72">
        <v>0</v>
      </c>
      <c r="DM395" s="72">
        <v>0</v>
      </c>
    </row>
    <row r="396" spans="1:117" x14ac:dyDescent="0.35">
      <c r="A396" s="7"/>
      <c r="B396" s="8" t="s">
        <v>666</v>
      </c>
      <c r="C396" s="9" t="s">
        <v>1160</v>
      </c>
      <c r="D396" s="10" t="s">
        <v>594</v>
      </c>
      <c r="E396" s="8" t="s">
        <v>1203</v>
      </c>
      <c r="F396" s="10">
        <v>1002</v>
      </c>
      <c r="G396" s="10" t="s">
        <v>40</v>
      </c>
      <c r="H396" s="10" t="s">
        <v>41</v>
      </c>
      <c r="I396" s="11">
        <v>1</v>
      </c>
      <c r="J396" s="10"/>
      <c r="K396" s="10" t="s">
        <v>153</v>
      </c>
      <c r="L396" s="8" t="s">
        <v>667</v>
      </c>
      <c r="M396" s="12"/>
      <c r="N396" s="12">
        <f t="shared" si="9"/>
        <v>0</v>
      </c>
      <c r="O396" s="11"/>
      <c r="P396" s="11"/>
      <c r="Q396" s="11"/>
      <c r="R396" s="11"/>
      <c r="S396" s="11"/>
      <c r="T396" s="11"/>
      <c r="U396" s="11"/>
      <c r="V396" s="11"/>
      <c r="W396" s="11"/>
      <c r="X396" s="11"/>
      <c r="Y396" s="11"/>
      <c r="Z396" s="11"/>
      <c r="AA396" s="11"/>
      <c r="AB396" s="11"/>
      <c r="AC396" s="11"/>
      <c r="AD396" s="11"/>
      <c r="AE396" s="11"/>
      <c r="AF396" s="11"/>
      <c r="AG396" s="11"/>
      <c r="AH396" s="11"/>
      <c r="AI396" s="11"/>
      <c r="AJ396" s="11">
        <v>1</v>
      </c>
      <c r="AK396" s="11">
        <v>1</v>
      </c>
      <c r="AL396" s="11">
        <v>1</v>
      </c>
      <c r="AM396" s="11">
        <v>1</v>
      </c>
      <c r="AN396" s="72">
        <v>1</v>
      </c>
      <c r="AO396" s="72">
        <v>1</v>
      </c>
      <c r="AP396" s="72">
        <v>1</v>
      </c>
      <c r="AQ396" s="72">
        <v>1</v>
      </c>
      <c r="AR396" s="72">
        <v>1</v>
      </c>
      <c r="AS396" s="72">
        <v>1</v>
      </c>
      <c r="AT396" s="72">
        <v>1</v>
      </c>
      <c r="AU396" s="72">
        <v>1</v>
      </c>
      <c r="AV396" s="72">
        <v>1</v>
      </c>
      <c r="AW396" s="72">
        <v>1</v>
      </c>
      <c r="AX396" s="72">
        <v>1</v>
      </c>
      <c r="AY396" s="72">
        <v>1</v>
      </c>
      <c r="AZ396" s="72">
        <v>1</v>
      </c>
      <c r="BA396" s="72">
        <v>1</v>
      </c>
      <c r="BB396" s="72">
        <v>1</v>
      </c>
      <c r="BC396" s="72">
        <v>1</v>
      </c>
      <c r="BD396" s="72">
        <v>1</v>
      </c>
      <c r="BE396" s="72">
        <v>1</v>
      </c>
      <c r="BF396" s="72">
        <v>1</v>
      </c>
      <c r="BG396" s="72">
        <v>1</v>
      </c>
      <c r="BH396" s="72">
        <v>1</v>
      </c>
      <c r="BI396" s="72">
        <v>1</v>
      </c>
      <c r="BJ396" s="72">
        <v>1</v>
      </c>
      <c r="BK396" s="72">
        <v>1</v>
      </c>
      <c r="BL396" s="72">
        <v>1</v>
      </c>
      <c r="BM396" s="72">
        <v>1</v>
      </c>
      <c r="BN396" s="72">
        <v>1</v>
      </c>
      <c r="BO396" s="72">
        <v>1</v>
      </c>
      <c r="BP396" s="72">
        <v>1</v>
      </c>
      <c r="BQ396" s="72">
        <v>1</v>
      </c>
      <c r="BR396" s="72">
        <v>1</v>
      </c>
      <c r="BS396" s="72">
        <v>0</v>
      </c>
      <c r="BT396" s="72">
        <v>0</v>
      </c>
      <c r="BU396" s="72">
        <v>0</v>
      </c>
      <c r="BV396" s="72">
        <v>0</v>
      </c>
      <c r="BW396" s="72">
        <v>0</v>
      </c>
      <c r="BX396" s="72">
        <v>0</v>
      </c>
      <c r="BY396" s="72">
        <v>0</v>
      </c>
      <c r="BZ396" s="72">
        <v>0</v>
      </c>
      <c r="CA396" s="72">
        <v>0</v>
      </c>
      <c r="CB396" s="72">
        <v>0</v>
      </c>
      <c r="CC396" s="72">
        <v>0</v>
      </c>
      <c r="CD396" s="72">
        <v>0</v>
      </c>
      <c r="CE396" s="72">
        <v>0</v>
      </c>
      <c r="CF396" s="72">
        <v>0</v>
      </c>
      <c r="CG396" s="72">
        <v>0</v>
      </c>
      <c r="CH396" s="72">
        <v>0</v>
      </c>
      <c r="CI396" s="72">
        <v>0</v>
      </c>
      <c r="CJ396" s="72">
        <v>0</v>
      </c>
      <c r="CK396" s="72">
        <v>0</v>
      </c>
      <c r="CL396" s="72">
        <v>0</v>
      </c>
      <c r="CM396" s="72">
        <v>0</v>
      </c>
      <c r="CN396" s="72">
        <v>0</v>
      </c>
      <c r="CO396" s="72">
        <v>0</v>
      </c>
      <c r="CP396" s="72">
        <v>0</v>
      </c>
      <c r="CQ396" s="72">
        <v>0</v>
      </c>
      <c r="CR396" s="72">
        <v>0</v>
      </c>
      <c r="CS396" s="72">
        <v>0</v>
      </c>
      <c r="CT396" s="72">
        <v>0</v>
      </c>
      <c r="CU396" s="72">
        <v>0</v>
      </c>
      <c r="CV396" s="72">
        <v>0</v>
      </c>
      <c r="CW396" s="72">
        <v>0</v>
      </c>
      <c r="CX396" s="72">
        <v>0</v>
      </c>
      <c r="CY396" s="72">
        <v>0</v>
      </c>
      <c r="CZ396" s="72">
        <v>0</v>
      </c>
      <c r="DA396" s="72">
        <v>0</v>
      </c>
      <c r="DB396" s="72">
        <v>0</v>
      </c>
      <c r="DC396" s="72">
        <v>0</v>
      </c>
      <c r="DD396" s="72">
        <v>0</v>
      </c>
      <c r="DE396" s="72">
        <v>0</v>
      </c>
      <c r="DF396" s="72">
        <v>0</v>
      </c>
      <c r="DG396" s="72">
        <v>0</v>
      </c>
      <c r="DH396" s="72">
        <v>0</v>
      </c>
      <c r="DI396" s="72">
        <v>0</v>
      </c>
      <c r="DJ396" s="72">
        <v>0</v>
      </c>
      <c r="DK396" s="72">
        <v>0</v>
      </c>
      <c r="DL396" s="72">
        <v>0</v>
      </c>
      <c r="DM396" s="72">
        <v>0</v>
      </c>
    </row>
    <row r="397" spans="1:117" x14ac:dyDescent="0.35">
      <c r="A397" s="7"/>
      <c r="B397" s="8" t="s">
        <v>668</v>
      </c>
      <c r="C397" s="78" t="s">
        <v>1348</v>
      </c>
      <c r="D397" s="10" t="s">
        <v>594</v>
      </c>
      <c r="E397" s="8" t="s">
        <v>1203</v>
      </c>
      <c r="F397" s="10">
        <v>1002</v>
      </c>
      <c r="G397" s="10" t="s">
        <v>40</v>
      </c>
      <c r="H397" s="10" t="s">
        <v>41</v>
      </c>
      <c r="I397" s="11">
        <v>4</v>
      </c>
      <c r="J397" s="10">
        <v>1</v>
      </c>
      <c r="K397" s="10" t="s">
        <v>153</v>
      </c>
      <c r="L397" s="8" t="s">
        <v>669</v>
      </c>
      <c r="M397" s="12">
        <v>3000</v>
      </c>
      <c r="N397" s="12">
        <f t="shared" si="9"/>
        <v>12000</v>
      </c>
      <c r="O397" s="11">
        <v>5</v>
      </c>
      <c r="P397" s="11">
        <v>5</v>
      </c>
      <c r="Q397" s="11">
        <v>5</v>
      </c>
      <c r="R397" s="11">
        <v>5</v>
      </c>
      <c r="S397" s="11">
        <v>5</v>
      </c>
      <c r="T397" s="11">
        <v>5</v>
      </c>
      <c r="U397" s="11">
        <v>5</v>
      </c>
      <c r="V397" s="11">
        <v>5</v>
      </c>
      <c r="W397" s="11">
        <v>5</v>
      </c>
      <c r="X397" s="11">
        <v>4</v>
      </c>
      <c r="Y397" s="11">
        <v>4</v>
      </c>
      <c r="Z397" s="11">
        <v>4</v>
      </c>
      <c r="AA397" s="11">
        <v>4</v>
      </c>
      <c r="AB397" s="11">
        <v>4</v>
      </c>
      <c r="AC397" s="11">
        <v>4</v>
      </c>
      <c r="AD397" s="11">
        <v>4</v>
      </c>
      <c r="AE397" s="11">
        <v>4</v>
      </c>
      <c r="AF397" s="11">
        <v>4</v>
      </c>
      <c r="AG397" s="11">
        <v>4</v>
      </c>
      <c r="AH397" s="11">
        <v>4</v>
      </c>
      <c r="AI397" s="11">
        <v>4</v>
      </c>
      <c r="AJ397" s="11">
        <v>4</v>
      </c>
      <c r="AK397" s="11">
        <v>4</v>
      </c>
      <c r="AL397" s="11">
        <v>4</v>
      </c>
      <c r="AM397" s="11">
        <v>4</v>
      </c>
      <c r="AN397" s="72">
        <v>4</v>
      </c>
      <c r="AO397" s="72">
        <v>4</v>
      </c>
      <c r="AP397" s="72">
        <v>4</v>
      </c>
      <c r="AQ397" s="72">
        <v>4</v>
      </c>
      <c r="AR397" s="72">
        <v>4</v>
      </c>
      <c r="AS397" s="72">
        <v>4</v>
      </c>
      <c r="AT397" s="72">
        <v>4</v>
      </c>
      <c r="AU397" s="72">
        <v>4</v>
      </c>
      <c r="AV397" s="72">
        <v>4</v>
      </c>
      <c r="AW397" s="72">
        <v>4</v>
      </c>
      <c r="AX397" s="72">
        <v>4</v>
      </c>
      <c r="AY397" s="72">
        <v>4</v>
      </c>
      <c r="AZ397" s="72">
        <v>4</v>
      </c>
      <c r="BA397" s="72">
        <v>4</v>
      </c>
      <c r="BB397" s="72">
        <v>4</v>
      </c>
      <c r="BC397" s="72">
        <v>4</v>
      </c>
      <c r="BD397" s="72">
        <v>4</v>
      </c>
      <c r="BE397" s="72">
        <v>4</v>
      </c>
      <c r="BF397" s="72">
        <v>4</v>
      </c>
      <c r="BG397" s="72">
        <v>4</v>
      </c>
      <c r="BH397" s="72">
        <v>4</v>
      </c>
      <c r="BI397" s="72">
        <v>4</v>
      </c>
      <c r="BJ397" s="72">
        <v>4</v>
      </c>
      <c r="BK397" s="72">
        <v>4</v>
      </c>
      <c r="BL397" s="72">
        <v>4</v>
      </c>
      <c r="BM397" s="72">
        <v>4</v>
      </c>
      <c r="BN397" s="72">
        <v>4</v>
      </c>
      <c r="BO397" s="72">
        <v>4</v>
      </c>
      <c r="BP397" s="72">
        <v>4</v>
      </c>
      <c r="BQ397" s="72">
        <v>4</v>
      </c>
      <c r="BR397" s="72">
        <v>4</v>
      </c>
      <c r="BS397" s="72">
        <v>4</v>
      </c>
      <c r="BT397" s="72">
        <v>4</v>
      </c>
      <c r="BU397" s="72">
        <v>4</v>
      </c>
      <c r="BV397" s="72">
        <v>4</v>
      </c>
      <c r="BW397" s="72">
        <v>4</v>
      </c>
      <c r="BX397" s="72">
        <v>4</v>
      </c>
      <c r="BY397" s="72">
        <v>4</v>
      </c>
      <c r="BZ397" s="72">
        <v>4</v>
      </c>
      <c r="CA397" s="72">
        <v>4</v>
      </c>
      <c r="CB397" s="72">
        <v>4</v>
      </c>
      <c r="CC397" s="72">
        <v>4</v>
      </c>
      <c r="CD397" s="72">
        <v>4</v>
      </c>
      <c r="CE397" s="72">
        <v>4</v>
      </c>
      <c r="CF397" s="72">
        <v>4</v>
      </c>
      <c r="CG397" s="72">
        <v>4</v>
      </c>
      <c r="CH397" s="72">
        <v>4</v>
      </c>
      <c r="CI397" s="72">
        <v>4</v>
      </c>
      <c r="CJ397" s="72">
        <v>4</v>
      </c>
      <c r="CK397" s="72">
        <v>4</v>
      </c>
      <c r="CL397" s="72">
        <v>4</v>
      </c>
      <c r="CM397" s="72">
        <v>4</v>
      </c>
      <c r="CN397" s="72">
        <v>4</v>
      </c>
      <c r="CO397" s="72">
        <v>4</v>
      </c>
      <c r="CP397" s="72">
        <v>4</v>
      </c>
      <c r="CQ397" s="72">
        <v>4</v>
      </c>
      <c r="CR397" s="72">
        <v>4</v>
      </c>
      <c r="CS397" s="72">
        <v>4</v>
      </c>
      <c r="CT397" s="72">
        <v>4</v>
      </c>
      <c r="CU397" s="72">
        <v>4</v>
      </c>
      <c r="CV397" s="72">
        <v>4</v>
      </c>
      <c r="CW397" s="72">
        <v>4</v>
      </c>
      <c r="CX397" s="72">
        <v>4</v>
      </c>
      <c r="CY397" s="72">
        <v>4</v>
      </c>
      <c r="CZ397" s="72">
        <v>4</v>
      </c>
      <c r="DA397" s="72">
        <v>4</v>
      </c>
      <c r="DB397" s="72">
        <v>4</v>
      </c>
      <c r="DC397" s="72">
        <v>4</v>
      </c>
      <c r="DD397" s="72">
        <v>4</v>
      </c>
      <c r="DE397" s="72">
        <v>4</v>
      </c>
      <c r="DF397" s="72">
        <v>4</v>
      </c>
      <c r="DG397" s="72">
        <v>4</v>
      </c>
      <c r="DH397" s="72">
        <v>4</v>
      </c>
      <c r="DI397" s="72">
        <v>4</v>
      </c>
      <c r="DJ397" s="72">
        <v>4</v>
      </c>
      <c r="DK397" s="72">
        <v>4</v>
      </c>
      <c r="DL397" s="72">
        <v>4</v>
      </c>
      <c r="DM397" s="72">
        <v>4</v>
      </c>
    </row>
    <row r="398" spans="1:117" x14ac:dyDescent="0.35">
      <c r="A398" s="7"/>
      <c r="B398" s="77" t="s">
        <v>1174</v>
      </c>
      <c r="C398" s="9" t="s">
        <v>1183</v>
      </c>
      <c r="D398" s="10" t="s">
        <v>594</v>
      </c>
      <c r="E398" s="8" t="s">
        <v>1203</v>
      </c>
      <c r="F398" s="10">
        <v>1002</v>
      </c>
      <c r="G398" s="10" t="s">
        <v>40</v>
      </c>
      <c r="H398" s="10" t="s">
        <v>41</v>
      </c>
      <c r="I398" s="11"/>
      <c r="J398" s="10"/>
      <c r="K398" s="10"/>
      <c r="L398" s="8"/>
      <c r="M398" s="12"/>
      <c r="N398" s="12">
        <f t="shared" si="9"/>
        <v>0</v>
      </c>
      <c r="O398" s="11"/>
      <c r="P398" s="11"/>
      <c r="Q398" s="11"/>
      <c r="R398" s="11"/>
      <c r="S398" s="11"/>
      <c r="T398" s="11"/>
      <c r="U398" s="11"/>
      <c r="V398" s="11"/>
      <c r="W398" s="11"/>
      <c r="X398" s="11"/>
      <c r="Y398" s="11"/>
      <c r="Z398" s="11"/>
      <c r="AA398" s="11"/>
      <c r="AB398" s="11"/>
      <c r="AC398" s="11"/>
      <c r="AD398" s="11"/>
      <c r="AE398" s="11"/>
      <c r="AF398" s="11"/>
      <c r="AG398" s="11"/>
      <c r="AH398" s="11"/>
      <c r="AI398" s="11"/>
      <c r="AJ398" s="11"/>
      <c r="AK398" s="11"/>
      <c r="AL398" s="11"/>
      <c r="AM398" s="11"/>
      <c r="AN398" s="72"/>
      <c r="AO398" s="72">
        <v>1</v>
      </c>
      <c r="AP398" s="72">
        <v>1</v>
      </c>
      <c r="AQ398" s="72">
        <v>1</v>
      </c>
      <c r="AR398" s="72">
        <v>1</v>
      </c>
      <c r="AS398" s="72">
        <v>1</v>
      </c>
      <c r="AT398" s="72">
        <v>1</v>
      </c>
      <c r="AU398" s="72">
        <v>1</v>
      </c>
      <c r="AV398" s="72">
        <v>1</v>
      </c>
      <c r="AW398" s="72">
        <v>1</v>
      </c>
      <c r="AX398" s="72">
        <v>1</v>
      </c>
      <c r="AY398" s="72">
        <v>1</v>
      </c>
      <c r="AZ398" s="72">
        <v>1</v>
      </c>
      <c r="BA398" s="72">
        <v>1</v>
      </c>
      <c r="BB398" s="72">
        <v>1</v>
      </c>
      <c r="BC398" s="72">
        <v>1</v>
      </c>
      <c r="BD398" s="72">
        <v>1</v>
      </c>
      <c r="BE398" s="72">
        <v>1</v>
      </c>
      <c r="BF398" s="72">
        <v>1</v>
      </c>
      <c r="BG398" s="72">
        <v>1</v>
      </c>
      <c r="BH398" s="72">
        <v>1</v>
      </c>
      <c r="BI398" s="72">
        <v>1</v>
      </c>
      <c r="BJ398" s="72">
        <v>1</v>
      </c>
      <c r="BK398" s="72">
        <v>1</v>
      </c>
      <c r="BL398" s="72">
        <v>1</v>
      </c>
      <c r="BM398" s="72">
        <v>1</v>
      </c>
      <c r="BN398" s="72">
        <v>1</v>
      </c>
      <c r="BO398" s="72">
        <v>1</v>
      </c>
      <c r="BP398" s="72">
        <v>1</v>
      </c>
      <c r="BQ398" s="72">
        <v>1</v>
      </c>
      <c r="BR398" s="72">
        <v>1</v>
      </c>
      <c r="BS398" s="72">
        <v>1</v>
      </c>
      <c r="BT398" s="72">
        <v>0</v>
      </c>
      <c r="BU398" s="72">
        <v>0</v>
      </c>
      <c r="BV398" s="72">
        <v>0</v>
      </c>
      <c r="BW398" s="72">
        <v>0</v>
      </c>
      <c r="BX398" s="72">
        <v>0</v>
      </c>
      <c r="BY398" s="72">
        <v>0</v>
      </c>
      <c r="BZ398" s="72">
        <v>0</v>
      </c>
      <c r="CA398" s="72">
        <v>0</v>
      </c>
      <c r="CB398" s="72">
        <v>0</v>
      </c>
      <c r="CC398" s="72">
        <v>0</v>
      </c>
      <c r="CD398" s="72">
        <v>0</v>
      </c>
      <c r="CE398" s="72">
        <v>0</v>
      </c>
      <c r="CF398" s="72">
        <v>0</v>
      </c>
      <c r="CG398" s="72">
        <v>0</v>
      </c>
      <c r="CH398" s="72">
        <v>0</v>
      </c>
      <c r="CI398" s="72">
        <v>0</v>
      </c>
      <c r="CJ398" s="72">
        <v>0</v>
      </c>
      <c r="CK398" s="72">
        <v>0</v>
      </c>
      <c r="CL398" s="72">
        <v>0</v>
      </c>
      <c r="CM398" s="72">
        <v>0</v>
      </c>
      <c r="CN398" s="72">
        <v>0</v>
      </c>
      <c r="CO398" s="72">
        <v>0</v>
      </c>
      <c r="CP398" s="72">
        <v>0</v>
      </c>
      <c r="CQ398" s="72">
        <v>0</v>
      </c>
      <c r="CR398" s="72">
        <v>0</v>
      </c>
      <c r="CS398" s="72">
        <v>0</v>
      </c>
      <c r="CT398" s="72">
        <v>0</v>
      </c>
      <c r="CU398" s="72">
        <v>0</v>
      </c>
      <c r="CV398" s="72">
        <v>0</v>
      </c>
      <c r="CW398" s="72">
        <v>0</v>
      </c>
      <c r="CX398" s="72">
        <v>0</v>
      </c>
      <c r="CY398" s="72">
        <v>0</v>
      </c>
      <c r="CZ398" s="72">
        <v>0</v>
      </c>
      <c r="DA398" s="72">
        <v>0</v>
      </c>
      <c r="DB398" s="72">
        <v>0</v>
      </c>
      <c r="DC398" s="72">
        <v>0</v>
      </c>
      <c r="DD398" s="72">
        <v>0</v>
      </c>
      <c r="DE398" s="72">
        <v>0</v>
      </c>
      <c r="DF398" s="72">
        <v>0</v>
      </c>
      <c r="DG398" s="72">
        <v>0</v>
      </c>
      <c r="DH398" s="72">
        <v>0</v>
      </c>
      <c r="DI398" s="72">
        <v>0</v>
      </c>
      <c r="DJ398" s="72">
        <v>0</v>
      </c>
      <c r="DK398" s="72">
        <v>0</v>
      </c>
      <c r="DL398" s="72">
        <v>0</v>
      </c>
      <c r="DM398" s="72">
        <v>0</v>
      </c>
    </row>
    <row r="399" spans="1:117" x14ac:dyDescent="0.35">
      <c r="A399" s="7"/>
      <c r="B399" s="8" t="s">
        <v>670</v>
      </c>
      <c r="C399" s="9" t="s">
        <v>671</v>
      </c>
      <c r="D399" s="10" t="s">
        <v>594</v>
      </c>
      <c r="E399" s="8" t="s">
        <v>1203</v>
      </c>
      <c r="F399" s="10">
        <v>1002</v>
      </c>
      <c r="G399" s="10" t="s">
        <v>40</v>
      </c>
      <c r="H399" s="10" t="s">
        <v>41</v>
      </c>
      <c r="I399" s="11">
        <v>0</v>
      </c>
      <c r="J399" s="10"/>
      <c r="K399" s="10" t="s">
        <v>153</v>
      </c>
      <c r="L399" s="8"/>
      <c r="M399" s="12">
        <v>5138.74</v>
      </c>
      <c r="N399" s="12">
        <f t="shared" si="9"/>
        <v>0</v>
      </c>
      <c r="O399" s="11"/>
      <c r="P399" s="11"/>
      <c r="Q399" s="11">
        <v>2</v>
      </c>
      <c r="R399" s="11">
        <v>2</v>
      </c>
      <c r="S399" s="11">
        <v>2</v>
      </c>
      <c r="T399" s="11">
        <v>2</v>
      </c>
      <c r="U399" s="11">
        <v>2</v>
      </c>
      <c r="V399" s="11">
        <v>2</v>
      </c>
      <c r="W399" s="11">
        <v>2</v>
      </c>
      <c r="X399" s="11">
        <v>2</v>
      </c>
      <c r="Y399" s="11">
        <v>2</v>
      </c>
      <c r="Z399" s="11">
        <v>2</v>
      </c>
      <c r="AA399" s="11">
        <v>2</v>
      </c>
      <c r="AB399" s="11">
        <v>2</v>
      </c>
      <c r="AC399" s="11">
        <v>2</v>
      </c>
      <c r="AD399" s="11">
        <v>2</v>
      </c>
      <c r="AE399" s="11">
        <v>0</v>
      </c>
      <c r="AF399" s="11">
        <v>0</v>
      </c>
      <c r="AG399" s="11">
        <v>0</v>
      </c>
      <c r="AH399" s="11">
        <v>0</v>
      </c>
      <c r="AI399" s="11">
        <v>0</v>
      </c>
      <c r="AJ399" s="11">
        <v>0</v>
      </c>
      <c r="AK399" s="11">
        <v>0</v>
      </c>
      <c r="AL399" s="11">
        <v>0</v>
      </c>
      <c r="AM399" s="11">
        <v>0</v>
      </c>
      <c r="AN399" s="72">
        <v>0</v>
      </c>
      <c r="AO399" s="72">
        <v>0</v>
      </c>
      <c r="AP399" s="72">
        <v>0</v>
      </c>
      <c r="AQ399" s="72">
        <v>0</v>
      </c>
      <c r="AR399" s="72">
        <v>0</v>
      </c>
      <c r="AS399" s="72">
        <v>0</v>
      </c>
      <c r="AT399" s="72">
        <v>0</v>
      </c>
      <c r="AU399" s="72">
        <v>0</v>
      </c>
      <c r="AV399" s="72">
        <v>0</v>
      </c>
      <c r="AW399" s="72">
        <v>5</v>
      </c>
      <c r="AX399" s="72">
        <v>5</v>
      </c>
      <c r="AY399" s="72">
        <v>5</v>
      </c>
      <c r="AZ399" s="72">
        <v>5</v>
      </c>
      <c r="BA399" s="72">
        <v>5</v>
      </c>
      <c r="BB399" s="72">
        <v>5</v>
      </c>
      <c r="BC399" s="72">
        <v>5</v>
      </c>
      <c r="BD399" s="72">
        <v>5</v>
      </c>
      <c r="BE399" s="72">
        <v>5</v>
      </c>
      <c r="BF399" s="72">
        <v>5</v>
      </c>
      <c r="BG399" s="72">
        <v>5</v>
      </c>
      <c r="BH399" s="72">
        <v>5</v>
      </c>
      <c r="BI399" s="72">
        <v>5</v>
      </c>
      <c r="BJ399" s="72">
        <v>5</v>
      </c>
      <c r="BK399" s="72">
        <v>5</v>
      </c>
      <c r="BL399" s="72">
        <v>5</v>
      </c>
      <c r="BM399" s="72">
        <v>5</v>
      </c>
      <c r="BN399" s="72">
        <v>5</v>
      </c>
      <c r="BO399" s="72">
        <v>5</v>
      </c>
      <c r="BP399" s="72">
        <v>5</v>
      </c>
      <c r="BQ399" s="72">
        <v>3</v>
      </c>
      <c r="BR399" s="72">
        <v>1</v>
      </c>
      <c r="BS399" s="72">
        <v>1</v>
      </c>
      <c r="BT399" s="72">
        <v>0</v>
      </c>
      <c r="BU399" s="72">
        <v>0</v>
      </c>
      <c r="BV399" s="72">
        <v>0</v>
      </c>
      <c r="BW399" s="72">
        <v>0</v>
      </c>
      <c r="BX399" s="72">
        <v>0</v>
      </c>
      <c r="BY399" s="72">
        <v>0</v>
      </c>
      <c r="BZ399" s="72">
        <v>0</v>
      </c>
      <c r="CA399" s="72">
        <v>0</v>
      </c>
      <c r="CB399" s="72">
        <v>0</v>
      </c>
      <c r="CC399" s="72">
        <v>0</v>
      </c>
      <c r="CD399" s="72">
        <v>0</v>
      </c>
      <c r="CE399" s="72">
        <v>0</v>
      </c>
      <c r="CF399" s="72">
        <v>0</v>
      </c>
      <c r="CG399" s="72">
        <v>0</v>
      </c>
      <c r="CH399" s="72">
        <v>0</v>
      </c>
      <c r="CI399" s="72">
        <v>0</v>
      </c>
      <c r="CJ399" s="72">
        <v>0</v>
      </c>
      <c r="CK399" s="72">
        <v>0</v>
      </c>
      <c r="CL399" s="72">
        <v>0</v>
      </c>
      <c r="CM399" s="72">
        <v>0</v>
      </c>
      <c r="CN399" s="72">
        <v>0</v>
      </c>
      <c r="CO399" s="72">
        <v>0</v>
      </c>
      <c r="CP399" s="72">
        <v>0</v>
      </c>
      <c r="CQ399" s="72">
        <v>0</v>
      </c>
      <c r="CR399" s="72">
        <v>0</v>
      </c>
      <c r="CS399" s="72">
        <v>0</v>
      </c>
      <c r="CT399" s="72">
        <v>0</v>
      </c>
      <c r="CU399" s="72">
        <v>0</v>
      </c>
      <c r="CV399" s="72">
        <v>0</v>
      </c>
      <c r="CW399" s="72">
        <v>0</v>
      </c>
      <c r="CX399" s="72">
        <v>0</v>
      </c>
      <c r="CY399" s="72">
        <v>0</v>
      </c>
      <c r="CZ399" s="72">
        <v>0</v>
      </c>
      <c r="DA399" s="72">
        <v>0</v>
      </c>
      <c r="DB399" s="72">
        <v>0</v>
      </c>
      <c r="DC399" s="72">
        <v>0</v>
      </c>
      <c r="DD399" s="72">
        <v>0</v>
      </c>
      <c r="DE399" s="72">
        <v>0</v>
      </c>
      <c r="DF399" s="72">
        <v>0</v>
      </c>
      <c r="DG399" s="72">
        <v>0</v>
      </c>
      <c r="DH399" s="72">
        <v>0</v>
      </c>
      <c r="DI399" s="72">
        <v>0</v>
      </c>
      <c r="DJ399" s="72">
        <v>0</v>
      </c>
      <c r="DK399" s="72">
        <v>0</v>
      </c>
      <c r="DL399" s="72">
        <v>0</v>
      </c>
      <c r="DM399" s="72">
        <v>0</v>
      </c>
    </row>
    <row r="400" spans="1:117" x14ac:dyDescent="0.35">
      <c r="A400" s="7"/>
      <c r="B400" s="77" t="s">
        <v>1175</v>
      </c>
      <c r="C400" s="78" t="s">
        <v>1187</v>
      </c>
      <c r="D400" s="10" t="s">
        <v>594</v>
      </c>
      <c r="E400" s="8" t="s">
        <v>1203</v>
      </c>
      <c r="F400" s="10">
        <v>1002</v>
      </c>
      <c r="G400" s="10" t="s">
        <v>40</v>
      </c>
      <c r="H400" s="10" t="s">
        <v>41</v>
      </c>
      <c r="I400" s="11"/>
      <c r="J400" s="10"/>
      <c r="K400" s="10"/>
      <c r="L400" s="8"/>
      <c r="M400" s="12">
        <v>3961.71</v>
      </c>
      <c r="N400" s="12">
        <f t="shared" si="9"/>
        <v>7923.42</v>
      </c>
      <c r="O400" s="11"/>
      <c r="P400" s="11"/>
      <c r="Q400" s="11"/>
      <c r="R400" s="11"/>
      <c r="S400" s="11"/>
      <c r="T400" s="11"/>
      <c r="U400" s="11"/>
      <c r="V400" s="11"/>
      <c r="W400" s="11"/>
      <c r="X400" s="11"/>
      <c r="Y400" s="11"/>
      <c r="Z400" s="11"/>
      <c r="AA400" s="11"/>
      <c r="AB400" s="11"/>
      <c r="AC400" s="11"/>
      <c r="AD400" s="11"/>
      <c r="AE400" s="11"/>
      <c r="AF400" s="11"/>
      <c r="AG400" s="11"/>
      <c r="AH400" s="11"/>
      <c r="AI400" s="11"/>
      <c r="AJ400" s="11"/>
      <c r="AK400" s="11"/>
      <c r="AL400" s="11"/>
      <c r="AM400" s="11"/>
      <c r="AN400" s="72"/>
      <c r="AO400" s="72">
        <v>2</v>
      </c>
      <c r="AP400" s="72">
        <v>2</v>
      </c>
      <c r="AQ400" s="72">
        <v>2</v>
      </c>
      <c r="AR400" s="72">
        <v>2</v>
      </c>
      <c r="AS400" s="72">
        <v>2</v>
      </c>
      <c r="AT400" s="72">
        <v>2</v>
      </c>
      <c r="AU400" s="72">
        <v>2</v>
      </c>
      <c r="AV400" s="72">
        <v>2</v>
      </c>
      <c r="AW400" s="72">
        <v>2</v>
      </c>
      <c r="AX400" s="72">
        <v>2</v>
      </c>
      <c r="AY400" s="72">
        <v>2</v>
      </c>
      <c r="AZ400" s="72">
        <v>2</v>
      </c>
      <c r="BA400" s="72">
        <v>2</v>
      </c>
      <c r="BB400" s="72">
        <v>2</v>
      </c>
      <c r="BC400" s="72">
        <v>2</v>
      </c>
      <c r="BD400" s="72">
        <v>2</v>
      </c>
      <c r="BE400" s="72">
        <v>2</v>
      </c>
      <c r="BF400" s="72">
        <v>2</v>
      </c>
      <c r="BG400" s="72">
        <v>2</v>
      </c>
      <c r="BH400" s="72">
        <v>2</v>
      </c>
      <c r="BI400" s="72">
        <v>2</v>
      </c>
      <c r="BJ400" s="72">
        <v>2</v>
      </c>
      <c r="BK400" s="72">
        <v>2</v>
      </c>
      <c r="BL400" s="72">
        <v>2</v>
      </c>
      <c r="BM400" s="72">
        <v>2</v>
      </c>
      <c r="BN400" s="72">
        <v>2</v>
      </c>
      <c r="BO400" s="72">
        <v>2</v>
      </c>
      <c r="BP400" s="72">
        <v>2</v>
      </c>
      <c r="BQ400" s="72">
        <v>2</v>
      </c>
      <c r="BR400" s="72">
        <v>2</v>
      </c>
      <c r="BS400" s="72">
        <v>2</v>
      </c>
      <c r="BT400" s="72">
        <v>2</v>
      </c>
      <c r="BU400" s="72">
        <v>2</v>
      </c>
      <c r="BV400" s="72">
        <v>2</v>
      </c>
      <c r="BW400" s="72">
        <v>2</v>
      </c>
      <c r="BX400" s="72">
        <v>2</v>
      </c>
      <c r="BY400" s="72">
        <v>2</v>
      </c>
      <c r="BZ400" s="72">
        <v>2</v>
      </c>
      <c r="CA400" s="72">
        <v>2</v>
      </c>
      <c r="CB400" s="72">
        <v>2</v>
      </c>
      <c r="CC400" s="72">
        <v>2</v>
      </c>
      <c r="CD400" s="72">
        <v>2</v>
      </c>
      <c r="CE400" s="72">
        <v>2</v>
      </c>
      <c r="CF400" s="72">
        <v>2</v>
      </c>
      <c r="CG400" s="72">
        <v>2</v>
      </c>
      <c r="CH400" s="72">
        <v>2</v>
      </c>
      <c r="CI400" s="72">
        <v>2</v>
      </c>
      <c r="CJ400" s="72">
        <v>2</v>
      </c>
      <c r="CK400" s="72">
        <v>2</v>
      </c>
      <c r="CL400" s="72">
        <v>2</v>
      </c>
      <c r="CM400" s="72">
        <v>2</v>
      </c>
      <c r="CN400" s="72">
        <v>2</v>
      </c>
      <c r="CO400" s="72">
        <v>2</v>
      </c>
      <c r="CP400" s="72">
        <v>2</v>
      </c>
      <c r="CQ400" s="72">
        <v>2</v>
      </c>
      <c r="CR400" s="72">
        <v>2</v>
      </c>
      <c r="CS400" s="72">
        <v>2</v>
      </c>
      <c r="CT400" s="72">
        <v>2</v>
      </c>
      <c r="CU400" s="72">
        <v>2</v>
      </c>
      <c r="CV400" s="72">
        <v>2</v>
      </c>
      <c r="CW400" s="72">
        <v>2</v>
      </c>
      <c r="CX400" s="72">
        <v>2</v>
      </c>
      <c r="CY400" s="72">
        <v>2</v>
      </c>
      <c r="CZ400" s="72">
        <v>2</v>
      </c>
      <c r="DA400" s="72">
        <v>2</v>
      </c>
      <c r="DB400" s="72">
        <v>2</v>
      </c>
      <c r="DC400" s="72">
        <v>2</v>
      </c>
      <c r="DD400" s="72">
        <v>2</v>
      </c>
      <c r="DE400" s="72">
        <v>2</v>
      </c>
      <c r="DF400" s="72">
        <v>2</v>
      </c>
      <c r="DG400" s="72">
        <v>2</v>
      </c>
      <c r="DH400" s="72">
        <v>2</v>
      </c>
      <c r="DI400" s="72">
        <v>2</v>
      </c>
      <c r="DJ400" s="72">
        <v>2</v>
      </c>
      <c r="DK400" s="72">
        <v>2</v>
      </c>
      <c r="DL400" s="72">
        <v>2</v>
      </c>
      <c r="DM400" s="72">
        <v>2</v>
      </c>
    </row>
    <row r="401" spans="1:117" x14ac:dyDescent="0.35">
      <c r="A401" s="7"/>
      <c r="B401" s="8" t="s">
        <v>672</v>
      </c>
      <c r="C401" s="9" t="s">
        <v>673</v>
      </c>
      <c r="D401" s="10" t="s">
        <v>594</v>
      </c>
      <c r="E401" s="8" t="s">
        <v>1203</v>
      </c>
      <c r="F401" s="10">
        <v>1002</v>
      </c>
      <c r="G401" s="10" t="s">
        <v>40</v>
      </c>
      <c r="H401" s="10" t="s">
        <v>41</v>
      </c>
      <c r="I401" s="11">
        <v>1</v>
      </c>
      <c r="J401" s="10"/>
      <c r="K401" s="10" t="s">
        <v>674</v>
      </c>
      <c r="L401" s="8"/>
      <c r="M401" s="12"/>
      <c r="N401" s="12">
        <f t="shared" si="9"/>
        <v>0</v>
      </c>
      <c r="O401" s="11">
        <v>1</v>
      </c>
      <c r="P401" s="11">
        <v>1</v>
      </c>
      <c r="Q401" s="11">
        <v>1</v>
      </c>
      <c r="R401" s="11">
        <v>1</v>
      </c>
      <c r="S401" s="11">
        <v>1</v>
      </c>
      <c r="T401" s="11">
        <v>1</v>
      </c>
      <c r="U401" s="11">
        <v>1</v>
      </c>
      <c r="V401" s="11">
        <v>1</v>
      </c>
      <c r="W401" s="11">
        <v>1</v>
      </c>
      <c r="X401" s="11">
        <v>1</v>
      </c>
      <c r="Y401" s="11">
        <v>1</v>
      </c>
      <c r="Z401" s="11">
        <v>1</v>
      </c>
      <c r="AA401" s="11">
        <v>1</v>
      </c>
      <c r="AB401" s="11">
        <v>1</v>
      </c>
      <c r="AC401" s="11">
        <v>1</v>
      </c>
      <c r="AD401" s="11">
        <v>1</v>
      </c>
      <c r="AE401" s="11">
        <v>1</v>
      </c>
      <c r="AF401" s="11">
        <v>1</v>
      </c>
      <c r="AG401" s="11">
        <v>1</v>
      </c>
      <c r="AH401" s="11">
        <v>1</v>
      </c>
      <c r="AI401" s="11">
        <v>1</v>
      </c>
      <c r="AJ401" s="11">
        <v>1</v>
      </c>
      <c r="AK401" s="11">
        <v>1</v>
      </c>
      <c r="AL401" s="11">
        <v>1</v>
      </c>
      <c r="AM401" s="11">
        <v>1</v>
      </c>
      <c r="AN401" s="72">
        <v>1</v>
      </c>
      <c r="AO401" s="72">
        <v>1</v>
      </c>
      <c r="AP401" s="72">
        <v>1</v>
      </c>
      <c r="AQ401" s="72">
        <v>1</v>
      </c>
      <c r="AR401" s="72">
        <v>1</v>
      </c>
      <c r="AS401" s="72">
        <v>1</v>
      </c>
      <c r="AT401" s="72">
        <v>1</v>
      </c>
      <c r="AU401" s="72">
        <v>1</v>
      </c>
      <c r="AV401" s="72">
        <v>1</v>
      </c>
      <c r="AW401" s="72">
        <v>1</v>
      </c>
      <c r="AX401" s="72">
        <v>1</v>
      </c>
      <c r="AY401" s="72">
        <v>1</v>
      </c>
      <c r="AZ401" s="72">
        <v>1</v>
      </c>
      <c r="BA401" s="72">
        <v>1</v>
      </c>
      <c r="BB401" s="72">
        <v>1</v>
      </c>
      <c r="BC401" s="72">
        <v>1</v>
      </c>
      <c r="BD401" s="72">
        <v>1</v>
      </c>
      <c r="BE401" s="72">
        <v>1</v>
      </c>
      <c r="BF401" s="72">
        <v>1</v>
      </c>
      <c r="BG401" s="72">
        <v>1</v>
      </c>
      <c r="BH401" s="72">
        <v>1</v>
      </c>
      <c r="BI401" s="72">
        <v>1</v>
      </c>
      <c r="BJ401" s="72">
        <v>0</v>
      </c>
      <c r="BK401" s="72">
        <v>0</v>
      </c>
      <c r="BL401" s="72">
        <v>0</v>
      </c>
      <c r="BM401" s="72">
        <v>0</v>
      </c>
      <c r="BN401" s="72">
        <v>0</v>
      </c>
      <c r="BO401" s="72">
        <v>0</v>
      </c>
      <c r="BP401" s="72">
        <v>0</v>
      </c>
      <c r="BQ401" s="72">
        <v>0</v>
      </c>
      <c r="BR401" s="72">
        <v>0</v>
      </c>
      <c r="BS401" s="72">
        <v>0</v>
      </c>
      <c r="BT401" s="72">
        <v>0</v>
      </c>
      <c r="BU401" s="72">
        <v>0</v>
      </c>
      <c r="BV401" s="72">
        <v>0</v>
      </c>
      <c r="BW401" s="72">
        <v>0</v>
      </c>
      <c r="BX401" s="72">
        <v>0</v>
      </c>
      <c r="BY401" s="72">
        <v>0</v>
      </c>
      <c r="BZ401" s="72">
        <v>0</v>
      </c>
      <c r="CA401" s="72">
        <v>0</v>
      </c>
      <c r="CB401" s="72">
        <v>0</v>
      </c>
      <c r="CC401" s="72">
        <v>0</v>
      </c>
      <c r="CD401" s="72">
        <v>0</v>
      </c>
      <c r="CE401" s="72">
        <v>0</v>
      </c>
      <c r="CF401" s="72">
        <v>0</v>
      </c>
      <c r="CG401" s="72">
        <v>0</v>
      </c>
      <c r="CH401" s="72">
        <v>0</v>
      </c>
      <c r="CI401" s="72">
        <v>0</v>
      </c>
      <c r="CJ401" s="72">
        <v>0</v>
      </c>
      <c r="CK401" s="72">
        <v>0</v>
      </c>
      <c r="CL401" s="72">
        <v>0</v>
      </c>
      <c r="CM401" s="72">
        <v>0</v>
      </c>
      <c r="CN401" s="72">
        <v>0</v>
      </c>
      <c r="CO401" s="72">
        <v>0</v>
      </c>
      <c r="CP401" s="72">
        <v>0</v>
      </c>
      <c r="CQ401" s="72">
        <v>0</v>
      </c>
      <c r="CR401" s="72">
        <v>0</v>
      </c>
      <c r="CS401" s="72">
        <v>0</v>
      </c>
      <c r="CT401" s="72">
        <v>0</v>
      </c>
      <c r="CU401" s="72">
        <v>0</v>
      </c>
      <c r="CV401" s="72">
        <v>0</v>
      </c>
      <c r="CW401" s="72">
        <v>0</v>
      </c>
      <c r="CX401" s="72">
        <v>0</v>
      </c>
      <c r="CY401" s="72">
        <v>0</v>
      </c>
      <c r="CZ401" s="72">
        <v>0</v>
      </c>
      <c r="DA401" s="72">
        <v>0</v>
      </c>
      <c r="DB401" s="72">
        <v>0</v>
      </c>
      <c r="DC401" s="72">
        <v>0</v>
      </c>
      <c r="DD401" s="72">
        <v>0</v>
      </c>
      <c r="DE401" s="72">
        <v>0</v>
      </c>
      <c r="DF401" s="72">
        <v>0</v>
      </c>
      <c r="DG401" s="72">
        <v>0</v>
      </c>
      <c r="DH401" s="72">
        <v>0</v>
      </c>
      <c r="DI401" s="72">
        <v>0</v>
      </c>
      <c r="DJ401" s="72">
        <v>0</v>
      </c>
      <c r="DK401" s="72">
        <v>0</v>
      </c>
      <c r="DL401" s="72">
        <v>0</v>
      </c>
      <c r="DM401" s="72">
        <v>0</v>
      </c>
    </row>
    <row r="402" spans="1:117" x14ac:dyDescent="0.35">
      <c r="A402" s="7"/>
      <c r="B402" s="8" t="s">
        <v>1338</v>
      </c>
      <c r="C402" s="9" t="s">
        <v>673</v>
      </c>
      <c r="D402" s="10" t="s">
        <v>594</v>
      </c>
      <c r="E402" s="8" t="s">
        <v>1203</v>
      </c>
      <c r="F402" s="10">
        <v>1002</v>
      </c>
      <c r="G402" s="10" t="s">
        <v>40</v>
      </c>
      <c r="H402" s="10" t="s">
        <v>41</v>
      </c>
      <c r="I402" s="11">
        <v>1</v>
      </c>
      <c r="J402" s="10"/>
      <c r="K402" s="10" t="s">
        <v>42</v>
      </c>
      <c r="L402" s="8"/>
      <c r="M402" s="12">
        <v>5125.82</v>
      </c>
      <c r="N402" s="12">
        <f t="shared" si="9"/>
        <v>10251.64</v>
      </c>
      <c r="O402" s="11">
        <v>1</v>
      </c>
      <c r="P402" s="11">
        <v>1</v>
      </c>
      <c r="Q402" s="11">
        <v>1</v>
      </c>
      <c r="R402" s="11">
        <v>1</v>
      </c>
      <c r="S402" s="11">
        <v>1</v>
      </c>
      <c r="T402" s="11">
        <v>1</v>
      </c>
      <c r="U402" s="11">
        <v>1</v>
      </c>
      <c r="V402" s="11">
        <v>1</v>
      </c>
      <c r="W402" s="11">
        <v>1</v>
      </c>
      <c r="X402" s="11">
        <v>1</v>
      </c>
      <c r="Y402" s="11">
        <v>1</v>
      </c>
      <c r="Z402" s="11">
        <v>1</v>
      </c>
      <c r="AA402" s="11">
        <v>1</v>
      </c>
      <c r="AB402" s="11">
        <v>1</v>
      </c>
      <c r="AC402" s="11">
        <v>1</v>
      </c>
      <c r="AD402" s="11">
        <v>1</v>
      </c>
      <c r="AE402" s="11">
        <v>1</v>
      </c>
      <c r="AF402" s="11">
        <v>1</v>
      </c>
      <c r="AG402" s="11">
        <v>1</v>
      </c>
      <c r="AH402" s="11">
        <v>1</v>
      </c>
      <c r="AI402" s="11">
        <v>1</v>
      </c>
      <c r="AJ402" s="11">
        <v>1</v>
      </c>
      <c r="AK402" s="11">
        <v>1</v>
      </c>
      <c r="AL402" s="11">
        <v>1</v>
      </c>
      <c r="AM402" s="11">
        <v>1</v>
      </c>
      <c r="AN402" s="72">
        <v>1</v>
      </c>
      <c r="AO402" s="72">
        <v>1</v>
      </c>
      <c r="AP402" s="72">
        <v>1</v>
      </c>
      <c r="AQ402" s="72">
        <v>1</v>
      </c>
      <c r="AR402" s="72">
        <v>1</v>
      </c>
      <c r="AS402" s="72">
        <v>1</v>
      </c>
      <c r="AT402" s="72">
        <v>1</v>
      </c>
      <c r="AU402" s="72">
        <v>1</v>
      </c>
      <c r="AV402" s="72">
        <v>1</v>
      </c>
      <c r="AW402" s="72">
        <v>1</v>
      </c>
      <c r="AX402" s="72">
        <v>1</v>
      </c>
      <c r="AY402" s="72">
        <v>1</v>
      </c>
      <c r="AZ402" s="72">
        <v>1</v>
      </c>
      <c r="BA402" s="72">
        <v>1</v>
      </c>
      <c r="BB402" s="72">
        <v>1</v>
      </c>
      <c r="BC402" s="72">
        <v>1</v>
      </c>
      <c r="BD402" s="72">
        <v>1</v>
      </c>
      <c r="BE402" s="72">
        <v>1</v>
      </c>
      <c r="BF402" s="72">
        <v>1</v>
      </c>
      <c r="BG402" s="72">
        <v>1</v>
      </c>
      <c r="BH402" s="72">
        <v>1</v>
      </c>
      <c r="BI402" s="72">
        <v>1</v>
      </c>
      <c r="BJ402" s="72">
        <v>2</v>
      </c>
      <c r="BK402" s="72">
        <v>2</v>
      </c>
      <c r="BL402" s="72">
        <v>2</v>
      </c>
      <c r="BM402" s="72">
        <v>2</v>
      </c>
      <c r="BN402" s="72">
        <v>2</v>
      </c>
      <c r="BO402" s="72">
        <v>2</v>
      </c>
      <c r="BP402" s="72">
        <v>2</v>
      </c>
      <c r="BQ402" s="72">
        <v>2</v>
      </c>
      <c r="BR402" s="72">
        <v>2</v>
      </c>
      <c r="BS402" s="72">
        <v>2</v>
      </c>
      <c r="BT402" s="72">
        <v>2</v>
      </c>
      <c r="BU402" s="72">
        <v>2</v>
      </c>
      <c r="BV402" s="72">
        <v>2</v>
      </c>
      <c r="BW402" s="72">
        <v>2</v>
      </c>
      <c r="BX402" s="72">
        <v>2</v>
      </c>
      <c r="BY402" s="72">
        <v>2</v>
      </c>
      <c r="BZ402" s="72">
        <v>2</v>
      </c>
      <c r="CA402" s="72">
        <v>2</v>
      </c>
      <c r="CB402" s="72">
        <v>2</v>
      </c>
      <c r="CC402" s="72">
        <v>2</v>
      </c>
      <c r="CD402" s="72">
        <v>2</v>
      </c>
      <c r="CE402" s="72">
        <v>2</v>
      </c>
      <c r="CF402" s="72">
        <v>2</v>
      </c>
      <c r="CG402" s="72">
        <v>2</v>
      </c>
      <c r="CH402" s="72">
        <v>2</v>
      </c>
      <c r="CI402" s="72">
        <v>2</v>
      </c>
      <c r="CJ402" s="72">
        <v>2</v>
      </c>
      <c r="CK402" s="72">
        <v>2</v>
      </c>
      <c r="CL402" s="72">
        <v>2</v>
      </c>
      <c r="CM402" s="72">
        <v>2</v>
      </c>
      <c r="CN402" s="72">
        <v>2</v>
      </c>
      <c r="CO402" s="72">
        <v>2</v>
      </c>
      <c r="CP402" s="72">
        <v>2</v>
      </c>
      <c r="CQ402" s="72">
        <v>2</v>
      </c>
      <c r="CR402" s="72">
        <v>2</v>
      </c>
      <c r="CS402" s="72">
        <v>2</v>
      </c>
      <c r="CT402" s="72">
        <v>2</v>
      </c>
      <c r="CU402" s="72">
        <v>2</v>
      </c>
      <c r="CV402" s="72">
        <v>2</v>
      </c>
      <c r="CW402" s="72">
        <v>2</v>
      </c>
      <c r="CX402" s="72">
        <v>2</v>
      </c>
      <c r="CY402" s="72">
        <v>2</v>
      </c>
      <c r="CZ402" s="72">
        <v>2</v>
      </c>
      <c r="DA402" s="72">
        <v>2</v>
      </c>
      <c r="DB402" s="72">
        <v>2</v>
      </c>
      <c r="DC402" s="72">
        <v>2</v>
      </c>
      <c r="DD402" s="72">
        <v>2</v>
      </c>
      <c r="DE402" s="72">
        <v>2</v>
      </c>
      <c r="DF402" s="72">
        <v>2</v>
      </c>
      <c r="DG402" s="72">
        <v>2</v>
      </c>
      <c r="DH402" s="72">
        <v>2</v>
      </c>
      <c r="DI402" s="72">
        <v>2</v>
      </c>
      <c r="DJ402" s="72">
        <v>2</v>
      </c>
      <c r="DK402" s="72">
        <v>2</v>
      </c>
      <c r="DL402" s="72">
        <v>2</v>
      </c>
      <c r="DM402" s="72">
        <v>2</v>
      </c>
    </row>
    <row r="403" spans="1:117" x14ac:dyDescent="0.35">
      <c r="A403" s="7"/>
      <c r="B403" s="8" t="s">
        <v>675</v>
      </c>
      <c r="C403" s="9" t="s">
        <v>676</v>
      </c>
      <c r="D403" s="10" t="s">
        <v>594</v>
      </c>
      <c r="E403" s="8" t="s">
        <v>1203</v>
      </c>
      <c r="F403" s="10">
        <v>1002</v>
      </c>
      <c r="G403" s="10" t="s">
        <v>40</v>
      </c>
      <c r="H403" s="10" t="s">
        <v>41</v>
      </c>
      <c r="I403" s="11">
        <v>0</v>
      </c>
      <c r="J403" s="10"/>
      <c r="K403" s="10" t="s">
        <v>153</v>
      </c>
      <c r="L403" s="8"/>
      <c r="M403" s="12"/>
      <c r="N403" s="12">
        <f t="shared" si="9"/>
        <v>0</v>
      </c>
      <c r="O403" s="11"/>
      <c r="P403" s="11"/>
      <c r="Q403" s="11">
        <v>2</v>
      </c>
      <c r="R403" s="11">
        <v>2</v>
      </c>
      <c r="S403" s="11">
        <v>0</v>
      </c>
      <c r="T403" s="11">
        <v>0</v>
      </c>
      <c r="U403" s="11">
        <v>0</v>
      </c>
      <c r="V403" s="11">
        <v>0</v>
      </c>
      <c r="W403" s="11">
        <v>0</v>
      </c>
      <c r="X403" s="11">
        <v>0</v>
      </c>
      <c r="Y403" s="11">
        <v>0</v>
      </c>
      <c r="Z403" s="11">
        <v>0</v>
      </c>
      <c r="AA403" s="11">
        <v>0</v>
      </c>
      <c r="AB403" s="11">
        <v>0</v>
      </c>
      <c r="AC403" s="11">
        <v>0</v>
      </c>
      <c r="AD403" s="11">
        <v>0</v>
      </c>
      <c r="AE403" s="11">
        <v>0</v>
      </c>
      <c r="AF403" s="11">
        <v>0</v>
      </c>
      <c r="AG403" s="11">
        <v>0</v>
      </c>
      <c r="AH403" s="11">
        <v>0</v>
      </c>
      <c r="AI403" s="11">
        <v>0</v>
      </c>
      <c r="AJ403" s="11">
        <v>0</v>
      </c>
      <c r="AK403" s="11">
        <v>0</v>
      </c>
      <c r="AL403" s="11">
        <v>0</v>
      </c>
      <c r="AM403" s="11">
        <v>0</v>
      </c>
      <c r="AN403" s="72">
        <v>0</v>
      </c>
      <c r="AO403" s="72">
        <v>0</v>
      </c>
      <c r="AP403" s="72">
        <v>0</v>
      </c>
      <c r="AQ403" s="72">
        <v>0</v>
      </c>
      <c r="AR403" s="72">
        <v>0</v>
      </c>
      <c r="AS403" s="72">
        <v>0</v>
      </c>
      <c r="AT403" s="72">
        <v>0</v>
      </c>
      <c r="AU403" s="72">
        <v>0</v>
      </c>
      <c r="AV403" s="72">
        <v>0</v>
      </c>
      <c r="AW403" s="72">
        <v>0</v>
      </c>
      <c r="AX403" s="72">
        <v>0</v>
      </c>
      <c r="AY403" s="72">
        <v>0</v>
      </c>
      <c r="AZ403" s="72">
        <v>0</v>
      </c>
      <c r="BA403" s="72">
        <v>0</v>
      </c>
      <c r="BB403" s="72">
        <v>0</v>
      </c>
      <c r="BC403" s="72">
        <v>0</v>
      </c>
      <c r="BD403" s="72">
        <v>0</v>
      </c>
      <c r="BE403" s="72">
        <v>0</v>
      </c>
      <c r="BF403" s="72">
        <v>0</v>
      </c>
      <c r="BG403" s="72">
        <v>0</v>
      </c>
      <c r="BH403" s="72">
        <v>0</v>
      </c>
      <c r="BI403" s="72">
        <v>0</v>
      </c>
      <c r="BJ403" s="72">
        <v>0</v>
      </c>
      <c r="BK403" s="72">
        <v>0</v>
      </c>
      <c r="BL403" s="72">
        <v>0</v>
      </c>
      <c r="BM403" s="72">
        <v>0</v>
      </c>
      <c r="BN403" s="72">
        <v>0</v>
      </c>
      <c r="BO403" s="72">
        <v>0</v>
      </c>
      <c r="BP403" s="72">
        <v>0</v>
      </c>
      <c r="BQ403" s="72">
        <v>0</v>
      </c>
      <c r="BR403" s="72">
        <v>0</v>
      </c>
      <c r="BS403" s="72">
        <v>0</v>
      </c>
      <c r="BT403" s="72">
        <v>0</v>
      </c>
      <c r="BU403" s="72">
        <v>0</v>
      </c>
      <c r="BV403" s="72">
        <v>0</v>
      </c>
      <c r="BW403" s="72">
        <v>0</v>
      </c>
      <c r="BX403" s="72">
        <v>0</v>
      </c>
      <c r="BY403" s="72">
        <v>0</v>
      </c>
      <c r="BZ403" s="72">
        <v>0</v>
      </c>
      <c r="CA403" s="72">
        <v>0</v>
      </c>
      <c r="CB403" s="72">
        <v>0</v>
      </c>
      <c r="CC403" s="72">
        <v>0</v>
      </c>
      <c r="CD403" s="72">
        <v>0</v>
      </c>
      <c r="CE403" s="72">
        <v>0</v>
      </c>
      <c r="CF403" s="72">
        <v>0</v>
      </c>
      <c r="CG403" s="72">
        <v>0</v>
      </c>
      <c r="CH403" s="72">
        <v>0</v>
      </c>
      <c r="CI403" s="72">
        <v>0</v>
      </c>
      <c r="CJ403" s="72">
        <v>0</v>
      </c>
      <c r="CK403" s="72">
        <v>0</v>
      </c>
      <c r="CL403" s="72">
        <v>0</v>
      </c>
      <c r="CM403" s="72">
        <v>0</v>
      </c>
      <c r="CN403" s="72">
        <v>0</v>
      </c>
      <c r="CO403" s="72">
        <v>0</v>
      </c>
      <c r="CP403" s="72">
        <v>0</v>
      </c>
      <c r="CQ403" s="72">
        <v>0</v>
      </c>
      <c r="CR403" s="72">
        <v>0</v>
      </c>
      <c r="CS403" s="72">
        <v>0</v>
      </c>
      <c r="CT403" s="72">
        <v>0</v>
      </c>
      <c r="CU403" s="72">
        <v>0</v>
      </c>
      <c r="CV403" s="72">
        <v>0</v>
      </c>
      <c r="CW403" s="72">
        <v>0</v>
      </c>
      <c r="CX403" s="72">
        <v>0</v>
      </c>
      <c r="CY403" s="72">
        <v>0</v>
      </c>
      <c r="CZ403" s="72">
        <v>0</v>
      </c>
      <c r="DA403" s="72">
        <v>0</v>
      </c>
      <c r="DB403" s="72">
        <v>0</v>
      </c>
      <c r="DC403" s="72">
        <v>0</v>
      </c>
      <c r="DD403" s="72">
        <v>0</v>
      </c>
      <c r="DE403" s="72">
        <v>0</v>
      </c>
      <c r="DF403" s="72">
        <v>0</v>
      </c>
      <c r="DG403" s="72">
        <v>0</v>
      </c>
      <c r="DH403" s="72">
        <v>0</v>
      </c>
      <c r="DI403" s="72">
        <v>0</v>
      </c>
      <c r="DJ403" s="72">
        <v>0</v>
      </c>
      <c r="DK403" s="72">
        <v>0</v>
      </c>
      <c r="DL403" s="72">
        <v>0</v>
      </c>
      <c r="DM403" s="72">
        <v>0</v>
      </c>
    </row>
    <row r="404" spans="1:117" x14ac:dyDescent="0.35">
      <c r="A404" s="7"/>
      <c r="B404" s="77" t="s">
        <v>1176</v>
      </c>
      <c r="C404" s="9" t="s">
        <v>1184</v>
      </c>
      <c r="D404" s="10" t="s">
        <v>594</v>
      </c>
      <c r="E404" s="8" t="s">
        <v>1203</v>
      </c>
      <c r="F404" s="10">
        <v>1002</v>
      </c>
      <c r="G404" s="10" t="s">
        <v>40</v>
      </c>
      <c r="H404" s="10" t="s">
        <v>41</v>
      </c>
      <c r="I404" s="11"/>
      <c r="J404" s="10"/>
      <c r="K404" s="10"/>
      <c r="L404" s="8"/>
      <c r="M404" s="12">
        <v>711.31</v>
      </c>
      <c r="N404" s="12">
        <f t="shared" si="9"/>
        <v>711.31</v>
      </c>
      <c r="O404" s="11"/>
      <c r="P404" s="11"/>
      <c r="Q404" s="11"/>
      <c r="R404" s="11"/>
      <c r="S404" s="11"/>
      <c r="T404" s="11"/>
      <c r="U404" s="11"/>
      <c r="V404" s="11"/>
      <c r="W404" s="11"/>
      <c r="X404" s="11"/>
      <c r="Y404" s="11"/>
      <c r="Z404" s="11"/>
      <c r="AA404" s="11"/>
      <c r="AB404" s="11"/>
      <c r="AC404" s="11"/>
      <c r="AD404" s="11"/>
      <c r="AE404" s="11"/>
      <c r="AF404" s="11"/>
      <c r="AG404" s="11"/>
      <c r="AH404" s="11"/>
      <c r="AI404" s="11"/>
      <c r="AJ404" s="11"/>
      <c r="AK404" s="11"/>
      <c r="AL404" s="11"/>
      <c r="AM404" s="11"/>
      <c r="AN404" s="72"/>
      <c r="AO404" s="72">
        <v>2</v>
      </c>
      <c r="AP404" s="72">
        <v>2</v>
      </c>
      <c r="AQ404" s="72">
        <v>2</v>
      </c>
      <c r="AR404" s="72">
        <v>2</v>
      </c>
      <c r="AS404" s="72">
        <v>2</v>
      </c>
      <c r="AT404" s="72">
        <v>2</v>
      </c>
      <c r="AU404" s="72">
        <v>2</v>
      </c>
      <c r="AV404" s="72">
        <v>2</v>
      </c>
      <c r="AW404" s="72">
        <v>2</v>
      </c>
      <c r="AX404" s="72">
        <v>2</v>
      </c>
      <c r="AY404" s="72">
        <v>2</v>
      </c>
      <c r="AZ404" s="72">
        <v>2</v>
      </c>
      <c r="BA404" s="72">
        <v>2</v>
      </c>
      <c r="BB404" s="72">
        <v>2</v>
      </c>
      <c r="BC404" s="72">
        <v>2</v>
      </c>
      <c r="BD404" s="72">
        <v>2</v>
      </c>
      <c r="BE404" s="72">
        <v>2</v>
      </c>
      <c r="BF404" s="72">
        <v>2</v>
      </c>
      <c r="BG404" s="72">
        <v>2</v>
      </c>
      <c r="BH404" s="72">
        <v>2</v>
      </c>
      <c r="BI404" s="72">
        <v>2</v>
      </c>
      <c r="BJ404" s="72">
        <v>2</v>
      </c>
      <c r="BK404" s="72">
        <v>2</v>
      </c>
      <c r="BL404" s="72">
        <v>2</v>
      </c>
      <c r="BM404" s="72">
        <v>2</v>
      </c>
      <c r="BN404" s="72">
        <v>1</v>
      </c>
      <c r="BO404" s="72">
        <v>1</v>
      </c>
      <c r="BP404" s="72">
        <v>1</v>
      </c>
      <c r="BQ404" s="72">
        <v>1</v>
      </c>
      <c r="BR404" s="72">
        <v>1</v>
      </c>
      <c r="BS404" s="72">
        <v>1</v>
      </c>
      <c r="BT404" s="72">
        <v>1</v>
      </c>
      <c r="BU404" s="72">
        <v>1</v>
      </c>
      <c r="BV404" s="72">
        <v>1</v>
      </c>
      <c r="BW404" s="72">
        <v>1</v>
      </c>
      <c r="BX404" s="72">
        <v>1</v>
      </c>
      <c r="BY404" s="72">
        <v>1</v>
      </c>
      <c r="BZ404" s="72">
        <v>1</v>
      </c>
      <c r="CA404" s="72">
        <v>1</v>
      </c>
      <c r="CB404" s="72">
        <v>1</v>
      </c>
      <c r="CC404" s="72">
        <v>1</v>
      </c>
      <c r="CD404" s="72">
        <v>1</v>
      </c>
      <c r="CE404" s="72">
        <v>1</v>
      </c>
      <c r="CF404" s="72">
        <v>1</v>
      </c>
      <c r="CG404" s="72">
        <v>1</v>
      </c>
      <c r="CH404" s="72">
        <v>1</v>
      </c>
      <c r="CI404" s="72">
        <v>1</v>
      </c>
      <c r="CJ404" s="72">
        <v>1</v>
      </c>
      <c r="CK404" s="72">
        <v>1</v>
      </c>
      <c r="CL404" s="72">
        <v>1</v>
      </c>
      <c r="CM404" s="72">
        <v>1</v>
      </c>
      <c r="CN404" s="72">
        <v>1</v>
      </c>
      <c r="CO404" s="72">
        <v>1</v>
      </c>
      <c r="CP404" s="72">
        <v>1</v>
      </c>
      <c r="CQ404" s="72">
        <v>1</v>
      </c>
      <c r="CR404" s="72">
        <v>1</v>
      </c>
      <c r="CS404" s="72">
        <v>1</v>
      </c>
      <c r="CT404" s="72">
        <v>1</v>
      </c>
      <c r="CU404" s="72">
        <v>1</v>
      </c>
      <c r="CV404" s="72">
        <v>1</v>
      </c>
      <c r="CW404" s="72">
        <v>1</v>
      </c>
      <c r="CX404" s="72">
        <v>1</v>
      </c>
      <c r="CY404" s="72">
        <v>1</v>
      </c>
      <c r="CZ404" s="72">
        <v>1</v>
      </c>
      <c r="DA404" s="72">
        <v>1</v>
      </c>
      <c r="DB404" s="72">
        <v>1</v>
      </c>
      <c r="DC404" s="72">
        <v>1</v>
      </c>
      <c r="DD404" s="72">
        <v>1</v>
      </c>
      <c r="DE404" s="72">
        <v>1</v>
      </c>
      <c r="DF404" s="72">
        <v>1</v>
      </c>
      <c r="DG404" s="72">
        <v>1</v>
      </c>
      <c r="DH404" s="72">
        <v>1</v>
      </c>
      <c r="DI404" s="72">
        <v>1</v>
      </c>
      <c r="DJ404" s="72">
        <v>1</v>
      </c>
      <c r="DK404" s="72">
        <v>1</v>
      </c>
      <c r="DL404" s="72">
        <v>1</v>
      </c>
      <c r="DM404" s="72">
        <v>1</v>
      </c>
    </row>
    <row r="405" spans="1:117" x14ac:dyDescent="0.35">
      <c r="A405" s="7"/>
      <c r="B405" s="77" t="s">
        <v>1270</v>
      </c>
      <c r="C405" s="78" t="s">
        <v>1279</v>
      </c>
      <c r="D405" s="10" t="s">
        <v>594</v>
      </c>
      <c r="E405" s="8" t="s">
        <v>1203</v>
      </c>
      <c r="F405" s="10"/>
      <c r="G405" s="10"/>
      <c r="H405" s="10" t="s">
        <v>41</v>
      </c>
      <c r="I405" s="11"/>
      <c r="J405" s="10"/>
      <c r="K405" s="10"/>
      <c r="L405" s="8"/>
      <c r="M405" s="12">
        <v>1692.44</v>
      </c>
      <c r="N405" s="12">
        <f t="shared" si="9"/>
        <v>5077.32</v>
      </c>
      <c r="O405" s="11"/>
      <c r="P405" s="11"/>
      <c r="Q405" s="11"/>
      <c r="R405" s="11"/>
      <c r="S405" s="11"/>
      <c r="T405" s="11"/>
      <c r="U405" s="11"/>
      <c r="V405" s="11"/>
      <c r="W405" s="11"/>
      <c r="X405" s="11"/>
      <c r="Y405" s="11"/>
      <c r="Z405" s="11"/>
      <c r="AA405" s="11"/>
      <c r="AB405" s="11"/>
      <c r="AC405" s="11"/>
      <c r="AD405" s="11"/>
      <c r="AE405" s="11"/>
      <c r="AF405" s="11"/>
      <c r="AG405" s="11"/>
      <c r="AH405" s="11"/>
      <c r="AI405" s="11"/>
      <c r="AJ405" s="11"/>
      <c r="AK405" s="11"/>
      <c r="AL405" s="11"/>
      <c r="AM405" s="11"/>
      <c r="AN405" s="72"/>
      <c r="AO405" s="72"/>
      <c r="AP405" s="72"/>
      <c r="AQ405" s="72"/>
      <c r="AR405" s="72"/>
      <c r="AS405" s="72"/>
      <c r="AT405" s="72"/>
      <c r="AU405" s="72"/>
      <c r="AV405" s="72"/>
      <c r="AW405" s="72">
        <v>5</v>
      </c>
      <c r="AX405" s="72">
        <v>5</v>
      </c>
      <c r="AY405" s="72">
        <v>5</v>
      </c>
      <c r="AZ405" s="72">
        <v>5</v>
      </c>
      <c r="BA405" s="72">
        <v>5</v>
      </c>
      <c r="BB405" s="72">
        <v>5</v>
      </c>
      <c r="BC405" s="72">
        <v>5</v>
      </c>
      <c r="BD405" s="72">
        <v>5</v>
      </c>
      <c r="BE405" s="72">
        <v>5</v>
      </c>
      <c r="BF405" s="72">
        <v>5</v>
      </c>
      <c r="BG405" s="72">
        <v>5</v>
      </c>
      <c r="BH405" s="72">
        <v>5</v>
      </c>
      <c r="BI405" s="72">
        <v>5</v>
      </c>
      <c r="BJ405" s="72">
        <v>5</v>
      </c>
      <c r="BK405" s="72">
        <v>5</v>
      </c>
      <c r="BL405" s="72">
        <v>5</v>
      </c>
      <c r="BM405" s="72">
        <v>5</v>
      </c>
      <c r="BN405" s="72">
        <v>5</v>
      </c>
      <c r="BO405" s="72">
        <v>5</v>
      </c>
      <c r="BP405" s="72">
        <v>5</v>
      </c>
      <c r="BQ405" s="72">
        <v>5</v>
      </c>
      <c r="BR405" s="72">
        <v>3</v>
      </c>
      <c r="BS405" s="72">
        <v>3</v>
      </c>
      <c r="BT405" s="72">
        <v>3</v>
      </c>
      <c r="BU405" s="72">
        <v>3</v>
      </c>
      <c r="BV405" s="72">
        <v>3</v>
      </c>
      <c r="BW405" s="72">
        <v>3</v>
      </c>
      <c r="BX405" s="72">
        <v>3</v>
      </c>
      <c r="BY405" s="72">
        <v>3</v>
      </c>
      <c r="BZ405" s="72">
        <v>3</v>
      </c>
      <c r="CA405" s="72">
        <v>3</v>
      </c>
      <c r="CB405" s="72">
        <v>3</v>
      </c>
      <c r="CC405" s="72">
        <v>3</v>
      </c>
      <c r="CD405" s="72">
        <v>3</v>
      </c>
      <c r="CE405" s="72">
        <v>3</v>
      </c>
      <c r="CF405" s="72">
        <v>3</v>
      </c>
      <c r="CG405" s="72">
        <v>3</v>
      </c>
      <c r="CH405" s="72">
        <v>3</v>
      </c>
      <c r="CI405" s="72">
        <v>3</v>
      </c>
      <c r="CJ405" s="72">
        <v>3</v>
      </c>
      <c r="CK405" s="72">
        <v>3</v>
      </c>
      <c r="CL405" s="72">
        <v>3</v>
      </c>
      <c r="CM405" s="72">
        <v>3</v>
      </c>
      <c r="CN405" s="72">
        <v>3</v>
      </c>
      <c r="CO405" s="72">
        <v>3</v>
      </c>
      <c r="CP405" s="72">
        <v>3</v>
      </c>
      <c r="CQ405" s="72">
        <v>3</v>
      </c>
      <c r="CR405" s="72">
        <v>3</v>
      </c>
      <c r="CS405" s="72">
        <v>3</v>
      </c>
      <c r="CT405" s="72">
        <v>3</v>
      </c>
      <c r="CU405" s="72">
        <v>3</v>
      </c>
      <c r="CV405" s="72">
        <v>3</v>
      </c>
      <c r="CW405" s="72">
        <v>3</v>
      </c>
      <c r="CX405" s="72">
        <v>3</v>
      </c>
      <c r="CY405" s="72">
        <v>3</v>
      </c>
      <c r="CZ405" s="72">
        <v>3</v>
      </c>
      <c r="DA405" s="72">
        <v>3</v>
      </c>
      <c r="DB405" s="72">
        <v>3</v>
      </c>
      <c r="DC405" s="72">
        <v>3</v>
      </c>
      <c r="DD405" s="72">
        <v>3</v>
      </c>
      <c r="DE405" s="72">
        <v>3</v>
      </c>
      <c r="DF405" s="72">
        <v>3</v>
      </c>
      <c r="DG405" s="72">
        <v>3</v>
      </c>
      <c r="DH405" s="72">
        <v>3</v>
      </c>
      <c r="DI405" s="72">
        <v>3</v>
      </c>
      <c r="DJ405" s="72">
        <v>3</v>
      </c>
      <c r="DK405" s="72">
        <v>3</v>
      </c>
      <c r="DL405" s="72">
        <v>3</v>
      </c>
      <c r="DM405" s="72">
        <v>3</v>
      </c>
    </row>
    <row r="406" spans="1:117" x14ac:dyDescent="0.35">
      <c r="A406" s="7"/>
      <c r="B406" s="8" t="s">
        <v>677</v>
      </c>
      <c r="C406" s="9" t="s">
        <v>678</v>
      </c>
      <c r="D406" s="10" t="s">
        <v>594</v>
      </c>
      <c r="E406" s="8" t="s">
        <v>1203</v>
      </c>
      <c r="F406" s="10">
        <v>1002</v>
      </c>
      <c r="G406" s="10" t="s">
        <v>40</v>
      </c>
      <c r="H406" s="10" t="s">
        <v>41</v>
      </c>
      <c r="I406" s="11">
        <v>1</v>
      </c>
      <c r="J406" s="10">
        <v>0</v>
      </c>
      <c r="K406" s="10" t="s">
        <v>153</v>
      </c>
      <c r="L406" s="8" t="s">
        <v>658</v>
      </c>
      <c r="M406" s="12"/>
      <c r="N406" s="12">
        <f t="shared" si="9"/>
        <v>0</v>
      </c>
      <c r="O406" s="11">
        <v>3</v>
      </c>
      <c r="P406" s="11">
        <v>3</v>
      </c>
      <c r="Q406" s="11">
        <v>3</v>
      </c>
      <c r="R406" s="11">
        <v>3</v>
      </c>
      <c r="S406" s="11">
        <v>3</v>
      </c>
      <c r="T406" s="11">
        <v>3</v>
      </c>
      <c r="U406" s="11">
        <v>0</v>
      </c>
      <c r="V406" s="11">
        <v>0</v>
      </c>
      <c r="W406" s="11">
        <v>0</v>
      </c>
      <c r="X406" s="11">
        <v>0</v>
      </c>
      <c r="Y406" s="11">
        <v>0</v>
      </c>
      <c r="Z406" s="11">
        <v>0</v>
      </c>
      <c r="AA406" s="11">
        <v>0</v>
      </c>
      <c r="AB406" s="11">
        <v>0</v>
      </c>
      <c r="AC406" s="11">
        <v>0</v>
      </c>
      <c r="AD406" s="11">
        <v>0</v>
      </c>
      <c r="AE406" s="11">
        <v>0</v>
      </c>
      <c r="AF406" s="11">
        <v>0</v>
      </c>
      <c r="AG406" s="11">
        <v>0</v>
      </c>
      <c r="AH406" s="11">
        <v>0</v>
      </c>
      <c r="AI406" s="11">
        <v>0</v>
      </c>
      <c r="AJ406" s="11">
        <v>1</v>
      </c>
      <c r="AK406" s="11">
        <v>1</v>
      </c>
      <c r="AL406" s="11">
        <v>1</v>
      </c>
      <c r="AM406" s="11">
        <v>1</v>
      </c>
      <c r="AN406" s="72">
        <v>1</v>
      </c>
      <c r="AO406" s="72">
        <v>1</v>
      </c>
      <c r="AP406" s="72">
        <v>1</v>
      </c>
      <c r="AQ406" s="72">
        <v>1</v>
      </c>
      <c r="AR406" s="72">
        <v>1</v>
      </c>
      <c r="AS406" s="72">
        <v>1</v>
      </c>
      <c r="AT406" s="72">
        <v>1</v>
      </c>
      <c r="AU406" s="72">
        <v>1</v>
      </c>
      <c r="AV406" s="72">
        <v>1</v>
      </c>
      <c r="AW406" s="72">
        <v>1</v>
      </c>
      <c r="AX406" s="72">
        <v>1</v>
      </c>
      <c r="AY406" s="72">
        <v>1</v>
      </c>
      <c r="AZ406" s="72">
        <v>1</v>
      </c>
      <c r="BA406" s="72">
        <v>0</v>
      </c>
      <c r="BB406" s="72">
        <v>0</v>
      </c>
      <c r="BC406" s="72">
        <v>0</v>
      </c>
      <c r="BD406" s="72">
        <v>0</v>
      </c>
      <c r="BE406" s="72">
        <v>0</v>
      </c>
      <c r="BF406" s="72">
        <v>0</v>
      </c>
      <c r="BG406" s="72">
        <v>0</v>
      </c>
      <c r="BH406" s="72">
        <v>0</v>
      </c>
      <c r="BI406" s="72">
        <v>0</v>
      </c>
      <c r="BJ406" s="72">
        <v>0</v>
      </c>
      <c r="BK406" s="72">
        <v>0</v>
      </c>
      <c r="BL406" s="72">
        <v>0</v>
      </c>
      <c r="BM406" s="72">
        <v>0</v>
      </c>
      <c r="BN406" s="72">
        <v>0</v>
      </c>
      <c r="BO406" s="72">
        <v>0</v>
      </c>
      <c r="BP406" s="72">
        <v>0</v>
      </c>
      <c r="BQ406" s="72">
        <v>0</v>
      </c>
      <c r="BR406" s="72">
        <v>0</v>
      </c>
      <c r="BS406" s="72">
        <v>0</v>
      </c>
      <c r="BT406" s="72">
        <v>0</v>
      </c>
      <c r="BU406" s="72">
        <v>0</v>
      </c>
      <c r="BV406" s="72">
        <v>0</v>
      </c>
      <c r="BW406" s="72">
        <v>0</v>
      </c>
      <c r="BX406" s="72">
        <v>0</v>
      </c>
      <c r="BY406" s="72">
        <v>0</v>
      </c>
      <c r="BZ406" s="72">
        <v>0</v>
      </c>
      <c r="CA406" s="72">
        <v>0</v>
      </c>
      <c r="CB406" s="72">
        <v>0</v>
      </c>
      <c r="CC406" s="72">
        <v>0</v>
      </c>
      <c r="CD406" s="72">
        <v>0</v>
      </c>
      <c r="CE406" s="72">
        <v>0</v>
      </c>
      <c r="CF406" s="72">
        <v>2</v>
      </c>
      <c r="CG406" s="72">
        <v>2</v>
      </c>
      <c r="CH406" s="72">
        <v>2</v>
      </c>
      <c r="CI406" s="72">
        <v>2</v>
      </c>
      <c r="CJ406" s="72">
        <v>2</v>
      </c>
      <c r="CK406" s="72">
        <v>2</v>
      </c>
      <c r="CL406" s="72">
        <v>2</v>
      </c>
      <c r="CM406" s="72">
        <v>2</v>
      </c>
      <c r="CN406" s="72">
        <v>2</v>
      </c>
      <c r="CO406" s="72">
        <v>0</v>
      </c>
      <c r="CP406" s="72">
        <v>0</v>
      </c>
      <c r="CQ406" s="72">
        <v>0</v>
      </c>
      <c r="CR406" s="72">
        <v>0</v>
      </c>
      <c r="CS406" s="72">
        <v>0</v>
      </c>
      <c r="CT406" s="72">
        <v>0</v>
      </c>
      <c r="CU406" s="72">
        <v>0</v>
      </c>
      <c r="CV406" s="72">
        <v>0</v>
      </c>
      <c r="CW406" s="72">
        <v>0</v>
      </c>
      <c r="CX406" s="72">
        <v>0</v>
      </c>
      <c r="CY406" s="72">
        <v>0</v>
      </c>
      <c r="CZ406" s="72">
        <v>0</v>
      </c>
      <c r="DA406" s="72">
        <v>0</v>
      </c>
      <c r="DB406" s="72">
        <v>0</v>
      </c>
      <c r="DC406" s="72">
        <v>0</v>
      </c>
      <c r="DD406" s="72">
        <v>0</v>
      </c>
      <c r="DE406" s="72">
        <v>0</v>
      </c>
      <c r="DF406" s="72">
        <v>0</v>
      </c>
      <c r="DG406" s="72">
        <v>0</v>
      </c>
      <c r="DH406" s="72">
        <v>0</v>
      </c>
      <c r="DI406" s="72">
        <v>0</v>
      </c>
      <c r="DJ406" s="72">
        <v>0</v>
      </c>
      <c r="DK406" s="72">
        <v>0</v>
      </c>
      <c r="DL406" s="72">
        <v>0</v>
      </c>
      <c r="DM406" s="72">
        <v>0</v>
      </c>
    </row>
    <row r="407" spans="1:117" x14ac:dyDescent="0.35">
      <c r="A407" s="7"/>
      <c r="B407" s="77" t="s">
        <v>1177</v>
      </c>
      <c r="C407" s="9" t="s">
        <v>1185</v>
      </c>
      <c r="D407" s="10" t="s">
        <v>594</v>
      </c>
      <c r="E407" s="8" t="s">
        <v>1203</v>
      </c>
      <c r="F407" s="10">
        <v>1002</v>
      </c>
      <c r="G407" s="10" t="s">
        <v>40</v>
      </c>
      <c r="H407" s="10" t="s">
        <v>41</v>
      </c>
      <c r="I407" s="11"/>
      <c r="J407" s="10"/>
      <c r="K407" s="10"/>
      <c r="L407" s="8"/>
      <c r="M407" s="12">
        <v>1030.18</v>
      </c>
      <c r="N407" s="12">
        <f t="shared" si="9"/>
        <v>0</v>
      </c>
      <c r="O407" s="11"/>
      <c r="P407" s="11"/>
      <c r="Q407" s="11"/>
      <c r="R407" s="11"/>
      <c r="S407" s="11"/>
      <c r="T407" s="11"/>
      <c r="U407" s="11"/>
      <c r="V407" s="11"/>
      <c r="W407" s="11"/>
      <c r="X407" s="11"/>
      <c r="Y407" s="11"/>
      <c r="Z407" s="11"/>
      <c r="AA407" s="11"/>
      <c r="AB407" s="11"/>
      <c r="AC407" s="11"/>
      <c r="AD407" s="11"/>
      <c r="AE407" s="11"/>
      <c r="AF407" s="11"/>
      <c r="AG407" s="11"/>
      <c r="AH407" s="11"/>
      <c r="AI407" s="11"/>
      <c r="AJ407" s="11"/>
      <c r="AK407" s="11"/>
      <c r="AL407" s="11"/>
      <c r="AM407" s="11"/>
      <c r="AN407" s="72"/>
      <c r="AO407" s="72">
        <v>2</v>
      </c>
      <c r="AP407" s="72">
        <v>2</v>
      </c>
      <c r="AQ407" s="72">
        <v>2</v>
      </c>
      <c r="AR407" s="72">
        <v>2</v>
      </c>
      <c r="AS407" s="72">
        <v>2</v>
      </c>
      <c r="AT407" s="72">
        <v>2</v>
      </c>
      <c r="AU407" s="72">
        <v>2</v>
      </c>
      <c r="AV407" s="72">
        <v>2</v>
      </c>
      <c r="AW407" s="72">
        <v>2</v>
      </c>
      <c r="AX407" s="72">
        <v>2</v>
      </c>
      <c r="AY407" s="72">
        <v>2</v>
      </c>
      <c r="AZ407" s="72">
        <v>2</v>
      </c>
      <c r="BA407" s="72">
        <v>2</v>
      </c>
      <c r="BB407" s="72">
        <v>2</v>
      </c>
      <c r="BC407" s="72">
        <v>2</v>
      </c>
      <c r="BD407" s="72">
        <v>2</v>
      </c>
      <c r="BE407" s="72">
        <v>2</v>
      </c>
      <c r="BF407" s="72">
        <v>2</v>
      </c>
      <c r="BG407" s="72">
        <v>2</v>
      </c>
      <c r="BH407" s="72">
        <v>2</v>
      </c>
      <c r="BI407" s="72">
        <v>2</v>
      </c>
      <c r="BJ407" s="72">
        <v>2</v>
      </c>
      <c r="BK407" s="72">
        <v>2</v>
      </c>
      <c r="BL407" s="72">
        <v>2</v>
      </c>
      <c r="BM407" s="72">
        <v>2</v>
      </c>
      <c r="BN407" s="72">
        <v>2</v>
      </c>
      <c r="BO407" s="72">
        <v>2</v>
      </c>
      <c r="BP407" s="72">
        <v>2</v>
      </c>
      <c r="BQ407" s="72">
        <v>2</v>
      </c>
      <c r="BR407" s="72">
        <v>2</v>
      </c>
      <c r="BS407" s="72">
        <v>2</v>
      </c>
      <c r="BT407" s="72">
        <v>2</v>
      </c>
      <c r="BU407" s="72">
        <v>2</v>
      </c>
      <c r="BV407" s="72">
        <v>2</v>
      </c>
      <c r="BW407" s="72">
        <v>2</v>
      </c>
      <c r="BX407" s="72">
        <v>2</v>
      </c>
      <c r="BY407" s="72">
        <v>2</v>
      </c>
      <c r="BZ407" s="72">
        <v>2</v>
      </c>
      <c r="CA407" s="72">
        <v>2</v>
      </c>
      <c r="CB407" s="72">
        <v>2</v>
      </c>
      <c r="CC407" s="72">
        <v>2</v>
      </c>
      <c r="CD407" s="72">
        <v>2</v>
      </c>
      <c r="CE407" s="72">
        <v>2</v>
      </c>
      <c r="CF407" s="72">
        <v>2</v>
      </c>
      <c r="CG407" s="72">
        <v>2</v>
      </c>
      <c r="CH407" s="72">
        <v>2</v>
      </c>
      <c r="CI407" s="72">
        <v>2</v>
      </c>
      <c r="CJ407" s="72">
        <v>2</v>
      </c>
      <c r="CK407" s="72">
        <v>2</v>
      </c>
      <c r="CL407" s="72">
        <v>2</v>
      </c>
      <c r="CM407" s="72">
        <v>2</v>
      </c>
      <c r="CN407" s="72">
        <v>2</v>
      </c>
      <c r="CO407" s="72">
        <v>2</v>
      </c>
      <c r="CP407" s="72">
        <v>2</v>
      </c>
      <c r="CQ407" s="72">
        <v>2</v>
      </c>
      <c r="CR407" s="72">
        <v>2</v>
      </c>
      <c r="CS407" s="72">
        <v>2</v>
      </c>
      <c r="CT407" s="72">
        <v>2</v>
      </c>
      <c r="CU407" s="72">
        <v>2</v>
      </c>
      <c r="CV407" s="72">
        <v>2</v>
      </c>
      <c r="CW407" s="72">
        <v>2</v>
      </c>
      <c r="CX407" s="72">
        <v>2</v>
      </c>
      <c r="CY407" s="72">
        <v>2</v>
      </c>
      <c r="CZ407" s="72">
        <v>2</v>
      </c>
      <c r="DA407" s="72">
        <v>2</v>
      </c>
      <c r="DB407" s="72">
        <v>2</v>
      </c>
      <c r="DC407" s="72">
        <v>2</v>
      </c>
      <c r="DD407" s="72">
        <v>2</v>
      </c>
      <c r="DE407" s="72">
        <v>2</v>
      </c>
      <c r="DF407" s="72">
        <v>2</v>
      </c>
      <c r="DG407" s="72">
        <v>2</v>
      </c>
      <c r="DH407" s="72">
        <v>2</v>
      </c>
      <c r="DI407" s="72">
        <v>2</v>
      </c>
      <c r="DJ407" s="72">
        <v>2</v>
      </c>
      <c r="DK407" s="72">
        <v>2</v>
      </c>
      <c r="DL407" s="72">
        <v>2</v>
      </c>
      <c r="DM407" s="72">
        <v>0</v>
      </c>
    </row>
    <row r="408" spans="1:117" x14ac:dyDescent="0.35">
      <c r="A408" s="7"/>
      <c r="B408" s="8" t="s">
        <v>679</v>
      </c>
      <c r="C408" s="9" t="s">
        <v>680</v>
      </c>
      <c r="D408" s="10" t="s">
        <v>594</v>
      </c>
      <c r="E408" s="8" t="s">
        <v>1203</v>
      </c>
      <c r="F408" s="10">
        <v>1002</v>
      </c>
      <c r="G408" s="10" t="s">
        <v>40</v>
      </c>
      <c r="H408" s="10" t="s">
        <v>41</v>
      </c>
      <c r="I408" s="11">
        <v>4</v>
      </c>
      <c r="J408" s="10">
        <v>0</v>
      </c>
      <c r="K408" s="10" t="s">
        <v>153</v>
      </c>
      <c r="L408" s="8"/>
      <c r="M408" s="12">
        <v>1843.48</v>
      </c>
      <c r="N408" s="12">
        <f t="shared" si="9"/>
        <v>0</v>
      </c>
      <c r="O408" s="11">
        <v>10</v>
      </c>
      <c r="P408" s="11">
        <v>10</v>
      </c>
      <c r="Q408" s="11">
        <v>10</v>
      </c>
      <c r="R408" s="11">
        <v>10</v>
      </c>
      <c r="S408" s="11">
        <v>10</v>
      </c>
      <c r="T408" s="11">
        <v>10</v>
      </c>
      <c r="U408" s="11">
        <v>4</v>
      </c>
      <c r="V408" s="11">
        <v>4</v>
      </c>
      <c r="W408" s="11">
        <v>4</v>
      </c>
      <c r="X408" s="11">
        <v>4</v>
      </c>
      <c r="Y408" s="11">
        <v>4</v>
      </c>
      <c r="Z408" s="11">
        <v>4</v>
      </c>
      <c r="AA408" s="11">
        <v>4</v>
      </c>
      <c r="AB408" s="11">
        <v>4</v>
      </c>
      <c r="AC408" s="11">
        <v>4</v>
      </c>
      <c r="AD408" s="11">
        <v>4</v>
      </c>
      <c r="AE408" s="11">
        <v>4</v>
      </c>
      <c r="AF408" s="11">
        <v>4</v>
      </c>
      <c r="AG408" s="11">
        <v>4</v>
      </c>
      <c r="AH408" s="11">
        <v>4</v>
      </c>
      <c r="AI408" s="11">
        <v>4</v>
      </c>
      <c r="AJ408" s="11">
        <v>4</v>
      </c>
      <c r="AK408" s="11">
        <v>4</v>
      </c>
      <c r="AL408" s="11">
        <v>4</v>
      </c>
      <c r="AM408" s="11">
        <v>4</v>
      </c>
      <c r="AN408" s="72">
        <v>4</v>
      </c>
      <c r="AO408" s="72">
        <v>6</v>
      </c>
      <c r="AP408" s="72">
        <v>6</v>
      </c>
      <c r="AQ408" s="72">
        <v>6</v>
      </c>
      <c r="AR408" s="72">
        <v>6</v>
      </c>
      <c r="AS408" s="72">
        <v>6</v>
      </c>
      <c r="AT408" s="72">
        <v>6</v>
      </c>
      <c r="AU408" s="72">
        <v>6</v>
      </c>
      <c r="AV408" s="72">
        <v>6</v>
      </c>
      <c r="AW408" s="72">
        <v>6</v>
      </c>
      <c r="AX408" s="72">
        <v>6</v>
      </c>
      <c r="AY408" s="72">
        <v>6</v>
      </c>
      <c r="AZ408" s="72">
        <v>6</v>
      </c>
      <c r="BA408" s="72">
        <v>6</v>
      </c>
      <c r="BB408" s="72">
        <v>6</v>
      </c>
      <c r="BC408" s="72">
        <v>6</v>
      </c>
      <c r="BD408" s="72">
        <v>6</v>
      </c>
      <c r="BE408" s="72">
        <v>6</v>
      </c>
      <c r="BF408" s="72">
        <v>6</v>
      </c>
      <c r="BG408" s="72">
        <v>6</v>
      </c>
      <c r="BH408" s="72">
        <v>6</v>
      </c>
      <c r="BI408" s="72">
        <v>6</v>
      </c>
      <c r="BJ408" s="72">
        <v>6</v>
      </c>
      <c r="BK408" s="72">
        <v>6</v>
      </c>
      <c r="BL408" s="72">
        <v>6</v>
      </c>
      <c r="BM408" s="72">
        <v>6</v>
      </c>
      <c r="BN408" s="72">
        <v>6</v>
      </c>
      <c r="BO408" s="72">
        <v>6</v>
      </c>
      <c r="BP408" s="72">
        <v>6</v>
      </c>
      <c r="BQ408" s="72">
        <v>6</v>
      </c>
      <c r="BR408" s="72">
        <v>6</v>
      </c>
      <c r="BS408" s="72">
        <v>6</v>
      </c>
      <c r="BT408" s="72">
        <v>6</v>
      </c>
      <c r="BU408" s="72">
        <v>6</v>
      </c>
      <c r="BV408" s="72">
        <v>6</v>
      </c>
      <c r="BW408" s="72">
        <v>6</v>
      </c>
      <c r="BX408" s="72">
        <v>6</v>
      </c>
      <c r="BY408" s="72">
        <v>6</v>
      </c>
      <c r="BZ408" s="72">
        <v>6</v>
      </c>
      <c r="CA408" s="72">
        <v>6</v>
      </c>
      <c r="CB408" s="72">
        <v>6</v>
      </c>
      <c r="CC408" s="72">
        <v>6</v>
      </c>
      <c r="CD408" s="72">
        <v>6</v>
      </c>
      <c r="CE408" s="72">
        <v>6</v>
      </c>
      <c r="CF408" s="72">
        <v>6</v>
      </c>
      <c r="CG408" s="72">
        <v>6</v>
      </c>
      <c r="CH408" s="72">
        <v>6</v>
      </c>
      <c r="CI408" s="72">
        <v>6</v>
      </c>
      <c r="CJ408" s="72">
        <v>6</v>
      </c>
      <c r="CK408" s="72">
        <v>6</v>
      </c>
      <c r="CL408" s="72">
        <v>6</v>
      </c>
      <c r="CM408" s="72">
        <v>6</v>
      </c>
      <c r="CN408" s="72">
        <v>6</v>
      </c>
      <c r="CO408" s="72">
        <v>6</v>
      </c>
      <c r="CP408" s="72">
        <v>6</v>
      </c>
      <c r="CQ408" s="72">
        <v>6</v>
      </c>
      <c r="CR408" s="72">
        <v>6</v>
      </c>
      <c r="CS408" s="72">
        <v>6</v>
      </c>
      <c r="CT408" s="72">
        <v>6</v>
      </c>
      <c r="CU408" s="72">
        <v>6</v>
      </c>
      <c r="CV408" s="72">
        <v>6</v>
      </c>
      <c r="CW408" s="72">
        <v>6</v>
      </c>
      <c r="CX408" s="72">
        <v>6</v>
      </c>
      <c r="CY408" s="72">
        <v>6</v>
      </c>
      <c r="CZ408" s="72">
        <v>6</v>
      </c>
      <c r="DA408" s="72">
        <v>6</v>
      </c>
      <c r="DB408" s="72">
        <v>6</v>
      </c>
      <c r="DC408" s="72">
        <v>6</v>
      </c>
      <c r="DD408" s="72">
        <v>6</v>
      </c>
      <c r="DE408" s="72">
        <v>6</v>
      </c>
      <c r="DF408" s="72">
        <v>6</v>
      </c>
      <c r="DG408" s="72">
        <v>6</v>
      </c>
      <c r="DH408" s="72">
        <v>6</v>
      </c>
      <c r="DI408" s="72">
        <v>6</v>
      </c>
      <c r="DJ408" s="72">
        <v>6</v>
      </c>
      <c r="DK408" s="72">
        <v>6</v>
      </c>
      <c r="DL408" s="72">
        <v>6</v>
      </c>
      <c r="DM408" s="72">
        <v>0</v>
      </c>
    </row>
    <row r="409" spans="1:117" x14ac:dyDescent="0.35">
      <c r="A409" s="7"/>
      <c r="B409" s="77" t="s">
        <v>1271</v>
      </c>
      <c r="C409" s="78" t="s">
        <v>1186</v>
      </c>
      <c r="D409" s="10" t="s">
        <v>594</v>
      </c>
      <c r="E409" s="8" t="s">
        <v>1203</v>
      </c>
      <c r="F409" s="10">
        <v>1002</v>
      </c>
      <c r="G409" s="10" t="s">
        <v>40</v>
      </c>
      <c r="H409" s="10" t="s">
        <v>41</v>
      </c>
      <c r="I409" s="11"/>
      <c r="J409" s="10"/>
      <c r="K409" s="10"/>
      <c r="L409" s="8"/>
      <c r="M409" s="12"/>
      <c r="N409" s="12">
        <f t="shared" si="9"/>
        <v>0</v>
      </c>
      <c r="O409" s="11"/>
      <c r="P409" s="11"/>
      <c r="Q409" s="11"/>
      <c r="R409" s="11"/>
      <c r="S409" s="11"/>
      <c r="T409" s="11"/>
      <c r="U409" s="11"/>
      <c r="V409" s="11"/>
      <c r="W409" s="11"/>
      <c r="X409" s="11"/>
      <c r="Y409" s="11"/>
      <c r="Z409" s="11"/>
      <c r="AA409" s="11"/>
      <c r="AB409" s="11"/>
      <c r="AC409" s="11"/>
      <c r="AD409" s="11"/>
      <c r="AE409" s="11"/>
      <c r="AF409" s="11"/>
      <c r="AG409" s="11"/>
      <c r="AH409" s="11"/>
      <c r="AI409" s="11"/>
      <c r="AJ409" s="11"/>
      <c r="AK409" s="11"/>
      <c r="AL409" s="11"/>
      <c r="AM409" s="11"/>
      <c r="AN409" s="72"/>
      <c r="AO409" s="72">
        <v>2</v>
      </c>
      <c r="AP409" s="72">
        <v>2</v>
      </c>
      <c r="AQ409" s="72">
        <v>2</v>
      </c>
      <c r="AR409" s="72">
        <v>2</v>
      </c>
      <c r="AS409" s="72">
        <v>2</v>
      </c>
      <c r="AT409" s="72">
        <v>2</v>
      </c>
      <c r="AU409" s="72">
        <v>2</v>
      </c>
      <c r="AV409" s="72">
        <v>2</v>
      </c>
      <c r="AW409" s="72">
        <v>7</v>
      </c>
      <c r="AX409" s="72">
        <v>7</v>
      </c>
      <c r="AY409" s="72">
        <v>7</v>
      </c>
      <c r="AZ409" s="72">
        <v>7</v>
      </c>
      <c r="BA409" s="72">
        <v>7</v>
      </c>
      <c r="BB409" s="72">
        <v>7</v>
      </c>
      <c r="BC409" s="72">
        <v>7</v>
      </c>
      <c r="BD409" s="72">
        <v>7</v>
      </c>
      <c r="BE409" s="72">
        <v>7</v>
      </c>
      <c r="BF409" s="72">
        <v>7</v>
      </c>
      <c r="BG409" s="72">
        <v>7</v>
      </c>
      <c r="BH409" s="72">
        <v>7</v>
      </c>
      <c r="BI409" s="72">
        <v>7</v>
      </c>
      <c r="BJ409" s="72">
        <v>7</v>
      </c>
      <c r="BK409" s="72">
        <v>7</v>
      </c>
      <c r="BL409" s="72">
        <v>7</v>
      </c>
      <c r="BM409" s="72">
        <v>7</v>
      </c>
      <c r="BN409" s="72">
        <v>7</v>
      </c>
      <c r="BO409" s="72">
        <v>7</v>
      </c>
      <c r="BP409" s="72">
        <v>7</v>
      </c>
      <c r="BQ409" s="72">
        <v>7</v>
      </c>
      <c r="BR409" s="72">
        <v>0</v>
      </c>
      <c r="BS409" s="72">
        <v>0</v>
      </c>
      <c r="BT409" s="72">
        <v>0</v>
      </c>
      <c r="BU409" s="72">
        <v>0</v>
      </c>
      <c r="BV409" s="72">
        <v>0</v>
      </c>
      <c r="BW409" s="72">
        <v>0</v>
      </c>
      <c r="BX409" s="72">
        <v>0</v>
      </c>
      <c r="BY409" s="72">
        <v>0</v>
      </c>
      <c r="BZ409" s="72">
        <v>0</v>
      </c>
      <c r="CA409" s="72">
        <v>0</v>
      </c>
      <c r="CB409" s="72">
        <v>0</v>
      </c>
      <c r="CC409" s="72">
        <v>0</v>
      </c>
      <c r="CD409" s="72">
        <v>0</v>
      </c>
      <c r="CE409" s="72">
        <v>0</v>
      </c>
      <c r="CF409" s="72">
        <v>0</v>
      </c>
      <c r="CG409" s="72">
        <v>0</v>
      </c>
      <c r="CH409" s="72">
        <v>0</v>
      </c>
      <c r="CI409" s="72">
        <v>0</v>
      </c>
      <c r="CJ409" s="72">
        <v>0</v>
      </c>
      <c r="CK409" s="72">
        <v>0</v>
      </c>
      <c r="CL409" s="72">
        <v>0</v>
      </c>
      <c r="CM409" s="72">
        <v>0</v>
      </c>
      <c r="CN409" s="72">
        <v>0</v>
      </c>
      <c r="CO409" s="72">
        <v>0</v>
      </c>
      <c r="CP409" s="72">
        <v>0</v>
      </c>
      <c r="CQ409" s="72">
        <v>0</v>
      </c>
      <c r="CR409" s="72">
        <v>0</v>
      </c>
      <c r="CS409" s="72">
        <v>0</v>
      </c>
      <c r="CT409" s="72">
        <v>0</v>
      </c>
      <c r="CU409" s="72">
        <v>0</v>
      </c>
      <c r="CV409" s="72">
        <v>0</v>
      </c>
      <c r="CW409" s="72">
        <v>0</v>
      </c>
      <c r="CX409" s="72">
        <v>0</v>
      </c>
      <c r="CY409" s="72">
        <v>0</v>
      </c>
      <c r="CZ409" s="72">
        <v>0</v>
      </c>
      <c r="DA409" s="72">
        <v>0</v>
      </c>
      <c r="DB409" s="72">
        <v>0</v>
      </c>
      <c r="DC409" s="72">
        <v>0</v>
      </c>
      <c r="DD409" s="72">
        <v>0</v>
      </c>
      <c r="DE409" s="72">
        <v>0</v>
      </c>
      <c r="DF409" s="72">
        <v>0</v>
      </c>
      <c r="DG409" s="72">
        <v>0</v>
      </c>
      <c r="DH409" s="72">
        <v>0</v>
      </c>
      <c r="DI409" s="72">
        <v>0</v>
      </c>
      <c r="DJ409" s="72">
        <v>0</v>
      </c>
      <c r="DK409" s="72">
        <v>0</v>
      </c>
      <c r="DL409" s="72">
        <v>0</v>
      </c>
      <c r="DM409" s="72">
        <v>0</v>
      </c>
    </row>
    <row r="410" spans="1:117" x14ac:dyDescent="0.35">
      <c r="A410" s="7"/>
      <c r="B410" s="8" t="s">
        <v>681</v>
      </c>
      <c r="C410" s="9" t="s">
        <v>682</v>
      </c>
      <c r="D410" s="10" t="s">
        <v>594</v>
      </c>
      <c r="E410" s="8" t="s">
        <v>1203</v>
      </c>
      <c r="F410" s="10">
        <v>1002</v>
      </c>
      <c r="G410" s="10" t="s">
        <v>40</v>
      </c>
      <c r="H410" s="10" t="s">
        <v>41</v>
      </c>
      <c r="I410" s="11">
        <v>42</v>
      </c>
      <c r="J410" s="10">
        <v>1</v>
      </c>
      <c r="K410" s="10" t="s">
        <v>153</v>
      </c>
      <c r="L410" s="8" t="s">
        <v>683</v>
      </c>
      <c r="M410" s="12">
        <v>1833</v>
      </c>
      <c r="N410" s="12">
        <f t="shared" si="9"/>
        <v>10998</v>
      </c>
      <c r="O410" s="11">
        <v>6</v>
      </c>
      <c r="P410" s="11">
        <v>6</v>
      </c>
      <c r="Q410" s="11">
        <v>18</v>
      </c>
      <c r="R410" s="11">
        <v>43</v>
      </c>
      <c r="S410" s="11">
        <v>43</v>
      </c>
      <c r="T410" s="11">
        <v>43</v>
      </c>
      <c r="U410" s="11">
        <v>43</v>
      </c>
      <c r="V410" s="11">
        <v>43</v>
      </c>
      <c r="W410" s="11">
        <v>43</v>
      </c>
      <c r="X410" s="11">
        <v>43</v>
      </c>
      <c r="Y410" s="11">
        <v>42</v>
      </c>
      <c r="Z410" s="11">
        <v>42</v>
      </c>
      <c r="AA410" s="11">
        <v>42</v>
      </c>
      <c r="AB410" s="11">
        <v>42</v>
      </c>
      <c r="AC410" s="11">
        <v>42</v>
      </c>
      <c r="AD410" s="11">
        <v>42</v>
      </c>
      <c r="AE410" s="11">
        <v>42</v>
      </c>
      <c r="AF410" s="11">
        <v>42</v>
      </c>
      <c r="AG410" s="11">
        <v>42</v>
      </c>
      <c r="AH410" s="11">
        <v>42</v>
      </c>
      <c r="AI410" s="11">
        <v>42</v>
      </c>
      <c r="AJ410" s="11">
        <v>42</v>
      </c>
      <c r="AK410" s="11">
        <v>42</v>
      </c>
      <c r="AL410" s="11">
        <v>42</v>
      </c>
      <c r="AM410" s="11">
        <v>42</v>
      </c>
      <c r="AN410" s="72">
        <v>42</v>
      </c>
      <c r="AO410" s="72">
        <v>42</v>
      </c>
      <c r="AP410" s="72">
        <v>42</v>
      </c>
      <c r="AQ410" s="72">
        <v>42</v>
      </c>
      <c r="AR410" s="72">
        <v>42</v>
      </c>
      <c r="AS410" s="72">
        <v>42</v>
      </c>
      <c r="AT410" s="72">
        <v>42</v>
      </c>
      <c r="AU410" s="72">
        <v>42</v>
      </c>
      <c r="AV410" s="72">
        <v>42</v>
      </c>
      <c r="AW410" s="72">
        <v>42</v>
      </c>
      <c r="AX410" s="72">
        <v>42</v>
      </c>
      <c r="AY410" s="72">
        <v>42</v>
      </c>
      <c r="AZ410" s="72">
        <v>42</v>
      </c>
      <c r="BA410" s="72">
        <v>42</v>
      </c>
      <c r="BB410" s="72">
        <v>42</v>
      </c>
      <c r="BC410" s="72">
        <v>42</v>
      </c>
      <c r="BD410" s="72">
        <v>42</v>
      </c>
      <c r="BE410" s="72">
        <v>42</v>
      </c>
      <c r="BF410" s="72">
        <v>42</v>
      </c>
      <c r="BG410" s="72">
        <v>42</v>
      </c>
      <c r="BH410" s="72">
        <v>42</v>
      </c>
      <c r="BI410" s="72">
        <v>42</v>
      </c>
      <c r="BJ410" s="72">
        <v>42</v>
      </c>
      <c r="BK410" s="72">
        <v>40</v>
      </c>
      <c r="BL410" s="72">
        <v>40</v>
      </c>
      <c r="BM410" s="72">
        <v>40</v>
      </c>
      <c r="BN410" s="72">
        <v>40</v>
      </c>
      <c r="BO410" s="72">
        <v>40</v>
      </c>
      <c r="BP410" s="72">
        <v>40</v>
      </c>
      <c r="BQ410" s="72">
        <v>40</v>
      </c>
      <c r="BR410" s="72">
        <v>38</v>
      </c>
      <c r="BS410" s="72">
        <v>38</v>
      </c>
      <c r="BT410" s="72">
        <v>38</v>
      </c>
      <c r="BU410" s="72">
        <v>38</v>
      </c>
      <c r="BV410" s="72">
        <v>38</v>
      </c>
      <c r="BW410" s="72">
        <v>38</v>
      </c>
      <c r="BX410" s="72">
        <v>38</v>
      </c>
      <c r="BY410" s="72">
        <v>38</v>
      </c>
      <c r="BZ410" s="72">
        <v>38</v>
      </c>
      <c r="CA410" s="72">
        <v>38</v>
      </c>
      <c r="CB410" s="72">
        <v>38</v>
      </c>
      <c r="CC410" s="72">
        <v>38</v>
      </c>
      <c r="CD410" s="72">
        <v>38</v>
      </c>
      <c r="CE410" s="72">
        <v>38</v>
      </c>
      <c r="CF410" s="72">
        <v>38</v>
      </c>
      <c r="CG410" s="72">
        <v>38</v>
      </c>
      <c r="CH410" s="72">
        <v>38</v>
      </c>
      <c r="CI410" s="72">
        <v>38</v>
      </c>
      <c r="CJ410" s="72">
        <v>37</v>
      </c>
      <c r="CK410" s="72">
        <v>37</v>
      </c>
      <c r="CL410" s="72">
        <v>37</v>
      </c>
      <c r="CM410" s="72">
        <v>37</v>
      </c>
      <c r="CN410" s="72">
        <v>37</v>
      </c>
      <c r="CO410" s="72">
        <v>37</v>
      </c>
      <c r="CP410" s="72">
        <v>37</v>
      </c>
      <c r="CQ410" s="72">
        <v>37</v>
      </c>
      <c r="CR410" s="72">
        <v>36</v>
      </c>
      <c r="CS410" s="72">
        <v>36</v>
      </c>
      <c r="CT410" s="72">
        <v>36</v>
      </c>
      <c r="CU410" s="72">
        <v>13</v>
      </c>
      <c r="CV410" s="72">
        <v>13</v>
      </c>
      <c r="CW410" s="72">
        <v>13</v>
      </c>
      <c r="CX410" s="72">
        <v>13</v>
      </c>
      <c r="CY410" s="72">
        <v>13</v>
      </c>
      <c r="CZ410" s="72">
        <v>13</v>
      </c>
      <c r="DA410" s="72">
        <v>13</v>
      </c>
      <c r="DB410" s="72">
        <v>13</v>
      </c>
      <c r="DC410" s="72">
        <v>13</v>
      </c>
      <c r="DD410" s="72">
        <v>13</v>
      </c>
      <c r="DE410" s="72">
        <v>14</v>
      </c>
      <c r="DF410" s="72">
        <v>14</v>
      </c>
      <c r="DG410" s="72">
        <v>14</v>
      </c>
      <c r="DH410" s="72">
        <v>12</v>
      </c>
      <c r="DI410" s="72">
        <v>12</v>
      </c>
      <c r="DJ410" s="72">
        <v>12</v>
      </c>
      <c r="DK410" s="72">
        <v>10</v>
      </c>
      <c r="DL410" s="72">
        <v>8</v>
      </c>
      <c r="DM410" s="72">
        <v>6</v>
      </c>
    </row>
    <row r="411" spans="1:117" x14ac:dyDescent="0.35">
      <c r="A411" s="7"/>
      <c r="B411" s="8" t="s">
        <v>684</v>
      </c>
      <c r="C411" s="9" t="s">
        <v>685</v>
      </c>
      <c r="D411" s="10" t="s">
        <v>594</v>
      </c>
      <c r="E411" s="8" t="s">
        <v>1203</v>
      </c>
      <c r="F411" s="10">
        <v>1002</v>
      </c>
      <c r="G411" s="10" t="s">
        <v>40</v>
      </c>
      <c r="H411" s="10" t="s">
        <v>41</v>
      </c>
      <c r="I411" s="11">
        <v>5</v>
      </c>
      <c r="J411" s="10"/>
      <c r="K411" s="10" t="s">
        <v>153</v>
      </c>
      <c r="L411" s="8"/>
      <c r="M411" s="12">
        <v>2782.61</v>
      </c>
      <c r="N411" s="12">
        <f t="shared" si="9"/>
        <v>19478.27</v>
      </c>
      <c r="O411" s="11">
        <v>5</v>
      </c>
      <c r="P411" s="11">
        <v>5</v>
      </c>
      <c r="Q411" s="11">
        <v>5</v>
      </c>
      <c r="R411" s="11">
        <v>5</v>
      </c>
      <c r="S411" s="11">
        <v>5</v>
      </c>
      <c r="T411" s="11">
        <v>5</v>
      </c>
      <c r="U411" s="11">
        <v>5</v>
      </c>
      <c r="V411" s="11">
        <v>5</v>
      </c>
      <c r="W411" s="11">
        <v>5</v>
      </c>
      <c r="X411" s="11">
        <v>5</v>
      </c>
      <c r="Y411" s="11">
        <v>5</v>
      </c>
      <c r="Z411" s="11">
        <v>5</v>
      </c>
      <c r="AA411" s="11">
        <v>5</v>
      </c>
      <c r="AB411" s="11">
        <v>5</v>
      </c>
      <c r="AC411" s="11">
        <v>5</v>
      </c>
      <c r="AD411" s="11">
        <v>5</v>
      </c>
      <c r="AE411" s="11">
        <v>5</v>
      </c>
      <c r="AF411" s="11">
        <v>5</v>
      </c>
      <c r="AG411" s="11">
        <v>5</v>
      </c>
      <c r="AH411" s="11">
        <v>5</v>
      </c>
      <c r="AI411" s="11">
        <v>5</v>
      </c>
      <c r="AJ411" s="11">
        <v>5</v>
      </c>
      <c r="AK411" s="11">
        <v>5</v>
      </c>
      <c r="AL411" s="11">
        <v>5</v>
      </c>
      <c r="AM411" s="11">
        <v>5</v>
      </c>
      <c r="AN411" s="72">
        <v>5</v>
      </c>
      <c r="AO411" s="72">
        <v>7</v>
      </c>
      <c r="AP411" s="72">
        <v>7</v>
      </c>
      <c r="AQ411" s="72">
        <v>7</v>
      </c>
      <c r="AR411" s="72">
        <v>7</v>
      </c>
      <c r="AS411" s="72">
        <v>7</v>
      </c>
      <c r="AT411" s="72">
        <v>7</v>
      </c>
      <c r="AU411" s="72">
        <v>7</v>
      </c>
      <c r="AV411" s="72">
        <v>7</v>
      </c>
      <c r="AW411" s="72">
        <v>7</v>
      </c>
      <c r="AX411" s="72">
        <v>7</v>
      </c>
      <c r="AY411" s="72">
        <v>7</v>
      </c>
      <c r="AZ411" s="72">
        <v>7</v>
      </c>
      <c r="BA411" s="72">
        <v>7</v>
      </c>
      <c r="BB411" s="72">
        <v>7</v>
      </c>
      <c r="BC411" s="72">
        <v>7</v>
      </c>
      <c r="BD411" s="72">
        <v>7</v>
      </c>
      <c r="BE411" s="72">
        <v>7</v>
      </c>
      <c r="BF411" s="72">
        <v>7</v>
      </c>
      <c r="BG411" s="72">
        <v>7</v>
      </c>
      <c r="BH411" s="72">
        <v>7</v>
      </c>
      <c r="BI411" s="72">
        <v>7</v>
      </c>
      <c r="BJ411" s="72">
        <v>7</v>
      </c>
      <c r="BK411" s="72">
        <v>7</v>
      </c>
      <c r="BL411" s="72">
        <v>7</v>
      </c>
      <c r="BM411" s="72">
        <v>7</v>
      </c>
      <c r="BN411" s="72">
        <v>7</v>
      </c>
      <c r="BO411" s="72">
        <v>7</v>
      </c>
      <c r="BP411" s="72">
        <v>7</v>
      </c>
      <c r="BQ411" s="72">
        <v>7</v>
      </c>
      <c r="BR411" s="72">
        <v>7</v>
      </c>
      <c r="BS411" s="72">
        <v>7</v>
      </c>
      <c r="BT411" s="72">
        <v>7</v>
      </c>
      <c r="BU411" s="72">
        <v>7</v>
      </c>
      <c r="BV411" s="72">
        <v>7</v>
      </c>
      <c r="BW411" s="72">
        <v>7</v>
      </c>
      <c r="BX411" s="72">
        <v>7</v>
      </c>
      <c r="BY411" s="72">
        <v>7</v>
      </c>
      <c r="BZ411" s="72">
        <v>7</v>
      </c>
      <c r="CA411" s="72">
        <v>7</v>
      </c>
      <c r="CB411" s="72">
        <v>7</v>
      </c>
      <c r="CC411" s="72">
        <v>7</v>
      </c>
      <c r="CD411" s="72">
        <v>7</v>
      </c>
      <c r="CE411" s="72">
        <v>7</v>
      </c>
      <c r="CF411" s="72">
        <v>7</v>
      </c>
      <c r="CG411" s="72">
        <v>7</v>
      </c>
      <c r="CH411" s="72">
        <v>7</v>
      </c>
      <c r="CI411" s="72">
        <v>7</v>
      </c>
      <c r="CJ411" s="72">
        <v>7</v>
      </c>
      <c r="CK411" s="72">
        <v>7</v>
      </c>
      <c r="CL411" s="72">
        <v>7</v>
      </c>
      <c r="CM411" s="72">
        <v>7</v>
      </c>
      <c r="CN411" s="72">
        <v>7</v>
      </c>
      <c r="CO411" s="72">
        <v>7</v>
      </c>
      <c r="CP411" s="72">
        <v>7</v>
      </c>
      <c r="CQ411" s="72">
        <v>7</v>
      </c>
      <c r="CR411" s="72">
        <v>7</v>
      </c>
      <c r="CS411" s="72">
        <v>7</v>
      </c>
      <c r="CT411" s="72">
        <v>7</v>
      </c>
      <c r="CU411" s="72">
        <v>7</v>
      </c>
      <c r="CV411" s="72">
        <v>7</v>
      </c>
      <c r="CW411" s="72">
        <v>7</v>
      </c>
      <c r="CX411" s="72">
        <v>7</v>
      </c>
      <c r="CY411" s="72">
        <v>7</v>
      </c>
      <c r="CZ411" s="72">
        <v>7</v>
      </c>
      <c r="DA411" s="72">
        <v>7</v>
      </c>
      <c r="DB411" s="72">
        <v>7</v>
      </c>
      <c r="DC411" s="72">
        <v>7</v>
      </c>
      <c r="DD411" s="72">
        <v>7</v>
      </c>
      <c r="DE411" s="72">
        <v>7</v>
      </c>
      <c r="DF411" s="72">
        <v>7</v>
      </c>
      <c r="DG411" s="72">
        <v>7</v>
      </c>
      <c r="DH411" s="72">
        <v>7</v>
      </c>
      <c r="DI411" s="72">
        <v>7</v>
      </c>
      <c r="DJ411" s="72">
        <v>7</v>
      </c>
      <c r="DK411" s="72">
        <v>7</v>
      </c>
      <c r="DL411" s="72">
        <v>7</v>
      </c>
      <c r="DM411" s="72">
        <v>7</v>
      </c>
    </row>
    <row r="412" spans="1:117" x14ac:dyDescent="0.35">
      <c r="A412" s="7"/>
      <c r="B412" s="8" t="s">
        <v>686</v>
      </c>
      <c r="C412" s="9" t="s">
        <v>687</v>
      </c>
      <c r="D412" s="10" t="s">
        <v>594</v>
      </c>
      <c r="E412" s="8" t="s">
        <v>1203</v>
      </c>
      <c r="F412" s="10">
        <v>1002</v>
      </c>
      <c r="G412" s="10" t="s">
        <v>40</v>
      </c>
      <c r="H412" s="10" t="s">
        <v>41</v>
      </c>
      <c r="I412" s="11">
        <v>0</v>
      </c>
      <c r="J412" s="10"/>
      <c r="K412" s="10" t="s">
        <v>153</v>
      </c>
      <c r="L412" s="8"/>
      <c r="M412" s="12"/>
      <c r="N412" s="12">
        <f t="shared" si="9"/>
        <v>0</v>
      </c>
      <c r="O412" s="11"/>
      <c r="P412" s="11"/>
      <c r="Q412" s="11">
        <v>2</v>
      </c>
      <c r="R412" s="11">
        <v>2</v>
      </c>
      <c r="S412" s="11">
        <v>2</v>
      </c>
      <c r="T412" s="11">
        <v>2</v>
      </c>
      <c r="U412" s="11">
        <v>2</v>
      </c>
      <c r="V412" s="11">
        <v>2</v>
      </c>
      <c r="W412" s="11">
        <v>2</v>
      </c>
      <c r="X412" s="11">
        <v>2</v>
      </c>
      <c r="Y412" s="11">
        <v>2</v>
      </c>
      <c r="Z412" s="11">
        <v>0</v>
      </c>
      <c r="AA412" s="11">
        <v>0</v>
      </c>
      <c r="AB412" s="11">
        <v>0</v>
      </c>
      <c r="AC412" s="11">
        <v>0</v>
      </c>
      <c r="AD412" s="11">
        <v>0</v>
      </c>
      <c r="AE412" s="11">
        <v>0</v>
      </c>
      <c r="AF412" s="11">
        <v>0</v>
      </c>
      <c r="AG412" s="11">
        <v>0</v>
      </c>
      <c r="AH412" s="11">
        <v>0</v>
      </c>
      <c r="AI412" s="11">
        <v>0</v>
      </c>
      <c r="AJ412" s="11">
        <v>0</v>
      </c>
      <c r="AK412" s="11">
        <v>0</v>
      </c>
      <c r="AL412" s="11">
        <v>0</v>
      </c>
      <c r="AM412" s="11">
        <v>0</v>
      </c>
      <c r="AN412" s="72">
        <v>0</v>
      </c>
      <c r="AO412" s="72">
        <v>0</v>
      </c>
      <c r="AP412" s="72">
        <v>0</v>
      </c>
      <c r="AQ412" s="72">
        <v>0</v>
      </c>
      <c r="AR412" s="72">
        <v>0</v>
      </c>
      <c r="AS412" s="72">
        <v>0</v>
      </c>
      <c r="AT412" s="72">
        <v>0</v>
      </c>
      <c r="AU412" s="72">
        <v>0</v>
      </c>
      <c r="AV412" s="72">
        <v>0</v>
      </c>
      <c r="AW412" s="72">
        <v>0</v>
      </c>
      <c r="AX412" s="72">
        <v>0</v>
      </c>
      <c r="AY412" s="72">
        <v>0</v>
      </c>
      <c r="AZ412" s="72">
        <v>0</v>
      </c>
      <c r="BA412" s="72">
        <v>0</v>
      </c>
      <c r="BB412" s="72">
        <v>0</v>
      </c>
      <c r="BC412" s="72">
        <v>0</v>
      </c>
      <c r="BD412" s="72">
        <v>0</v>
      </c>
      <c r="BE412" s="72">
        <v>0</v>
      </c>
      <c r="BF412" s="72">
        <v>0</v>
      </c>
      <c r="BG412" s="72">
        <v>0</v>
      </c>
      <c r="BH412" s="72">
        <v>0</v>
      </c>
      <c r="BI412" s="72">
        <v>0</v>
      </c>
      <c r="BJ412" s="72">
        <v>0</v>
      </c>
      <c r="BK412" s="72">
        <v>0</v>
      </c>
      <c r="BL412" s="72">
        <v>0</v>
      </c>
      <c r="BM412" s="72">
        <v>0</v>
      </c>
      <c r="BN412" s="72">
        <v>0</v>
      </c>
      <c r="BO412" s="72">
        <v>0</v>
      </c>
      <c r="BP412" s="72">
        <v>0</v>
      </c>
      <c r="BQ412" s="72">
        <v>0</v>
      </c>
      <c r="BR412" s="72">
        <v>0</v>
      </c>
      <c r="BS412" s="72">
        <v>0</v>
      </c>
      <c r="BT412" s="72">
        <v>0</v>
      </c>
      <c r="BU412" s="72">
        <v>0</v>
      </c>
      <c r="BV412" s="72">
        <v>0</v>
      </c>
      <c r="BW412" s="72">
        <v>0</v>
      </c>
      <c r="BX412" s="72">
        <v>0</v>
      </c>
      <c r="BY412" s="72">
        <v>0</v>
      </c>
      <c r="BZ412" s="72">
        <v>0</v>
      </c>
      <c r="CA412" s="72">
        <v>0</v>
      </c>
      <c r="CB412" s="72">
        <v>0</v>
      </c>
      <c r="CC412" s="72">
        <v>0</v>
      </c>
      <c r="CD412" s="72">
        <v>0</v>
      </c>
      <c r="CE412" s="72">
        <v>0</v>
      </c>
      <c r="CF412" s="72">
        <v>0</v>
      </c>
      <c r="CG412" s="72">
        <v>0</v>
      </c>
      <c r="CH412" s="72">
        <v>0</v>
      </c>
      <c r="CI412" s="72">
        <v>0</v>
      </c>
      <c r="CJ412" s="72">
        <v>0</v>
      </c>
      <c r="CK412" s="72">
        <v>0</v>
      </c>
      <c r="CL412" s="72">
        <v>0</v>
      </c>
      <c r="CM412" s="72">
        <v>0</v>
      </c>
      <c r="CN412" s="72">
        <v>0</v>
      </c>
      <c r="CO412" s="72">
        <v>0</v>
      </c>
      <c r="CP412" s="72">
        <v>0</v>
      </c>
      <c r="CQ412" s="72">
        <v>0</v>
      </c>
      <c r="CR412" s="72">
        <v>0</v>
      </c>
      <c r="CS412" s="72">
        <v>0</v>
      </c>
      <c r="CT412" s="72">
        <v>0</v>
      </c>
      <c r="CU412" s="72">
        <v>0</v>
      </c>
      <c r="CV412" s="72">
        <v>0</v>
      </c>
      <c r="CW412" s="72">
        <v>0</v>
      </c>
      <c r="CX412" s="72">
        <v>0</v>
      </c>
      <c r="CY412" s="72">
        <v>0</v>
      </c>
      <c r="CZ412" s="72">
        <v>0</v>
      </c>
      <c r="DA412" s="72">
        <v>0</v>
      </c>
      <c r="DB412" s="72">
        <v>0</v>
      </c>
      <c r="DC412" s="72">
        <v>0</v>
      </c>
      <c r="DD412" s="72">
        <v>0</v>
      </c>
      <c r="DE412" s="72">
        <v>0</v>
      </c>
      <c r="DF412" s="72">
        <v>0</v>
      </c>
      <c r="DG412" s="72">
        <v>0</v>
      </c>
      <c r="DH412" s="72">
        <v>0</v>
      </c>
      <c r="DI412" s="72">
        <v>0</v>
      </c>
      <c r="DJ412" s="72">
        <v>0</v>
      </c>
      <c r="DK412" s="72">
        <v>0</v>
      </c>
      <c r="DL412" s="72">
        <v>0</v>
      </c>
      <c r="DM412" s="72">
        <v>0</v>
      </c>
    </row>
    <row r="413" spans="1:117" x14ac:dyDescent="0.35">
      <c r="A413" s="7"/>
      <c r="B413" s="8" t="s">
        <v>688</v>
      </c>
      <c r="C413" s="9" t="s">
        <v>689</v>
      </c>
      <c r="D413" s="10" t="s">
        <v>594</v>
      </c>
      <c r="E413" s="8" t="s">
        <v>1205</v>
      </c>
      <c r="F413" s="10">
        <v>1006</v>
      </c>
      <c r="G413" s="10" t="s">
        <v>40</v>
      </c>
      <c r="H413" s="10" t="s">
        <v>41</v>
      </c>
      <c r="I413" s="11">
        <v>0</v>
      </c>
      <c r="J413" s="10"/>
      <c r="K413" s="10" t="s">
        <v>42</v>
      </c>
      <c r="L413" s="8"/>
      <c r="M413" s="12"/>
      <c r="N413" s="12">
        <f t="shared" si="9"/>
        <v>0</v>
      </c>
      <c r="O413" s="11">
        <v>1</v>
      </c>
      <c r="P413" s="11">
        <v>1</v>
      </c>
      <c r="Q413" s="11">
        <v>1</v>
      </c>
      <c r="R413" s="11">
        <v>1</v>
      </c>
      <c r="S413" s="11">
        <v>1</v>
      </c>
      <c r="T413" s="11">
        <v>1</v>
      </c>
      <c r="U413" s="11">
        <v>1</v>
      </c>
      <c r="V413" s="11">
        <v>0</v>
      </c>
      <c r="W413" s="11">
        <v>0</v>
      </c>
      <c r="X413" s="11">
        <v>0</v>
      </c>
      <c r="Y413" s="11">
        <v>0</v>
      </c>
      <c r="Z413" s="11">
        <v>0</v>
      </c>
      <c r="AA413" s="11">
        <v>0</v>
      </c>
      <c r="AB413" s="11">
        <v>0</v>
      </c>
      <c r="AC413" s="11">
        <v>0</v>
      </c>
      <c r="AD413" s="11">
        <v>0</v>
      </c>
      <c r="AE413" s="11">
        <v>0</v>
      </c>
      <c r="AF413" s="11">
        <v>0</v>
      </c>
      <c r="AG413" s="11">
        <v>0</v>
      </c>
      <c r="AH413" s="11">
        <v>0</v>
      </c>
      <c r="AI413" s="11">
        <v>0</v>
      </c>
      <c r="AJ413" s="11">
        <v>0</v>
      </c>
      <c r="AK413" s="11">
        <v>0</v>
      </c>
      <c r="AL413" s="11">
        <v>0</v>
      </c>
      <c r="AM413" s="11">
        <v>0</v>
      </c>
      <c r="AN413" s="72">
        <v>0</v>
      </c>
      <c r="AO413" s="72">
        <v>0</v>
      </c>
      <c r="AP413" s="72">
        <v>0</v>
      </c>
      <c r="AQ413" s="72">
        <v>0</v>
      </c>
      <c r="AR413" s="72">
        <v>0</v>
      </c>
      <c r="AS413" s="72">
        <v>0</v>
      </c>
      <c r="AT413" s="72">
        <v>0</v>
      </c>
      <c r="AU413" s="72">
        <v>0</v>
      </c>
      <c r="AV413" s="72">
        <v>0</v>
      </c>
      <c r="AW413" s="72">
        <v>0</v>
      </c>
      <c r="AX413" s="72">
        <v>0</v>
      </c>
      <c r="AY413" s="72">
        <v>0</v>
      </c>
      <c r="AZ413" s="72">
        <v>0</v>
      </c>
      <c r="BA413" s="72">
        <v>0</v>
      </c>
      <c r="BB413" s="72">
        <v>0</v>
      </c>
      <c r="BC413" s="72">
        <v>0</v>
      </c>
      <c r="BD413" s="72">
        <v>0</v>
      </c>
      <c r="BE413" s="72">
        <v>0</v>
      </c>
      <c r="BF413" s="72">
        <v>0</v>
      </c>
      <c r="BG413" s="72">
        <v>0</v>
      </c>
      <c r="BH413" s="72">
        <v>0</v>
      </c>
      <c r="BI413" s="72">
        <v>0</v>
      </c>
      <c r="BJ413" s="72">
        <v>0</v>
      </c>
      <c r="BK413" s="72">
        <v>0</v>
      </c>
      <c r="BL413" s="72">
        <v>0</v>
      </c>
      <c r="BM413" s="72">
        <v>0</v>
      </c>
      <c r="BN413" s="72">
        <v>0</v>
      </c>
      <c r="BO413" s="72">
        <v>0</v>
      </c>
      <c r="BP413" s="72">
        <v>0</v>
      </c>
      <c r="BQ413" s="72">
        <v>0</v>
      </c>
      <c r="BR413" s="72">
        <v>0</v>
      </c>
      <c r="BS413" s="72">
        <v>0</v>
      </c>
      <c r="BT413" s="72">
        <v>0</v>
      </c>
      <c r="BU413" s="72">
        <v>0</v>
      </c>
      <c r="BV413" s="72">
        <v>0</v>
      </c>
      <c r="BW413" s="72">
        <v>0</v>
      </c>
      <c r="BX413" s="72">
        <v>0</v>
      </c>
      <c r="BY413" s="72">
        <v>0</v>
      </c>
      <c r="BZ413" s="72">
        <v>0</v>
      </c>
      <c r="CA413" s="72">
        <v>0</v>
      </c>
      <c r="CB413" s="72">
        <v>0</v>
      </c>
      <c r="CC413" s="72">
        <v>0</v>
      </c>
      <c r="CD413" s="72">
        <v>0</v>
      </c>
      <c r="CE413" s="72">
        <v>0</v>
      </c>
      <c r="CF413" s="72">
        <v>0</v>
      </c>
      <c r="CG413" s="72">
        <v>0</v>
      </c>
      <c r="CH413" s="72">
        <v>0</v>
      </c>
      <c r="CI413" s="72">
        <v>0</v>
      </c>
      <c r="CJ413" s="72">
        <v>0</v>
      </c>
      <c r="CK413" s="72">
        <v>0</v>
      </c>
      <c r="CL413" s="72">
        <v>0</v>
      </c>
      <c r="CM413" s="72">
        <v>0</v>
      </c>
      <c r="CN413" s="72">
        <v>0</v>
      </c>
      <c r="CO413" s="72">
        <v>0</v>
      </c>
      <c r="CP413" s="72">
        <v>0</v>
      </c>
      <c r="CQ413" s="72">
        <v>0</v>
      </c>
      <c r="CR413" s="72">
        <v>0</v>
      </c>
      <c r="CS413" s="72">
        <v>0</v>
      </c>
      <c r="CT413" s="72">
        <v>0</v>
      </c>
      <c r="CU413" s="72">
        <v>0</v>
      </c>
      <c r="CV413" s="72">
        <v>0</v>
      </c>
      <c r="CW413" s="72">
        <v>0</v>
      </c>
      <c r="CX413" s="72">
        <v>0</v>
      </c>
      <c r="CY413" s="72">
        <v>0</v>
      </c>
      <c r="CZ413" s="72">
        <v>0</v>
      </c>
      <c r="DA413" s="72">
        <v>0</v>
      </c>
      <c r="DB413" s="72">
        <v>0</v>
      </c>
      <c r="DC413" s="72">
        <v>0</v>
      </c>
      <c r="DD413" s="72">
        <v>0</v>
      </c>
      <c r="DE413" s="72">
        <v>0</v>
      </c>
      <c r="DF413" s="72">
        <v>0</v>
      </c>
      <c r="DG413" s="72">
        <v>0</v>
      </c>
      <c r="DH413" s="72">
        <v>0</v>
      </c>
      <c r="DI413" s="72">
        <v>0</v>
      </c>
      <c r="DJ413" s="72">
        <v>0</v>
      </c>
      <c r="DK413" s="72">
        <v>0</v>
      </c>
      <c r="DL413" s="72">
        <v>0</v>
      </c>
      <c r="DM413" s="72">
        <v>0</v>
      </c>
    </row>
    <row r="414" spans="1:117" x14ac:dyDescent="0.35">
      <c r="A414" s="7"/>
      <c r="B414" s="8" t="s">
        <v>690</v>
      </c>
      <c r="C414" s="7" t="s">
        <v>691</v>
      </c>
      <c r="D414" s="10" t="s">
        <v>594</v>
      </c>
      <c r="E414" s="8" t="s">
        <v>1205</v>
      </c>
      <c r="F414" s="10">
        <v>1006</v>
      </c>
      <c r="G414" s="10" t="s">
        <v>40</v>
      </c>
      <c r="H414" s="10" t="s">
        <v>41</v>
      </c>
      <c r="I414" s="11">
        <v>60</v>
      </c>
      <c r="J414" s="10">
        <v>0</v>
      </c>
      <c r="K414" s="10" t="s">
        <v>692</v>
      </c>
      <c r="L414" s="8"/>
      <c r="M414" s="12">
        <v>12.78</v>
      </c>
      <c r="N414" s="12">
        <f t="shared" si="9"/>
        <v>63.9</v>
      </c>
      <c r="O414" s="11">
        <v>86</v>
      </c>
      <c r="P414" s="11">
        <v>86</v>
      </c>
      <c r="Q414" s="11">
        <v>119</v>
      </c>
      <c r="R414" s="11">
        <v>144</v>
      </c>
      <c r="S414" s="11">
        <v>144</v>
      </c>
      <c r="T414" s="11">
        <v>144</v>
      </c>
      <c r="U414" s="11">
        <v>100</v>
      </c>
      <c r="V414" s="11">
        <v>100</v>
      </c>
      <c r="W414" s="11">
        <v>100</v>
      </c>
      <c r="X414" s="11">
        <v>100</v>
      </c>
      <c r="Y414" s="11">
        <v>100</v>
      </c>
      <c r="Z414" s="11">
        <v>90</v>
      </c>
      <c r="AA414" s="11">
        <v>90</v>
      </c>
      <c r="AB414" s="11">
        <v>75</v>
      </c>
      <c r="AC414" s="11">
        <v>75</v>
      </c>
      <c r="AD414" s="11">
        <v>75</v>
      </c>
      <c r="AE414" s="11">
        <v>70</v>
      </c>
      <c r="AF414" s="11">
        <v>70</v>
      </c>
      <c r="AG414" s="11">
        <v>70</v>
      </c>
      <c r="AH414" s="11">
        <v>70</v>
      </c>
      <c r="AI414" s="11">
        <v>60</v>
      </c>
      <c r="AJ414" s="11">
        <v>60</v>
      </c>
      <c r="AK414" s="11">
        <v>60</v>
      </c>
      <c r="AL414" s="11">
        <v>58</v>
      </c>
      <c r="AM414" s="11">
        <v>54</v>
      </c>
      <c r="AN414" s="72">
        <v>46</v>
      </c>
      <c r="AO414" s="72">
        <v>47</v>
      </c>
      <c r="AP414" s="72">
        <v>47</v>
      </c>
      <c r="AQ414" s="72">
        <v>47</v>
      </c>
      <c r="AR414" s="72">
        <v>47</v>
      </c>
      <c r="AS414" s="72">
        <v>47</v>
      </c>
      <c r="AT414" s="72">
        <v>47</v>
      </c>
      <c r="AU414" s="72">
        <v>47</v>
      </c>
      <c r="AV414" s="72">
        <v>47</v>
      </c>
      <c r="AW414" s="72">
        <v>47</v>
      </c>
      <c r="AX414" s="72">
        <v>47</v>
      </c>
      <c r="AY414" s="72">
        <v>47</v>
      </c>
      <c r="AZ414" s="72">
        <v>47</v>
      </c>
      <c r="BA414" s="72">
        <v>47</v>
      </c>
      <c r="BB414" s="72">
        <v>44</v>
      </c>
      <c r="BC414" s="72">
        <v>44</v>
      </c>
      <c r="BD414" s="72">
        <v>44</v>
      </c>
      <c r="BE414" s="72">
        <v>44</v>
      </c>
      <c r="BF414" s="72">
        <v>44</v>
      </c>
      <c r="BG414" s="72">
        <v>44</v>
      </c>
      <c r="BH414" s="72">
        <v>44</v>
      </c>
      <c r="BI414" s="72">
        <v>44</v>
      </c>
      <c r="BJ414" s="72">
        <v>44</v>
      </c>
      <c r="BK414" s="72">
        <v>28</v>
      </c>
      <c r="BL414" s="72">
        <v>28</v>
      </c>
      <c r="BM414" s="72">
        <v>28</v>
      </c>
      <c r="BN414" s="72">
        <v>1</v>
      </c>
      <c r="BO414" s="72">
        <v>1</v>
      </c>
      <c r="BP414" s="72">
        <v>1</v>
      </c>
      <c r="BQ414" s="72">
        <v>1</v>
      </c>
      <c r="BR414" s="72">
        <v>0</v>
      </c>
      <c r="BS414" s="72">
        <v>0</v>
      </c>
      <c r="BT414" s="72">
        <v>0</v>
      </c>
      <c r="BU414" s="72">
        <v>0</v>
      </c>
      <c r="BV414" s="72">
        <v>2</v>
      </c>
      <c r="BW414" s="72">
        <v>0</v>
      </c>
      <c r="BX414" s="72">
        <v>0</v>
      </c>
      <c r="BY414" s="72">
        <v>0</v>
      </c>
      <c r="BZ414" s="72">
        <v>0</v>
      </c>
      <c r="CA414" s="72">
        <v>0</v>
      </c>
      <c r="CB414" s="72">
        <v>0</v>
      </c>
      <c r="CC414" s="72">
        <v>0</v>
      </c>
      <c r="CD414" s="72">
        <v>0</v>
      </c>
      <c r="CE414" s="72">
        <v>0</v>
      </c>
      <c r="CF414" s="72">
        <v>0</v>
      </c>
      <c r="CG414" s="72">
        <v>0</v>
      </c>
      <c r="CH414" s="72">
        <v>0</v>
      </c>
      <c r="CI414" s="72">
        <v>0</v>
      </c>
      <c r="CJ414" s="72">
        <v>0</v>
      </c>
      <c r="CK414" s="72">
        <v>0</v>
      </c>
      <c r="CL414" s="72">
        <v>0</v>
      </c>
      <c r="CM414" s="72">
        <v>0</v>
      </c>
      <c r="CN414" s="72">
        <v>0</v>
      </c>
      <c r="CO414" s="72">
        <v>0</v>
      </c>
      <c r="CP414" s="72">
        <v>0</v>
      </c>
      <c r="CQ414" s="72">
        <v>0</v>
      </c>
      <c r="CR414" s="72">
        <v>0</v>
      </c>
      <c r="CS414" s="72">
        <v>0</v>
      </c>
      <c r="CT414" s="72">
        <v>0</v>
      </c>
      <c r="CU414" s="72">
        <v>0</v>
      </c>
      <c r="CV414" s="72">
        <v>0</v>
      </c>
      <c r="CW414" s="72">
        <v>50</v>
      </c>
      <c r="CX414" s="72">
        <v>50</v>
      </c>
      <c r="CY414" s="72">
        <v>27</v>
      </c>
      <c r="CZ414" s="72">
        <v>27</v>
      </c>
      <c r="DA414" s="72">
        <v>27</v>
      </c>
      <c r="DB414" s="72">
        <v>27</v>
      </c>
      <c r="DC414" s="72">
        <v>27</v>
      </c>
      <c r="DD414" s="72">
        <v>27</v>
      </c>
      <c r="DE414" s="72">
        <v>27</v>
      </c>
      <c r="DF414" s="72">
        <v>27</v>
      </c>
      <c r="DG414" s="72">
        <v>27</v>
      </c>
      <c r="DH414" s="72">
        <v>23</v>
      </c>
      <c r="DI414" s="72">
        <v>23</v>
      </c>
      <c r="DJ414" s="72">
        <v>23</v>
      </c>
      <c r="DK414" s="72">
        <v>21</v>
      </c>
      <c r="DL414" s="72">
        <v>17</v>
      </c>
      <c r="DM414" s="72">
        <v>5</v>
      </c>
    </row>
    <row r="415" spans="1:117" x14ac:dyDescent="0.35">
      <c r="A415" s="7"/>
      <c r="B415" s="8" t="s">
        <v>693</v>
      </c>
      <c r="C415" s="9" t="s">
        <v>694</v>
      </c>
      <c r="D415" s="10" t="s">
        <v>594</v>
      </c>
      <c r="E415" s="8" t="s">
        <v>1205</v>
      </c>
      <c r="F415" s="10">
        <v>1006</v>
      </c>
      <c r="G415" s="10" t="s">
        <v>40</v>
      </c>
      <c r="H415" s="10" t="s">
        <v>41</v>
      </c>
      <c r="I415" s="11">
        <v>2</v>
      </c>
      <c r="J415" s="10"/>
      <c r="K415" s="10"/>
      <c r="L415" s="8"/>
      <c r="M415" s="12">
        <v>458.22</v>
      </c>
      <c r="N415" s="12">
        <f t="shared" si="9"/>
        <v>916.44</v>
      </c>
      <c r="O415" s="11">
        <v>2</v>
      </c>
      <c r="P415" s="11">
        <v>2</v>
      </c>
      <c r="Q415" s="11">
        <v>2</v>
      </c>
      <c r="R415" s="11">
        <v>2</v>
      </c>
      <c r="S415" s="11">
        <v>2</v>
      </c>
      <c r="T415" s="11">
        <v>2</v>
      </c>
      <c r="U415" s="11">
        <v>2</v>
      </c>
      <c r="V415" s="11">
        <v>2</v>
      </c>
      <c r="W415" s="11">
        <v>2</v>
      </c>
      <c r="X415" s="11">
        <v>2</v>
      </c>
      <c r="Y415" s="11">
        <v>2</v>
      </c>
      <c r="Z415" s="11">
        <v>2</v>
      </c>
      <c r="AA415" s="11">
        <v>2</v>
      </c>
      <c r="AB415" s="11">
        <v>2</v>
      </c>
      <c r="AC415" s="11">
        <v>2</v>
      </c>
      <c r="AD415" s="11">
        <v>2</v>
      </c>
      <c r="AE415" s="11">
        <v>2</v>
      </c>
      <c r="AF415" s="11">
        <v>2</v>
      </c>
      <c r="AG415" s="11">
        <v>2</v>
      </c>
      <c r="AH415" s="11">
        <v>2</v>
      </c>
      <c r="AI415" s="11">
        <v>2</v>
      </c>
      <c r="AJ415" s="11">
        <v>2</v>
      </c>
      <c r="AK415" s="11">
        <v>2</v>
      </c>
      <c r="AL415" s="11">
        <v>2</v>
      </c>
      <c r="AM415" s="11">
        <v>2</v>
      </c>
      <c r="AN415" s="72">
        <v>2</v>
      </c>
      <c r="AO415" s="72">
        <v>2</v>
      </c>
      <c r="AP415" s="72">
        <v>2</v>
      </c>
      <c r="AQ415" s="72">
        <v>2</v>
      </c>
      <c r="AR415" s="72">
        <v>2</v>
      </c>
      <c r="AS415" s="72">
        <v>2</v>
      </c>
      <c r="AT415" s="72">
        <v>2</v>
      </c>
      <c r="AU415" s="72">
        <v>2</v>
      </c>
      <c r="AV415" s="72">
        <v>2</v>
      </c>
      <c r="AW415" s="72">
        <v>2</v>
      </c>
      <c r="AX415" s="72">
        <v>2</v>
      </c>
      <c r="AY415" s="72">
        <v>2</v>
      </c>
      <c r="AZ415" s="72">
        <v>2</v>
      </c>
      <c r="BA415" s="72">
        <v>2</v>
      </c>
      <c r="BB415" s="72">
        <v>2</v>
      </c>
      <c r="BC415" s="72">
        <v>2</v>
      </c>
      <c r="BD415" s="72">
        <v>2</v>
      </c>
      <c r="BE415" s="72">
        <v>2</v>
      </c>
      <c r="BF415" s="72">
        <v>2</v>
      </c>
      <c r="BG415" s="72">
        <v>2</v>
      </c>
      <c r="BH415" s="72">
        <v>2</v>
      </c>
      <c r="BI415" s="72">
        <v>2</v>
      </c>
      <c r="BJ415" s="72">
        <v>2</v>
      </c>
      <c r="BK415" s="72">
        <v>2</v>
      </c>
      <c r="BL415" s="72">
        <v>2</v>
      </c>
      <c r="BM415" s="72">
        <v>2</v>
      </c>
      <c r="BN415" s="72">
        <v>2</v>
      </c>
      <c r="BO415" s="72">
        <v>2</v>
      </c>
      <c r="BP415" s="72">
        <v>2</v>
      </c>
      <c r="BQ415" s="72">
        <v>2</v>
      </c>
      <c r="BR415" s="72">
        <v>2</v>
      </c>
      <c r="BS415" s="72">
        <v>2</v>
      </c>
      <c r="BT415" s="72">
        <v>2</v>
      </c>
      <c r="BU415" s="72">
        <v>2</v>
      </c>
      <c r="BV415" s="72">
        <v>2</v>
      </c>
      <c r="BW415" s="72">
        <v>2</v>
      </c>
      <c r="BX415" s="72">
        <v>2</v>
      </c>
      <c r="BY415" s="72">
        <v>2</v>
      </c>
      <c r="BZ415" s="72">
        <v>2</v>
      </c>
      <c r="CA415" s="72">
        <v>2</v>
      </c>
      <c r="CB415" s="72">
        <v>2</v>
      </c>
      <c r="CC415" s="72">
        <v>2</v>
      </c>
      <c r="CD415" s="72">
        <v>2</v>
      </c>
      <c r="CE415" s="72">
        <v>2</v>
      </c>
      <c r="CF415" s="72">
        <v>2</v>
      </c>
      <c r="CG415" s="72">
        <v>2</v>
      </c>
      <c r="CH415" s="72">
        <v>2</v>
      </c>
      <c r="CI415" s="72">
        <v>2</v>
      </c>
      <c r="CJ415" s="72">
        <v>2</v>
      </c>
      <c r="CK415" s="72">
        <v>2</v>
      </c>
      <c r="CL415" s="72">
        <v>2</v>
      </c>
      <c r="CM415" s="72">
        <v>2</v>
      </c>
      <c r="CN415" s="72">
        <v>2</v>
      </c>
      <c r="CO415" s="72">
        <v>2</v>
      </c>
      <c r="CP415" s="72">
        <v>2</v>
      </c>
      <c r="CQ415" s="72">
        <v>2</v>
      </c>
      <c r="CR415" s="72">
        <v>2</v>
      </c>
      <c r="CS415" s="72">
        <v>2</v>
      </c>
      <c r="CT415" s="72">
        <v>2</v>
      </c>
      <c r="CU415" s="72">
        <v>2</v>
      </c>
      <c r="CV415" s="72">
        <v>2</v>
      </c>
      <c r="CW415" s="72">
        <v>2</v>
      </c>
      <c r="CX415" s="72">
        <v>2</v>
      </c>
      <c r="CY415" s="72">
        <v>2</v>
      </c>
      <c r="CZ415" s="72">
        <v>2</v>
      </c>
      <c r="DA415" s="72">
        <v>2</v>
      </c>
      <c r="DB415" s="72">
        <v>2</v>
      </c>
      <c r="DC415" s="72">
        <v>2</v>
      </c>
      <c r="DD415" s="72">
        <v>2</v>
      </c>
      <c r="DE415" s="72">
        <v>2</v>
      </c>
      <c r="DF415" s="72">
        <v>2</v>
      </c>
      <c r="DG415" s="72">
        <v>2</v>
      </c>
      <c r="DH415" s="72">
        <v>2</v>
      </c>
      <c r="DI415" s="72">
        <v>2</v>
      </c>
      <c r="DJ415" s="72">
        <v>2</v>
      </c>
      <c r="DK415" s="72">
        <v>2</v>
      </c>
      <c r="DL415" s="72">
        <v>2</v>
      </c>
      <c r="DM415" s="72">
        <v>2</v>
      </c>
    </row>
    <row r="416" spans="1:117" x14ac:dyDescent="0.35">
      <c r="A416" s="7"/>
      <c r="B416" s="8" t="s">
        <v>695</v>
      </c>
      <c r="C416" s="9" t="s">
        <v>696</v>
      </c>
      <c r="D416" s="10" t="s">
        <v>697</v>
      </c>
      <c r="E416" s="8" t="s">
        <v>1205</v>
      </c>
      <c r="F416" s="10">
        <v>1006</v>
      </c>
      <c r="G416" s="10" t="s">
        <v>40</v>
      </c>
      <c r="H416" s="10" t="s">
        <v>41</v>
      </c>
      <c r="I416" s="11">
        <v>1</v>
      </c>
      <c r="J416" s="10"/>
      <c r="K416" s="10"/>
      <c r="L416" s="8"/>
      <c r="M416" s="12">
        <v>236</v>
      </c>
      <c r="N416" s="12">
        <f t="shared" si="9"/>
        <v>236</v>
      </c>
      <c r="O416" s="11">
        <v>1</v>
      </c>
      <c r="P416" s="11">
        <v>1</v>
      </c>
      <c r="Q416" s="11">
        <v>1</v>
      </c>
      <c r="R416" s="11">
        <v>1</v>
      </c>
      <c r="S416" s="11">
        <v>1</v>
      </c>
      <c r="T416" s="11">
        <v>1</v>
      </c>
      <c r="U416" s="11">
        <v>1</v>
      </c>
      <c r="V416" s="11">
        <v>1</v>
      </c>
      <c r="W416" s="11">
        <v>1</v>
      </c>
      <c r="X416" s="11">
        <v>1</v>
      </c>
      <c r="Y416" s="11">
        <v>1</v>
      </c>
      <c r="Z416" s="11">
        <v>1</v>
      </c>
      <c r="AA416" s="11">
        <v>1</v>
      </c>
      <c r="AB416" s="11">
        <v>1</v>
      </c>
      <c r="AC416" s="11">
        <v>1</v>
      </c>
      <c r="AD416" s="11">
        <v>1</v>
      </c>
      <c r="AE416" s="11">
        <v>1</v>
      </c>
      <c r="AF416" s="11">
        <v>1</v>
      </c>
      <c r="AG416" s="11">
        <v>1</v>
      </c>
      <c r="AH416" s="11">
        <v>1</v>
      </c>
      <c r="AI416" s="11">
        <v>1</v>
      </c>
      <c r="AJ416" s="11">
        <v>1</v>
      </c>
      <c r="AK416" s="11">
        <v>1</v>
      </c>
      <c r="AL416" s="11">
        <v>1</v>
      </c>
      <c r="AM416" s="11">
        <v>1</v>
      </c>
      <c r="AN416" s="72">
        <v>1</v>
      </c>
      <c r="AO416" s="72">
        <v>1</v>
      </c>
      <c r="AP416" s="72">
        <v>1</v>
      </c>
      <c r="AQ416" s="72">
        <v>1</v>
      </c>
      <c r="AR416" s="72">
        <v>1</v>
      </c>
      <c r="AS416" s="72">
        <v>1</v>
      </c>
      <c r="AT416" s="72">
        <v>1</v>
      </c>
      <c r="AU416" s="72">
        <v>1</v>
      </c>
      <c r="AV416" s="72">
        <v>1</v>
      </c>
      <c r="AW416" s="72">
        <v>1</v>
      </c>
      <c r="AX416" s="72">
        <v>1</v>
      </c>
      <c r="AY416" s="72">
        <v>1</v>
      </c>
      <c r="AZ416" s="72">
        <v>1</v>
      </c>
      <c r="BA416" s="72">
        <v>1</v>
      </c>
      <c r="BB416" s="72">
        <v>1</v>
      </c>
      <c r="BC416" s="72">
        <v>1</v>
      </c>
      <c r="BD416" s="72">
        <v>1</v>
      </c>
      <c r="BE416" s="72">
        <v>1</v>
      </c>
      <c r="BF416" s="72">
        <v>1</v>
      </c>
      <c r="BG416" s="72">
        <v>1</v>
      </c>
      <c r="BH416" s="72">
        <v>1</v>
      </c>
      <c r="BI416" s="72">
        <v>1</v>
      </c>
      <c r="BJ416" s="72">
        <v>1</v>
      </c>
      <c r="BK416" s="72">
        <v>1</v>
      </c>
      <c r="BL416" s="72">
        <v>1</v>
      </c>
      <c r="BM416" s="72">
        <v>1</v>
      </c>
      <c r="BN416" s="72">
        <v>1</v>
      </c>
      <c r="BO416" s="72">
        <v>1</v>
      </c>
      <c r="BP416" s="72">
        <v>1</v>
      </c>
      <c r="BQ416" s="72">
        <v>1</v>
      </c>
      <c r="BR416" s="72">
        <v>1</v>
      </c>
      <c r="BS416" s="72">
        <v>1</v>
      </c>
      <c r="BT416" s="72">
        <v>1</v>
      </c>
      <c r="BU416" s="72">
        <v>1</v>
      </c>
      <c r="BV416" s="72">
        <v>1</v>
      </c>
      <c r="BW416" s="72">
        <v>1</v>
      </c>
      <c r="BX416" s="72">
        <v>1</v>
      </c>
      <c r="BY416" s="72">
        <v>1</v>
      </c>
      <c r="BZ416" s="72">
        <v>1</v>
      </c>
      <c r="CA416" s="72">
        <v>1</v>
      </c>
      <c r="CB416" s="72">
        <v>1</v>
      </c>
      <c r="CC416" s="72">
        <v>1</v>
      </c>
      <c r="CD416" s="72">
        <v>1</v>
      </c>
      <c r="CE416" s="72">
        <v>1</v>
      </c>
      <c r="CF416" s="72">
        <v>1</v>
      </c>
      <c r="CG416" s="72">
        <v>1</v>
      </c>
      <c r="CH416" s="72">
        <v>1</v>
      </c>
      <c r="CI416" s="72">
        <v>1</v>
      </c>
      <c r="CJ416" s="72">
        <v>1</v>
      </c>
      <c r="CK416" s="72">
        <v>1</v>
      </c>
      <c r="CL416" s="72">
        <v>1</v>
      </c>
      <c r="CM416" s="72">
        <v>1</v>
      </c>
      <c r="CN416" s="72">
        <v>1</v>
      </c>
      <c r="CO416" s="72">
        <v>1</v>
      </c>
      <c r="CP416" s="72">
        <v>1</v>
      </c>
      <c r="CQ416" s="72">
        <v>1</v>
      </c>
      <c r="CR416" s="72">
        <v>1</v>
      </c>
      <c r="CS416" s="72">
        <v>1</v>
      </c>
      <c r="CT416" s="72">
        <v>1</v>
      </c>
      <c r="CU416" s="72">
        <v>1</v>
      </c>
      <c r="CV416" s="72">
        <v>1</v>
      </c>
      <c r="CW416" s="72">
        <v>1</v>
      </c>
      <c r="CX416" s="72">
        <v>1</v>
      </c>
      <c r="CY416" s="72">
        <v>1</v>
      </c>
      <c r="CZ416" s="72">
        <v>1</v>
      </c>
      <c r="DA416" s="72">
        <v>1</v>
      </c>
      <c r="DB416" s="72">
        <v>1</v>
      </c>
      <c r="DC416" s="72">
        <v>1</v>
      </c>
      <c r="DD416" s="72">
        <v>1</v>
      </c>
      <c r="DE416" s="72">
        <v>1</v>
      </c>
      <c r="DF416" s="72">
        <v>1</v>
      </c>
      <c r="DG416" s="72">
        <v>1</v>
      </c>
      <c r="DH416" s="72">
        <v>1</v>
      </c>
      <c r="DI416" s="72">
        <v>1</v>
      </c>
      <c r="DJ416" s="72">
        <v>1</v>
      </c>
      <c r="DK416" s="72">
        <v>1</v>
      </c>
      <c r="DL416" s="72">
        <v>1</v>
      </c>
      <c r="DM416" s="72">
        <v>1</v>
      </c>
    </row>
    <row r="417" spans="1:117" x14ac:dyDescent="0.35">
      <c r="A417" s="7"/>
      <c r="B417" s="77" t="s">
        <v>1247</v>
      </c>
      <c r="C417" s="9" t="s">
        <v>1252</v>
      </c>
      <c r="D417" s="10" t="s">
        <v>697</v>
      </c>
      <c r="E417" s="8" t="s">
        <v>1206</v>
      </c>
      <c r="F417" s="10"/>
      <c r="G417" s="10" t="s">
        <v>40</v>
      </c>
      <c r="H417" s="10" t="s">
        <v>41</v>
      </c>
      <c r="I417" s="11"/>
      <c r="J417" s="10"/>
      <c r="K417" s="10"/>
      <c r="L417" s="8"/>
      <c r="M417" s="12"/>
      <c r="N417" s="12">
        <f t="shared" si="9"/>
        <v>0</v>
      </c>
      <c r="O417" s="11"/>
      <c r="P417" s="11"/>
      <c r="Q417" s="11"/>
      <c r="R417" s="11"/>
      <c r="S417" s="11"/>
      <c r="T417" s="11"/>
      <c r="U417" s="11"/>
      <c r="V417" s="11"/>
      <c r="W417" s="11"/>
      <c r="X417" s="11"/>
      <c r="Y417" s="11"/>
      <c r="Z417" s="11"/>
      <c r="AA417" s="11"/>
      <c r="AB417" s="11"/>
      <c r="AC417" s="11"/>
      <c r="AD417" s="11"/>
      <c r="AE417" s="11"/>
      <c r="AF417" s="11"/>
      <c r="AG417" s="11"/>
      <c r="AH417" s="11"/>
      <c r="AI417" s="11"/>
      <c r="AJ417" s="11"/>
      <c r="AK417" s="11"/>
      <c r="AL417" s="11"/>
      <c r="AM417" s="11"/>
      <c r="AN417" s="72"/>
      <c r="AO417" s="72"/>
      <c r="AP417" s="72"/>
      <c r="AQ417" s="72"/>
      <c r="AR417" s="72"/>
      <c r="AS417" s="72"/>
      <c r="AT417" s="72"/>
      <c r="AU417" s="72">
        <v>9</v>
      </c>
      <c r="AV417" s="72">
        <v>9</v>
      </c>
      <c r="AW417" s="72">
        <v>9</v>
      </c>
      <c r="AX417" s="72">
        <v>0</v>
      </c>
      <c r="AY417" s="72">
        <v>0</v>
      </c>
      <c r="AZ417" s="72">
        <v>0</v>
      </c>
      <c r="BA417" s="72">
        <v>0</v>
      </c>
      <c r="BB417" s="72">
        <v>0</v>
      </c>
      <c r="BC417" s="72">
        <v>0</v>
      </c>
      <c r="BD417" s="72">
        <v>0</v>
      </c>
      <c r="BE417" s="72">
        <v>0</v>
      </c>
      <c r="BF417" s="72">
        <v>0</v>
      </c>
      <c r="BG417" s="72">
        <v>0</v>
      </c>
      <c r="BH417" s="72">
        <v>0</v>
      </c>
      <c r="BI417" s="72">
        <v>0</v>
      </c>
      <c r="BJ417" s="72">
        <v>0</v>
      </c>
      <c r="BK417" s="72">
        <v>0</v>
      </c>
      <c r="BL417" s="72">
        <v>0</v>
      </c>
      <c r="BM417" s="72">
        <v>0</v>
      </c>
      <c r="BN417" s="72">
        <v>0</v>
      </c>
      <c r="BO417" s="72">
        <v>0</v>
      </c>
      <c r="BP417" s="72">
        <v>0</v>
      </c>
      <c r="BQ417" s="72">
        <v>0</v>
      </c>
      <c r="BR417" s="72">
        <v>0</v>
      </c>
      <c r="BS417" s="72">
        <v>0</v>
      </c>
      <c r="BT417" s="72">
        <v>0</v>
      </c>
      <c r="BU417" s="72">
        <v>0</v>
      </c>
      <c r="BV417" s="72">
        <v>0</v>
      </c>
      <c r="BW417" s="72">
        <v>0</v>
      </c>
      <c r="BX417" s="72">
        <v>0</v>
      </c>
      <c r="BY417" s="72">
        <v>0</v>
      </c>
      <c r="BZ417" s="72">
        <v>0</v>
      </c>
      <c r="CA417" s="72">
        <v>0</v>
      </c>
      <c r="CB417" s="72">
        <v>0</v>
      </c>
      <c r="CC417" s="72">
        <v>0</v>
      </c>
      <c r="CD417" s="72">
        <v>0</v>
      </c>
      <c r="CE417" s="72">
        <v>0</v>
      </c>
      <c r="CF417" s="72">
        <v>0</v>
      </c>
      <c r="CG417" s="72">
        <v>0</v>
      </c>
      <c r="CH417" s="72">
        <v>0</v>
      </c>
      <c r="CI417" s="72">
        <v>0</v>
      </c>
      <c r="CJ417" s="72">
        <v>0</v>
      </c>
      <c r="CK417" s="72">
        <v>0</v>
      </c>
      <c r="CL417" s="72">
        <v>0</v>
      </c>
      <c r="CM417" s="72">
        <v>0</v>
      </c>
      <c r="CN417" s="72">
        <v>0</v>
      </c>
      <c r="CO417" s="72">
        <v>0</v>
      </c>
      <c r="CP417" s="72">
        <v>0</v>
      </c>
      <c r="CQ417" s="72">
        <v>0</v>
      </c>
      <c r="CR417" s="72">
        <v>0</v>
      </c>
      <c r="CS417" s="72">
        <v>0</v>
      </c>
      <c r="CT417" s="72">
        <v>0</v>
      </c>
      <c r="CU417" s="72">
        <v>0</v>
      </c>
      <c r="CV417" s="72">
        <v>0</v>
      </c>
      <c r="CW417" s="72">
        <v>0</v>
      </c>
      <c r="CX417" s="72">
        <v>0</v>
      </c>
      <c r="CY417" s="72">
        <v>0</v>
      </c>
      <c r="CZ417" s="72">
        <v>0</v>
      </c>
      <c r="DA417" s="72">
        <v>0</v>
      </c>
      <c r="DB417" s="72">
        <v>0</v>
      </c>
      <c r="DC417" s="72">
        <v>0</v>
      </c>
      <c r="DD417" s="72">
        <v>0</v>
      </c>
      <c r="DE417" s="72">
        <v>0</v>
      </c>
      <c r="DF417" s="72">
        <v>0</v>
      </c>
      <c r="DG417" s="72">
        <v>0</v>
      </c>
      <c r="DH417" s="72">
        <v>0</v>
      </c>
      <c r="DI417" s="72">
        <v>0</v>
      </c>
      <c r="DJ417" s="72">
        <v>0</v>
      </c>
      <c r="DK417" s="72">
        <v>0</v>
      </c>
      <c r="DL417" s="72">
        <v>0</v>
      </c>
      <c r="DM417" s="72">
        <v>0</v>
      </c>
    </row>
    <row r="418" spans="1:117" x14ac:dyDescent="0.35">
      <c r="A418" s="7"/>
      <c r="B418" s="77" t="s">
        <v>1248</v>
      </c>
      <c r="C418" s="9" t="s">
        <v>1253</v>
      </c>
      <c r="D418" s="10" t="s">
        <v>697</v>
      </c>
      <c r="E418" s="8" t="s">
        <v>1205</v>
      </c>
      <c r="F418" s="10"/>
      <c r="G418" s="10" t="s">
        <v>40</v>
      </c>
      <c r="H418" s="10" t="s">
        <v>41</v>
      </c>
      <c r="I418" s="11"/>
      <c r="J418" s="10"/>
      <c r="K418" s="10"/>
      <c r="L418" s="8"/>
      <c r="M418" s="12"/>
      <c r="N418" s="12">
        <f t="shared" si="9"/>
        <v>0</v>
      </c>
      <c r="O418" s="11"/>
      <c r="P418" s="11"/>
      <c r="Q418" s="11"/>
      <c r="R418" s="11"/>
      <c r="S418" s="11"/>
      <c r="T418" s="11"/>
      <c r="U418" s="11"/>
      <c r="V418" s="11"/>
      <c r="W418" s="11"/>
      <c r="X418" s="11"/>
      <c r="Y418" s="11"/>
      <c r="Z418" s="11"/>
      <c r="AA418" s="11"/>
      <c r="AB418" s="11"/>
      <c r="AC418" s="11"/>
      <c r="AD418" s="11"/>
      <c r="AE418" s="11"/>
      <c r="AF418" s="11"/>
      <c r="AG418" s="11"/>
      <c r="AH418" s="11"/>
      <c r="AI418" s="11"/>
      <c r="AJ418" s="11"/>
      <c r="AK418" s="11"/>
      <c r="AL418" s="11"/>
      <c r="AM418" s="11"/>
      <c r="AN418" s="72"/>
      <c r="AO418" s="72"/>
      <c r="AP418" s="72"/>
      <c r="AQ418" s="72"/>
      <c r="AR418" s="72"/>
      <c r="AS418" s="72"/>
      <c r="AT418" s="72"/>
      <c r="AU418" s="72">
        <v>9</v>
      </c>
      <c r="AV418" s="72">
        <v>9</v>
      </c>
      <c r="AW418" s="72">
        <v>9</v>
      </c>
      <c r="AX418" s="72">
        <v>0</v>
      </c>
      <c r="AY418" s="72">
        <v>0</v>
      </c>
      <c r="AZ418" s="72">
        <v>0</v>
      </c>
      <c r="BA418" s="72">
        <v>0</v>
      </c>
      <c r="BB418" s="72">
        <v>0</v>
      </c>
      <c r="BC418" s="72">
        <v>0</v>
      </c>
      <c r="BD418" s="72">
        <v>0</v>
      </c>
      <c r="BE418" s="72">
        <v>0</v>
      </c>
      <c r="BF418" s="72">
        <v>0</v>
      </c>
      <c r="BG418" s="72">
        <v>0</v>
      </c>
      <c r="BH418" s="72">
        <v>0</v>
      </c>
      <c r="BI418" s="72">
        <v>0</v>
      </c>
      <c r="BJ418" s="72">
        <v>0</v>
      </c>
      <c r="BK418" s="72">
        <v>0</v>
      </c>
      <c r="BL418" s="72">
        <v>0</v>
      </c>
      <c r="BM418" s="72">
        <v>0</v>
      </c>
      <c r="BN418" s="72">
        <v>0</v>
      </c>
      <c r="BO418" s="72">
        <v>0</v>
      </c>
      <c r="BP418" s="72">
        <v>0</v>
      </c>
      <c r="BQ418" s="72">
        <v>0</v>
      </c>
      <c r="BR418" s="72">
        <v>0</v>
      </c>
      <c r="BS418" s="72">
        <v>0</v>
      </c>
      <c r="BT418" s="72">
        <v>0</v>
      </c>
      <c r="BU418" s="72">
        <v>0</v>
      </c>
      <c r="BV418" s="72">
        <v>0</v>
      </c>
      <c r="BW418" s="72">
        <v>0</v>
      </c>
      <c r="BX418" s="72">
        <v>0</v>
      </c>
      <c r="BY418" s="72">
        <v>0</v>
      </c>
      <c r="BZ418" s="72">
        <v>0</v>
      </c>
      <c r="CA418" s="72">
        <v>0</v>
      </c>
      <c r="CB418" s="72">
        <v>0</v>
      </c>
      <c r="CC418" s="72">
        <v>0</v>
      </c>
      <c r="CD418" s="72">
        <v>0</v>
      </c>
      <c r="CE418" s="72">
        <v>0</v>
      </c>
      <c r="CF418" s="72">
        <v>0</v>
      </c>
      <c r="CG418" s="72">
        <v>0</v>
      </c>
      <c r="CH418" s="72">
        <v>0</v>
      </c>
      <c r="CI418" s="72">
        <v>0</v>
      </c>
      <c r="CJ418" s="72">
        <v>0</v>
      </c>
      <c r="CK418" s="72">
        <v>0</v>
      </c>
      <c r="CL418" s="72">
        <v>0</v>
      </c>
      <c r="CM418" s="72">
        <v>0</v>
      </c>
      <c r="CN418" s="72">
        <v>0</v>
      </c>
      <c r="CO418" s="72">
        <v>0</v>
      </c>
      <c r="CP418" s="72">
        <v>0</v>
      </c>
      <c r="CQ418" s="72">
        <v>0</v>
      </c>
      <c r="CR418" s="72">
        <v>0</v>
      </c>
      <c r="CS418" s="72">
        <v>0</v>
      </c>
      <c r="CT418" s="72">
        <v>0</v>
      </c>
      <c r="CU418" s="72">
        <v>0</v>
      </c>
      <c r="CV418" s="72">
        <v>0</v>
      </c>
      <c r="CW418" s="72">
        <v>0</v>
      </c>
      <c r="CX418" s="72">
        <v>0</v>
      </c>
      <c r="CY418" s="72">
        <v>0</v>
      </c>
      <c r="CZ418" s="72">
        <v>0</v>
      </c>
      <c r="DA418" s="72">
        <v>0</v>
      </c>
      <c r="DB418" s="72">
        <v>0</v>
      </c>
      <c r="DC418" s="72">
        <v>0</v>
      </c>
      <c r="DD418" s="72">
        <v>0</v>
      </c>
      <c r="DE418" s="72">
        <v>0</v>
      </c>
      <c r="DF418" s="72">
        <v>0</v>
      </c>
      <c r="DG418" s="72">
        <v>0</v>
      </c>
      <c r="DH418" s="72">
        <v>0</v>
      </c>
      <c r="DI418" s="72">
        <v>0</v>
      </c>
      <c r="DJ418" s="72">
        <v>0</v>
      </c>
      <c r="DK418" s="72">
        <v>0</v>
      </c>
      <c r="DL418" s="72">
        <v>0</v>
      </c>
      <c r="DM418" s="72">
        <v>0</v>
      </c>
    </row>
    <row r="419" spans="1:117" x14ac:dyDescent="0.35">
      <c r="A419" s="7"/>
      <c r="B419" s="14" t="s">
        <v>698</v>
      </c>
      <c r="C419" s="9" t="s">
        <v>699</v>
      </c>
      <c r="D419" s="10" t="s">
        <v>697</v>
      </c>
      <c r="E419" s="8" t="s">
        <v>1206</v>
      </c>
      <c r="F419" s="10">
        <v>1002</v>
      </c>
      <c r="G419" s="10" t="s">
        <v>40</v>
      </c>
      <c r="H419" s="10" t="s">
        <v>41</v>
      </c>
      <c r="I419" s="11">
        <v>6</v>
      </c>
      <c r="J419" s="10"/>
      <c r="K419" s="10" t="s">
        <v>42</v>
      </c>
      <c r="L419" s="8"/>
      <c r="M419" s="12">
        <v>462.33</v>
      </c>
      <c r="N419" s="12">
        <f t="shared" si="9"/>
        <v>2311.65</v>
      </c>
      <c r="O419" s="11">
        <v>6</v>
      </c>
      <c r="P419" s="11">
        <v>6</v>
      </c>
      <c r="Q419" s="11">
        <v>6</v>
      </c>
      <c r="R419" s="11">
        <v>6</v>
      </c>
      <c r="S419" s="11">
        <v>6</v>
      </c>
      <c r="T419" s="11">
        <v>6</v>
      </c>
      <c r="U419" s="11">
        <v>6</v>
      </c>
      <c r="V419" s="11">
        <v>6</v>
      </c>
      <c r="W419" s="11">
        <v>6</v>
      </c>
      <c r="X419" s="11">
        <v>6</v>
      </c>
      <c r="Y419" s="11">
        <v>6</v>
      </c>
      <c r="Z419" s="11">
        <v>6</v>
      </c>
      <c r="AA419" s="11">
        <v>6</v>
      </c>
      <c r="AB419" s="11">
        <v>6</v>
      </c>
      <c r="AC419" s="11">
        <v>6</v>
      </c>
      <c r="AD419" s="11">
        <v>6</v>
      </c>
      <c r="AE419" s="11">
        <v>6</v>
      </c>
      <c r="AF419" s="11">
        <v>6</v>
      </c>
      <c r="AG419" s="11">
        <v>6</v>
      </c>
      <c r="AH419" s="11">
        <v>6</v>
      </c>
      <c r="AI419" s="11">
        <v>6</v>
      </c>
      <c r="AJ419" s="11">
        <v>6</v>
      </c>
      <c r="AK419" s="11">
        <v>6</v>
      </c>
      <c r="AL419" s="11">
        <v>6</v>
      </c>
      <c r="AM419" s="11">
        <v>6</v>
      </c>
      <c r="AN419" s="72">
        <v>6</v>
      </c>
      <c r="AO419" s="72">
        <v>6</v>
      </c>
      <c r="AP419" s="72">
        <v>6</v>
      </c>
      <c r="AQ419" s="72">
        <v>6</v>
      </c>
      <c r="AR419" s="72">
        <v>6</v>
      </c>
      <c r="AS419" s="72">
        <v>6</v>
      </c>
      <c r="AT419" s="72">
        <v>6</v>
      </c>
      <c r="AU419" s="72">
        <v>6</v>
      </c>
      <c r="AV419" s="72">
        <v>6</v>
      </c>
      <c r="AW419" s="72">
        <v>6</v>
      </c>
      <c r="AX419" s="72">
        <v>5</v>
      </c>
      <c r="AY419" s="72">
        <v>5</v>
      </c>
      <c r="AZ419" s="72">
        <v>5</v>
      </c>
      <c r="BA419" s="72">
        <v>5</v>
      </c>
      <c r="BB419" s="72">
        <v>5</v>
      </c>
      <c r="BC419" s="72">
        <v>5</v>
      </c>
      <c r="BD419" s="72">
        <v>5</v>
      </c>
      <c r="BE419" s="72">
        <v>5</v>
      </c>
      <c r="BF419" s="72">
        <v>5</v>
      </c>
      <c r="BG419" s="72">
        <v>5</v>
      </c>
      <c r="BH419" s="72">
        <v>5</v>
      </c>
      <c r="BI419" s="72">
        <v>5</v>
      </c>
      <c r="BJ419" s="72">
        <v>5</v>
      </c>
      <c r="BK419" s="72">
        <v>5</v>
      </c>
      <c r="BL419" s="72">
        <v>5</v>
      </c>
      <c r="BM419" s="72">
        <v>5</v>
      </c>
      <c r="BN419" s="72">
        <v>5</v>
      </c>
      <c r="BO419" s="72">
        <v>5</v>
      </c>
      <c r="BP419" s="72">
        <v>5</v>
      </c>
      <c r="BQ419" s="72">
        <v>5</v>
      </c>
      <c r="BR419" s="72">
        <v>5</v>
      </c>
      <c r="BS419" s="72">
        <v>5</v>
      </c>
      <c r="BT419" s="72">
        <v>5</v>
      </c>
      <c r="BU419" s="72">
        <v>5</v>
      </c>
      <c r="BV419" s="72">
        <v>5</v>
      </c>
      <c r="BW419" s="72">
        <v>5</v>
      </c>
      <c r="BX419" s="72">
        <v>5</v>
      </c>
      <c r="BY419" s="72">
        <v>5</v>
      </c>
      <c r="BZ419" s="72">
        <v>5</v>
      </c>
      <c r="CA419" s="72">
        <v>5</v>
      </c>
      <c r="CB419" s="72">
        <v>5</v>
      </c>
      <c r="CC419" s="72">
        <v>5</v>
      </c>
      <c r="CD419" s="72">
        <v>5</v>
      </c>
      <c r="CE419" s="72">
        <v>5</v>
      </c>
      <c r="CF419" s="72">
        <v>5</v>
      </c>
      <c r="CG419" s="72">
        <v>5</v>
      </c>
      <c r="CH419" s="72">
        <v>5</v>
      </c>
      <c r="CI419" s="72">
        <v>5</v>
      </c>
      <c r="CJ419" s="72">
        <v>5</v>
      </c>
      <c r="CK419" s="72">
        <v>5</v>
      </c>
      <c r="CL419" s="72">
        <v>5</v>
      </c>
      <c r="CM419" s="72">
        <v>5</v>
      </c>
      <c r="CN419" s="72">
        <v>5</v>
      </c>
      <c r="CO419" s="72">
        <v>5</v>
      </c>
      <c r="CP419" s="72">
        <v>5</v>
      </c>
      <c r="CQ419" s="72">
        <v>5</v>
      </c>
      <c r="CR419" s="72">
        <v>5</v>
      </c>
      <c r="CS419" s="72">
        <v>5</v>
      </c>
      <c r="CT419" s="72">
        <v>5</v>
      </c>
      <c r="CU419" s="72">
        <v>5</v>
      </c>
      <c r="CV419" s="72">
        <v>5</v>
      </c>
      <c r="CW419" s="72">
        <v>5</v>
      </c>
      <c r="CX419" s="72">
        <v>5</v>
      </c>
      <c r="CY419" s="72">
        <v>5</v>
      </c>
      <c r="CZ419" s="72">
        <v>5</v>
      </c>
      <c r="DA419" s="72">
        <v>5</v>
      </c>
      <c r="DB419" s="72">
        <v>5</v>
      </c>
      <c r="DC419" s="72">
        <v>5</v>
      </c>
      <c r="DD419" s="72">
        <v>5</v>
      </c>
      <c r="DE419" s="72">
        <v>5</v>
      </c>
      <c r="DF419" s="72">
        <v>5</v>
      </c>
      <c r="DG419" s="72">
        <v>5</v>
      </c>
      <c r="DH419" s="72">
        <v>5</v>
      </c>
      <c r="DI419" s="72">
        <v>5</v>
      </c>
      <c r="DJ419" s="72">
        <v>5</v>
      </c>
      <c r="DK419" s="72">
        <v>5</v>
      </c>
      <c r="DL419" s="72">
        <v>5</v>
      </c>
      <c r="DM419" s="72">
        <v>5</v>
      </c>
    </row>
    <row r="420" spans="1:117" x14ac:dyDescent="0.35">
      <c r="A420" s="7"/>
      <c r="B420" s="14" t="s">
        <v>700</v>
      </c>
      <c r="C420" s="9" t="s">
        <v>701</v>
      </c>
      <c r="D420" s="10" t="s">
        <v>697</v>
      </c>
      <c r="E420" s="8" t="s">
        <v>1206</v>
      </c>
      <c r="F420" s="10">
        <v>1002</v>
      </c>
      <c r="G420" s="10" t="s">
        <v>40</v>
      </c>
      <c r="H420" s="10" t="s">
        <v>41</v>
      </c>
      <c r="I420" s="11">
        <v>18</v>
      </c>
      <c r="J420" s="10"/>
      <c r="K420" s="10"/>
      <c r="L420" s="8"/>
      <c r="M420" s="12">
        <v>263</v>
      </c>
      <c r="N420" s="12">
        <f t="shared" si="9"/>
        <v>789</v>
      </c>
      <c r="O420" s="11">
        <v>18</v>
      </c>
      <c r="P420" s="11">
        <v>18</v>
      </c>
      <c r="Q420" s="11">
        <v>18</v>
      </c>
      <c r="R420" s="11">
        <v>18</v>
      </c>
      <c r="S420" s="11">
        <v>18</v>
      </c>
      <c r="T420" s="11">
        <v>18</v>
      </c>
      <c r="U420" s="11">
        <v>18</v>
      </c>
      <c r="V420" s="11">
        <v>18</v>
      </c>
      <c r="W420" s="11">
        <v>18</v>
      </c>
      <c r="X420" s="11">
        <v>18</v>
      </c>
      <c r="Y420" s="11">
        <v>18</v>
      </c>
      <c r="Z420" s="11">
        <v>18</v>
      </c>
      <c r="AA420" s="11">
        <v>18</v>
      </c>
      <c r="AB420" s="11">
        <v>18</v>
      </c>
      <c r="AC420" s="11">
        <v>18</v>
      </c>
      <c r="AD420" s="11">
        <v>18</v>
      </c>
      <c r="AE420" s="11">
        <v>18</v>
      </c>
      <c r="AF420" s="11">
        <v>18</v>
      </c>
      <c r="AG420" s="11">
        <v>18</v>
      </c>
      <c r="AH420" s="11">
        <v>18</v>
      </c>
      <c r="AI420" s="11">
        <v>18</v>
      </c>
      <c r="AJ420" s="11">
        <v>18</v>
      </c>
      <c r="AK420" s="11">
        <v>18</v>
      </c>
      <c r="AL420" s="11">
        <v>18</v>
      </c>
      <c r="AM420" s="11">
        <v>18</v>
      </c>
      <c r="AN420" s="72">
        <v>18</v>
      </c>
      <c r="AO420" s="72">
        <v>18</v>
      </c>
      <c r="AP420" s="72">
        <v>10</v>
      </c>
      <c r="AQ420" s="72">
        <v>10</v>
      </c>
      <c r="AR420" s="72">
        <v>10</v>
      </c>
      <c r="AS420" s="72">
        <v>10</v>
      </c>
      <c r="AT420" s="72">
        <v>10</v>
      </c>
      <c r="AU420" s="72">
        <v>10</v>
      </c>
      <c r="AV420" s="72">
        <v>10</v>
      </c>
      <c r="AW420" s="72">
        <v>10</v>
      </c>
      <c r="AX420" s="72">
        <v>10</v>
      </c>
      <c r="AY420" s="72">
        <v>10</v>
      </c>
      <c r="AZ420" s="72">
        <v>10</v>
      </c>
      <c r="BA420" s="72">
        <v>10</v>
      </c>
      <c r="BB420" s="72">
        <v>10</v>
      </c>
      <c r="BC420" s="72">
        <v>10</v>
      </c>
      <c r="BD420" s="72">
        <v>10</v>
      </c>
      <c r="BE420" s="72">
        <v>10</v>
      </c>
      <c r="BF420" s="72">
        <v>10</v>
      </c>
      <c r="BG420" s="72">
        <v>10</v>
      </c>
      <c r="BH420" s="72">
        <v>10</v>
      </c>
      <c r="BI420" s="72">
        <v>10</v>
      </c>
      <c r="BJ420" s="72">
        <v>10</v>
      </c>
      <c r="BK420" s="72">
        <v>10</v>
      </c>
      <c r="BL420" s="72">
        <v>10</v>
      </c>
      <c r="BM420" s="72">
        <v>10</v>
      </c>
      <c r="BN420" s="72">
        <v>10</v>
      </c>
      <c r="BO420" s="72">
        <v>9</v>
      </c>
      <c r="BP420" s="72">
        <v>9</v>
      </c>
      <c r="BQ420" s="72">
        <v>6</v>
      </c>
      <c r="BR420" s="72">
        <v>4</v>
      </c>
      <c r="BS420" s="72">
        <v>3</v>
      </c>
      <c r="BT420" s="72">
        <v>3</v>
      </c>
      <c r="BU420" s="72">
        <v>3</v>
      </c>
      <c r="BV420" s="72">
        <v>3</v>
      </c>
      <c r="BW420" s="72">
        <v>3</v>
      </c>
      <c r="BX420" s="72">
        <v>3</v>
      </c>
      <c r="BY420" s="72">
        <v>3</v>
      </c>
      <c r="BZ420" s="72">
        <v>3</v>
      </c>
      <c r="CA420" s="72">
        <v>3</v>
      </c>
      <c r="CB420" s="72">
        <v>3</v>
      </c>
      <c r="CC420" s="72">
        <v>3</v>
      </c>
      <c r="CD420" s="72">
        <v>3</v>
      </c>
      <c r="CE420" s="72">
        <v>3</v>
      </c>
      <c r="CF420" s="72">
        <v>3</v>
      </c>
      <c r="CG420" s="72">
        <v>3</v>
      </c>
      <c r="CH420" s="72">
        <v>3</v>
      </c>
      <c r="CI420" s="72">
        <v>3</v>
      </c>
      <c r="CJ420" s="72">
        <v>3</v>
      </c>
      <c r="CK420" s="72">
        <v>3</v>
      </c>
      <c r="CL420" s="72">
        <v>3</v>
      </c>
      <c r="CM420" s="72">
        <v>3</v>
      </c>
      <c r="CN420" s="72">
        <v>3</v>
      </c>
      <c r="CO420" s="72">
        <v>3</v>
      </c>
      <c r="CP420" s="72">
        <v>3</v>
      </c>
      <c r="CQ420" s="72">
        <v>3</v>
      </c>
      <c r="CR420" s="72">
        <v>3</v>
      </c>
      <c r="CS420" s="72">
        <v>3</v>
      </c>
      <c r="CT420" s="72">
        <v>3</v>
      </c>
      <c r="CU420" s="72">
        <v>3</v>
      </c>
      <c r="CV420" s="72">
        <v>3</v>
      </c>
      <c r="CW420" s="72">
        <v>3</v>
      </c>
      <c r="CX420" s="72">
        <v>3</v>
      </c>
      <c r="CY420" s="72">
        <v>3</v>
      </c>
      <c r="CZ420" s="72">
        <v>3</v>
      </c>
      <c r="DA420" s="72">
        <v>3</v>
      </c>
      <c r="DB420" s="72">
        <v>3</v>
      </c>
      <c r="DC420" s="72">
        <v>3</v>
      </c>
      <c r="DD420" s="72">
        <v>3</v>
      </c>
      <c r="DE420" s="72">
        <v>3</v>
      </c>
      <c r="DF420" s="72">
        <v>3</v>
      </c>
      <c r="DG420" s="72">
        <v>3</v>
      </c>
      <c r="DH420" s="72">
        <v>3</v>
      </c>
      <c r="DI420" s="72">
        <v>3</v>
      </c>
      <c r="DJ420" s="72">
        <v>3</v>
      </c>
      <c r="DK420" s="72">
        <v>3</v>
      </c>
      <c r="DL420" s="72">
        <v>3</v>
      </c>
      <c r="DM420" s="72">
        <v>3</v>
      </c>
    </row>
    <row r="421" spans="1:117" x14ac:dyDescent="0.35">
      <c r="A421" s="7"/>
      <c r="B421" s="14" t="s">
        <v>1379</v>
      </c>
      <c r="C421" s="9" t="s">
        <v>701</v>
      </c>
      <c r="D421" s="10" t="s">
        <v>697</v>
      </c>
      <c r="E421" s="8" t="s">
        <v>1206</v>
      </c>
      <c r="F421" s="10"/>
      <c r="G421" s="10"/>
      <c r="H421" s="10" t="s">
        <v>41</v>
      </c>
      <c r="I421" s="11"/>
      <c r="J421" s="10"/>
      <c r="K421" s="10"/>
      <c r="L421" s="8"/>
      <c r="M421" s="12">
        <v>263</v>
      </c>
      <c r="N421" s="12">
        <f t="shared" si="9"/>
        <v>263</v>
      </c>
      <c r="O421" s="11"/>
      <c r="P421" s="11"/>
      <c r="Q421" s="11"/>
      <c r="R421" s="11"/>
      <c r="S421" s="11"/>
      <c r="T421" s="11"/>
      <c r="U421" s="11"/>
      <c r="V421" s="11"/>
      <c r="W421" s="11"/>
      <c r="X421" s="11"/>
      <c r="Y421" s="11"/>
      <c r="Z421" s="11"/>
      <c r="AA421" s="11"/>
      <c r="AB421" s="11"/>
      <c r="AC421" s="11"/>
      <c r="AD421" s="11"/>
      <c r="AE421" s="11"/>
      <c r="AF421" s="11"/>
      <c r="AG421" s="11"/>
      <c r="AH421" s="11"/>
      <c r="AI421" s="11"/>
      <c r="AJ421" s="11"/>
      <c r="AK421" s="11"/>
      <c r="AL421" s="11"/>
      <c r="AM421" s="11"/>
      <c r="AN421" s="72"/>
      <c r="AO421" s="72"/>
      <c r="AP421" s="72"/>
      <c r="AQ421" s="72"/>
      <c r="AR421" s="72"/>
      <c r="AS421" s="72"/>
      <c r="AT421" s="72"/>
      <c r="AU421" s="72"/>
      <c r="AV421" s="72"/>
      <c r="AW421" s="72"/>
      <c r="AX421" s="72"/>
      <c r="AY421" s="72"/>
      <c r="AZ421" s="72"/>
      <c r="BA421" s="72"/>
      <c r="BB421" s="72"/>
      <c r="BC421" s="72"/>
      <c r="BD421" s="72"/>
      <c r="BE421" s="72"/>
      <c r="BF421" s="72"/>
      <c r="BG421" s="72"/>
      <c r="BH421" s="72"/>
      <c r="BI421" s="72"/>
      <c r="BJ421" s="72"/>
      <c r="BK421" s="72"/>
      <c r="BL421" s="72"/>
      <c r="BM421" s="72"/>
      <c r="BN421" s="72"/>
      <c r="BO421" s="72"/>
      <c r="BP421" s="72"/>
      <c r="BQ421" s="72">
        <v>1</v>
      </c>
      <c r="BR421" s="72">
        <v>1</v>
      </c>
      <c r="BS421" s="72">
        <v>1</v>
      </c>
      <c r="BT421" s="72">
        <v>1</v>
      </c>
      <c r="BU421" s="72">
        <v>1</v>
      </c>
      <c r="BV421" s="72">
        <v>1</v>
      </c>
      <c r="BW421" s="72">
        <v>1</v>
      </c>
      <c r="BX421" s="72">
        <v>1</v>
      </c>
      <c r="BY421" s="72">
        <v>1</v>
      </c>
      <c r="BZ421" s="72">
        <v>1</v>
      </c>
      <c r="CA421" s="72">
        <v>1</v>
      </c>
      <c r="CB421" s="72">
        <v>1</v>
      </c>
      <c r="CC421" s="72">
        <v>1</v>
      </c>
      <c r="CD421" s="72">
        <v>1</v>
      </c>
      <c r="CE421" s="72">
        <v>1</v>
      </c>
      <c r="CF421" s="72">
        <v>1</v>
      </c>
      <c r="CG421" s="72">
        <v>1</v>
      </c>
      <c r="CH421" s="72">
        <v>1</v>
      </c>
      <c r="CI421" s="72">
        <v>1</v>
      </c>
      <c r="CJ421" s="72">
        <v>1</v>
      </c>
      <c r="CK421" s="72">
        <v>1</v>
      </c>
      <c r="CL421" s="72">
        <v>1</v>
      </c>
      <c r="CM421" s="72">
        <v>1</v>
      </c>
      <c r="CN421" s="72">
        <v>1</v>
      </c>
      <c r="CO421" s="72">
        <v>1</v>
      </c>
      <c r="CP421" s="72">
        <v>1</v>
      </c>
      <c r="CQ421" s="72">
        <v>1</v>
      </c>
      <c r="CR421" s="72">
        <v>1</v>
      </c>
      <c r="CS421" s="72">
        <v>1</v>
      </c>
      <c r="CT421" s="72">
        <v>1</v>
      </c>
      <c r="CU421" s="72">
        <v>1</v>
      </c>
      <c r="CV421" s="72">
        <v>1</v>
      </c>
      <c r="CW421" s="72">
        <v>1</v>
      </c>
      <c r="CX421" s="72">
        <v>1</v>
      </c>
      <c r="CY421" s="72">
        <v>1</v>
      </c>
      <c r="CZ421" s="72">
        <v>1</v>
      </c>
      <c r="DA421" s="72">
        <v>1</v>
      </c>
      <c r="DB421" s="72">
        <v>1</v>
      </c>
      <c r="DC421" s="72">
        <v>1</v>
      </c>
      <c r="DD421" s="72">
        <v>1</v>
      </c>
      <c r="DE421" s="72">
        <v>1</v>
      </c>
      <c r="DF421" s="72">
        <v>1</v>
      </c>
      <c r="DG421" s="72">
        <v>1</v>
      </c>
      <c r="DH421" s="72">
        <v>1</v>
      </c>
      <c r="DI421" s="72">
        <v>1</v>
      </c>
      <c r="DJ421" s="72">
        <v>1</v>
      </c>
      <c r="DK421" s="72">
        <v>1</v>
      </c>
      <c r="DL421" s="72">
        <v>1</v>
      </c>
      <c r="DM421" s="72">
        <v>1</v>
      </c>
    </row>
    <row r="422" spans="1:117" x14ac:dyDescent="0.35">
      <c r="A422" s="7"/>
      <c r="B422" s="8" t="s">
        <v>702</v>
      </c>
      <c r="C422" s="9" t="s">
        <v>703</v>
      </c>
      <c r="D422" s="10" t="s">
        <v>697</v>
      </c>
      <c r="E422" s="8" t="s">
        <v>1206</v>
      </c>
      <c r="F422" s="10">
        <v>1002</v>
      </c>
      <c r="G422" s="10" t="s">
        <v>40</v>
      </c>
      <c r="H422" s="10" t="s">
        <v>41</v>
      </c>
      <c r="I422" s="11">
        <v>7</v>
      </c>
      <c r="J422" s="10"/>
      <c r="K422" s="10" t="s">
        <v>42</v>
      </c>
      <c r="L422" s="8"/>
      <c r="M422" s="12">
        <v>96.1</v>
      </c>
      <c r="N422" s="12">
        <f t="shared" si="9"/>
        <v>0</v>
      </c>
      <c r="O422" s="11">
        <v>25</v>
      </c>
      <c r="P422" s="11">
        <v>25</v>
      </c>
      <c r="Q422" s="11">
        <v>25</v>
      </c>
      <c r="R422" s="11">
        <v>25</v>
      </c>
      <c r="S422" s="11">
        <v>25</v>
      </c>
      <c r="T422" s="11">
        <v>25</v>
      </c>
      <c r="U422" s="11">
        <v>25</v>
      </c>
      <c r="V422" s="11">
        <v>25</v>
      </c>
      <c r="W422" s="11">
        <v>25</v>
      </c>
      <c r="X422" s="11">
        <v>10</v>
      </c>
      <c r="Y422" s="11">
        <v>10</v>
      </c>
      <c r="Z422" s="11">
        <v>7</v>
      </c>
      <c r="AA422" s="11">
        <v>7</v>
      </c>
      <c r="AB422" s="11">
        <v>7</v>
      </c>
      <c r="AC422" s="11">
        <v>7</v>
      </c>
      <c r="AD422" s="11">
        <v>7</v>
      </c>
      <c r="AE422" s="11">
        <v>7</v>
      </c>
      <c r="AF422" s="11">
        <v>7</v>
      </c>
      <c r="AG422" s="11">
        <v>7</v>
      </c>
      <c r="AH422" s="11">
        <v>7</v>
      </c>
      <c r="AI422" s="11">
        <v>7</v>
      </c>
      <c r="AJ422" s="11">
        <v>7</v>
      </c>
      <c r="AK422" s="11">
        <v>7</v>
      </c>
      <c r="AL422" s="11">
        <v>7</v>
      </c>
      <c r="AM422" s="11">
        <v>7</v>
      </c>
      <c r="AN422" s="72">
        <v>7</v>
      </c>
      <c r="AO422" s="72">
        <v>7</v>
      </c>
      <c r="AP422" s="72">
        <v>7</v>
      </c>
      <c r="AQ422" s="72">
        <v>7</v>
      </c>
      <c r="AR422" s="72">
        <v>7</v>
      </c>
      <c r="AS422" s="72">
        <v>7</v>
      </c>
      <c r="AT422" s="72">
        <v>7</v>
      </c>
      <c r="AU422" s="72">
        <v>7</v>
      </c>
      <c r="AV422" s="72">
        <v>7</v>
      </c>
      <c r="AW422" s="72">
        <v>7</v>
      </c>
      <c r="AX422" s="72">
        <v>7</v>
      </c>
      <c r="AY422" s="72">
        <v>7</v>
      </c>
      <c r="AZ422" s="72">
        <v>7</v>
      </c>
      <c r="BA422" s="72">
        <v>7</v>
      </c>
      <c r="BB422" s="72">
        <v>7</v>
      </c>
      <c r="BC422" s="72">
        <v>7</v>
      </c>
      <c r="BD422" s="72">
        <v>7</v>
      </c>
      <c r="BE422" s="72">
        <v>7</v>
      </c>
      <c r="BF422" s="72">
        <v>7</v>
      </c>
      <c r="BG422" s="72">
        <v>7</v>
      </c>
      <c r="BH422" s="72">
        <v>7</v>
      </c>
      <c r="BI422" s="72">
        <v>7</v>
      </c>
      <c r="BJ422" s="72">
        <v>7</v>
      </c>
      <c r="BK422" s="72">
        <v>7</v>
      </c>
      <c r="BL422" s="72">
        <v>7</v>
      </c>
      <c r="BM422" s="72">
        <v>7</v>
      </c>
      <c r="BN422" s="72">
        <v>7</v>
      </c>
      <c r="BO422" s="72">
        <v>7</v>
      </c>
      <c r="BP422" s="72">
        <v>7</v>
      </c>
      <c r="BQ422" s="72">
        <v>7</v>
      </c>
      <c r="BR422" s="72">
        <v>7</v>
      </c>
      <c r="BS422" s="72">
        <v>6</v>
      </c>
      <c r="BT422" s="72">
        <v>6</v>
      </c>
      <c r="BU422" s="72">
        <v>6</v>
      </c>
      <c r="BV422" s="72">
        <v>6</v>
      </c>
      <c r="BW422" s="72">
        <v>6</v>
      </c>
      <c r="BX422" s="72">
        <v>6</v>
      </c>
      <c r="BY422" s="72">
        <v>6</v>
      </c>
      <c r="BZ422" s="72">
        <v>6</v>
      </c>
      <c r="CA422" s="72">
        <v>6</v>
      </c>
      <c r="CB422" s="72">
        <v>6</v>
      </c>
      <c r="CC422" s="72">
        <v>6</v>
      </c>
      <c r="CD422" s="72">
        <v>6</v>
      </c>
      <c r="CE422" s="72">
        <v>6</v>
      </c>
      <c r="CF422" s="72">
        <v>6</v>
      </c>
      <c r="CG422" s="72">
        <v>6</v>
      </c>
      <c r="CH422" s="72">
        <v>6</v>
      </c>
      <c r="CI422" s="72">
        <v>6</v>
      </c>
      <c r="CJ422" s="72">
        <v>6</v>
      </c>
      <c r="CK422" s="72">
        <v>6</v>
      </c>
      <c r="CL422" s="72">
        <v>6</v>
      </c>
      <c r="CM422" s="72">
        <v>6</v>
      </c>
      <c r="CN422" s="72">
        <v>6</v>
      </c>
      <c r="CO422" s="72">
        <v>6</v>
      </c>
      <c r="CP422" s="72">
        <v>6</v>
      </c>
      <c r="CQ422" s="72">
        <v>6</v>
      </c>
      <c r="CR422" s="72">
        <v>0</v>
      </c>
      <c r="CS422" s="72">
        <v>0</v>
      </c>
      <c r="CT422" s="72">
        <v>0</v>
      </c>
      <c r="CU422" s="72">
        <v>0</v>
      </c>
      <c r="CV422" s="72">
        <v>0</v>
      </c>
      <c r="CW422" s="72">
        <v>0</v>
      </c>
      <c r="CX422" s="72">
        <v>0</v>
      </c>
      <c r="CY422" s="72">
        <v>0</v>
      </c>
      <c r="CZ422" s="72">
        <v>0</v>
      </c>
      <c r="DA422" s="72">
        <v>0</v>
      </c>
      <c r="DB422" s="72">
        <v>0</v>
      </c>
      <c r="DC422" s="72">
        <v>0</v>
      </c>
      <c r="DD422" s="72">
        <v>0</v>
      </c>
      <c r="DE422" s="72">
        <v>0</v>
      </c>
      <c r="DF422" s="72">
        <v>0</v>
      </c>
      <c r="DG422" s="72">
        <v>0</v>
      </c>
      <c r="DH422" s="72">
        <v>0</v>
      </c>
      <c r="DI422" s="72">
        <v>0</v>
      </c>
      <c r="DJ422" s="72">
        <v>0</v>
      </c>
      <c r="DK422" s="72">
        <v>0</v>
      </c>
      <c r="DL422" s="72">
        <v>0</v>
      </c>
      <c r="DM422" s="72">
        <v>0</v>
      </c>
    </row>
    <row r="423" spans="1:117" x14ac:dyDescent="0.35">
      <c r="A423" s="7"/>
      <c r="B423" s="8" t="s">
        <v>704</v>
      </c>
      <c r="C423" s="9" t="s">
        <v>705</v>
      </c>
      <c r="D423" s="10" t="s">
        <v>697</v>
      </c>
      <c r="E423" s="8" t="s">
        <v>1206</v>
      </c>
      <c r="F423" s="10">
        <v>1002</v>
      </c>
      <c r="G423" s="10" t="s">
        <v>40</v>
      </c>
      <c r="H423" s="10" t="s">
        <v>41</v>
      </c>
      <c r="I423" s="11">
        <v>190</v>
      </c>
      <c r="J423" s="10"/>
      <c r="K423" s="10" t="s">
        <v>42</v>
      </c>
      <c r="L423" s="8"/>
      <c r="M423" s="12">
        <v>96</v>
      </c>
      <c r="N423" s="12">
        <f t="shared" si="9"/>
        <v>96</v>
      </c>
      <c r="O423" s="11">
        <v>188</v>
      </c>
      <c r="P423" s="11">
        <v>188</v>
      </c>
      <c r="Q423" s="11">
        <v>188</v>
      </c>
      <c r="R423" s="11">
        <v>188</v>
      </c>
      <c r="S423" s="11">
        <v>188</v>
      </c>
      <c r="T423" s="11">
        <v>188</v>
      </c>
      <c r="U423" s="11">
        <v>188</v>
      </c>
      <c r="V423" s="11">
        <v>188</v>
      </c>
      <c r="W423" s="11">
        <v>188</v>
      </c>
      <c r="X423" s="11">
        <v>188</v>
      </c>
      <c r="Y423" s="11">
        <v>188</v>
      </c>
      <c r="Z423" s="11">
        <v>188</v>
      </c>
      <c r="AA423" s="11">
        <v>188</v>
      </c>
      <c r="AB423" s="11">
        <v>188</v>
      </c>
      <c r="AC423" s="11">
        <v>190</v>
      </c>
      <c r="AD423" s="11">
        <v>190</v>
      </c>
      <c r="AE423" s="11">
        <v>190</v>
      </c>
      <c r="AF423" s="11">
        <v>190</v>
      </c>
      <c r="AG423" s="11">
        <v>190</v>
      </c>
      <c r="AH423" s="11">
        <v>190</v>
      </c>
      <c r="AI423" s="11">
        <v>190</v>
      </c>
      <c r="AJ423" s="11">
        <v>190</v>
      </c>
      <c r="AK423" s="11">
        <v>190</v>
      </c>
      <c r="AL423" s="11">
        <v>190</v>
      </c>
      <c r="AM423" s="11">
        <v>190</v>
      </c>
      <c r="AN423" s="72">
        <v>190</v>
      </c>
      <c r="AO423" s="72">
        <v>190</v>
      </c>
      <c r="AP423" s="72">
        <v>189</v>
      </c>
      <c r="AQ423" s="72">
        <v>189</v>
      </c>
      <c r="AR423" s="72">
        <v>189</v>
      </c>
      <c r="AS423" s="72">
        <v>189</v>
      </c>
      <c r="AT423" s="72">
        <v>189</v>
      </c>
      <c r="AU423" s="72">
        <v>189</v>
      </c>
      <c r="AV423" s="72">
        <v>189</v>
      </c>
      <c r="AW423" s="72">
        <v>189</v>
      </c>
      <c r="AX423" s="72">
        <v>188</v>
      </c>
      <c r="AY423" s="72">
        <v>188</v>
      </c>
      <c r="AZ423" s="72">
        <v>188</v>
      </c>
      <c r="BA423" s="72">
        <v>188</v>
      </c>
      <c r="BB423" s="72">
        <v>188</v>
      </c>
      <c r="BC423" s="72">
        <v>188</v>
      </c>
      <c r="BD423" s="72">
        <v>188</v>
      </c>
      <c r="BE423" s="72">
        <v>188</v>
      </c>
      <c r="BF423" s="72">
        <v>188</v>
      </c>
      <c r="BG423" s="72">
        <v>188</v>
      </c>
      <c r="BH423" s="72">
        <v>179</v>
      </c>
      <c r="BI423" s="72">
        <v>179</v>
      </c>
      <c r="BJ423" s="72">
        <v>179</v>
      </c>
      <c r="BK423" s="72">
        <v>179</v>
      </c>
      <c r="BL423" s="72">
        <v>179</v>
      </c>
      <c r="BM423" s="72">
        <v>167</v>
      </c>
      <c r="BN423" s="72">
        <v>161</v>
      </c>
      <c r="BO423" s="72">
        <v>110</v>
      </c>
      <c r="BP423" s="72">
        <v>103</v>
      </c>
      <c r="BQ423" s="72">
        <v>97</v>
      </c>
      <c r="BR423" s="72">
        <v>66</v>
      </c>
      <c r="BS423" s="72">
        <v>66</v>
      </c>
      <c r="BT423" s="72">
        <v>66</v>
      </c>
      <c r="BU423" s="72">
        <v>65</v>
      </c>
      <c r="BV423" s="72">
        <v>65</v>
      </c>
      <c r="BW423" s="72">
        <v>65</v>
      </c>
      <c r="BX423" s="72">
        <v>65</v>
      </c>
      <c r="BY423" s="72">
        <v>65</v>
      </c>
      <c r="BZ423" s="72">
        <v>62</v>
      </c>
      <c r="CA423" s="72">
        <v>43</v>
      </c>
      <c r="CB423" s="72">
        <v>43</v>
      </c>
      <c r="CC423" s="72">
        <v>43</v>
      </c>
      <c r="CD423" s="72">
        <v>41</v>
      </c>
      <c r="CE423" s="72">
        <v>41</v>
      </c>
      <c r="CF423" s="72">
        <v>41</v>
      </c>
      <c r="CG423" s="72">
        <v>41</v>
      </c>
      <c r="CH423" s="72">
        <v>35</v>
      </c>
      <c r="CI423" s="72">
        <v>34</v>
      </c>
      <c r="CJ423" s="72">
        <v>27</v>
      </c>
      <c r="CK423" s="72">
        <v>23</v>
      </c>
      <c r="CL423" s="72">
        <v>23</v>
      </c>
      <c r="CM423" s="72">
        <v>20</v>
      </c>
      <c r="CN423" s="72">
        <v>14</v>
      </c>
      <c r="CO423" s="72">
        <v>2</v>
      </c>
      <c r="CP423" s="72">
        <v>1</v>
      </c>
      <c r="CQ423" s="72">
        <v>1</v>
      </c>
      <c r="CR423" s="72">
        <v>1</v>
      </c>
      <c r="CS423" s="72">
        <v>1</v>
      </c>
      <c r="CT423" s="72">
        <v>1</v>
      </c>
      <c r="CU423" s="72">
        <v>1</v>
      </c>
      <c r="CV423" s="72">
        <v>1</v>
      </c>
      <c r="CW423" s="72">
        <v>1</v>
      </c>
      <c r="CX423" s="72">
        <v>1</v>
      </c>
      <c r="CY423" s="72">
        <v>1</v>
      </c>
      <c r="CZ423" s="72">
        <v>1</v>
      </c>
      <c r="DA423" s="72">
        <v>1</v>
      </c>
      <c r="DB423" s="72">
        <v>1</v>
      </c>
      <c r="DC423" s="72">
        <v>1</v>
      </c>
      <c r="DD423" s="72">
        <v>1</v>
      </c>
      <c r="DE423" s="72">
        <v>1</v>
      </c>
      <c r="DF423" s="72">
        <v>1</v>
      </c>
      <c r="DG423" s="72">
        <v>1</v>
      </c>
      <c r="DH423" s="72">
        <v>1</v>
      </c>
      <c r="DI423" s="72">
        <v>1</v>
      </c>
      <c r="DJ423" s="72">
        <v>1</v>
      </c>
      <c r="DK423" s="72">
        <v>1</v>
      </c>
      <c r="DL423" s="72">
        <v>1</v>
      </c>
      <c r="DM423" s="72">
        <v>1</v>
      </c>
    </row>
    <row r="424" spans="1:117" x14ac:dyDescent="0.35">
      <c r="A424" s="7"/>
      <c r="B424" s="8" t="s">
        <v>706</v>
      </c>
      <c r="C424" s="9" t="s">
        <v>707</v>
      </c>
      <c r="D424" s="10" t="s">
        <v>697</v>
      </c>
      <c r="E424" s="8" t="s">
        <v>1205</v>
      </c>
      <c r="F424" s="10">
        <v>1006</v>
      </c>
      <c r="G424" s="10" t="s">
        <v>40</v>
      </c>
      <c r="H424" s="10" t="s">
        <v>41</v>
      </c>
      <c r="I424" s="11">
        <v>2</v>
      </c>
      <c r="J424" s="10"/>
      <c r="K424" s="10" t="s">
        <v>42</v>
      </c>
      <c r="L424" s="8"/>
      <c r="M424" s="12">
        <v>18</v>
      </c>
      <c r="N424" s="12">
        <f t="shared" si="9"/>
        <v>18</v>
      </c>
      <c r="O424" s="11">
        <v>6</v>
      </c>
      <c r="P424" s="11">
        <v>6</v>
      </c>
      <c r="Q424" s="11">
        <v>6</v>
      </c>
      <c r="R424" s="11">
        <v>5</v>
      </c>
      <c r="S424" s="11">
        <v>5</v>
      </c>
      <c r="T424" s="11">
        <v>3</v>
      </c>
      <c r="U424" s="11">
        <v>3</v>
      </c>
      <c r="V424" s="11">
        <v>3</v>
      </c>
      <c r="W424" s="11">
        <v>3</v>
      </c>
      <c r="X424" s="11">
        <v>3</v>
      </c>
      <c r="Y424" s="11">
        <v>3</v>
      </c>
      <c r="Z424" s="11">
        <v>2</v>
      </c>
      <c r="AA424" s="11">
        <v>2</v>
      </c>
      <c r="AB424" s="11">
        <v>2</v>
      </c>
      <c r="AC424" s="11">
        <v>2</v>
      </c>
      <c r="AD424" s="11">
        <v>2</v>
      </c>
      <c r="AE424" s="11">
        <v>2</v>
      </c>
      <c r="AF424" s="11">
        <v>2</v>
      </c>
      <c r="AG424" s="11">
        <v>2</v>
      </c>
      <c r="AH424" s="11">
        <v>2</v>
      </c>
      <c r="AI424" s="11">
        <v>2</v>
      </c>
      <c r="AJ424" s="11">
        <v>2</v>
      </c>
      <c r="AK424" s="11">
        <v>2</v>
      </c>
      <c r="AL424" s="11">
        <v>2</v>
      </c>
      <c r="AM424" s="11">
        <v>2</v>
      </c>
      <c r="AN424" s="72">
        <v>2</v>
      </c>
      <c r="AO424" s="72">
        <v>2</v>
      </c>
      <c r="AP424" s="72">
        <v>2</v>
      </c>
      <c r="AQ424" s="72">
        <v>2</v>
      </c>
      <c r="AR424" s="72">
        <v>2</v>
      </c>
      <c r="AS424" s="72">
        <v>2</v>
      </c>
      <c r="AT424" s="72">
        <v>2</v>
      </c>
      <c r="AU424" s="72">
        <v>2</v>
      </c>
      <c r="AV424" s="72">
        <v>2</v>
      </c>
      <c r="AW424" s="72">
        <v>2</v>
      </c>
      <c r="AX424" s="72">
        <v>2</v>
      </c>
      <c r="AY424" s="72">
        <v>2</v>
      </c>
      <c r="AZ424" s="72">
        <v>2</v>
      </c>
      <c r="BA424" s="72">
        <v>2</v>
      </c>
      <c r="BB424" s="72">
        <v>2</v>
      </c>
      <c r="BC424" s="72">
        <v>2</v>
      </c>
      <c r="BD424" s="72">
        <v>2</v>
      </c>
      <c r="BE424" s="72">
        <v>2</v>
      </c>
      <c r="BF424" s="72">
        <v>2</v>
      </c>
      <c r="BG424" s="72">
        <v>2</v>
      </c>
      <c r="BH424" s="72">
        <v>2</v>
      </c>
      <c r="BI424" s="72">
        <v>2</v>
      </c>
      <c r="BJ424" s="72">
        <v>2</v>
      </c>
      <c r="BK424" s="72">
        <v>2</v>
      </c>
      <c r="BL424" s="72">
        <v>2</v>
      </c>
      <c r="BM424" s="72">
        <v>2</v>
      </c>
      <c r="BN424" s="72">
        <v>2</v>
      </c>
      <c r="BO424" s="72">
        <v>1</v>
      </c>
      <c r="BP424" s="72">
        <v>1</v>
      </c>
      <c r="BQ424" s="72">
        <v>2</v>
      </c>
      <c r="BR424" s="72">
        <v>2</v>
      </c>
      <c r="BS424" s="72">
        <v>2</v>
      </c>
      <c r="BT424" s="72">
        <v>2</v>
      </c>
      <c r="BU424" s="72">
        <v>2</v>
      </c>
      <c r="BV424" s="72">
        <v>2</v>
      </c>
      <c r="BW424" s="72">
        <v>2</v>
      </c>
      <c r="BX424" s="72">
        <v>2</v>
      </c>
      <c r="BY424" s="72">
        <v>2</v>
      </c>
      <c r="BZ424" s="72">
        <v>2</v>
      </c>
      <c r="CA424" s="72">
        <v>2</v>
      </c>
      <c r="CB424" s="72">
        <v>2</v>
      </c>
      <c r="CC424" s="72">
        <v>2</v>
      </c>
      <c r="CD424" s="72">
        <v>2</v>
      </c>
      <c r="CE424" s="72">
        <v>2</v>
      </c>
      <c r="CF424" s="72">
        <v>2</v>
      </c>
      <c r="CG424" s="72">
        <v>2</v>
      </c>
      <c r="CH424" s="72">
        <v>2</v>
      </c>
      <c r="CI424" s="72">
        <v>2</v>
      </c>
      <c r="CJ424" s="72">
        <v>2</v>
      </c>
      <c r="CK424" s="72">
        <v>2</v>
      </c>
      <c r="CL424" s="72">
        <v>1</v>
      </c>
      <c r="CM424" s="72">
        <v>1</v>
      </c>
      <c r="CN424" s="72">
        <v>1</v>
      </c>
      <c r="CO424" s="72">
        <v>1</v>
      </c>
      <c r="CP424" s="72">
        <v>1</v>
      </c>
      <c r="CQ424" s="72">
        <v>1</v>
      </c>
      <c r="CR424" s="72">
        <v>1</v>
      </c>
      <c r="CS424" s="72">
        <v>0</v>
      </c>
      <c r="CT424" s="72">
        <v>0</v>
      </c>
      <c r="CU424" s="72">
        <v>0</v>
      </c>
      <c r="CV424" s="72">
        <v>0</v>
      </c>
      <c r="CW424" s="72">
        <v>0</v>
      </c>
      <c r="CX424" s="72">
        <v>2</v>
      </c>
      <c r="CY424" s="72">
        <v>2</v>
      </c>
      <c r="CZ424" s="72">
        <v>2</v>
      </c>
      <c r="DA424" s="72">
        <v>2</v>
      </c>
      <c r="DB424" s="72">
        <v>2</v>
      </c>
      <c r="DC424" s="72">
        <v>2</v>
      </c>
      <c r="DD424" s="72">
        <v>2</v>
      </c>
      <c r="DE424" s="72">
        <v>2</v>
      </c>
      <c r="DF424" s="72">
        <v>2</v>
      </c>
      <c r="DG424" s="72">
        <v>2</v>
      </c>
      <c r="DH424" s="72">
        <v>2</v>
      </c>
      <c r="DI424" s="72">
        <v>2</v>
      </c>
      <c r="DJ424" s="72">
        <v>1</v>
      </c>
      <c r="DK424" s="72">
        <v>1</v>
      </c>
      <c r="DL424" s="72">
        <v>1</v>
      </c>
      <c r="DM424" s="72">
        <v>1</v>
      </c>
    </row>
    <row r="425" spans="1:117" x14ac:dyDescent="0.35">
      <c r="A425" s="7"/>
      <c r="B425" s="8" t="s">
        <v>708</v>
      </c>
      <c r="C425" s="9" t="s">
        <v>709</v>
      </c>
      <c r="D425" s="10" t="s">
        <v>697</v>
      </c>
      <c r="E425" s="8" t="s">
        <v>1205</v>
      </c>
      <c r="F425" s="10">
        <v>1006</v>
      </c>
      <c r="G425" s="10" t="s">
        <v>40</v>
      </c>
      <c r="H425" s="10" t="s">
        <v>41</v>
      </c>
      <c r="I425" s="11">
        <v>23</v>
      </c>
      <c r="J425" s="10">
        <v>3</v>
      </c>
      <c r="K425" s="10" t="s">
        <v>42</v>
      </c>
      <c r="L425" s="8" t="s">
        <v>710</v>
      </c>
      <c r="M425" s="12">
        <v>30</v>
      </c>
      <c r="N425" s="12">
        <f t="shared" si="9"/>
        <v>120</v>
      </c>
      <c r="O425" s="11">
        <v>24</v>
      </c>
      <c r="P425" s="11">
        <v>24</v>
      </c>
      <c r="Q425" s="11">
        <v>24</v>
      </c>
      <c r="R425" s="11">
        <v>20</v>
      </c>
      <c r="S425" s="11">
        <v>20</v>
      </c>
      <c r="T425" s="11">
        <v>20</v>
      </c>
      <c r="U425" s="11">
        <v>20</v>
      </c>
      <c r="V425" s="11">
        <v>20</v>
      </c>
      <c r="W425" s="11">
        <v>23</v>
      </c>
      <c r="X425" s="11">
        <v>23</v>
      </c>
      <c r="Y425" s="11">
        <v>23</v>
      </c>
      <c r="Z425" s="11">
        <v>23</v>
      </c>
      <c r="AA425" s="11">
        <v>23</v>
      </c>
      <c r="AB425" s="11">
        <v>23</v>
      </c>
      <c r="AC425" s="11">
        <v>23</v>
      </c>
      <c r="AD425" s="11">
        <v>23</v>
      </c>
      <c r="AE425" s="11">
        <v>23</v>
      </c>
      <c r="AF425" s="11">
        <v>21</v>
      </c>
      <c r="AG425" s="11">
        <v>23</v>
      </c>
      <c r="AH425" s="11">
        <v>23</v>
      </c>
      <c r="AI425" s="11">
        <v>23</v>
      </c>
      <c r="AJ425" s="11">
        <v>23</v>
      </c>
      <c r="AK425" s="11">
        <v>23</v>
      </c>
      <c r="AL425" s="11">
        <v>23</v>
      </c>
      <c r="AM425" s="11">
        <v>23</v>
      </c>
      <c r="AN425" s="72">
        <v>19</v>
      </c>
      <c r="AO425" s="72">
        <v>23</v>
      </c>
      <c r="AP425" s="72">
        <v>23</v>
      </c>
      <c r="AQ425" s="72">
        <v>23</v>
      </c>
      <c r="AR425" s="72">
        <v>23</v>
      </c>
      <c r="AS425" s="72">
        <v>23</v>
      </c>
      <c r="AT425" s="72">
        <v>23</v>
      </c>
      <c r="AU425" s="72">
        <v>23</v>
      </c>
      <c r="AV425" s="72">
        <v>23</v>
      </c>
      <c r="AW425" s="72">
        <v>23</v>
      </c>
      <c r="AX425" s="72">
        <v>23</v>
      </c>
      <c r="AY425" s="72">
        <v>23</v>
      </c>
      <c r="AZ425" s="72">
        <v>21</v>
      </c>
      <c r="BA425" s="72">
        <v>21</v>
      </c>
      <c r="BB425" s="72">
        <v>5</v>
      </c>
      <c r="BC425" s="72">
        <v>5</v>
      </c>
      <c r="BD425" s="72">
        <v>5</v>
      </c>
      <c r="BE425" s="72">
        <v>4</v>
      </c>
      <c r="BF425" s="72">
        <v>4</v>
      </c>
      <c r="BG425" s="72">
        <v>4</v>
      </c>
      <c r="BH425" s="72">
        <v>2</v>
      </c>
      <c r="BI425" s="72">
        <v>2</v>
      </c>
      <c r="BJ425" s="72">
        <v>2</v>
      </c>
      <c r="BK425" s="72">
        <v>2</v>
      </c>
      <c r="BL425" s="72">
        <v>2</v>
      </c>
      <c r="BM425" s="72">
        <v>0</v>
      </c>
      <c r="BN425" s="72">
        <v>2</v>
      </c>
      <c r="BO425" s="72">
        <v>2</v>
      </c>
      <c r="BP425" s="72">
        <v>0</v>
      </c>
      <c r="BQ425" s="72">
        <v>0</v>
      </c>
      <c r="BR425" s="72">
        <v>1</v>
      </c>
      <c r="BS425" s="72">
        <v>1</v>
      </c>
      <c r="BT425" s="72">
        <v>1</v>
      </c>
      <c r="BU425" s="72">
        <v>1</v>
      </c>
      <c r="BV425" s="72">
        <v>1</v>
      </c>
      <c r="BW425" s="72">
        <v>1</v>
      </c>
      <c r="BX425" s="72">
        <v>1</v>
      </c>
      <c r="BY425" s="72">
        <v>1</v>
      </c>
      <c r="BZ425" s="72">
        <v>1</v>
      </c>
      <c r="CA425" s="72">
        <v>1</v>
      </c>
      <c r="CB425" s="72">
        <v>1</v>
      </c>
      <c r="CC425" s="72">
        <v>1</v>
      </c>
      <c r="CD425" s="72">
        <v>1</v>
      </c>
      <c r="CE425" s="72">
        <v>1</v>
      </c>
      <c r="CF425" s="72">
        <v>1</v>
      </c>
      <c r="CG425" s="72">
        <v>1</v>
      </c>
      <c r="CH425" s="72">
        <v>1</v>
      </c>
      <c r="CI425" s="72">
        <v>1</v>
      </c>
      <c r="CJ425" s="72">
        <v>1</v>
      </c>
      <c r="CK425" s="72">
        <v>1</v>
      </c>
      <c r="CL425" s="72">
        <v>1</v>
      </c>
      <c r="CM425" s="72">
        <v>1</v>
      </c>
      <c r="CN425" s="72">
        <v>0</v>
      </c>
      <c r="CO425" s="72">
        <v>0</v>
      </c>
      <c r="CP425" s="72">
        <v>0</v>
      </c>
      <c r="CQ425" s="72">
        <v>0</v>
      </c>
      <c r="CR425" s="72">
        <v>0</v>
      </c>
      <c r="CS425" s="72">
        <v>0</v>
      </c>
      <c r="CT425" s="72">
        <v>0</v>
      </c>
      <c r="CU425" s="72">
        <v>0</v>
      </c>
      <c r="CV425" s="72">
        <v>0</v>
      </c>
      <c r="CW425" s="72">
        <v>4</v>
      </c>
      <c r="CX425" s="72">
        <v>4</v>
      </c>
      <c r="CY425" s="72">
        <v>4</v>
      </c>
      <c r="CZ425" s="72">
        <v>4</v>
      </c>
      <c r="DA425" s="72">
        <v>4</v>
      </c>
      <c r="DB425" s="72">
        <v>4</v>
      </c>
      <c r="DC425" s="72">
        <v>4</v>
      </c>
      <c r="DD425" s="72">
        <v>4</v>
      </c>
      <c r="DE425" s="72">
        <v>4</v>
      </c>
      <c r="DF425" s="72">
        <v>4</v>
      </c>
      <c r="DG425" s="72">
        <v>4</v>
      </c>
      <c r="DH425" s="72">
        <v>4</v>
      </c>
      <c r="DI425" s="72">
        <v>4</v>
      </c>
      <c r="DJ425" s="72">
        <v>4</v>
      </c>
      <c r="DK425" s="72">
        <v>4</v>
      </c>
      <c r="DL425" s="72">
        <v>4</v>
      </c>
      <c r="DM425" s="72">
        <v>4</v>
      </c>
    </row>
    <row r="426" spans="1:117" x14ac:dyDescent="0.35">
      <c r="A426" s="7"/>
      <c r="B426" s="8" t="s">
        <v>711</v>
      </c>
      <c r="C426" s="9" t="s">
        <v>712</v>
      </c>
      <c r="D426" s="10" t="s">
        <v>697</v>
      </c>
      <c r="E426" s="8" t="s">
        <v>1203</v>
      </c>
      <c r="F426" s="10">
        <v>1002</v>
      </c>
      <c r="G426" s="10" t="s">
        <v>40</v>
      </c>
      <c r="H426" s="10" t="s">
        <v>41</v>
      </c>
      <c r="I426" s="11">
        <v>1</v>
      </c>
      <c r="J426" s="10"/>
      <c r="K426" s="10"/>
      <c r="L426" s="8"/>
      <c r="M426" s="12">
        <v>149.16999999999999</v>
      </c>
      <c r="N426" s="12">
        <f t="shared" si="9"/>
        <v>0</v>
      </c>
      <c r="O426" s="11">
        <v>1</v>
      </c>
      <c r="P426" s="11">
        <v>1</v>
      </c>
      <c r="Q426" s="11">
        <v>1</v>
      </c>
      <c r="R426" s="11">
        <v>1</v>
      </c>
      <c r="S426" s="11">
        <v>1</v>
      </c>
      <c r="T426" s="11">
        <v>1</v>
      </c>
      <c r="U426" s="11">
        <v>1</v>
      </c>
      <c r="V426" s="11">
        <v>1</v>
      </c>
      <c r="W426" s="11">
        <v>1</v>
      </c>
      <c r="X426" s="11">
        <v>1</v>
      </c>
      <c r="Y426" s="11">
        <v>1</v>
      </c>
      <c r="Z426" s="11">
        <v>1</v>
      </c>
      <c r="AA426" s="11">
        <v>1</v>
      </c>
      <c r="AB426" s="11">
        <v>1</v>
      </c>
      <c r="AC426" s="11">
        <v>1</v>
      </c>
      <c r="AD426" s="11">
        <v>1</v>
      </c>
      <c r="AE426" s="11">
        <v>1</v>
      </c>
      <c r="AF426" s="11">
        <v>1</v>
      </c>
      <c r="AG426" s="11">
        <v>1</v>
      </c>
      <c r="AH426" s="11">
        <v>1</v>
      </c>
      <c r="AI426" s="11">
        <v>1</v>
      </c>
      <c r="AJ426" s="11">
        <v>1</v>
      </c>
      <c r="AK426" s="11">
        <v>1</v>
      </c>
      <c r="AL426" s="11">
        <v>1</v>
      </c>
      <c r="AM426" s="11">
        <v>1</v>
      </c>
      <c r="AN426" s="72">
        <v>1</v>
      </c>
      <c r="AO426" s="72">
        <v>1</v>
      </c>
      <c r="AP426" s="72">
        <v>1</v>
      </c>
      <c r="AQ426" s="72">
        <v>1</v>
      </c>
      <c r="AR426" s="72">
        <v>1</v>
      </c>
      <c r="AS426" s="72">
        <v>1</v>
      </c>
      <c r="AT426" s="72">
        <v>1</v>
      </c>
      <c r="AU426" s="72">
        <v>1</v>
      </c>
      <c r="AV426" s="72">
        <v>1</v>
      </c>
      <c r="AW426" s="72">
        <v>1</v>
      </c>
      <c r="AX426" s="72">
        <v>1</v>
      </c>
      <c r="AY426" s="72">
        <v>1</v>
      </c>
      <c r="AZ426" s="72">
        <v>1</v>
      </c>
      <c r="BA426" s="72">
        <v>1</v>
      </c>
      <c r="BB426" s="72">
        <v>1</v>
      </c>
      <c r="BC426" s="72">
        <v>1</v>
      </c>
      <c r="BD426" s="72">
        <v>1</v>
      </c>
      <c r="BE426" s="72">
        <v>1</v>
      </c>
      <c r="BF426" s="72">
        <v>1</v>
      </c>
      <c r="BG426" s="72">
        <v>1</v>
      </c>
      <c r="BH426" s="72">
        <v>1</v>
      </c>
      <c r="BI426" s="72">
        <v>1</v>
      </c>
      <c r="BJ426" s="72">
        <v>1</v>
      </c>
      <c r="BK426" s="72">
        <v>1</v>
      </c>
      <c r="BL426" s="72">
        <v>1</v>
      </c>
      <c r="BM426" s="72">
        <v>1</v>
      </c>
      <c r="BN426" s="72">
        <v>1</v>
      </c>
      <c r="BO426" s="72">
        <v>1</v>
      </c>
      <c r="BP426" s="72">
        <v>1</v>
      </c>
      <c r="BQ426" s="72">
        <v>1</v>
      </c>
      <c r="BR426" s="72">
        <v>1</v>
      </c>
      <c r="BS426" s="72">
        <v>1</v>
      </c>
      <c r="BT426" s="72">
        <v>0</v>
      </c>
      <c r="BU426" s="72">
        <v>0</v>
      </c>
      <c r="BV426" s="72">
        <v>0</v>
      </c>
      <c r="BW426" s="72">
        <v>0</v>
      </c>
      <c r="BX426" s="72">
        <v>0</v>
      </c>
      <c r="BY426" s="72">
        <v>0</v>
      </c>
      <c r="BZ426" s="72">
        <v>0</v>
      </c>
      <c r="CA426" s="72">
        <v>0</v>
      </c>
      <c r="CB426" s="72">
        <v>0</v>
      </c>
      <c r="CC426" s="72">
        <v>0</v>
      </c>
      <c r="CD426" s="72">
        <v>0</v>
      </c>
      <c r="CE426" s="72">
        <v>0</v>
      </c>
      <c r="CF426" s="72">
        <v>0</v>
      </c>
      <c r="CG426" s="72">
        <v>0</v>
      </c>
      <c r="CH426" s="72">
        <v>0</v>
      </c>
      <c r="CI426" s="72">
        <v>0</v>
      </c>
      <c r="CJ426" s="72">
        <v>0</v>
      </c>
      <c r="CK426" s="72">
        <v>0</v>
      </c>
      <c r="CL426" s="72">
        <v>0</v>
      </c>
      <c r="CM426" s="72">
        <v>0</v>
      </c>
      <c r="CN426" s="72">
        <v>0</v>
      </c>
      <c r="CO426" s="72">
        <v>0</v>
      </c>
      <c r="CP426" s="72">
        <v>0</v>
      </c>
      <c r="CQ426" s="72">
        <v>0</v>
      </c>
      <c r="CR426" s="72">
        <v>0</v>
      </c>
      <c r="CS426" s="72">
        <v>0</v>
      </c>
      <c r="CT426" s="72">
        <v>0</v>
      </c>
      <c r="CU426" s="72">
        <v>0</v>
      </c>
      <c r="CV426" s="72">
        <v>0</v>
      </c>
      <c r="CW426" s="72">
        <v>0</v>
      </c>
      <c r="CX426" s="72">
        <v>0</v>
      </c>
      <c r="CY426" s="72">
        <v>0</v>
      </c>
      <c r="CZ426" s="72">
        <v>0</v>
      </c>
      <c r="DA426" s="72">
        <v>0</v>
      </c>
      <c r="DB426" s="72">
        <v>0</v>
      </c>
      <c r="DC426" s="72">
        <v>0</v>
      </c>
      <c r="DD426" s="72">
        <v>0</v>
      </c>
      <c r="DE426" s="72">
        <v>0</v>
      </c>
      <c r="DF426" s="72">
        <v>0</v>
      </c>
      <c r="DG426" s="72">
        <v>0</v>
      </c>
      <c r="DH426" s="72">
        <v>0</v>
      </c>
      <c r="DI426" s="72">
        <v>0</v>
      </c>
      <c r="DJ426" s="72">
        <v>0</v>
      </c>
      <c r="DK426" s="72">
        <v>0</v>
      </c>
      <c r="DL426" s="72">
        <v>0</v>
      </c>
      <c r="DM426" s="72">
        <v>0</v>
      </c>
    </row>
    <row r="427" spans="1:117" x14ac:dyDescent="0.35">
      <c r="A427" s="7"/>
      <c r="B427" s="8" t="s">
        <v>713</v>
      </c>
      <c r="C427" s="9" t="s">
        <v>714</v>
      </c>
      <c r="D427" s="10" t="s">
        <v>697</v>
      </c>
      <c r="E427" s="8" t="s">
        <v>1203</v>
      </c>
      <c r="F427" s="10">
        <v>1002</v>
      </c>
      <c r="G427" s="10" t="s">
        <v>40</v>
      </c>
      <c r="H427" s="10" t="s">
        <v>41</v>
      </c>
      <c r="I427" s="11">
        <v>17</v>
      </c>
      <c r="J427" s="10"/>
      <c r="K427" s="10"/>
      <c r="L427" s="8"/>
      <c r="M427" s="12"/>
      <c r="N427" s="12">
        <f t="shared" si="9"/>
        <v>0</v>
      </c>
      <c r="O427" s="11">
        <v>28</v>
      </c>
      <c r="P427" s="11">
        <v>28</v>
      </c>
      <c r="Q427" s="11">
        <v>28</v>
      </c>
      <c r="R427" s="11">
        <v>28</v>
      </c>
      <c r="S427" s="11">
        <v>28</v>
      </c>
      <c r="T427" s="11">
        <v>28</v>
      </c>
      <c r="U427" s="11">
        <v>28</v>
      </c>
      <c r="V427" s="11">
        <v>28</v>
      </c>
      <c r="W427" s="11">
        <v>28</v>
      </c>
      <c r="X427" s="11">
        <v>28</v>
      </c>
      <c r="Y427" s="11">
        <v>28</v>
      </c>
      <c r="Z427" s="11">
        <v>27</v>
      </c>
      <c r="AA427" s="11">
        <v>27</v>
      </c>
      <c r="AB427" s="11">
        <v>27</v>
      </c>
      <c r="AC427" s="11">
        <v>27</v>
      </c>
      <c r="AD427" s="11">
        <v>27</v>
      </c>
      <c r="AE427" s="11">
        <v>27</v>
      </c>
      <c r="AF427" s="11">
        <v>17</v>
      </c>
      <c r="AG427" s="11">
        <v>17</v>
      </c>
      <c r="AH427" s="11">
        <v>17</v>
      </c>
      <c r="AI427" s="11">
        <v>17</v>
      </c>
      <c r="AJ427" s="11">
        <v>17</v>
      </c>
      <c r="AK427" s="11">
        <v>17</v>
      </c>
      <c r="AL427" s="11">
        <v>17</v>
      </c>
      <c r="AM427" s="11">
        <v>17</v>
      </c>
      <c r="AN427" s="72">
        <v>17</v>
      </c>
      <c r="AO427" s="72">
        <v>17</v>
      </c>
      <c r="AP427" s="72">
        <v>17</v>
      </c>
      <c r="AQ427" s="72">
        <v>17</v>
      </c>
      <c r="AR427" s="72">
        <v>17</v>
      </c>
      <c r="AS427" s="72">
        <v>17</v>
      </c>
      <c r="AT427" s="72">
        <v>17</v>
      </c>
      <c r="AU427" s="72">
        <v>17</v>
      </c>
      <c r="AV427" s="72">
        <v>17</v>
      </c>
      <c r="AW427" s="72">
        <v>17</v>
      </c>
      <c r="AX427" s="72">
        <v>17</v>
      </c>
      <c r="AY427" s="72">
        <v>17</v>
      </c>
      <c r="AZ427" s="72">
        <v>17</v>
      </c>
      <c r="BA427" s="72">
        <v>17</v>
      </c>
      <c r="BB427" s="72">
        <v>17</v>
      </c>
      <c r="BC427" s="72">
        <v>17</v>
      </c>
      <c r="BD427" s="72">
        <v>17</v>
      </c>
      <c r="BE427" s="72">
        <v>17</v>
      </c>
      <c r="BF427" s="72">
        <v>17</v>
      </c>
      <c r="BG427" s="72">
        <v>17</v>
      </c>
      <c r="BH427" s="72">
        <v>17</v>
      </c>
      <c r="BI427" s="72">
        <v>17</v>
      </c>
      <c r="BJ427" s="72">
        <v>17</v>
      </c>
      <c r="BK427" s="72">
        <v>8</v>
      </c>
      <c r="BL427" s="72">
        <v>9</v>
      </c>
      <c r="BM427" s="72">
        <v>9</v>
      </c>
      <c r="BN427" s="72">
        <v>9</v>
      </c>
      <c r="BO427" s="72">
        <v>9</v>
      </c>
      <c r="BP427" s="72">
        <v>9</v>
      </c>
      <c r="BQ427" s="72">
        <v>3</v>
      </c>
      <c r="BR427" s="72">
        <v>2</v>
      </c>
      <c r="BS427" s="72">
        <v>0</v>
      </c>
      <c r="BT427" s="72">
        <v>1</v>
      </c>
      <c r="BU427" s="72">
        <v>0</v>
      </c>
      <c r="BV427" s="72">
        <v>0</v>
      </c>
      <c r="BW427" s="72">
        <v>0</v>
      </c>
      <c r="BX427" s="72">
        <v>0</v>
      </c>
      <c r="BY427" s="72">
        <v>0</v>
      </c>
      <c r="BZ427" s="72">
        <v>0</v>
      </c>
      <c r="CA427" s="72">
        <v>0</v>
      </c>
      <c r="CB427" s="72">
        <v>0</v>
      </c>
      <c r="CC427" s="72">
        <v>0</v>
      </c>
      <c r="CD427" s="72">
        <v>0</v>
      </c>
      <c r="CE427" s="72">
        <v>0</v>
      </c>
      <c r="CF427" s="72">
        <v>0</v>
      </c>
      <c r="CG427" s="72">
        <v>0</v>
      </c>
      <c r="CH427" s="72">
        <v>0</v>
      </c>
      <c r="CI427" s="72">
        <v>0</v>
      </c>
      <c r="CJ427" s="72">
        <v>0</v>
      </c>
      <c r="CK427" s="72">
        <v>0</v>
      </c>
      <c r="CL427" s="72">
        <v>0</v>
      </c>
      <c r="CM427" s="72">
        <v>0</v>
      </c>
      <c r="CN427" s="72">
        <v>0</v>
      </c>
      <c r="CO427" s="72">
        <v>0</v>
      </c>
      <c r="CP427" s="72">
        <v>0</v>
      </c>
      <c r="CQ427" s="72">
        <v>0</v>
      </c>
      <c r="CR427" s="72">
        <v>0</v>
      </c>
      <c r="CS427" s="72">
        <v>0</v>
      </c>
      <c r="CT427" s="72">
        <v>0</v>
      </c>
      <c r="CU427" s="72">
        <v>0</v>
      </c>
      <c r="CV427" s="72">
        <v>0</v>
      </c>
      <c r="CW427" s="72">
        <v>0</v>
      </c>
      <c r="CX427" s="72">
        <v>0</v>
      </c>
      <c r="CY427" s="72">
        <v>0</v>
      </c>
      <c r="CZ427" s="72">
        <v>0</v>
      </c>
      <c r="DA427" s="72">
        <v>0</v>
      </c>
      <c r="DB427" s="72">
        <v>0</v>
      </c>
      <c r="DC427" s="72">
        <v>0</v>
      </c>
      <c r="DD427" s="72">
        <v>0</v>
      </c>
      <c r="DE427" s="72">
        <v>0</v>
      </c>
      <c r="DF427" s="72">
        <v>0</v>
      </c>
      <c r="DG427" s="72">
        <v>0</v>
      </c>
      <c r="DH427" s="72">
        <v>0</v>
      </c>
      <c r="DI427" s="72">
        <v>0</v>
      </c>
      <c r="DJ427" s="72">
        <v>0</v>
      </c>
      <c r="DK427" s="72">
        <v>0</v>
      </c>
      <c r="DL427" s="72">
        <v>0</v>
      </c>
      <c r="DM427" s="72">
        <v>0</v>
      </c>
    </row>
    <row r="428" spans="1:117" x14ac:dyDescent="0.35">
      <c r="A428" s="7"/>
      <c r="B428" s="8" t="s">
        <v>1386</v>
      </c>
      <c r="C428" s="9" t="s">
        <v>714</v>
      </c>
      <c r="D428" s="10" t="s">
        <v>697</v>
      </c>
      <c r="E428" s="8" t="s">
        <v>1203</v>
      </c>
      <c r="F428" s="10"/>
      <c r="G428" s="10"/>
      <c r="H428" s="10" t="s">
        <v>41</v>
      </c>
      <c r="I428" s="11">
        <v>0</v>
      </c>
      <c r="J428" s="10"/>
      <c r="K428" s="10"/>
      <c r="L428" s="8"/>
      <c r="M428" s="12">
        <v>415</v>
      </c>
      <c r="N428" s="12">
        <f t="shared" si="9"/>
        <v>0</v>
      </c>
      <c r="O428" s="11">
        <v>0</v>
      </c>
      <c r="P428" s="11">
        <v>0</v>
      </c>
      <c r="Q428" s="11">
        <v>0</v>
      </c>
      <c r="R428" s="11">
        <v>0</v>
      </c>
      <c r="S428" s="11">
        <v>0</v>
      </c>
      <c r="T428" s="11">
        <v>0</v>
      </c>
      <c r="U428" s="11">
        <v>0</v>
      </c>
      <c r="V428" s="11">
        <v>0</v>
      </c>
      <c r="W428" s="11">
        <v>0</v>
      </c>
      <c r="X428" s="11">
        <v>0</v>
      </c>
      <c r="Y428" s="11">
        <v>0</v>
      </c>
      <c r="Z428" s="11">
        <v>0</v>
      </c>
      <c r="AA428" s="11">
        <v>0</v>
      </c>
      <c r="AB428" s="11">
        <v>0</v>
      </c>
      <c r="AC428" s="11">
        <v>0</v>
      </c>
      <c r="AD428" s="11">
        <v>0</v>
      </c>
      <c r="AE428" s="11">
        <v>0</v>
      </c>
      <c r="AF428" s="11">
        <v>0</v>
      </c>
      <c r="AG428" s="11">
        <v>0</v>
      </c>
      <c r="AH428" s="11">
        <v>0</v>
      </c>
      <c r="AI428" s="11">
        <v>0</v>
      </c>
      <c r="AJ428" s="11">
        <v>0</v>
      </c>
      <c r="AK428" s="11">
        <v>0</v>
      </c>
      <c r="AL428" s="11">
        <v>0</v>
      </c>
      <c r="AM428" s="11">
        <v>0</v>
      </c>
      <c r="AN428" s="72">
        <v>0</v>
      </c>
      <c r="AO428" s="72">
        <v>0</v>
      </c>
      <c r="AP428" s="72">
        <v>0</v>
      </c>
      <c r="AQ428" s="72">
        <v>0</v>
      </c>
      <c r="AR428" s="72">
        <v>0</v>
      </c>
      <c r="AS428" s="72">
        <v>0</v>
      </c>
      <c r="AT428" s="72">
        <v>0</v>
      </c>
      <c r="AU428" s="72">
        <v>0</v>
      </c>
      <c r="AV428" s="72">
        <v>0</v>
      </c>
      <c r="AW428" s="72">
        <v>0</v>
      </c>
      <c r="AX428" s="72">
        <v>0</v>
      </c>
      <c r="AY428" s="72">
        <v>0</v>
      </c>
      <c r="AZ428" s="72">
        <v>0</v>
      </c>
      <c r="BA428" s="72">
        <v>0</v>
      </c>
      <c r="BB428" s="72">
        <v>0</v>
      </c>
      <c r="BC428" s="72">
        <v>0</v>
      </c>
      <c r="BD428" s="72">
        <v>0</v>
      </c>
      <c r="BE428" s="72">
        <v>0</v>
      </c>
      <c r="BF428" s="72">
        <v>0</v>
      </c>
      <c r="BG428" s="72">
        <v>0</v>
      </c>
      <c r="BH428" s="72">
        <v>0</v>
      </c>
      <c r="BI428" s="72">
        <v>0</v>
      </c>
      <c r="BJ428" s="72">
        <v>0</v>
      </c>
      <c r="BK428" s="72">
        <v>0</v>
      </c>
      <c r="BL428" s="72">
        <v>0</v>
      </c>
      <c r="BM428" s="72">
        <v>0</v>
      </c>
      <c r="BN428" s="72">
        <v>0</v>
      </c>
      <c r="BO428" s="72">
        <v>0</v>
      </c>
      <c r="BP428" s="72">
        <v>0</v>
      </c>
      <c r="BQ428" s="72">
        <v>0</v>
      </c>
      <c r="BR428" s="72">
        <v>0</v>
      </c>
      <c r="BS428" s="72">
        <v>0</v>
      </c>
      <c r="BT428" s="72">
        <v>0</v>
      </c>
      <c r="BU428" s="72">
        <v>1</v>
      </c>
      <c r="BV428" s="72">
        <v>1</v>
      </c>
      <c r="BW428" s="72">
        <v>1</v>
      </c>
      <c r="BX428" s="72">
        <v>1</v>
      </c>
      <c r="BY428" s="72">
        <v>1</v>
      </c>
      <c r="BZ428" s="72">
        <v>1</v>
      </c>
      <c r="CA428" s="72">
        <v>1</v>
      </c>
      <c r="CB428" s="72">
        <v>1</v>
      </c>
      <c r="CC428" s="72">
        <v>1</v>
      </c>
      <c r="CD428" s="72">
        <v>1</v>
      </c>
      <c r="CE428" s="72">
        <v>1</v>
      </c>
      <c r="CF428" s="72">
        <v>1</v>
      </c>
      <c r="CG428" s="72">
        <v>1</v>
      </c>
      <c r="CH428" s="72">
        <v>1</v>
      </c>
      <c r="CI428" s="72">
        <v>1</v>
      </c>
      <c r="CJ428" s="72">
        <v>1</v>
      </c>
      <c r="CK428" s="72">
        <v>1</v>
      </c>
      <c r="CL428" s="72">
        <v>1</v>
      </c>
      <c r="CM428" s="72">
        <v>1</v>
      </c>
      <c r="CN428" s="72">
        <v>1</v>
      </c>
      <c r="CO428" s="72">
        <v>1</v>
      </c>
      <c r="CP428" s="72">
        <v>1</v>
      </c>
      <c r="CQ428" s="72">
        <v>1</v>
      </c>
      <c r="CR428" s="72">
        <v>1</v>
      </c>
      <c r="CS428" s="72">
        <v>1</v>
      </c>
      <c r="CT428" s="72">
        <v>1</v>
      </c>
      <c r="CU428" s="72">
        <v>1</v>
      </c>
      <c r="CV428" s="72">
        <v>1</v>
      </c>
      <c r="CW428" s="72">
        <v>1</v>
      </c>
      <c r="CX428" s="72">
        <v>1</v>
      </c>
      <c r="CY428" s="72">
        <v>1</v>
      </c>
      <c r="CZ428" s="72">
        <v>1</v>
      </c>
      <c r="DA428" s="72">
        <v>1</v>
      </c>
      <c r="DB428" s="72">
        <v>1</v>
      </c>
      <c r="DC428" s="72">
        <v>1</v>
      </c>
      <c r="DD428" s="72">
        <v>1</v>
      </c>
      <c r="DE428" s="72">
        <v>1</v>
      </c>
      <c r="DF428" s="72">
        <v>0</v>
      </c>
      <c r="DG428" s="72">
        <v>0</v>
      </c>
      <c r="DH428" s="72">
        <v>0</v>
      </c>
      <c r="DI428" s="72">
        <v>0</v>
      </c>
      <c r="DJ428" s="72">
        <v>0</v>
      </c>
      <c r="DK428" s="72">
        <v>0</v>
      </c>
      <c r="DL428" s="72">
        <v>0</v>
      </c>
      <c r="DM428" s="72">
        <v>0</v>
      </c>
    </row>
    <row r="429" spans="1:117" x14ac:dyDescent="0.35">
      <c r="A429" s="7"/>
      <c r="B429" s="8" t="s">
        <v>715</v>
      </c>
      <c r="C429" s="9" t="s">
        <v>716</v>
      </c>
      <c r="D429" s="10" t="s">
        <v>697</v>
      </c>
      <c r="E429" s="8" t="s">
        <v>1203</v>
      </c>
      <c r="F429" s="10">
        <v>1002</v>
      </c>
      <c r="G429" s="10" t="s">
        <v>40</v>
      </c>
      <c r="H429" s="10" t="s">
        <v>41</v>
      </c>
      <c r="I429" s="11">
        <v>0</v>
      </c>
      <c r="J429" s="10"/>
      <c r="K429" s="10"/>
      <c r="L429" s="8"/>
      <c r="M429" s="12">
        <v>625</v>
      </c>
      <c r="N429" s="12">
        <f t="shared" si="9"/>
        <v>0</v>
      </c>
      <c r="O429" s="11">
        <v>6</v>
      </c>
      <c r="P429" s="11">
        <v>6</v>
      </c>
      <c r="Q429" s="11">
        <v>6</v>
      </c>
      <c r="R429" s="11">
        <v>6</v>
      </c>
      <c r="S429" s="11">
        <v>6</v>
      </c>
      <c r="T429" s="11">
        <v>6</v>
      </c>
      <c r="U429" s="11">
        <v>6</v>
      </c>
      <c r="V429" s="11">
        <v>5</v>
      </c>
      <c r="W429" s="11">
        <v>5</v>
      </c>
      <c r="X429" s="11">
        <v>3</v>
      </c>
      <c r="Y429" s="11">
        <v>3</v>
      </c>
      <c r="Z429" s="11">
        <v>3</v>
      </c>
      <c r="AA429" s="11">
        <v>3</v>
      </c>
      <c r="AB429" s="11">
        <v>3</v>
      </c>
      <c r="AC429" s="11">
        <v>3</v>
      </c>
      <c r="AD429" s="11">
        <v>3</v>
      </c>
      <c r="AE429" s="11">
        <v>2</v>
      </c>
      <c r="AF429" s="11">
        <v>0</v>
      </c>
      <c r="AG429" s="11">
        <v>0</v>
      </c>
      <c r="AH429" s="11">
        <v>0</v>
      </c>
      <c r="AI429" s="11">
        <v>0</v>
      </c>
      <c r="AJ429" s="11">
        <v>0</v>
      </c>
      <c r="AK429" s="11">
        <v>0</v>
      </c>
      <c r="AL429" s="11">
        <v>0</v>
      </c>
      <c r="AM429" s="11">
        <v>0</v>
      </c>
      <c r="AN429" s="72">
        <v>0</v>
      </c>
      <c r="AO429" s="72">
        <v>0</v>
      </c>
      <c r="AP429" s="72">
        <v>0</v>
      </c>
      <c r="AQ429" s="72">
        <v>0</v>
      </c>
      <c r="AR429" s="72">
        <v>0</v>
      </c>
      <c r="AS429" s="72">
        <v>0</v>
      </c>
      <c r="AT429" s="72">
        <v>0</v>
      </c>
      <c r="AU429" s="72">
        <v>0</v>
      </c>
      <c r="AV429" s="72">
        <v>0</v>
      </c>
      <c r="AW429" s="72">
        <v>0</v>
      </c>
      <c r="AX429" s="72">
        <v>0</v>
      </c>
      <c r="AY429" s="72">
        <v>0</v>
      </c>
      <c r="AZ429" s="72">
        <v>0</v>
      </c>
      <c r="BA429" s="72">
        <v>0</v>
      </c>
      <c r="BB429" s="72">
        <v>0</v>
      </c>
      <c r="BC429" s="72">
        <v>0</v>
      </c>
      <c r="BD429" s="72">
        <v>0</v>
      </c>
      <c r="BE429" s="72">
        <v>0</v>
      </c>
      <c r="BF429" s="72">
        <v>0</v>
      </c>
      <c r="BG429" s="72">
        <v>0</v>
      </c>
      <c r="BH429" s="72">
        <v>0</v>
      </c>
      <c r="BI429" s="72">
        <v>0</v>
      </c>
      <c r="BJ429" s="72">
        <v>0</v>
      </c>
      <c r="BK429" s="72">
        <v>0</v>
      </c>
      <c r="BL429" s="72">
        <v>0</v>
      </c>
      <c r="BM429" s="72">
        <v>0</v>
      </c>
      <c r="BN429" s="72">
        <v>0</v>
      </c>
      <c r="BO429" s="72">
        <v>0</v>
      </c>
      <c r="BP429" s="72">
        <v>0</v>
      </c>
      <c r="BQ429" s="72">
        <v>0</v>
      </c>
      <c r="BR429" s="72">
        <v>0</v>
      </c>
      <c r="BS429" s="72">
        <v>0</v>
      </c>
      <c r="BT429" s="72">
        <v>0</v>
      </c>
      <c r="BU429" s="72">
        <v>0</v>
      </c>
      <c r="BV429" s="72">
        <v>0</v>
      </c>
      <c r="BW429" s="72">
        <v>0</v>
      </c>
      <c r="BX429" s="72">
        <v>0</v>
      </c>
      <c r="BY429" s="72">
        <v>0</v>
      </c>
      <c r="BZ429" s="72">
        <v>0</v>
      </c>
      <c r="CA429" s="72">
        <v>0</v>
      </c>
      <c r="CB429" s="72">
        <v>0</v>
      </c>
      <c r="CC429" s="72">
        <v>0</v>
      </c>
      <c r="CD429" s="72">
        <v>0</v>
      </c>
      <c r="CE429" s="72">
        <v>0</v>
      </c>
      <c r="CF429" s="72">
        <v>0</v>
      </c>
      <c r="CG429" s="72">
        <v>0</v>
      </c>
      <c r="CH429" s="72">
        <v>0</v>
      </c>
      <c r="CI429" s="72">
        <v>0</v>
      </c>
      <c r="CJ429" s="72">
        <v>0</v>
      </c>
      <c r="CK429" s="72">
        <v>0</v>
      </c>
      <c r="CL429" s="72">
        <v>0</v>
      </c>
      <c r="CM429" s="72">
        <v>0</v>
      </c>
      <c r="CN429" s="72">
        <v>0</v>
      </c>
      <c r="CO429" s="72">
        <v>0</v>
      </c>
      <c r="CP429" s="72">
        <v>0</v>
      </c>
      <c r="CQ429" s="72">
        <v>0</v>
      </c>
      <c r="CR429" s="72">
        <v>0</v>
      </c>
      <c r="CS429" s="72">
        <v>0</v>
      </c>
      <c r="CT429" s="72">
        <v>0</v>
      </c>
      <c r="CU429" s="72">
        <v>0</v>
      </c>
      <c r="CV429" s="72">
        <v>0</v>
      </c>
      <c r="CW429" s="72">
        <v>0</v>
      </c>
      <c r="CX429" s="72">
        <v>0</v>
      </c>
      <c r="CY429" s="72">
        <v>0</v>
      </c>
      <c r="CZ429" s="72">
        <v>0</v>
      </c>
      <c r="DA429" s="72">
        <v>0</v>
      </c>
      <c r="DB429" s="72">
        <v>0</v>
      </c>
      <c r="DC429" s="72">
        <v>0</v>
      </c>
      <c r="DD429" s="72">
        <v>0</v>
      </c>
      <c r="DE429" s="72">
        <v>0</v>
      </c>
      <c r="DF429" s="72">
        <v>0</v>
      </c>
      <c r="DG429" s="72">
        <v>0</v>
      </c>
      <c r="DH429" s="72">
        <v>0</v>
      </c>
      <c r="DI429" s="72">
        <v>0</v>
      </c>
      <c r="DJ429" s="72">
        <v>0</v>
      </c>
      <c r="DK429" s="72">
        <v>0</v>
      </c>
      <c r="DL429" s="72">
        <v>0</v>
      </c>
      <c r="DM429" s="72">
        <v>0</v>
      </c>
    </row>
    <row r="430" spans="1:117" x14ac:dyDescent="0.35">
      <c r="A430" s="7"/>
      <c r="B430" s="77" t="s">
        <v>1309</v>
      </c>
      <c r="C430" s="9" t="s">
        <v>1311</v>
      </c>
      <c r="D430" s="10" t="s">
        <v>697</v>
      </c>
      <c r="E430" s="8" t="s">
        <v>1203</v>
      </c>
      <c r="F430" s="10"/>
      <c r="G430" s="10"/>
      <c r="H430" s="10" t="s">
        <v>41</v>
      </c>
      <c r="I430" s="11"/>
      <c r="J430" s="10"/>
      <c r="K430" s="10"/>
      <c r="L430" s="8"/>
      <c r="M430" s="12"/>
      <c r="N430" s="12">
        <f t="shared" si="9"/>
        <v>0</v>
      </c>
      <c r="O430" s="11"/>
      <c r="P430" s="11"/>
      <c r="Q430" s="11"/>
      <c r="R430" s="11"/>
      <c r="S430" s="11"/>
      <c r="T430" s="11"/>
      <c r="U430" s="11"/>
      <c r="V430" s="11"/>
      <c r="W430" s="11"/>
      <c r="X430" s="11"/>
      <c r="Y430" s="11"/>
      <c r="Z430" s="11"/>
      <c r="AA430" s="11"/>
      <c r="AB430" s="11"/>
      <c r="AC430" s="11"/>
      <c r="AD430" s="11"/>
      <c r="AE430" s="11"/>
      <c r="AF430" s="11"/>
      <c r="AG430" s="11"/>
      <c r="AH430" s="11"/>
      <c r="AI430" s="11"/>
      <c r="AJ430" s="11"/>
      <c r="AK430" s="11"/>
      <c r="AL430" s="11"/>
      <c r="AM430" s="11"/>
      <c r="AN430" s="72"/>
      <c r="AO430" s="72"/>
      <c r="AP430" s="72"/>
      <c r="AQ430" s="72"/>
      <c r="AR430" s="72"/>
      <c r="AS430" s="72"/>
      <c r="AT430" s="72"/>
      <c r="AU430" s="72"/>
      <c r="AV430" s="72"/>
      <c r="AW430" s="72"/>
      <c r="AX430" s="72"/>
      <c r="AY430" s="72"/>
      <c r="AZ430" s="72"/>
      <c r="BA430" s="72"/>
      <c r="BB430" s="72"/>
      <c r="BC430" s="72"/>
      <c r="BD430" s="72"/>
      <c r="BE430" s="72">
        <v>2</v>
      </c>
      <c r="BF430" s="72">
        <v>2</v>
      </c>
      <c r="BG430" s="72">
        <v>2</v>
      </c>
      <c r="BH430" s="72">
        <v>1</v>
      </c>
      <c r="BI430" s="72">
        <v>1</v>
      </c>
      <c r="BJ430" s="72">
        <v>1</v>
      </c>
      <c r="BK430" s="72">
        <v>0</v>
      </c>
      <c r="BL430" s="72">
        <v>0</v>
      </c>
      <c r="BM430" s="72">
        <v>0</v>
      </c>
      <c r="BN430" s="72">
        <v>0</v>
      </c>
      <c r="BO430" s="72">
        <v>0</v>
      </c>
      <c r="BP430" s="72">
        <v>0</v>
      </c>
      <c r="BQ430" s="72">
        <v>0</v>
      </c>
      <c r="BR430" s="72">
        <v>0</v>
      </c>
      <c r="BS430" s="72">
        <v>0</v>
      </c>
      <c r="BT430" s="72">
        <v>0</v>
      </c>
      <c r="BU430" s="72">
        <v>0</v>
      </c>
      <c r="BV430" s="72">
        <v>0</v>
      </c>
      <c r="BW430" s="72">
        <v>0</v>
      </c>
      <c r="BX430" s="72">
        <v>0</v>
      </c>
      <c r="BY430" s="72">
        <v>0</v>
      </c>
      <c r="BZ430" s="72">
        <v>0</v>
      </c>
      <c r="CA430" s="72">
        <v>0</v>
      </c>
      <c r="CB430" s="72">
        <v>0</v>
      </c>
      <c r="CC430" s="72">
        <v>0</v>
      </c>
      <c r="CD430" s="72">
        <v>0</v>
      </c>
      <c r="CE430" s="72">
        <v>0</v>
      </c>
      <c r="CF430" s="72">
        <v>0</v>
      </c>
      <c r="CG430" s="72">
        <v>0</v>
      </c>
      <c r="CH430" s="72">
        <v>0</v>
      </c>
      <c r="CI430" s="72">
        <v>0</v>
      </c>
      <c r="CJ430" s="72">
        <v>0</v>
      </c>
      <c r="CK430" s="72">
        <v>0</v>
      </c>
      <c r="CL430" s="72">
        <v>0</v>
      </c>
      <c r="CM430" s="72">
        <v>0</v>
      </c>
      <c r="CN430" s="72">
        <v>0</v>
      </c>
      <c r="CO430" s="72">
        <v>0</v>
      </c>
      <c r="CP430" s="72">
        <v>0</v>
      </c>
      <c r="CQ430" s="72">
        <v>0</v>
      </c>
      <c r="CR430" s="72">
        <v>0</v>
      </c>
      <c r="CS430" s="72">
        <v>0</v>
      </c>
      <c r="CT430" s="72">
        <v>0</v>
      </c>
      <c r="CU430" s="72">
        <v>0</v>
      </c>
      <c r="CV430" s="72">
        <v>0</v>
      </c>
      <c r="CW430" s="72">
        <v>0</v>
      </c>
      <c r="CX430" s="72">
        <v>0</v>
      </c>
      <c r="CY430" s="72">
        <v>0</v>
      </c>
      <c r="CZ430" s="72">
        <v>0</v>
      </c>
      <c r="DA430" s="72">
        <v>0</v>
      </c>
      <c r="DB430" s="72">
        <v>0</v>
      </c>
      <c r="DC430" s="72">
        <v>0</v>
      </c>
      <c r="DD430" s="72">
        <v>0</v>
      </c>
      <c r="DE430" s="72">
        <v>0</v>
      </c>
      <c r="DF430" s="72">
        <v>0</v>
      </c>
      <c r="DG430" s="72">
        <v>0</v>
      </c>
      <c r="DH430" s="72">
        <v>0</v>
      </c>
      <c r="DI430" s="72">
        <v>0</v>
      </c>
      <c r="DJ430" s="72">
        <v>0</v>
      </c>
      <c r="DK430" s="72">
        <v>0</v>
      </c>
      <c r="DL430" s="72">
        <v>0</v>
      </c>
      <c r="DM430" s="72">
        <v>0</v>
      </c>
    </row>
    <row r="431" spans="1:117" x14ac:dyDescent="0.35">
      <c r="A431" s="7"/>
      <c r="B431" s="8" t="s">
        <v>717</v>
      </c>
      <c r="C431" s="9" t="s">
        <v>718</v>
      </c>
      <c r="D431" s="10" t="s">
        <v>697</v>
      </c>
      <c r="E431" s="8" t="s">
        <v>1205</v>
      </c>
      <c r="F431" s="10">
        <v>1006</v>
      </c>
      <c r="G431" s="10" t="s">
        <v>40</v>
      </c>
      <c r="H431" s="10" t="s">
        <v>41</v>
      </c>
      <c r="I431" s="11">
        <v>20</v>
      </c>
      <c r="J431" s="10"/>
      <c r="K431" s="10"/>
      <c r="L431" s="8"/>
      <c r="M431" s="12">
        <v>490</v>
      </c>
      <c r="N431" s="12">
        <f t="shared" si="9"/>
        <v>9800</v>
      </c>
      <c r="O431" s="11">
        <v>20</v>
      </c>
      <c r="P431" s="11">
        <v>20</v>
      </c>
      <c r="Q431" s="11">
        <v>20</v>
      </c>
      <c r="R431" s="11">
        <v>20</v>
      </c>
      <c r="S431" s="11">
        <v>20</v>
      </c>
      <c r="T431" s="11">
        <v>20</v>
      </c>
      <c r="U431" s="11">
        <v>20</v>
      </c>
      <c r="V431" s="11">
        <v>20</v>
      </c>
      <c r="W431" s="11">
        <v>20</v>
      </c>
      <c r="X431" s="11">
        <v>20</v>
      </c>
      <c r="Y431" s="11">
        <v>20</v>
      </c>
      <c r="Z431" s="11">
        <v>20</v>
      </c>
      <c r="AA431" s="11">
        <v>20</v>
      </c>
      <c r="AB431" s="11">
        <v>20</v>
      </c>
      <c r="AC431" s="11">
        <v>20</v>
      </c>
      <c r="AD431" s="11">
        <v>20</v>
      </c>
      <c r="AE431" s="11">
        <v>20</v>
      </c>
      <c r="AF431" s="11">
        <v>20</v>
      </c>
      <c r="AG431" s="11">
        <v>20</v>
      </c>
      <c r="AH431" s="11">
        <v>20</v>
      </c>
      <c r="AI431" s="11">
        <v>20</v>
      </c>
      <c r="AJ431" s="11">
        <v>20</v>
      </c>
      <c r="AK431" s="11">
        <v>20</v>
      </c>
      <c r="AL431" s="11">
        <v>20</v>
      </c>
      <c r="AM431" s="11">
        <v>20</v>
      </c>
      <c r="AN431" s="72">
        <v>20</v>
      </c>
      <c r="AO431" s="72">
        <v>20</v>
      </c>
      <c r="AP431" s="72">
        <v>20</v>
      </c>
      <c r="AQ431" s="72">
        <v>20</v>
      </c>
      <c r="AR431" s="72">
        <v>20</v>
      </c>
      <c r="AS431" s="72">
        <v>20</v>
      </c>
      <c r="AT431" s="72">
        <v>20</v>
      </c>
      <c r="AU431" s="72">
        <v>20</v>
      </c>
      <c r="AV431" s="72">
        <v>20</v>
      </c>
      <c r="AW431" s="72">
        <v>20</v>
      </c>
      <c r="AX431" s="72">
        <v>20</v>
      </c>
      <c r="AY431" s="72">
        <v>20</v>
      </c>
      <c r="AZ431" s="72">
        <v>20</v>
      </c>
      <c r="BA431" s="72">
        <v>20</v>
      </c>
      <c r="BB431" s="72">
        <v>20</v>
      </c>
      <c r="BC431" s="72">
        <v>20</v>
      </c>
      <c r="BD431" s="72">
        <v>20</v>
      </c>
      <c r="BE431" s="72">
        <v>20</v>
      </c>
      <c r="BF431" s="72">
        <v>20</v>
      </c>
      <c r="BG431" s="72">
        <v>20</v>
      </c>
      <c r="BH431" s="72">
        <v>20</v>
      </c>
      <c r="BI431" s="72">
        <v>20</v>
      </c>
      <c r="BJ431" s="72">
        <v>20</v>
      </c>
      <c r="BK431" s="72">
        <v>20</v>
      </c>
      <c r="BL431" s="72">
        <v>20</v>
      </c>
      <c r="BM431" s="72">
        <v>20</v>
      </c>
      <c r="BN431" s="72">
        <v>20</v>
      </c>
      <c r="BO431" s="72">
        <v>20</v>
      </c>
      <c r="BP431" s="72">
        <v>20</v>
      </c>
      <c r="BQ431" s="72">
        <v>20</v>
      </c>
      <c r="BR431" s="72">
        <v>20</v>
      </c>
      <c r="BS431" s="72">
        <v>20</v>
      </c>
      <c r="BT431" s="72">
        <v>20</v>
      </c>
      <c r="BU431" s="72">
        <v>20</v>
      </c>
      <c r="BV431" s="72">
        <v>20</v>
      </c>
      <c r="BW431" s="72">
        <v>20</v>
      </c>
      <c r="BX431" s="72">
        <v>20</v>
      </c>
      <c r="BY431" s="72">
        <v>20</v>
      </c>
      <c r="BZ431" s="72">
        <v>20</v>
      </c>
      <c r="CA431" s="72">
        <v>20</v>
      </c>
      <c r="CB431" s="72">
        <v>20</v>
      </c>
      <c r="CC431" s="72">
        <v>20</v>
      </c>
      <c r="CD431" s="72">
        <v>20</v>
      </c>
      <c r="CE431" s="72">
        <v>20</v>
      </c>
      <c r="CF431" s="72">
        <v>20</v>
      </c>
      <c r="CG431" s="72">
        <v>20</v>
      </c>
      <c r="CH431" s="72">
        <v>20</v>
      </c>
      <c r="CI431" s="72">
        <v>20</v>
      </c>
      <c r="CJ431" s="72">
        <v>20</v>
      </c>
      <c r="CK431" s="72">
        <v>20</v>
      </c>
      <c r="CL431" s="72">
        <v>20</v>
      </c>
      <c r="CM431" s="72">
        <v>20</v>
      </c>
      <c r="CN431" s="72">
        <v>20</v>
      </c>
      <c r="CO431" s="72">
        <v>20</v>
      </c>
      <c r="CP431" s="72">
        <v>20</v>
      </c>
      <c r="CQ431" s="72">
        <v>20</v>
      </c>
      <c r="CR431" s="72">
        <v>20</v>
      </c>
      <c r="CS431" s="72">
        <v>20</v>
      </c>
      <c r="CT431" s="72">
        <v>20</v>
      </c>
      <c r="CU431" s="72">
        <v>20</v>
      </c>
      <c r="CV431" s="72">
        <v>20</v>
      </c>
      <c r="CW431" s="72">
        <v>20</v>
      </c>
      <c r="CX431" s="72">
        <v>20</v>
      </c>
      <c r="CY431" s="72">
        <v>20</v>
      </c>
      <c r="CZ431" s="72">
        <v>20</v>
      </c>
      <c r="DA431" s="72">
        <v>20</v>
      </c>
      <c r="DB431" s="72">
        <v>20</v>
      </c>
      <c r="DC431" s="72">
        <v>20</v>
      </c>
      <c r="DD431" s="72">
        <v>20</v>
      </c>
      <c r="DE431" s="72">
        <v>20</v>
      </c>
      <c r="DF431" s="72">
        <v>20</v>
      </c>
      <c r="DG431" s="72">
        <v>20</v>
      </c>
      <c r="DH431" s="72">
        <v>20</v>
      </c>
      <c r="DI431" s="72">
        <v>20</v>
      </c>
      <c r="DJ431" s="72">
        <v>20</v>
      </c>
      <c r="DK431" s="72">
        <v>20</v>
      </c>
      <c r="DL431" s="72">
        <v>20</v>
      </c>
      <c r="DM431" s="72">
        <v>20</v>
      </c>
    </row>
    <row r="432" spans="1:117" x14ac:dyDescent="0.35">
      <c r="A432" s="7"/>
      <c r="B432" s="8" t="s">
        <v>719</v>
      </c>
      <c r="C432" s="9" t="s">
        <v>720</v>
      </c>
      <c r="D432" s="10" t="s">
        <v>697</v>
      </c>
      <c r="E432" s="8" t="s">
        <v>1205</v>
      </c>
      <c r="F432" s="10">
        <v>1006</v>
      </c>
      <c r="G432" s="10" t="s">
        <v>40</v>
      </c>
      <c r="H432" s="10" t="s">
        <v>41</v>
      </c>
      <c r="I432" s="11">
        <v>2</v>
      </c>
      <c r="J432" s="10"/>
      <c r="K432" s="10" t="s">
        <v>42</v>
      </c>
      <c r="L432" s="8" t="s">
        <v>721</v>
      </c>
      <c r="M432" s="12">
        <v>184</v>
      </c>
      <c r="N432" s="12">
        <f t="shared" si="9"/>
        <v>0</v>
      </c>
      <c r="O432" s="11">
        <v>2</v>
      </c>
      <c r="P432" s="11">
        <v>2</v>
      </c>
      <c r="Q432" s="11">
        <v>2</v>
      </c>
      <c r="R432" s="11">
        <v>2</v>
      </c>
      <c r="S432" s="11">
        <v>2</v>
      </c>
      <c r="T432" s="11">
        <v>2</v>
      </c>
      <c r="U432" s="11">
        <v>2</v>
      </c>
      <c r="V432" s="11">
        <v>2</v>
      </c>
      <c r="W432" s="11">
        <v>2</v>
      </c>
      <c r="X432" s="11">
        <v>2</v>
      </c>
      <c r="Y432" s="11">
        <v>2</v>
      </c>
      <c r="Z432" s="11">
        <v>2</v>
      </c>
      <c r="AA432" s="11">
        <v>2</v>
      </c>
      <c r="AB432" s="11">
        <v>2</v>
      </c>
      <c r="AC432" s="11">
        <v>2</v>
      </c>
      <c r="AD432" s="11">
        <v>2</v>
      </c>
      <c r="AE432" s="11">
        <v>2</v>
      </c>
      <c r="AF432" s="11">
        <v>2</v>
      </c>
      <c r="AG432" s="11">
        <v>2</v>
      </c>
      <c r="AH432" s="11">
        <v>2</v>
      </c>
      <c r="AI432" s="11">
        <v>2</v>
      </c>
      <c r="AJ432" s="11">
        <v>2</v>
      </c>
      <c r="AK432" s="11">
        <v>2</v>
      </c>
      <c r="AL432" s="11">
        <v>2</v>
      </c>
      <c r="AM432" s="11">
        <v>2</v>
      </c>
      <c r="AN432" s="72">
        <v>2</v>
      </c>
      <c r="AO432" s="72">
        <v>2</v>
      </c>
      <c r="AP432" s="72">
        <v>2</v>
      </c>
      <c r="AQ432" s="72">
        <v>2</v>
      </c>
      <c r="AR432" s="72">
        <v>2</v>
      </c>
      <c r="AS432" s="72">
        <v>2</v>
      </c>
      <c r="AT432" s="72">
        <v>2</v>
      </c>
      <c r="AU432" s="72">
        <v>2</v>
      </c>
      <c r="AV432" s="72">
        <v>2</v>
      </c>
      <c r="AW432" s="72">
        <v>2</v>
      </c>
      <c r="AX432" s="72">
        <v>2</v>
      </c>
      <c r="AY432" s="72">
        <v>2</v>
      </c>
      <c r="AZ432" s="72">
        <v>2</v>
      </c>
      <c r="BA432" s="72">
        <v>2</v>
      </c>
      <c r="BB432" s="72">
        <v>0</v>
      </c>
      <c r="BC432" s="72">
        <v>0</v>
      </c>
      <c r="BD432" s="72">
        <v>0</v>
      </c>
      <c r="BE432" s="72">
        <v>0</v>
      </c>
      <c r="BF432" s="72">
        <v>0</v>
      </c>
      <c r="BG432" s="72">
        <v>0</v>
      </c>
      <c r="BH432" s="72">
        <v>0</v>
      </c>
      <c r="BI432" s="72">
        <v>0</v>
      </c>
      <c r="BJ432" s="72">
        <v>0</v>
      </c>
      <c r="BK432" s="72">
        <v>0</v>
      </c>
      <c r="BL432" s="72">
        <v>0</v>
      </c>
      <c r="BM432" s="72">
        <v>0</v>
      </c>
      <c r="BN432" s="72">
        <v>0</v>
      </c>
      <c r="BO432" s="72">
        <v>0</v>
      </c>
      <c r="BP432" s="72">
        <v>0</v>
      </c>
      <c r="BQ432" s="72">
        <v>0</v>
      </c>
      <c r="BR432" s="72">
        <v>0</v>
      </c>
      <c r="BS432" s="72">
        <v>0</v>
      </c>
      <c r="BT432" s="72">
        <v>0</v>
      </c>
      <c r="BU432" s="72">
        <v>0</v>
      </c>
      <c r="BV432" s="72">
        <v>0</v>
      </c>
      <c r="BW432" s="72">
        <v>0</v>
      </c>
      <c r="BX432" s="72">
        <v>0</v>
      </c>
      <c r="BY432" s="72">
        <v>0</v>
      </c>
      <c r="BZ432" s="72">
        <v>0</v>
      </c>
      <c r="CA432" s="72">
        <v>0</v>
      </c>
      <c r="CB432" s="72">
        <v>0</v>
      </c>
      <c r="CC432" s="72">
        <v>0</v>
      </c>
      <c r="CD432" s="72">
        <v>0</v>
      </c>
      <c r="CE432" s="72">
        <v>0</v>
      </c>
      <c r="CF432" s="72">
        <v>0</v>
      </c>
      <c r="CG432" s="72">
        <v>0</v>
      </c>
      <c r="CH432" s="72">
        <v>0</v>
      </c>
      <c r="CI432" s="72">
        <v>0</v>
      </c>
      <c r="CJ432" s="72">
        <v>0</v>
      </c>
      <c r="CK432" s="72">
        <v>0</v>
      </c>
      <c r="CL432" s="72">
        <v>0</v>
      </c>
      <c r="CM432" s="72">
        <v>0</v>
      </c>
      <c r="CN432" s="72">
        <v>0</v>
      </c>
      <c r="CO432" s="72">
        <v>0</v>
      </c>
      <c r="CP432" s="72">
        <v>0</v>
      </c>
      <c r="CQ432" s="72">
        <v>0</v>
      </c>
      <c r="CR432" s="72">
        <v>0</v>
      </c>
      <c r="CS432" s="72">
        <v>0</v>
      </c>
      <c r="CT432" s="72">
        <v>0</v>
      </c>
      <c r="CU432" s="72">
        <v>0</v>
      </c>
      <c r="CV432" s="72">
        <v>0</v>
      </c>
      <c r="CW432" s="72">
        <v>0</v>
      </c>
      <c r="CX432" s="72">
        <v>0</v>
      </c>
      <c r="CY432" s="72">
        <v>0</v>
      </c>
      <c r="CZ432" s="72">
        <v>0</v>
      </c>
      <c r="DA432" s="72">
        <v>0</v>
      </c>
      <c r="DB432" s="72">
        <v>0</v>
      </c>
      <c r="DC432" s="72">
        <v>0</v>
      </c>
      <c r="DD432" s="72">
        <v>0</v>
      </c>
      <c r="DE432" s="72">
        <v>0</v>
      </c>
      <c r="DF432" s="72">
        <v>0</v>
      </c>
      <c r="DG432" s="72">
        <v>0</v>
      </c>
      <c r="DH432" s="72">
        <v>0</v>
      </c>
      <c r="DI432" s="72">
        <v>0</v>
      </c>
      <c r="DJ432" s="72">
        <v>0</v>
      </c>
      <c r="DK432" s="72">
        <v>0</v>
      </c>
      <c r="DL432" s="72">
        <v>0</v>
      </c>
      <c r="DM432" s="72">
        <v>0</v>
      </c>
    </row>
    <row r="433" spans="1:117" x14ac:dyDescent="0.35">
      <c r="A433" s="7"/>
      <c r="B433" s="8" t="s">
        <v>722</v>
      </c>
      <c r="C433" s="9" t="s">
        <v>723</v>
      </c>
      <c r="D433" s="10" t="s">
        <v>697</v>
      </c>
      <c r="E433" s="8" t="s">
        <v>1205</v>
      </c>
      <c r="F433" s="10">
        <v>1006</v>
      </c>
      <c r="G433" s="10" t="s">
        <v>40</v>
      </c>
      <c r="H433" s="10" t="s">
        <v>41</v>
      </c>
      <c r="I433" s="11">
        <v>8</v>
      </c>
      <c r="J433" s="10"/>
      <c r="K433" s="10" t="s">
        <v>42</v>
      </c>
      <c r="L433" s="8"/>
      <c r="M433" s="12">
        <v>227</v>
      </c>
      <c r="N433" s="12">
        <f t="shared" si="9"/>
        <v>1135</v>
      </c>
      <c r="O433" s="11">
        <v>8</v>
      </c>
      <c r="P433" s="11">
        <v>8</v>
      </c>
      <c r="Q433" s="11">
        <v>8</v>
      </c>
      <c r="R433" s="11">
        <v>8</v>
      </c>
      <c r="S433" s="11">
        <v>8</v>
      </c>
      <c r="T433" s="11">
        <v>8</v>
      </c>
      <c r="U433" s="11">
        <v>8</v>
      </c>
      <c r="V433" s="11">
        <v>8</v>
      </c>
      <c r="W433" s="11">
        <v>8</v>
      </c>
      <c r="X433" s="11">
        <v>8</v>
      </c>
      <c r="Y433" s="11">
        <v>8</v>
      </c>
      <c r="Z433" s="11">
        <v>8</v>
      </c>
      <c r="AA433" s="11">
        <v>8</v>
      </c>
      <c r="AB433" s="11">
        <v>8</v>
      </c>
      <c r="AC433" s="11">
        <v>8</v>
      </c>
      <c r="AD433" s="11">
        <v>8</v>
      </c>
      <c r="AE433" s="11">
        <v>8</v>
      </c>
      <c r="AF433" s="11">
        <v>8</v>
      </c>
      <c r="AG433" s="11">
        <v>8</v>
      </c>
      <c r="AH433" s="11">
        <v>8</v>
      </c>
      <c r="AI433" s="11">
        <v>8</v>
      </c>
      <c r="AJ433" s="11">
        <v>8</v>
      </c>
      <c r="AK433" s="11">
        <v>8</v>
      </c>
      <c r="AL433" s="11">
        <v>8</v>
      </c>
      <c r="AM433" s="11">
        <v>8</v>
      </c>
      <c r="AN433" s="72">
        <v>8</v>
      </c>
      <c r="AO433" s="72">
        <v>8</v>
      </c>
      <c r="AP433" s="72">
        <v>8</v>
      </c>
      <c r="AQ433" s="72">
        <v>8</v>
      </c>
      <c r="AR433" s="72">
        <v>8</v>
      </c>
      <c r="AS433" s="72">
        <v>8</v>
      </c>
      <c r="AT433" s="72">
        <v>7</v>
      </c>
      <c r="AU433" s="72">
        <v>7</v>
      </c>
      <c r="AV433" s="72">
        <v>7</v>
      </c>
      <c r="AW433" s="72">
        <v>7</v>
      </c>
      <c r="AX433" s="72">
        <v>5</v>
      </c>
      <c r="AY433" s="72">
        <v>5</v>
      </c>
      <c r="AZ433" s="72">
        <v>5</v>
      </c>
      <c r="BA433" s="72">
        <v>5</v>
      </c>
      <c r="BB433" s="72">
        <v>5</v>
      </c>
      <c r="BC433" s="72">
        <v>5</v>
      </c>
      <c r="BD433" s="72">
        <v>5</v>
      </c>
      <c r="BE433" s="72">
        <v>5</v>
      </c>
      <c r="BF433" s="72">
        <v>5</v>
      </c>
      <c r="BG433" s="72">
        <v>5</v>
      </c>
      <c r="BH433" s="72">
        <v>5</v>
      </c>
      <c r="BI433" s="72">
        <v>5</v>
      </c>
      <c r="BJ433" s="72">
        <v>5</v>
      </c>
      <c r="BK433" s="72">
        <v>5</v>
      </c>
      <c r="BL433" s="72">
        <v>5</v>
      </c>
      <c r="BM433" s="72">
        <v>5</v>
      </c>
      <c r="BN433" s="72">
        <v>5</v>
      </c>
      <c r="BO433" s="72">
        <v>5</v>
      </c>
      <c r="BP433" s="72">
        <v>5</v>
      </c>
      <c r="BQ433" s="72">
        <v>5</v>
      </c>
      <c r="BR433" s="72">
        <v>5</v>
      </c>
      <c r="BS433" s="72">
        <v>5</v>
      </c>
      <c r="BT433" s="72">
        <v>5</v>
      </c>
      <c r="BU433" s="72">
        <v>5</v>
      </c>
      <c r="BV433" s="72">
        <v>5</v>
      </c>
      <c r="BW433" s="72">
        <v>5</v>
      </c>
      <c r="BX433" s="72">
        <v>5</v>
      </c>
      <c r="BY433" s="72">
        <v>5</v>
      </c>
      <c r="BZ433" s="72">
        <v>5</v>
      </c>
      <c r="CA433" s="72">
        <v>5</v>
      </c>
      <c r="CB433" s="72">
        <v>5</v>
      </c>
      <c r="CC433" s="72">
        <v>5</v>
      </c>
      <c r="CD433" s="72">
        <v>5</v>
      </c>
      <c r="CE433" s="72">
        <v>5</v>
      </c>
      <c r="CF433" s="72">
        <v>5</v>
      </c>
      <c r="CG433" s="72">
        <v>5</v>
      </c>
      <c r="CH433" s="72">
        <v>5</v>
      </c>
      <c r="CI433" s="72">
        <v>5</v>
      </c>
      <c r="CJ433" s="72">
        <v>5</v>
      </c>
      <c r="CK433" s="72">
        <v>5</v>
      </c>
      <c r="CL433" s="72">
        <v>5</v>
      </c>
      <c r="CM433" s="72">
        <v>5</v>
      </c>
      <c r="CN433" s="72">
        <v>5</v>
      </c>
      <c r="CO433" s="72">
        <v>5</v>
      </c>
      <c r="CP433" s="72">
        <v>5</v>
      </c>
      <c r="CQ433" s="72">
        <v>5</v>
      </c>
      <c r="CR433" s="72">
        <v>5</v>
      </c>
      <c r="CS433" s="72">
        <v>5</v>
      </c>
      <c r="CT433" s="72">
        <v>5</v>
      </c>
      <c r="CU433" s="72">
        <v>5</v>
      </c>
      <c r="CV433" s="72">
        <v>5</v>
      </c>
      <c r="CW433" s="72">
        <v>5</v>
      </c>
      <c r="CX433" s="72">
        <v>5</v>
      </c>
      <c r="CY433" s="72">
        <v>5</v>
      </c>
      <c r="CZ433" s="72">
        <v>5</v>
      </c>
      <c r="DA433" s="72">
        <v>5</v>
      </c>
      <c r="DB433" s="72">
        <v>5</v>
      </c>
      <c r="DC433" s="72">
        <v>5</v>
      </c>
      <c r="DD433" s="72">
        <v>5</v>
      </c>
      <c r="DE433" s="72">
        <v>5</v>
      </c>
      <c r="DF433" s="72">
        <v>5</v>
      </c>
      <c r="DG433" s="72">
        <v>5</v>
      </c>
      <c r="DH433" s="72">
        <v>5</v>
      </c>
      <c r="DI433" s="72">
        <v>5</v>
      </c>
      <c r="DJ433" s="72">
        <v>5</v>
      </c>
      <c r="DK433" s="72">
        <v>5</v>
      </c>
      <c r="DL433" s="72">
        <v>5</v>
      </c>
      <c r="DM433" s="72">
        <v>5</v>
      </c>
    </row>
    <row r="434" spans="1:117" x14ac:dyDescent="0.35">
      <c r="A434" s="7"/>
      <c r="B434" s="8" t="s">
        <v>724</v>
      </c>
      <c r="C434" s="9" t="s">
        <v>725</v>
      </c>
      <c r="D434" s="10" t="s">
        <v>697</v>
      </c>
      <c r="E434" s="8" t="s">
        <v>1203</v>
      </c>
      <c r="F434" s="10">
        <v>1002</v>
      </c>
      <c r="G434" s="10" t="s">
        <v>40</v>
      </c>
      <c r="H434" s="10" t="s">
        <v>41</v>
      </c>
      <c r="I434" s="11">
        <v>3</v>
      </c>
      <c r="J434" s="10"/>
      <c r="K434" s="10"/>
      <c r="L434" s="8"/>
      <c r="M434" s="12">
        <v>400</v>
      </c>
      <c r="N434" s="12">
        <f t="shared" si="9"/>
        <v>1200</v>
      </c>
      <c r="O434" s="11">
        <v>3</v>
      </c>
      <c r="P434" s="11">
        <v>3</v>
      </c>
      <c r="Q434" s="11">
        <v>3</v>
      </c>
      <c r="R434" s="11">
        <v>3</v>
      </c>
      <c r="S434" s="11">
        <v>3</v>
      </c>
      <c r="T434" s="11">
        <v>3</v>
      </c>
      <c r="U434" s="11">
        <v>3</v>
      </c>
      <c r="V434" s="11">
        <v>3</v>
      </c>
      <c r="W434" s="11">
        <v>3</v>
      </c>
      <c r="X434" s="11">
        <v>3</v>
      </c>
      <c r="Y434" s="11">
        <v>3</v>
      </c>
      <c r="Z434" s="11">
        <v>3</v>
      </c>
      <c r="AA434" s="11">
        <v>3</v>
      </c>
      <c r="AB434" s="11">
        <v>3</v>
      </c>
      <c r="AC434" s="11">
        <v>3</v>
      </c>
      <c r="AD434" s="11">
        <v>3</v>
      </c>
      <c r="AE434" s="11">
        <v>3</v>
      </c>
      <c r="AF434" s="11">
        <v>3</v>
      </c>
      <c r="AG434" s="11">
        <v>3</v>
      </c>
      <c r="AH434" s="11">
        <v>3</v>
      </c>
      <c r="AI434" s="11">
        <v>3</v>
      </c>
      <c r="AJ434" s="11">
        <v>3</v>
      </c>
      <c r="AK434" s="11">
        <v>3</v>
      </c>
      <c r="AL434" s="11">
        <v>3</v>
      </c>
      <c r="AM434" s="11">
        <v>3</v>
      </c>
      <c r="AN434" s="72">
        <v>3</v>
      </c>
      <c r="AO434" s="72">
        <v>3</v>
      </c>
      <c r="AP434" s="72">
        <v>3</v>
      </c>
      <c r="AQ434" s="72">
        <v>3</v>
      </c>
      <c r="AR434" s="72">
        <v>3</v>
      </c>
      <c r="AS434" s="72">
        <v>3</v>
      </c>
      <c r="AT434" s="72">
        <v>3</v>
      </c>
      <c r="AU434" s="72">
        <v>3</v>
      </c>
      <c r="AV434" s="72">
        <v>3</v>
      </c>
      <c r="AW434" s="72">
        <v>3</v>
      </c>
      <c r="AX434" s="72">
        <v>3</v>
      </c>
      <c r="AY434" s="72">
        <v>3</v>
      </c>
      <c r="AZ434" s="72">
        <v>3</v>
      </c>
      <c r="BA434" s="72">
        <v>3</v>
      </c>
      <c r="BB434" s="72">
        <v>3</v>
      </c>
      <c r="BC434" s="72">
        <v>3</v>
      </c>
      <c r="BD434" s="72">
        <v>3</v>
      </c>
      <c r="BE434" s="72">
        <v>3</v>
      </c>
      <c r="BF434" s="72">
        <v>3</v>
      </c>
      <c r="BG434" s="72">
        <v>3</v>
      </c>
      <c r="BH434" s="72">
        <v>3</v>
      </c>
      <c r="BI434" s="72">
        <v>3</v>
      </c>
      <c r="BJ434" s="72">
        <v>3</v>
      </c>
      <c r="BK434" s="72">
        <v>3</v>
      </c>
      <c r="BL434" s="72">
        <v>3</v>
      </c>
      <c r="BM434" s="72">
        <v>3</v>
      </c>
      <c r="BN434" s="72">
        <v>3</v>
      </c>
      <c r="BO434" s="72">
        <v>3</v>
      </c>
      <c r="BP434" s="72">
        <v>3</v>
      </c>
      <c r="BQ434" s="72">
        <v>3</v>
      </c>
      <c r="BR434" s="72">
        <v>3</v>
      </c>
      <c r="BS434" s="72">
        <v>3</v>
      </c>
      <c r="BT434" s="72">
        <v>3</v>
      </c>
      <c r="BU434" s="72">
        <v>3</v>
      </c>
      <c r="BV434" s="72">
        <v>3</v>
      </c>
      <c r="BW434" s="72">
        <v>3</v>
      </c>
      <c r="BX434" s="72">
        <v>3</v>
      </c>
      <c r="BY434" s="72">
        <v>3</v>
      </c>
      <c r="BZ434" s="72">
        <v>3</v>
      </c>
      <c r="CA434" s="72">
        <v>3</v>
      </c>
      <c r="CB434" s="72">
        <v>3</v>
      </c>
      <c r="CC434" s="72">
        <v>3</v>
      </c>
      <c r="CD434" s="72">
        <v>3</v>
      </c>
      <c r="CE434" s="72">
        <v>3</v>
      </c>
      <c r="CF434" s="72">
        <v>3</v>
      </c>
      <c r="CG434" s="72">
        <v>3</v>
      </c>
      <c r="CH434" s="72">
        <v>3</v>
      </c>
      <c r="CI434" s="72">
        <v>3</v>
      </c>
      <c r="CJ434" s="72">
        <v>3</v>
      </c>
      <c r="CK434" s="72">
        <v>3</v>
      </c>
      <c r="CL434" s="72">
        <v>3</v>
      </c>
      <c r="CM434" s="72">
        <v>3</v>
      </c>
      <c r="CN434" s="72">
        <v>3</v>
      </c>
      <c r="CO434" s="72">
        <v>3</v>
      </c>
      <c r="CP434" s="72">
        <v>3</v>
      </c>
      <c r="CQ434" s="72">
        <v>3</v>
      </c>
      <c r="CR434" s="72">
        <v>3</v>
      </c>
      <c r="CS434" s="72">
        <v>3</v>
      </c>
      <c r="CT434" s="72">
        <v>3</v>
      </c>
      <c r="CU434" s="72">
        <v>3</v>
      </c>
      <c r="CV434" s="72">
        <v>3</v>
      </c>
      <c r="CW434" s="72">
        <v>3</v>
      </c>
      <c r="CX434" s="72">
        <v>3</v>
      </c>
      <c r="CY434" s="72">
        <v>3</v>
      </c>
      <c r="CZ434" s="72">
        <v>3</v>
      </c>
      <c r="DA434" s="72">
        <v>3</v>
      </c>
      <c r="DB434" s="72">
        <v>3</v>
      </c>
      <c r="DC434" s="72">
        <v>3</v>
      </c>
      <c r="DD434" s="72">
        <v>3</v>
      </c>
      <c r="DE434" s="72">
        <v>3</v>
      </c>
      <c r="DF434" s="72">
        <v>3</v>
      </c>
      <c r="DG434" s="72">
        <v>3</v>
      </c>
      <c r="DH434" s="72">
        <v>3</v>
      </c>
      <c r="DI434" s="72">
        <v>3</v>
      </c>
      <c r="DJ434" s="72">
        <v>3</v>
      </c>
      <c r="DK434" s="72">
        <v>3</v>
      </c>
      <c r="DL434" s="72">
        <v>3</v>
      </c>
      <c r="DM434" s="72">
        <v>3</v>
      </c>
    </row>
    <row r="435" spans="1:117" x14ac:dyDescent="0.35">
      <c r="A435" s="7"/>
      <c r="B435" s="8" t="s">
        <v>726</v>
      </c>
      <c r="C435" s="35" t="s">
        <v>727</v>
      </c>
      <c r="D435" s="10" t="s">
        <v>697</v>
      </c>
      <c r="E435" s="8" t="s">
        <v>1203</v>
      </c>
      <c r="F435" s="10">
        <v>1002</v>
      </c>
      <c r="G435" s="10" t="s">
        <v>40</v>
      </c>
      <c r="H435" s="10" t="s">
        <v>41</v>
      </c>
      <c r="I435" s="11">
        <v>4</v>
      </c>
      <c r="J435" s="10"/>
      <c r="K435" s="10"/>
      <c r="L435" s="8"/>
      <c r="M435" s="12">
        <v>883</v>
      </c>
      <c r="N435" s="12">
        <f t="shared" si="9"/>
        <v>3532</v>
      </c>
      <c r="O435" s="11">
        <v>5</v>
      </c>
      <c r="P435" s="11">
        <v>4</v>
      </c>
      <c r="Q435" s="11">
        <v>4</v>
      </c>
      <c r="R435" s="11">
        <v>4</v>
      </c>
      <c r="S435" s="11">
        <v>4</v>
      </c>
      <c r="T435" s="11">
        <v>4</v>
      </c>
      <c r="U435" s="11">
        <v>4</v>
      </c>
      <c r="V435" s="11">
        <v>4</v>
      </c>
      <c r="W435" s="11">
        <v>4</v>
      </c>
      <c r="X435" s="11">
        <v>4</v>
      </c>
      <c r="Y435" s="11">
        <v>4</v>
      </c>
      <c r="Z435" s="11">
        <v>4</v>
      </c>
      <c r="AA435" s="11">
        <v>4</v>
      </c>
      <c r="AB435" s="11">
        <v>4</v>
      </c>
      <c r="AC435" s="11">
        <v>4</v>
      </c>
      <c r="AD435" s="11">
        <v>4</v>
      </c>
      <c r="AE435" s="11">
        <v>4</v>
      </c>
      <c r="AF435" s="11">
        <v>4</v>
      </c>
      <c r="AG435" s="11">
        <v>4</v>
      </c>
      <c r="AH435" s="11">
        <v>4</v>
      </c>
      <c r="AI435" s="11">
        <v>4</v>
      </c>
      <c r="AJ435" s="11">
        <v>4</v>
      </c>
      <c r="AK435" s="11">
        <v>4</v>
      </c>
      <c r="AL435" s="11">
        <v>4</v>
      </c>
      <c r="AM435" s="11">
        <v>4</v>
      </c>
      <c r="AN435" s="72">
        <v>4</v>
      </c>
      <c r="AO435" s="72">
        <v>4</v>
      </c>
      <c r="AP435" s="72">
        <v>4</v>
      </c>
      <c r="AQ435" s="72">
        <v>4</v>
      </c>
      <c r="AR435" s="72">
        <v>4</v>
      </c>
      <c r="AS435" s="72">
        <v>4</v>
      </c>
      <c r="AT435" s="72">
        <v>4</v>
      </c>
      <c r="AU435" s="72">
        <v>4</v>
      </c>
      <c r="AV435" s="72">
        <v>4</v>
      </c>
      <c r="AW435" s="72">
        <v>4</v>
      </c>
      <c r="AX435" s="72">
        <v>4</v>
      </c>
      <c r="AY435" s="72">
        <v>4</v>
      </c>
      <c r="AZ435" s="72">
        <v>4</v>
      </c>
      <c r="BA435" s="72">
        <v>4</v>
      </c>
      <c r="BB435" s="72">
        <v>4</v>
      </c>
      <c r="BC435" s="72">
        <v>4</v>
      </c>
      <c r="BD435" s="72">
        <v>4</v>
      </c>
      <c r="BE435" s="72">
        <v>4</v>
      </c>
      <c r="BF435" s="72">
        <v>4</v>
      </c>
      <c r="BG435" s="72">
        <v>4</v>
      </c>
      <c r="BH435" s="72">
        <v>4</v>
      </c>
      <c r="BI435" s="72">
        <v>4</v>
      </c>
      <c r="BJ435" s="72">
        <v>4</v>
      </c>
      <c r="BK435" s="72">
        <v>4</v>
      </c>
      <c r="BL435" s="72">
        <v>4</v>
      </c>
      <c r="BM435" s="72">
        <v>4</v>
      </c>
      <c r="BN435" s="72">
        <v>4</v>
      </c>
      <c r="BO435" s="72">
        <v>4</v>
      </c>
      <c r="BP435" s="72">
        <v>4</v>
      </c>
      <c r="BQ435" s="72">
        <v>4</v>
      </c>
      <c r="BR435" s="72">
        <v>4</v>
      </c>
      <c r="BS435" s="72">
        <v>4</v>
      </c>
      <c r="BT435" s="72">
        <v>4</v>
      </c>
      <c r="BU435" s="72">
        <v>4</v>
      </c>
      <c r="BV435" s="72">
        <v>4</v>
      </c>
      <c r="BW435" s="72">
        <v>4</v>
      </c>
      <c r="BX435" s="72">
        <v>4</v>
      </c>
      <c r="BY435" s="72">
        <v>4</v>
      </c>
      <c r="BZ435" s="72">
        <v>4</v>
      </c>
      <c r="CA435" s="72">
        <v>4</v>
      </c>
      <c r="CB435" s="72">
        <v>4</v>
      </c>
      <c r="CC435" s="72">
        <v>4</v>
      </c>
      <c r="CD435" s="72">
        <v>4</v>
      </c>
      <c r="CE435" s="72">
        <v>4</v>
      </c>
      <c r="CF435" s="72">
        <v>4</v>
      </c>
      <c r="CG435" s="72">
        <v>4</v>
      </c>
      <c r="CH435" s="72">
        <v>4</v>
      </c>
      <c r="CI435" s="72">
        <v>4</v>
      </c>
      <c r="CJ435" s="72">
        <v>4</v>
      </c>
      <c r="CK435" s="72">
        <v>4</v>
      </c>
      <c r="CL435" s="72">
        <v>4</v>
      </c>
      <c r="CM435" s="72">
        <v>4</v>
      </c>
      <c r="CN435" s="72">
        <v>4</v>
      </c>
      <c r="CO435" s="72">
        <v>4</v>
      </c>
      <c r="CP435" s="72">
        <v>4</v>
      </c>
      <c r="CQ435" s="72">
        <v>4</v>
      </c>
      <c r="CR435" s="72">
        <v>4</v>
      </c>
      <c r="CS435" s="72">
        <v>4</v>
      </c>
      <c r="CT435" s="72">
        <v>4</v>
      </c>
      <c r="CU435" s="72">
        <v>4</v>
      </c>
      <c r="CV435" s="72">
        <v>4</v>
      </c>
      <c r="CW435" s="72">
        <v>4</v>
      </c>
      <c r="CX435" s="72">
        <v>4</v>
      </c>
      <c r="CY435" s="72">
        <v>4</v>
      </c>
      <c r="CZ435" s="72">
        <v>4</v>
      </c>
      <c r="DA435" s="72">
        <v>4</v>
      </c>
      <c r="DB435" s="72">
        <v>4</v>
      </c>
      <c r="DC435" s="72">
        <v>4</v>
      </c>
      <c r="DD435" s="72">
        <v>4</v>
      </c>
      <c r="DE435" s="72">
        <v>4</v>
      </c>
      <c r="DF435" s="72">
        <v>4</v>
      </c>
      <c r="DG435" s="72">
        <v>4</v>
      </c>
      <c r="DH435" s="72">
        <v>4</v>
      </c>
      <c r="DI435" s="72">
        <v>4</v>
      </c>
      <c r="DJ435" s="72">
        <v>4</v>
      </c>
      <c r="DK435" s="72">
        <v>4</v>
      </c>
      <c r="DL435" s="72">
        <v>4</v>
      </c>
      <c r="DM435" s="72">
        <v>4</v>
      </c>
    </row>
    <row r="436" spans="1:117" x14ac:dyDescent="0.35">
      <c r="A436" s="7"/>
      <c r="B436" s="14" t="s">
        <v>728</v>
      </c>
      <c r="C436" s="9" t="s">
        <v>729</v>
      </c>
      <c r="D436" s="10" t="s">
        <v>697</v>
      </c>
      <c r="E436" s="8" t="s">
        <v>1203</v>
      </c>
      <c r="F436" s="10">
        <v>1002</v>
      </c>
      <c r="G436" s="10" t="s">
        <v>40</v>
      </c>
      <c r="H436" s="10" t="s">
        <v>41</v>
      </c>
      <c r="I436" s="11">
        <v>11</v>
      </c>
      <c r="J436" s="10"/>
      <c r="K436" s="10" t="s">
        <v>42</v>
      </c>
      <c r="L436" s="8"/>
      <c r="M436" s="12">
        <v>805</v>
      </c>
      <c r="N436" s="12">
        <f t="shared" si="9"/>
        <v>7245</v>
      </c>
      <c r="O436" s="11">
        <v>11</v>
      </c>
      <c r="P436" s="11">
        <v>11</v>
      </c>
      <c r="Q436" s="11">
        <v>11</v>
      </c>
      <c r="R436" s="11">
        <v>11</v>
      </c>
      <c r="S436" s="11">
        <v>11</v>
      </c>
      <c r="T436" s="11">
        <v>11</v>
      </c>
      <c r="U436" s="11">
        <v>11</v>
      </c>
      <c r="V436" s="11">
        <v>11</v>
      </c>
      <c r="W436" s="11">
        <v>11</v>
      </c>
      <c r="X436" s="11">
        <v>11</v>
      </c>
      <c r="Y436" s="11">
        <v>11</v>
      </c>
      <c r="Z436" s="11">
        <v>11</v>
      </c>
      <c r="AA436" s="11">
        <v>11</v>
      </c>
      <c r="AB436" s="11">
        <v>11</v>
      </c>
      <c r="AC436" s="11">
        <v>11</v>
      </c>
      <c r="AD436" s="11">
        <v>11</v>
      </c>
      <c r="AE436" s="11">
        <v>11</v>
      </c>
      <c r="AF436" s="11">
        <v>11</v>
      </c>
      <c r="AG436" s="11">
        <v>11</v>
      </c>
      <c r="AH436" s="11">
        <v>11</v>
      </c>
      <c r="AI436" s="11">
        <v>11</v>
      </c>
      <c r="AJ436" s="11">
        <v>11</v>
      </c>
      <c r="AK436" s="11">
        <v>11</v>
      </c>
      <c r="AL436" s="11">
        <v>11</v>
      </c>
      <c r="AM436" s="11">
        <v>11</v>
      </c>
      <c r="AN436" s="72">
        <v>11</v>
      </c>
      <c r="AO436" s="72">
        <v>11</v>
      </c>
      <c r="AP436" s="72">
        <v>11</v>
      </c>
      <c r="AQ436" s="72">
        <v>11</v>
      </c>
      <c r="AR436" s="72">
        <v>11</v>
      </c>
      <c r="AS436" s="72">
        <v>11</v>
      </c>
      <c r="AT436" s="72">
        <v>11</v>
      </c>
      <c r="AU436" s="72">
        <v>11</v>
      </c>
      <c r="AV436" s="72">
        <v>11</v>
      </c>
      <c r="AW436" s="72">
        <v>11</v>
      </c>
      <c r="AX436" s="72">
        <v>10</v>
      </c>
      <c r="AY436" s="72">
        <v>10</v>
      </c>
      <c r="AZ436" s="72">
        <v>10</v>
      </c>
      <c r="BA436" s="72">
        <v>10</v>
      </c>
      <c r="BB436" s="72">
        <v>10</v>
      </c>
      <c r="BC436" s="72">
        <v>10</v>
      </c>
      <c r="BD436" s="72">
        <v>10</v>
      </c>
      <c r="BE436" s="72">
        <v>10</v>
      </c>
      <c r="BF436" s="72">
        <v>10</v>
      </c>
      <c r="BG436" s="72">
        <v>10</v>
      </c>
      <c r="BH436" s="72">
        <v>9</v>
      </c>
      <c r="BI436" s="72">
        <v>9</v>
      </c>
      <c r="BJ436" s="72">
        <v>9</v>
      </c>
      <c r="BK436" s="72">
        <v>9</v>
      </c>
      <c r="BL436" s="72">
        <v>9</v>
      </c>
      <c r="BM436" s="72">
        <v>9</v>
      </c>
      <c r="BN436" s="72">
        <v>9</v>
      </c>
      <c r="BO436" s="72">
        <v>9</v>
      </c>
      <c r="BP436" s="72">
        <v>9</v>
      </c>
      <c r="BQ436" s="72">
        <v>9</v>
      </c>
      <c r="BR436" s="72">
        <v>9</v>
      </c>
      <c r="BS436" s="72">
        <v>9</v>
      </c>
      <c r="BT436" s="72">
        <v>9</v>
      </c>
      <c r="BU436" s="72">
        <v>9</v>
      </c>
      <c r="BV436" s="72">
        <v>9</v>
      </c>
      <c r="BW436" s="72">
        <v>9</v>
      </c>
      <c r="BX436" s="72">
        <v>9</v>
      </c>
      <c r="BY436" s="72">
        <v>9</v>
      </c>
      <c r="BZ436" s="72">
        <v>9</v>
      </c>
      <c r="CA436" s="72">
        <v>9</v>
      </c>
      <c r="CB436" s="72">
        <v>9</v>
      </c>
      <c r="CC436" s="72">
        <v>9</v>
      </c>
      <c r="CD436" s="72">
        <v>9</v>
      </c>
      <c r="CE436" s="72">
        <v>9</v>
      </c>
      <c r="CF436" s="72">
        <v>9</v>
      </c>
      <c r="CG436" s="72">
        <v>9</v>
      </c>
      <c r="CH436" s="72">
        <v>9</v>
      </c>
      <c r="CI436" s="72">
        <v>9</v>
      </c>
      <c r="CJ436" s="72">
        <v>9</v>
      </c>
      <c r="CK436" s="72">
        <v>9</v>
      </c>
      <c r="CL436" s="72">
        <v>9</v>
      </c>
      <c r="CM436" s="72">
        <v>9</v>
      </c>
      <c r="CN436" s="72">
        <v>9</v>
      </c>
      <c r="CO436" s="72">
        <v>9</v>
      </c>
      <c r="CP436" s="72">
        <v>9</v>
      </c>
      <c r="CQ436" s="72">
        <v>9</v>
      </c>
      <c r="CR436" s="72">
        <v>9</v>
      </c>
      <c r="CS436" s="72">
        <v>9</v>
      </c>
      <c r="CT436" s="72">
        <v>9</v>
      </c>
      <c r="CU436" s="72">
        <v>9</v>
      </c>
      <c r="CV436" s="72">
        <v>9</v>
      </c>
      <c r="CW436" s="72">
        <v>9</v>
      </c>
      <c r="CX436" s="72">
        <v>9</v>
      </c>
      <c r="CY436" s="72">
        <v>9</v>
      </c>
      <c r="CZ436" s="72">
        <v>9</v>
      </c>
      <c r="DA436" s="72">
        <v>9</v>
      </c>
      <c r="DB436" s="72">
        <v>9</v>
      </c>
      <c r="DC436" s="72">
        <v>9</v>
      </c>
      <c r="DD436" s="72">
        <v>9</v>
      </c>
      <c r="DE436" s="72">
        <v>9</v>
      </c>
      <c r="DF436" s="72">
        <v>9</v>
      </c>
      <c r="DG436" s="72">
        <v>9</v>
      </c>
      <c r="DH436" s="72">
        <v>9</v>
      </c>
      <c r="DI436" s="72">
        <v>9</v>
      </c>
      <c r="DJ436" s="72">
        <v>9</v>
      </c>
      <c r="DK436" s="72">
        <v>9</v>
      </c>
      <c r="DL436" s="72">
        <v>9</v>
      </c>
      <c r="DM436" s="72">
        <v>9</v>
      </c>
    </row>
    <row r="437" spans="1:117" x14ac:dyDescent="0.35">
      <c r="A437" s="7"/>
      <c r="B437" s="8" t="s">
        <v>730</v>
      </c>
      <c r="C437" s="9" t="s">
        <v>731</v>
      </c>
      <c r="D437" s="10" t="s">
        <v>697</v>
      </c>
      <c r="E437" s="8" t="s">
        <v>1203</v>
      </c>
      <c r="F437" s="10">
        <v>1002</v>
      </c>
      <c r="G437" s="10" t="s">
        <v>40</v>
      </c>
      <c r="H437" s="10" t="s">
        <v>41</v>
      </c>
      <c r="I437" s="11">
        <v>12</v>
      </c>
      <c r="J437" s="10"/>
      <c r="K437" s="10" t="s">
        <v>42</v>
      </c>
      <c r="L437" s="8"/>
      <c r="M437" s="12">
        <v>1108</v>
      </c>
      <c r="N437" s="12">
        <f t="shared" si="9"/>
        <v>12188</v>
      </c>
      <c r="O437" s="11">
        <v>12</v>
      </c>
      <c r="P437" s="11">
        <v>12</v>
      </c>
      <c r="Q437" s="11">
        <v>12</v>
      </c>
      <c r="R437" s="11">
        <v>12</v>
      </c>
      <c r="S437" s="11">
        <v>12</v>
      </c>
      <c r="T437" s="11">
        <v>12</v>
      </c>
      <c r="U437" s="11">
        <v>12</v>
      </c>
      <c r="V437" s="11">
        <v>12</v>
      </c>
      <c r="W437" s="11">
        <v>12</v>
      </c>
      <c r="X437" s="11">
        <v>12</v>
      </c>
      <c r="Y437" s="11">
        <v>12</v>
      </c>
      <c r="Z437" s="11">
        <v>12</v>
      </c>
      <c r="AA437" s="11">
        <v>12</v>
      </c>
      <c r="AB437" s="11">
        <v>12</v>
      </c>
      <c r="AC437" s="11">
        <v>12</v>
      </c>
      <c r="AD437" s="11">
        <v>12</v>
      </c>
      <c r="AE437" s="11">
        <v>12</v>
      </c>
      <c r="AF437" s="11">
        <v>12</v>
      </c>
      <c r="AG437" s="11">
        <v>12</v>
      </c>
      <c r="AH437" s="11">
        <v>12</v>
      </c>
      <c r="AI437" s="11">
        <v>12</v>
      </c>
      <c r="AJ437" s="11">
        <v>12</v>
      </c>
      <c r="AK437" s="11">
        <v>12</v>
      </c>
      <c r="AL437" s="11">
        <v>12</v>
      </c>
      <c r="AM437" s="11">
        <v>12</v>
      </c>
      <c r="AN437" s="72">
        <v>12</v>
      </c>
      <c r="AO437" s="72">
        <v>12</v>
      </c>
      <c r="AP437" s="72">
        <v>12</v>
      </c>
      <c r="AQ437" s="72">
        <v>12</v>
      </c>
      <c r="AR437" s="72">
        <v>12</v>
      </c>
      <c r="AS437" s="72">
        <v>12</v>
      </c>
      <c r="AT437" s="72">
        <v>11</v>
      </c>
      <c r="AU437" s="72">
        <v>11</v>
      </c>
      <c r="AV437" s="72">
        <v>11</v>
      </c>
      <c r="AW437" s="72">
        <v>11</v>
      </c>
      <c r="AX437" s="72">
        <v>11</v>
      </c>
      <c r="AY437" s="72">
        <v>11</v>
      </c>
      <c r="AZ437" s="72">
        <v>11</v>
      </c>
      <c r="BA437" s="72">
        <v>11</v>
      </c>
      <c r="BB437" s="72">
        <v>11</v>
      </c>
      <c r="BC437" s="72">
        <v>11</v>
      </c>
      <c r="BD437" s="72">
        <v>11</v>
      </c>
      <c r="BE437" s="72">
        <v>11</v>
      </c>
      <c r="BF437" s="72">
        <v>11</v>
      </c>
      <c r="BG437" s="72">
        <v>11</v>
      </c>
      <c r="BH437" s="72">
        <v>11</v>
      </c>
      <c r="BI437" s="72">
        <v>11</v>
      </c>
      <c r="BJ437" s="72">
        <v>11</v>
      </c>
      <c r="BK437" s="72">
        <v>11</v>
      </c>
      <c r="BL437" s="72">
        <v>11</v>
      </c>
      <c r="BM437" s="72">
        <v>11</v>
      </c>
      <c r="BN437" s="72">
        <v>11</v>
      </c>
      <c r="BO437" s="72">
        <v>11</v>
      </c>
      <c r="BP437" s="72">
        <v>11</v>
      </c>
      <c r="BQ437" s="72">
        <v>11</v>
      </c>
      <c r="BR437" s="72">
        <v>11</v>
      </c>
      <c r="BS437" s="72">
        <v>11</v>
      </c>
      <c r="BT437" s="72">
        <v>11</v>
      </c>
      <c r="BU437" s="72">
        <v>11</v>
      </c>
      <c r="BV437" s="72">
        <v>11</v>
      </c>
      <c r="BW437" s="72">
        <v>11</v>
      </c>
      <c r="BX437" s="72">
        <v>11</v>
      </c>
      <c r="BY437" s="72">
        <v>11</v>
      </c>
      <c r="BZ437" s="72">
        <v>11</v>
      </c>
      <c r="CA437" s="72">
        <v>11</v>
      </c>
      <c r="CB437" s="72">
        <v>11</v>
      </c>
      <c r="CC437" s="72">
        <v>11</v>
      </c>
      <c r="CD437" s="72">
        <v>11</v>
      </c>
      <c r="CE437" s="72">
        <v>11</v>
      </c>
      <c r="CF437" s="72">
        <v>11</v>
      </c>
      <c r="CG437" s="72">
        <v>11</v>
      </c>
      <c r="CH437" s="72">
        <v>11</v>
      </c>
      <c r="CI437" s="72">
        <v>11</v>
      </c>
      <c r="CJ437" s="72">
        <v>11</v>
      </c>
      <c r="CK437" s="72">
        <v>11</v>
      </c>
      <c r="CL437" s="72">
        <v>11</v>
      </c>
      <c r="CM437" s="72">
        <v>11</v>
      </c>
      <c r="CN437" s="72">
        <v>11</v>
      </c>
      <c r="CO437" s="72">
        <v>11</v>
      </c>
      <c r="CP437" s="72">
        <v>11</v>
      </c>
      <c r="CQ437" s="72">
        <v>11</v>
      </c>
      <c r="CR437" s="72">
        <v>11</v>
      </c>
      <c r="CS437" s="72">
        <v>11</v>
      </c>
      <c r="CT437" s="72">
        <v>11</v>
      </c>
      <c r="CU437" s="72">
        <v>11</v>
      </c>
      <c r="CV437" s="72">
        <v>11</v>
      </c>
      <c r="CW437" s="72">
        <v>11</v>
      </c>
      <c r="CX437" s="72">
        <v>11</v>
      </c>
      <c r="CY437" s="72">
        <v>11</v>
      </c>
      <c r="CZ437" s="72">
        <v>11</v>
      </c>
      <c r="DA437" s="72">
        <v>11</v>
      </c>
      <c r="DB437" s="72">
        <v>11</v>
      </c>
      <c r="DC437" s="72">
        <v>11</v>
      </c>
      <c r="DD437" s="72">
        <v>11</v>
      </c>
      <c r="DE437" s="72">
        <v>11</v>
      </c>
      <c r="DF437" s="72">
        <v>11</v>
      </c>
      <c r="DG437" s="72">
        <v>11</v>
      </c>
      <c r="DH437" s="72">
        <v>11</v>
      </c>
      <c r="DI437" s="72">
        <v>11</v>
      </c>
      <c r="DJ437" s="72">
        <v>11</v>
      </c>
      <c r="DK437" s="72">
        <v>11</v>
      </c>
      <c r="DL437" s="72">
        <v>11</v>
      </c>
      <c r="DM437" s="72">
        <v>11</v>
      </c>
    </row>
    <row r="438" spans="1:117" x14ac:dyDescent="0.35">
      <c r="A438" s="7"/>
      <c r="B438" s="8" t="s">
        <v>732</v>
      </c>
      <c r="C438" s="9" t="s">
        <v>733</v>
      </c>
      <c r="D438" s="10" t="s">
        <v>697</v>
      </c>
      <c r="E438" s="8" t="s">
        <v>1060</v>
      </c>
      <c r="F438" s="10">
        <v>1002</v>
      </c>
      <c r="G438" s="10" t="s">
        <v>40</v>
      </c>
      <c r="H438" s="10" t="s">
        <v>41</v>
      </c>
      <c r="I438" s="11">
        <v>0</v>
      </c>
      <c r="J438" s="10"/>
      <c r="K438" s="10"/>
      <c r="L438" s="8"/>
      <c r="M438" s="12">
        <v>930</v>
      </c>
      <c r="N438" s="12">
        <f t="shared" si="9"/>
        <v>930</v>
      </c>
      <c r="O438" s="11">
        <v>1</v>
      </c>
      <c r="P438" s="11">
        <v>1</v>
      </c>
      <c r="Q438" s="11">
        <v>1</v>
      </c>
      <c r="R438" s="11">
        <v>1</v>
      </c>
      <c r="S438" s="11">
        <v>1</v>
      </c>
      <c r="T438" s="11">
        <v>1</v>
      </c>
      <c r="U438" s="11">
        <v>1</v>
      </c>
      <c r="V438" s="11">
        <v>1</v>
      </c>
      <c r="W438" s="11">
        <v>1</v>
      </c>
      <c r="X438" s="11">
        <v>1</v>
      </c>
      <c r="Y438" s="11">
        <v>1</v>
      </c>
      <c r="Z438" s="11">
        <v>1</v>
      </c>
      <c r="AA438" s="11">
        <v>1</v>
      </c>
      <c r="AB438" s="11">
        <v>1</v>
      </c>
      <c r="AC438" s="11">
        <v>1</v>
      </c>
      <c r="AD438" s="11">
        <v>1</v>
      </c>
      <c r="AE438" s="11">
        <v>1</v>
      </c>
      <c r="AF438" s="11">
        <v>1</v>
      </c>
      <c r="AG438" s="11">
        <v>1</v>
      </c>
      <c r="AH438" s="11">
        <v>1</v>
      </c>
      <c r="AI438" s="11">
        <v>1</v>
      </c>
      <c r="AJ438" s="11">
        <v>1</v>
      </c>
      <c r="AK438" s="11">
        <v>1</v>
      </c>
      <c r="AL438" s="11">
        <v>1</v>
      </c>
      <c r="AM438" s="11">
        <v>1</v>
      </c>
      <c r="AN438" s="72">
        <v>1</v>
      </c>
      <c r="AO438" s="72">
        <v>1</v>
      </c>
      <c r="AP438" s="72">
        <v>1</v>
      </c>
      <c r="AQ438" s="72">
        <v>1</v>
      </c>
      <c r="AR438" s="72">
        <v>1</v>
      </c>
      <c r="AS438" s="72">
        <v>1</v>
      </c>
      <c r="AT438" s="72">
        <v>1</v>
      </c>
      <c r="AU438" s="72">
        <v>1</v>
      </c>
      <c r="AV438" s="72">
        <v>1</v>
      </c>
      <c r="AW438" s="72">
        <v>1</v>
      </c>
      <c r="AX438" s="72">
        <v>1</v>
      </c>
      <c r="AY438" s="72">
        <v>1</v>
      </c>
      <c r="AZ438" s="72">
        <v>1</v>
      </c>
      <c r="BA438" s="72">
        <v>1</v>
      </c>
      <c r="BB438" s="72">
        <v>1</v>
      </c>
      <c r="BC438" s="72">
        <v>1</v>
      </c>
      <c r="BD438" s="72">
        <v>1</v>
      </c>
      <c r="BE438" s="72">
        <v>1</v>
      </c>
      <c r="BF438" s="72">
        <v>1</v>
      </c>
      <c r="BG438" s="72">
        <v>1</v>
      </c>
      <c r="BH438" s="72">
        <v>1</v>
      </c>
      <c r="BI438" s="72">
        <v>1</v>
      </c>
      <c r="BJ438" s="72">
        <v>1</v>
      </c>
      <c r="BK438" s="72">
        <v>1</v>
      </c>
      <c r="BL438" s="72">
        <v>1</v>
      </c>
      <c r="BM438" s="72">
        <v>1</v>
      </c>
      <c r="BN438" s="72">
        <v>1</v>
      </c>
      <c r="BO438" s="72">
        <v>1</v>
      </c>
      <c r="BP438" s="72">
        <v>1</v>
      </c>
      <c r="BQ438" s="72">
        <v>1</v>
      </c>
      <c r="BR438" s="72">
        <v>1</v>
      </c>
      <c r="BS438" s="72">
        <v>1</v>
      </c>
      <c r="BT438" s="72">
        <v>1</v>
      </c>
      <c r="BU438" s="72">
        <v>1</v>
      </c>
      <c r="BV438" s="72">
        <v>1</v>
      </c>
      <c r="BW438" s="72">
        <v>1</v>
      </c>
      <c r="BX438" s="72">
        <v>1</v>
      </c>
      <c r="BY438" s="72">
        <v>1</v>
      </c>
      <c r="BZ438" s="72">
        <v>1</v>
      </c>
      <c r="CA438" s="72">
        <v>1</v>
      </c>
      <c r="CB438" s="72">
        <v>1</v>
      </c>
      <c r="CC438" s="72">
        <v>1</v>
      </c>
      <c r="CD438" s="72">
        <v>1</v>
      </c>
      <c r="CE438" s="72">
        <v>1</v>
      </c>
      <c r="CF438" s="72">
        <v>1</v>
      </c>
      <c r="CG438" s="72">
        <v>1</v>
      </c>
      <c r="CH438" s="72">
        <v>1</v>
      </c>
      <c r="CI438" s="72">
        <v>1</v>
      </c>
      <c r="CJ438" s="72">
        <v>1</v>
      </c>
      <c r="CK438" s="72">
        <v>1</v>
      </c>
      <c r="CL438" s="72">
        <v>1</v>
      </c>
      <c r="CM438" s="72">
        <v>1</v>
      </c>
      <c r="CN438" s="72">
        <v>1</v>
      </c>
      <c r="CO438" s="72">
        <v>1</v>
      </c>
      <c r="CP438" s="72">
        <v>1</v>
      </c>
      <c r="CQ438" s="72">
        <v>1</v>
      </c>
      <c r="CR438" s="72">
        <v>1</v>
      </c>
      <c r="CS438" s="72">
        <v>1</v>
      </c>
      <c r="CT438" s="72">
        <v>1</v>
      </c>
      <c r="CU438" s="72">
        <v>1</v>
      </c>
      <c r="CV438" s="72">
        <v>1</v>
      </c>
      <c r="CW438" s="72">
        <v>1</v>
      </c>
      <c r="CX438" s="72">
        <v>1</v>
      </c>
      <c r="CY438" s="72">
        <v>1</v>
      </c>
      <c r="CZ438" s="72">
        <v>1</v>
      </c>
      <c r="DA438" s="72">
        <v>1</v>
      </c>
      <c r="DB438" s="72">
        <v>1</v>
      </c>
      <c r="DC438" s="72">
        <v>1</v>
      </c>
      <c r="DD438" s="72">
        <v>1</v>
      </c>
      <c r="DE438" s="72">
        <v>1</v>
      </c>
      <c r="DF438" s="72">
        <v>1</v>
      </c>
      <c r="DG438" s="72">
        <v>1</v>
      </c>
      <c r="DH438" s="72">
        <v>1</v>
      </c>
      <c r="DI438" s="72">
        <v>1</v>
      </c>
      <c r="DJ438" s="72">
        <v>1</v>
      </c>
      <c r="DK438" s="72">
        <v>1</v>
      </c>
      <c r="DL438" s="72">
        <v>1</v>
      </c>
      <c r="DM438" s="72">
        <v>1</v>
      </c>
    </row>
    <row r="439" spans="1:117" x14ac:dyDescent="0.35">
      <c r="A439" s="7"/>
      <c r="B439" s="8" t="s">
        <v>734</v>
      </c>
      <c r="C439" s="9" t="s">
        <v>735</v>
      </c>
      <c r="D439" s="10" t="s">
        <v>697</v>
      </c>
      <c r="E439" s="8" t="s">
        <v>1205</v>
      </c>
      <c r="F439" s="10">
        <v>1006</v>
      </c>
      <c r="G439" s="10" t="s">
        <v>40</v>
      </c>
      <c r="H439" s="10" t="s">
        <v>41</v>
      </c>
      <c r="I439" s="11">
        <v>16</v>
      </c>
      <c r="J439" s="10"/>
      <c r="K439" s="10"/>
      <c r="L439" s="8"/>
      <c r="M439" s="12">
        <v>98</v>
      </c>
      <c r="N439" s="12">
        <f t="shared" si="9"/>
        <v>1568</v>
      </c>
      <c r="O439" s="11">
        <v>20</v>
      </c>
      <c r="P439" s="11">
        <v>20</v>
      </c>
      <c r="Q439" s="11">
        <v>20</v>
      </c>
      <c r="R439" s="11">
        <v>20</v>
      </c>
      <c r="S439" s="11">
        <v>20</v>
      </c>
      <c r="T439" s="11">
        <v>20</v>
      </c>
      <c r="U439" s="11">
        <v>16</v>
      </c>
      <c r="V439" s="11">
        <v>16</v>
      </c>
      <c r="W439" s="11">
        <v>16</v>
      </c>
      <c r="X439" s="11">
        <v>16</v>
      </c>
      <c r="Y439" s="11">
        <v>16</v>
      </c>
      <c r="Z439" s="11">
        <v>16</v>
      </c>
      <c r="AA439" s="11">
        <v>16</v>
      </c>
      <c r="AB439" s="11">
        <v>16</v>
      </c>
      <c r="AC439" s="11">
        <v>16</v>
      </c>
      <c r="AD439" s="11">
        <v>16</v>
      </c>
      <c r="AE439" s="11">
        <v>16</v>
      </c>
      <c r="AF439" s="11">
        <v>16</v>
      </c>
      <c r="AG439" s="11">
        <v>16</v>
      </c>
      <c r="AH439" s="11">
        <v>16</v>
      </c>
      <c r="AI439" s="11">
        <v>16</v>
      </c>
      <c r="AJ439" s="11">
        <v>16</v>
      </c>
      <c r="AK439" s="11">
        <v>16</v>
      </c>
      <c r="AL439" s="11">
        <v>16</v>
      </c>
      <c r="AM439" s="11">
        <v>16</v>
      </c>
      <c r="AN439" s="72">
        <v>16</v>
      </c>
      <c r="AO439" s="72">
        <v>16</v>
      </c>
      <c r="AP439" s="72">
        <v>16</v>
      </c>
      <c r="AQ439" s="72">
        <v>16</v>
      </c>
      <c r="AR439" s="72">
        <v>16</v>
      </c>
      <c r="AS439" s="72">
        <v>16</v>
      </c>
      <c r="AT439" s="72">
        <v>16</v>
      </c>
      <c r="AU439" s="72">
        <v>16</v>
      </c>
      <c r="AV439" s="72">
        <v>16</v>
      </c>
      <c r="AW439" s="72">
        <v>16</v>
      </c>
      <c r="AX439" s="72">
        <v>16</v>
      </c>
      <c r="AY439" s="72">
        <v>16</v>
      </c>
      <c r="AZ439" s="72">
        <v>16</v>
      </c>
      <c r="BA439" s="72">
        <v>16</v>
      </c>
      <c r="BB439" s="72">
        <v>16</v>
      </c>
      <c r="BC439" s="72">
        <v>16</v>
      </c>
      <c r="BD439" s="72">
        <v>16</v>
      </c>
      <c r="BE439" s="72">
        <v>16</v>
      </c>
      <c r="BF439" s="72">
        <v>16</v>
      </c>
      <c r="BG439" s="72">
        <v>16</v>
      </c>
      <c r="BH439" s="72">
        <v>16</v>
      </c>
      <c r="BI439" s="72">
        <v>16</v>
      </c>
      <c r="BJ439" s="72">
        <v>16</v>
      </c>
      <c r="BK439" s="72">
        <v>16</v>
      </c>
      <c r="BL439" s="72">
        <v>16</v>
      </c>
      <c r="BM439" s="72">
        <v>16</v>
      </c>
      <c r="BN439" s="72">
        <v>16</v>
      </c>
      <c r="BO439" s="72">
        <v>16</v>
      </c>
      <c r="BP439" s="72">
        <v>16</v>
      </c>
      <c r="BQ439" s="72">
        <v>16</v>
      </c>
      <c r="BR439" s="72">
        <v>16</v>
      </c>
      <c r="BS439" s="72">
        <v>16</v>
      </c>
      <c r="BT439" s="72">
        <v>16</v>
      </c>
      <c r="BU439" s="72">
        <v>16</v>
      </c>
      <c r="BV439" s="72">
        <v>16</v>
      </c>
      <c r="BW439" s="72">
        <v>16</v>
      </c>
      <c r="BX439" s="72">
        <v>16</v>
      </c>
      <c r="BY439" s="72">
        <v>16</v>
      </c>
      <c r="BZ439" s="72">
        <v>16</v>
      </c>
      <c r="CA439" s="72">
        <v>16</v>
      </c>
      <c r="CB439" s="72">
        <v>16</v>
      </c>
      <c r="CC439" s="72">
        <v>16</v>
      </c>
      <c r="CD439" s="72">
        <v>16</v>
      </c>
      <c r="CE439" s="72">
        <v>16</v>
      </c>
      <c r="CF439" s="72">
        <v>16</v>
      </c>
      <c r="CG439" s="72">
        <v>16</v>
      </c>
      <c r="CH439" s="72">
        <v>16</v>
      </c>
      <c r="CI439" s="72">
        <v>16</v>
      </c>
      <c r="CJ439" s="72">
        <v>16</v>
      </c>
      <c r="CK439" s="72">
        <v>16</v>
      </c>
      <c r="CL439" s="72">
        <v>16</v>
      </c>
      <c r="CM439" s="72">
        <v>16</v>
      </c>
      <c r="CN439" s="72">
        <v>16</v>
      </c>
      <c r="CO439" s="72">
        <v>16</v>
      </c>
      <c r="CP439" s="72">
        <v>16</v>
      </c>
      <c r="CQ439" s="72">
        <v>16</v>
      </c>
      <c r="CR439" s="72">
        <v>16</v>
      </c>
      <c r="CS439" s="72">
        <v>16</v>
      </c>
      <c r="CT439" s="72">
        <v>16</v>
      </c>
      <c r="CU439" s="72">
        <v>16</v>
      </c>
      <c r="CV439" s="72">
        <v>16</v>
      </c>
      <c r="CW439" s="72">
        <v>16</v>
      </c>
      <c r="CX439" s="72">
        <v>16</v>
      </c>
      <c r="CY439" s="72">
        <v>16</v>
      </c>
      <c r="CZ439" s="72">
        <v>16</v>
      </c>
      <c r="DA439" s="72">
        <v>16</v>
      </c>
      <c r="DB439" s="72">
        <v>16</v>
      </c>
      <c r="DC439" s="72">
        <v>16</v>
      </c>
      <c r="DD439" s="72">
        <v>16</v>
      </c>
      <c r="DE439" s="72">
        <v>16</v>
      </c>
      <c r="DF439" s="72">
        <v>16</v>
      </c>
      <c r="DG439" s="72">
        <v>16</v>
      </c>
      <c r="DH439" s="72">
        <v>16</v>
      </c>
      <c r="DI439" s="72">
        <v>16</v>
      </c>
      <c r="DJ439" s="72">
        <v>16</v>
      </c>
      <c r="DK439" s="72">
        <v>16</v>
      </c>
      <c r="DL439" s="72">
        <v>16</v>
      </c>
      <c r="DM439" s="72">
        <v>16</v>
      </c>
    </row>
    <row r="440" spans="1:117" x14ac:dyDescent="0.35">
      <c r="A440" s="7"/>
      <c r="B440" s="8" t="s">
        <v>736</v>
      </c>
      <c r="C440" s="9" t="s">
        <v>737</v>
      </c>
      <c r="D440" s="10" t="s">
        <v>697</v>
      </c>
      <c r="E440" s="8" t="s">
        <v>1207</v>
      </c>
      <c r="F440" s="10">
        <v>1006</v>
      </c>
      <c r="G440" s="10" t="s">
        <v>40</v>
      </c>
      <c r="H440" s="10" t="s">
        <v>41</v>
      </c>
      <c r="I440" s="11">
        <v>54</v>
      </c>
      <c r="J440" s="10"/>
      <c r="K440" s="10" t="s">
        <v>526</v>
      </c>
      <c r="L440" s="8"/>
      <c r="M440" s="12">
        <v>71.38</v>
      </c>
      <c r="N440" s="12">
        <f t="shared" si="9"/>
        <v>3854.5199999999995</v>
      </c>
      <c r="O440" s="11">
        <v>54</v>
      </c>
      <c r="P440" s="11">
        <v>54</v>
      </c>
      <c r="Q440" s="11">
        <v>54</v>
      </c>
      <c r="R440" s="11">
        <v>54</v>
      </c>
      <c r="S440" s="11">
        <v>54</v>
      </c>
      <c r="T440" s="11">
        <v>54</v>
      </c>
      <c r="U440" s="11">
        <v>54</v>
      </c>
      <c r="V440" s="11">
        <v>54</v>
      </c>
      <c r="W440" s="11">
        <v>54</v>
      </c>
      <c r="X440" s="11">
        <v>54</v>
      </c>
      <c r="Y440" s="11">
        <v>54</v>
      </c>
      <c r="Z440" s="11">
        <v>54</v>
      </c>
      <c r="AA440" s="11">
        <v>54</v>
      </c>
      <c r="AB440" s="11">
        <v>54</v>
      </c>
      <c r="AC440" s="11">
        <v>54</v>
      </c>
      <c r="AD440" s="11">
        <v>54</v>
      </c>
      <c r="AE440" s="11">
        <v>54</v>
      </c>
      <c r="AF440" s="11">
        <v>54</v>
      </c>
      <c r="AG440" s="11">
        <v>54</v>
      </c>
      <c r="AH440" s="11">
        <v>54</v>
      </c>
      <c r="AI440" s="11">
        <v>54</v>
      </c>
      <c r="AJ440" s="11">
        <v>54</v>
      </c>
      <c r="AK440" s="11">
        <v>54</v>
      </c>
      <c r="AL440" s="11">
        <v>54</v>
      </c>
      <c r="AM440" s="11">
        <v>54</v>
      </c>
      <c r="AN440" s="72">
        <v>54</v>
      </c>
      <c r="AO440" s="72">
        <v>54</v>
      </c>
      <c r="AP440" s="72">
        <v>54</v>
      </c>
      <c r="AQ440" s="72">
        <v>54</v>
      </c>
      <c r="AR440" s="72">
        <v>54</v>
      </c>
      <c r="AS440" s="72">
        <v>54</v>
      </c>
      <c r="AT440" s="72">
        <v>54</v>
      </c>
      <c r="AU440" s="72">
        <v>54</v>
      </c>
      <c r="AV440" s="72">
        <v>54</v>
      </c>
      <c r="AW440" s="72">
        <v>54</v>
      </c>
      <c r="AX440" s="72">
        <v>54</v>
      </c>
      <c r="AY440" s="72">
        <v>54</v>
      </c>
      <c r="AZ440" s="72">
        <v>54</v>
      </c>
      <c r="BA440" s="72">
        <v>54</v>
      </c>
      <c r="BB440" s="72">
        <v>54</v>
      </c>
      <c r="BC440" s="72">
        <v>54</v>
      </c>
      <c r="BD440" s="72">
        <v>54</v>
      </c>
      <c r="BE440" s="72">
        <v>54</v>
      </c>
      <c r="BF440" s="72">
        <v>54</v>
      </c>
      <c r="BG440" s="72">
        <v>54</v>
      </c>
      <c r="BH440" s="72">
        <v>54</v>
      </c>
      <c r="BI440" s="72">
        <v>54</v>
      </c>
      <c r="BJ440" s="72">
        <v>54</v>
      </c>
      <c r="BK440" s="72">
        <v>54</v>
      </c>
      <c r="BL440" s="72">
        <v>54</v>
      </c>
      <c r="BM440" s="72">
        <v>54</v>
      </c>
      <c r="BN440" s="72">
        <v>54</v>
      </c>
      <c r="BO440" s="72">
        <v>54</v>
      </c>
      <c r="BP440" s="72">
        <v>54</v>
      </c>
      <c r="BQ440" s="72">
        <v>54</v>
      </c>
      <c r="BR440" s="72">
        <v>54</v>
      </c>
      <c r="BS440" s="72">
        <v>54</v>
      </c>
      <c r="BT440" s="72">
        <v>54</v>
      </c>
      <c r="BU440" s="72">
        <v>54</v>
      </c>
      <c r="BV440" s="72">
        <v>54</v>
      </c>
      <c r="BW440" s="72">
        <v>54</v>
      </c>
      <c r="BX440" s="72">
        <v>54</v>
      </c>
      <c r="BY440" s="72">
        <v>54</v>
      </c>
      <c r="BZ440" s="72">
        <v>54</v>
      </c>
      <c r="CA440" s="72">
        <v>54</v>
      </c>
      <c r="CB440" s="72">
        <v>54</v>
      </c>
      <c r="CC440" s="72">
        <v>54</v>
      </c>
      <c r="CD440" s="72">
        <v>54</v>
      </c>
      <c r="CE440" s="72">
        <v>54</v>
      </c>
      <c r="CF440" s="72">
        <v>54</v>
      </c>
      <c r="CG440" s="72">
        <v>54</v>
      </c>
      <c r="CH440" s="72">
        <v>54</v>
      </c>
      <c r="CI440" s="72">
        <v>54</v>
      </c>
      <c r="CJ440" s="72">
        <v>54</v>
      </c>
      <c r="CK440" s="72">
        <v>54</v>
      </c>
      <c r="CL440" s="72">
        <v>54</v>
      </c>
      <c r="CM440" s="72">
        <v>54</v>
      </c>
      <c r="CN440" s="72">
        <v>54</v>
      </c>
      <c r="CO440" s="72">
        <v>54</v>
      </c>
      <c r="CP440" s="72">
        <v>54</v>
      </c>
      <c r="CQ440" s="72">
        <v>54</v>
      </c>
      <c r="CR440" s="72">
        <v>54</v>
      </c>
      <c r="CS440" s="72">
        <v>54</v>
      </c>
      <c r="CT440" s="72">
        <v>54</v>
      </c>
      <c r="CU440" s="72">
        <v>54</v>
      </c>
      <c r="CV440" s="72">
        <v>54</v>
      </c>
      <c r="CW440" s="72">
        <v>54</v>
      </c>
      <c r="CX440" s="72">
        <v>54</v>
      </c>
      <c r="CY440" s="72">
        <v>54</v>
      </c>
      <c r="CZ440" s="72">
        <v>54</v>
      </c>
      <c r="DA440" s="72">
        <v>54</v>
      </c>
      <c r="DB440" s="72">
        <v>54</v>
      </c>
      <c r="DC440" s="72">
        <v>54</v>
      </c>
      <c r="DD440" s="72">
        <v>54</v>
      </c>
      <c r="DE440" s="72">
        <v>54</v>
      </c>
      <c r="DF440" s="72">
        <v>54</v>
      </c>
      <c r="DG440" s="72">
        <v>54</v>
      </c>
      <c r="DH440" s="72">
        <v>54</v>
      </c>
      <c r="DI440" s="72">
        <v>54</v>
      </c>
      <c r="DJ440" s="72">
        <v>54</v>
      </c>
      <c r="DK440" s="72">
        <v>54</v>
      </c>
      <c r="DL440" s="72">
        <v>54</v>
      </c>
      <c r="DM440" s="72">
        <v>54</v>
      </c>
    </row>
    <row r="441" spans="1:117" x14ac:dyDescent="0.35">
      <c r="A441" s="7"/>
      <c r="B441" s="77" t="s">
        <v>1122</v>
      </c>
      <c r="C441" s="78" t="s">
        <v>1375</v>
      </c>
      <c r="D441" s="10" t="s">
        <v>697</v>
      </c>
      <c r="E441" s="8" t="s">
        <v>1207</v>
      </c>
      <c r="F441" s="10"/>
      <c r="G441" s="10"/>
      <c r="H441" s="10" t="s">
        <v>41</v>
      </c>
      <c r="I441" s="11"/>
      <c r="J441" s="10"/>
      <c r="K441" s="10"/>
      <c r="L441" s="8"/>
      <c r="M441" s="12">
        <v>46</v>
      </c>
      <c r="N441" s="12">
        <f t="shared" si="9"/>
        <v>460</v>
      </c>
      <c r="O441" s="11"/>
      <c r="P441" s="11"/>
      <c r="Q441" s="11"/>
      <c r="R441" s="11"/>
      <c r="S441" s="11"/>
      <c r="T441" s="11"/>
      <c r="U441" s="11"/>
      <c r="V441" s="11"/>
      <c r="W441" s="11"/>
      <c r="X441" s="11"/>
      <c r="Y441" s="11"/>
      <c r="Z441" s="11"/>
      <c r="AA441" s="11"/>
      <c r="AB441" s="11"/>
      <c r="AC441" s="11"/>
      <c r="AD441" s="11"/>
      <c r="AE441" s="11"/>
      <c r="AF441" s="11"/>
      <c r="AG441" s="11"/>
      <c r="AH441" s="11"/>
      <c r="AI441" s="11"/>
      <c r="AJ441" s="11"/>
      <c r="AK441" s="11"/>
      <c r="AL441" s="11"/>
      <c r="AM441" s="11"/>
      <c r="AN441" s="72"/>
      <c r="AO441" s="72"/>
      <c r="AP441" s="72"/>
      <c r="AQ441" s="72"/>
      <c r="AR441" s="72"/>
      <c r="AS441" s="72"/>
      <c r="AT441" s="72"/>
      <c r="AU441" s="72"/>
      <c r="AV441" s="72"/>
      <c r="AW441" s="72"/>
      <c r="AX441" s="72"/>
      <c r="AY441" s="72"/>
      <c r="AZ441" s="72"/>
      <c r="BA441" s="72"/>
      <c r="BB441" s="72"/>
      <c r="BC441" s="72"/>
      <c r="BD441" s="72"/>
      <c r="BE441" s="72"/>
      <c r="BF441" s="72"/>
      <c r="BG441" s="72"/>
      <c r="BH441" s="72"/>
      <c r="BI441" s="72"/>
      <c r="BJ441" s="72"/>
      <c r="BK441" s="72"/>
      <c r="BL441" s="72"/>
      <c r="BM441" s="72">
        <v>10</v>
      </c>
      <c r="BN441" s="72">
        <v>10</v>
      </c>
      <c r="BO441" s="72">
        <v>10</v>
      </c>
      <c r="BP441" s="72">
        <v>10</v>
      </c>
      <c r="BQ441" s="72">
        <v>10</v>
      </c>
      <c r="BR441" s="72">
        <v>10</v>
      </c>
      <c r="BS441" s="72">
        <v>10</v>
      </c>
      <c r="BT441" s="72">
        <v>10</v>
      </c>
      <c r="BU441" s="72">
        <v>10</v>
      </c>
      <c r="BV441" s="72">
        <v>10</v>
      </c>
      <c r="BW441" s="72">
        <v>10</v>
      </c>
      <c r="BX441" s="72">
        <v>10</v>
      </c>
      <c r="BY441" s="72">
        <v>10</v>
      </c>
      <c r="BZ441" s="72">
        <v>10</v>
      </c>
      <c r="CA441" s="72">
        <v>10</v>
      </c>
      <c r="CB441" s="72">
        <v>10</v>
      </c>
      <c r="CC441" s="72">
        <v>10</v>
      </c>
      <c r="CD441" s="72">
        <v>10</v>
      </c>
      <c r="CE441" s="72">
        <v>10</v>
      </c>
      <c r="CF441" s="72">
        <v>10</v>
      </c>
      <c r="CG441" s="72">
        <v>10</v>
      </c>
      <c r="CH441" s="72">
        <v>10</v>
      </c>
      <c r="CI441" s="72">
        <v>10</v>
      </c>
      <c r="CJ441" s="72">
        <v>10</v>
      </c>
      <c r="CK441" s="72">
        <v>10</v>
      </c>
      <c r="CL441" s="72">
        <v>10</v>
      </c>
      <c r="CM441" s="72">
        <v>10</v>
      </c>
      <c r="CN441" s="72">
        <v>10</v>
      </c>
      <c r="CO441" s="72">
        <v>10</v>
      </c>
      <c r="CP441" s="72">
        <v>10</v>
      </c>
      <c r="CQ441" s="72">
        <v>10</v>
      </c>
      <c r="CR441" s="72">
        <v>10</v>
      </c>
      <c r="CS441" s="72">
        <v>10</v>
      </c>
      <c r="CT441" s="72">
        <v>10</v>
      </c>
      <c r="CU441" s="72">
        <v>10</v>
      </c>
      <c r="CV441" s="72">
        <v>10</v>
      </c>
      <c r="CW441" s="72">
        <v>10</v>
      </c>
      <c r="CX441" s="72">
        <v>10</v>
      </c>
      <c r="CY441" s="72">
        <v>10</v>
      </c>
      <c r="CZ441" s="72">
        <v>10</v>
      </c>
      <c r="DA441" s="72">
        <v>10</v>
      </c>
      <c r="DB441" s="72">
        <v>10</v>
      </c>
      <c r="DC441" s="72">
        <v>10</v>
      </c>
      <c r="DD441" s="72">
        <v>10</v>
      </c>
      <c r="DE441" s="72">
        <v>10</v>
      </c>
      <c r="DF441" s="72">
        <v>10</v>
      </c>
      <c r="DG441" s="72">
        <v>10</v>
      </c>
      <c r="DH441" s="72">
        <v>10</v>
      </c>
      <c r="DI441" s="72">
        <v>10</v>
      </c>
      <c r="DJ441" s="72">
        <v>10</v>
      </c>
      <c r="DK441" s="72">
        <v>10</v>
      </c>
      <c r="DL441" s="72">
        <v>10</v>
      </c>
      <c r="DM441" s="72">
        <v>10</v>
      </c>
    </row>
    <row r="442" spans="1:117" x14ac:dyDescent="0.35">
      <c r="A442" s="7"/>
      <c r="B442" s="14" t="s">
        <v>738</v>
      </c>
      <c r="C442" s="9" t="s">
        <v>739</v>
      </c>
      <c r="D442" s="10" t="s">
        <v>697</v>
      </c>
      <c r="E442" s="8" t="s">
        <v>1203</v>
      </c>
      <c r="F442" s="10">
        <v>1002</v>
      </c>
      <c r="G442" s="10" t="s">
        <v>40</v>
      </c>
      <c r="H442" s="10" t="s">
        <v>41</v>
      </c>
      <c r="I442" s="11">
        <v>2</v>
      </c>
      <c r="J442" s="10"/>
      <c r="K442" s="10" t="s">
        <v>42</v>
      </c>
      <c r="L442" s="8"/>
      <c r="M442" s="12">
        <v>213.5</v>
      </c>
      <c r="N442" s="12">
        <f t="shared" si="9"/>
        <v>213.5</v>
      </c>
      <c r="O442" s="11">
        <v>2</v>
      </c>
      <c r="P442" s="11">
        <v>2</v>
      </c>
      <c r="Q442" s="11">
        <v>2</v>
      </c>
      <c r="R442" s="11">
        <v>2</v>
      </c>
      <c r="S442" s="11">
        <v>2</v>
      </c>
      <c r="T442" s="11">
        <v>2</v>
      </c>
      <c r="U442" s="11">
        <v>2</v>
      </c>
      <c r="V442" s="11">
        <v>2</v>
      </c>
      <c r="W442" s="11">
        <v>2</v>
      </c>
      <c r="X442" s="11">
        <v>2</v>
      </c>
      <c r="Y442" s="11">
        <v>2</v>
      </c>
      <c r="Z442" s="11">
        <v>2</v>
      </c>
      <c r="AA442" s="11">
        <v>2</v>
      </c>
      <c r="AB442" s="11">
        <v>2</v>
      </c>
      <c r="AC442" s="11">
        <v>2</v>
      </c>
      <c r="AD442" s="11">
        <v>2</v>
      </c>
      <c r="AE442" s="11">
        <v>2</v>
      </c>
      <c r="AF442" s="11">
        <v>2</v>
      </c>
      <c r="AG442" s="11">
        <v>2</v>
      </c>
      <c r="AH442" s="11">
        <v>2</v>
      </c>
      <c r="AI442" s="11">
        <v>2</v>
      </c>
      <c r="AJ442" s="11">
        <v>2</v>
      </c>
      <c r="AK442" s="11">
        <v>2</v>
      </c>
      <c r="AL442" s="11">
        <v>2</v>
      </c>
      <c r="AM442" s="11">
        <v>2</v>
      </c>
      <c r="AN442" s="72">
        <v>2</v>
      </c>
      <c r="AO442" s="72">
        <v>2</v>
      </c>
      <c r="AP442" s="72">
        <v>2</v>
      </c>
      <c r="AQ442" s="72">
        <v>2</v>
      </c>
      <c r="AR442" s="72">
        <v>2</v>
      </c>
      <c r="AS442" s="72">
        <v>2</v>
      </c>
      <c r="AT442" s="72">
        <v>2</v>
      </c>
      <c r="AU442" s="72">
        <v>2</v>
      </c>
      <c r="AV442" s="72">
        <v>2</v>
      </c>
      <c r="AW442" s="72">
        <v>2</v>
      </c>
      <c r="AX442" s="72">
        <v>2</v>
      </c>
      <c r="AY442" s="72">
        <v>2</v>
      </c>
      <c r="AZ442" s="72">
        <v>2</v>
      </c>
      <c r="BA442" s="72">
        <v>2</v>
      </c>
      <c r="BB442" s="72">
        <v>2</v>
      </c>
      <c r="BC442" s="72">
        <v>2</v>
      </c>
      <c r="BD442" s="72">
        <v>2</v>
      </c>
      <c r="BE442" s="72">
        <v>2</v>
      </c>
      <c r="BF442" s="72">
        <v>2</v>
      </c>
      <c r="BG442" s="72">
        <v>2</v>
      </c>
      <c r="BH442" s="72">
        <v>2</v>
      </c>
      <c r="BI442" s="72">
        <v>2</v>
      </c>
      <c r="BJ442" s="72">
        <v>2</v>
      </c>
      <c r="BK442" s="72">
        <v>2</v>
      </c>
      <c r="BL442" s="72">
        <v>2</v>
      </c>
      <c r="BM442" s="72">
        <v>2</v>
      </c>
      <c r="BN442" s="72">
        <v>2</v>
      </c>
      <c r="BO442" s="72">
        <v>2</v>
      </c>
      <c r="BP442" s="72">
        <v>2</v>
      </c>
      <c r="BQ442" s="72">
        <v>2</v>
      </c>
      <c r="BR442" s="72">
        <v>2</v>
      </c>
      <c r="BS442" s="72">
        <v>2</v>
      </c>
      <c r="BT442" s="72">
        <v>2</v>
      </c>
      <c r="BU442" s="72">
        <v>2</v>
      </c>
      <c r="BV442" s="72">
        <v>2</v>
      </c>
      <c r="BW442" s="72">
        <v>2</v>
      </c>
      <c r="BX442" s="72">
        <v>2</v>
      </c>
      <c r="BY442" s="72">
        <v>1</v>
      </c>
      <c r="BZ442" s="72">
        <v>1</v>
      </c>
      <c r="CA442" s="72">
        <v>1</v>
      </c>
      <c r="CB442" s="72">
        <v>1</v>
      </c>
      <c r="CC442" s="72">
        <v>1</v>
      </c>
      <c r="CD442" s="72">
        <v>1</v>
      </c>
      <c r="CE442" s="72">
        <v>1</v>
      </c>
      <c r="CF442" s="72">
        <v>1</v>
      </c>
      <c r="CG442" s="72">
        <v>1</v>
      </c>
      <c r="CH442" s="72">
        <v>1</v>
      </c>
      <c r="CI442" s="72">
        <v>1</v>
      </c>
      <c r="CJ442" s="72">
        <v>1</v>
      </c>
      <c r="CK442" s="72">
        <v>1</v>
      </c>
      <c r="CL442" s="72">
        <v>1</v>
      </c>
      <c r="CM442" s="72">
        <v>1</v>
      </c>
      <c r="CN442" s="72">
        <v>1</v>
      </c>
      <c r="CO442" s="72">
        <v>1</v>
      </c>
      <c r="CP442" s="72">
        <v>1</v>
      </c>
      <c r="CQ442" s="72">
        <v>1</v>
      </c>
      <c r="CR442" s="72">
        <v>1</v>
      </c>
      <c r="CS442" s="72">
        <v>1</v>
      </c>
      <c r="CT442" s="72">
        <v>1</v>
      </c>
      <c r="CU442" s="72">
        <v>1</v>
      </c>
      <c r="CV442" s="72">
        <v>1</v>
      </c>
      <c r="CW442" s="72">
        <v>1</v>
      </c>
      <c r="CX442" s="72">
        <v>1</v>
      </c>
      <c r="CY442" s="72">
        <v>1</v>
      </c>
      <c r="CZ442" s="72">
        <v>1</v>
      </c>
      <c r="DA442" s="72">
        <v>1</v>
      </c>
      <c r="DB442" s="72">
        <v>1</v>
      </c>
      <c r="DC442" s="72">
        <v>1</v>
      </c>
      <c r="DD442" s="72">
        <v>1</v>
      </c>
      <c r="DE442" s="72">
        <v>1</v>
      </c>
      <c r="DF442" s="72">
        <v>1</v>
      </c>
      <c r="DG442" s="72">
        <v>1</v>
      </c>
      <c r="DH442" s="72">
        <v>1</v>
      </c>
      <c r="DI442" s="72">
        <v>1</v>
      </c>
      <c r="DJ442" s="72">
        <v>1</v>
      </c>
      <c r="DK442" s="72">
        <v>1</v>
      </c>
      <c r="DL442" s="72">
        <v>1</v>
      </c>
      <c r="DM442" s="72">
        <v>1</v>
      </c>
    </row>
    <row r="443" spans="1:117" x14ac:dyDescent="0.35">
      <c r="A443" s="7"/>
      <c r="B443" s="90">
        <v>3310016001</v>
      </c>
      <c r="C443" s="9" t="s">
        <v>1261</v>
      </c>
      <c r="D443" s="10" t="s">
        <v>1259</v>
      </c>
      <c r="E443" s="8" t="s">
        <v>1260</v>
      </c>
      <c r="F443" s="10"/>
      <c r="G443" s="10" t="s">
        <v>40</v>
      </c>
      <c r="H443" s="10" t="s">
        <v>41</v>
      </c>
      <c r="I443" s="11"/>
      <c r="J443" s="10"/>
      <c r="K443" s="10"/>
      <c r="L443" s="8"/>
      <c r="M443" s="12"/>
      <c r="N443" s="12">
        <f t="shared" si="9"/>
        <v>0</v>
      </c>
      <c r="O443" s="11"/>
      <c r="P443" s="11"/>
      <c r="Q443" s="11"/>
      <c r="R443" s="11"/>
      <c r="S443" s="11"/>
      <c r="T443" s="11"/>
      <c r="U443" s="11"/>
      <c r="V443" s="11"/>
      <c r="W443" s="11"/>
      <c r="X443" s="11"/>
      <c r="Y443" s="11"/>
      <c r="Z443" s="11"/>
      <c r="AA443" s="11"/>
      <c r="AB443" s="11"/>
      <c r="AC443" s="11"/>
      <c r="AD443" s="11"/>
      <c r="AE443" s="11"/>
      <c r="AF443" s="11"/>
      <c r="AG443" s="11"/>
      <c r="AH443" s="11"/>
      <c r="AI443" s="11"/>
      <c r="AJ443" s="11"/>
      <c r="AK443" s="11"/>
      <c r="AL443" s="11"/>
      <c r="AM443" s="11"/>
      <c r="AN443" s="72"/>
      <c r="AO443" s="72"/>
      <c r="AP443" s="72"/>
      <c r="AQ443" s="72"/>
      <c r="AR443" s="72"/>
      <c r="AS443" s="72"/>
      <c r="AT443" s="72"/>
      <c r="AU443" s="72"/>
      <c r="AV443" s="72">
        <v>1</v>
      </c>
      <c r="AW443" s="72">
        <v>1</v>
      </c>
      <c r="AX443" s="72">
        <v>1</v>
      </c>
      <c r="AY443" s="72">
        <v>1</v>
      </c>
      <c r="AZ443" s="72">
        <v>1</v>
      </c>
      <c r="BA443" s="72">
        <v>1</v>
      </c>
      <c r="BB443" s="72">
        <v>0</v>
      </c>
      <c r="BC443" s="72">
        <v>0</v>
      </c>
      <c r="BD443" s="72">
        <v>0</v>
      </c>
      <c r="BE443" s="72">
        <v>0</v>
      </c>
      <c r="BF443" s="72">
        <v>0</v>
      </c>
      <c r="BG443" s="72">
        <v>0</v>
      </c>
      <c r="BH443" s="72">
        <v>0</v>
      </c>
      <c r="BI443" s="72">
        <v>0</v>
      </c>
      <c r="BJ443" s="72">
        <v>0</v>
      </c>
      <c r="BK443" s="72">
        <v>0</v>
      </c>
      <c r="BL443" s="72">
        <v>0</v>
      </c>
      <c r="BM443" s="72">
        <v>0</v>
      </c>
      <c r="BN443" s="72">
        <v>0</v>
      </c>
      <c r="BO443" s="72">
        <v>0</v>
      </c>
      <c r="BP443" s="72">
        <v>0</v>
      </c>
      <c r="BQ443" s="72">
        <v>0</v>
      </c>
      <c r="BR443" s="72">
        <v>0</v>
      </c>
      <c r="BS443" s="72">
        <v>0</v>
      </c>
      <c r="BT443" s="72">
        <v>0</v>
      </c>
      <c r="BU443" s="72">
        <v>0</v>
      </c>
      <c r="BV443" s="72">
        <v>0</v>
      </c>
      <c r="BW443" s="72">
        <v>0</v>
      </c>
      <c r="BX443" s="72">
        <v>0</v>
      </c>
      <c r="BY443" s="72">
        <v>0</v>
      </c>
      <c r="BZ443" s="72">
        <v>0</v>
      </c>
      <c r="CA443" s="72">
        <v>0</v>
      </c>
      <c r="CB443" s="72">
        <v>0</v>
      </c>
      <c r="CC443" s="72">
        <v>0</v>
      </c>
      <c r="CD443" s="72">
        <v>0</v>
      </c>
      <c r="CE443" s="72">
        <v>0</v>
      </c>
      <c r="CF443" s="72">
        <v>0</v>
      </c>
      <c r="CG443" s="72">
        <v>0</v>
      </c>
      <c r="CH443" s="72">
        <v>0</v>
      </c>
      <c r="CI443" s="72">
        <v>0</v>
      </c>
      <c r="CJ443" s="72">
        <v>0</v>
      </c>
      <c r="CK443" s="72">
        <v>0</v>
      </c>
      <c r="CL443" s="72">
        <v>0</v>
      </c>
      <c r="CM443" s="72">
        <v>0</v>
      </c>
      <c r="CN443" s="72">
        <v>0</v>
      </c>
      <c r="CO443" s="72">
        <v>0</v>
      </c>
      <c r="CP443" s="72">
        <v>0</v>
      </c>
      <c r="CQ443" s="72">
        <v>0</v>
      </c>
      <c r="CR443" s="72">
        <v>0</v>
      </c>
      <c r="CS443" s="72">
        <v>0</v>
      </c>
      <c r="CT443" s="72">
        <v>0</v>
      </c>
      <c r="CU443" s="72">
        <v>0</v>
      </c>
      <c r="CV443" s="72">
        <v>0</v>
      </c>
      <c r="CW443" s="72">
        <v>0</v>
      </c>
      <c r="CX443" s="72">
        <v>0</v>
      </c>
      <c r="CY443" s="72">
        <v>0</v>
      </c>
      <c r="CZ443" s="72">
        <v>0</v>
      </c>
      <c r="DA443" s="72">
        <v>0</v>
      </c>
      <c r="DB443" s="72">
        <v>0</v>
      </c>
      <c r="DC443" s="72">
        <v>0</v>
      </c>
      <c r="DD443" s="72">
        <v>0</v>
      </c>
      <c r="DE443" s="72">
        <v>0</v>
      </c>
      <c r="DF443" s="72">
        <v>0</v>
      </c>
      <c r="DG443" s="72">
        <v>0</v>
      </c>
      <c r="DH443" s="72">
        <v>0</v>
      </c>
      <c r="DI443" s="72">
        <v>0</v>
      </c>
      <c r="DJ443" s="72">
        <v>0</v>
      </c>
      <c r="DK443" s="72">
        <v>0</v>
      </c>
      <c r="DL443" s="72">
        <v>0</v>
      </c>
      <c r="DM443" s="72">
        <v>0</v>
      </c>
    </row>
    <row r="444" spans="1:117" x14ac:dyDescent="0.35">
      <c r="A444" s="7"/>
      <c r="B444" s="8" t="s">
        <v>740</v>
      </c>
      <c r="C444" s="9" t="s">
        <v>741</v>
      </c>
      <c r="D444" s="10" t="s">
        <v>742</v>
      </c>
      <c r="E444" s="8" t="s">
        <v>1205</v>
      </c>
      <c r="F444" s="10">
        <v>1005</v>
      </c>
      <c r="G444" s="10" t="s">
        <v>40</v>
      </c>
      <c r="H444" s="10" t="s">
        <v>41</v>
      </c>
      <c r="I444" s="11">
        <v>2</v>
      </c>
      <c r="J444" s="10"/>
      <c r="K444" s="10" t="s">
        <v>566</v>
      </c>
      <c r="L444" s="8"/>
      <c r="M444" s="12"/>
      <c r="N444" s="12">
        <f t="shared" si="9"/>
        <v>0</v>
      </c>
      <c r="O444" s="11">
        <v>2</v>
      </c>
      <c r="P444" s="11">
        <v>2</v>
      </c>
      <c r="Q444" s="11">
        <v>2</v>
      </c>
      <c r="R444" s="11">
        <v>2</v>
      </c>
      <c r="S444" s="11">
        <v>2</v>
      </c>
      <c r="T444" s="11">
        <v>2</v>
      </c>
      <c r="U444" s="11">
        <v>2</v>
      </c>
      <c r="V444" s="11">
        <v>2</v>
      </c>
      <c r="W444" s="11">
        <v>2</v>
      </c>
      <c r="X444" s="11">
        <v>2</v>
      </c>
      <c r="Y444" s="11">
        <v>2</v>
      </c>
      <c r="Z444" s="11">
        <v>2</v>
      </c>
      <c r="AA444" s="11">
        <v>2</v>
      </c>
      <c r="AB444" s="11">
        <v>2</v>
      </c>
      <c r="AC444" s="11">
        <v>2</v>
      </c>
      <c r="AD444" s="11">
        <v>2</v>
      </c>
      <c r="AE444" s="11">
        <v>2</v>
      </c>
      <c r="AF444" s="11">
        <v>2</v>
      </c>
      <c r="AG444" s="11">
        <v>2</v>
      </c>
      <c r="AH444" s="11">
        <v>2</v>
      </c>
      <c r="AI444" s="11">
        <v>2</v>
      </c>
      <c r="AJ444" s="11">
        <v>2</v>
      </c>
      <c r="AK444" s="11">
        <v>2</v>
      </c>
      <c r="AL444" s="11">
        <v>2</v>
      </c>
      <c r="AM444" s="11">
        <v>2</v>
      </c>
      <c r="AN444" s="72">
        <v>2</v>
      </c>
      <c r="AO444" s="72">
        <v>2</v>
      </c>
      <c r="AP444" s="72">
        <v>2</v>
      </c>
      <c r="AQ444" s="72">
        <v>2</v>
      </c>
      <c r="AR444" s="72">
        <v>2</v>
      </c>
      <c r="AS444" s="72">
        <v>2</v>
      </c>
      <c r="AT444" s="72">
        <v>2</v>
      </c>
      <c r="AU444" s="72">
        <v>2</v>
      </c>
      <c r="AV444" s="72">
        <v>2</v>
      </c>
      <c r="AW444" s="72">
        <v>2</v>
      </c>
      <c r="AX444" s="72">
        <v>2</v>
      </c>
      <c r="AY444" s="72">
        <v>2</v>
      </c>
      <c r="AZ444" s="72">
        <v>2</v>
      </c>
      <c r="BA444" s="72">
        <v>2</v>
      </c>
      <c r="BB444" s="72">
        <v>2</v>
      </c>
      <c r="BC444" s="72">
        <v>2</v>
      </c>
      <c r="BD444" s="72">
        <v>2</v>
      </c>
      <c r="BE444" s="72">
        <v>2</v>
      </c>
      <c r="BF444" s="72">
        <v>2</v>
      </c>
      <c r="BG444" s="72">
        <v>2</v>
      </c>
      <c r="BH444" s="72">
        <v>2</v>
      </c>
      <c r="BI444" s="72">
        <v>2</v>
      </c>
      <c r="BJ444" s="72">
        <v>2</v>
      </c>
      <c r="BK444" s="72">
        <v>2</v>
      </c>
      <c r="BL444" s="72">
        <v>2</v>
      </c>
      <c r="BM444" s="72">
        <v>2</v>
      </c>
      <c r="BN444" s="72">
        <v>2</v>
      </c>
      <c r="BO444" s="72">
        <v>2</v>
      </c>
      <c r="BP444" s="72">
        <v>2</v>
      </c>
      <c r="BQ444" s="72">
        <v>2</v>
      </c>
      <c r="BR444" s="72">
        <v>2</v>
      </c>
      <c r="BS444" s="72">
        <v>2</v>
      </c>
      <c r="BT444" s="72">
        <v>2</v>
      </c>
      <c r="BU444" s="72">
        <v>2</v>
      </c>
      <c r="BV444" s="72">
        <v>2</v>
      </c>
      <c r="BW444" s="72">
        <v>2</v>
      </c>
      <c r="BX444" s="72">
        <v>2</v>
      </c>
      <c r="BY444" s="72">
        <v>2</v>
      </c>
      <c r="BZ444" s="72">
        <v>2</v>
      </c>
      <c r="CA444" s="72">
        <v>2</v>
      </c>
      <c r="CB444" s="72">
        <v>2</v>
      </c>
      <c r="CC444" s="72">
        <v>2</v>
      </c>
      <c r="CD444" s="72">
        <v>2</v>
      </c>
      <c r="CE444" s="72">
        <v>2</v>
      </c>
      <c r="CF444" s="72">
        <v>2</v>
      </c>
      <c r="CG444" s="72">
        <v>2</v>
      </c>
      <c r="CH444" s="72">
        <v>2</v>
      </c>
      <c r="CI444" s="72">
        <v>2</v>
      </c>
      <c r="CJ444" s="72">
        <v>2</v>
      </c>
      <c r="CK444" s="72">
        <v>2</v>
      </c>
      <c r="CL444" s="72">
        <v>2</v>
      </c>
      <c r="CM444" s="72">
        <v>2</v>
      </c>
      <c r="CN444" s="72">
        <v>2</v>
      </c>
      <c r="CO444" s="72">
        <v>2</v>
      </c>
      <c r="CP444" s="72">
        <v>2</v>
      </c>
      <c r="CQ444" s="72">
        <v>2</v>
      </c>
      <c r="CR444" s="72">
        <v>2</v>
      </c>
      <c r="CS444" s="72">
        <v>2</v>
      </c>
      <c r="CT444" s="72">
        <v>2</v>
      </c>
      <c r="CU444" s="72">
        <v>2</v>
      </c>
      <c r="CV444" s="72">
        <v>2</v>
      </c>
      <c r="CW444" s="72">
        <v>2</v>
      </c>
      <c r="CX444" s="72">
        <v>2</v>
      </c>
      <c r="CY444" s="72">
        <v>2</v>
      </c>
      <c r="CZ444" s="72">
        <v>2</v>
      </c>
      <c r="DA444" s="72">
        <v>2</v>
      </c>
      <c r="DB444" s="72">
        <v>2</v>
      </c>
      <c r="DC444" s="72">
        <v>2</v>
      </c>
      <c r="DD444" s="72">
        <v>2</v>
      </c>
      <c r="DE444" s="72">
        <v>2</v>
      </c>
      <c r="DF444" s="72">
        <v>2</v>
      </c>
      <c r="DG444" s="72">
        <v>2</v>
      </c>
      <c r="DH444" s="72">
        <v>2</v>
      </c>
      <c r="DI444" s="72">
        <v>2</v>
      </c>
      <c r="DJ444" s="72">
        <v>2</v>
      </c>
      <c r="DK444" s="72">
        <v>2</v>
      </c>
      <c r="DL444" s="72">
        <v>2</v>
      </c>
      <c r="DM444" s="72">
        <v>2</v>
      </c>
    </row>
    <row r="445" spans="1:117" x14ac:dyDescent="0.35">
      <c r="A445" s="7"/>
      <c r="B445" s="8" t="s">
        <v>743</v>
      </c>
      <c r="C445" s="9" t="s">
        <v>744</v>
      </c>
      <c r="D445" s="10" t="s">
        <v>745</v>
      </c>
      <c r="E445" s="8" t="s">
        <v>1229</v>
      </c>
      <c r="F445" s="10"/>
      <c r="G445" s="10" t="s">
        <v>40</v>
      </c>
      <c r="H445" s="10" t="s">
        <v>41</v>
      </c>
      <c r="I445" s="11">
        <v>4</v>
      </c>
      <c r="J445" s="10">
        <v>2</v>
      </c>
      <c r="K445" s="10"/>
      <c r="L445" s="8" t="s">
        <v>746</v>
      </c>
      <c r="M445" s="12"/>
      <c r="N445" s="12">
        <f t="shared" si="9"/>
        <v>0</v>
      </c>
      <c r="O445" s="11"/>
      <c r="P445" s="11"/>
      <c r="Q445" s="11"/>
      <c r="R445" s="11"/>
      <c r="S445" s="11"/>
      <c r="T445" s="11"/>
      <c r="U445" s="11">
        <v>0</v>
      </c>
      <c r="V445" s="11"/>
      <c r="W445" s="11">
        <v>0</v>
      </c>
      <c r="X445" s="11"/>
      <c r="Y445" s="11"/>
      <c r="Z445" s="11">
        <v>0</v>
      </c>
      <c r="AA445" s="11"/>
      <c r="AB445" s="11">
        <v>0</v>
      </c>
      <c r="AC445" s="11">
        <v>0</v>
      </c>
      <c r="AD445" s="11">
        <v>0</v>
      </c>
      <c r="AE445" s="11">
        <v>0</v>
      </c>
      <c r="AF445" s="11">
        <v>0</v>
      </c>
      <c r="AG445" s="11">
        <v>0</v>
      </c>
      <c r="AH445" s="11">
        <v>0</v>
      </c>
      <c r="AI445" s="11">
        <v>4</v>
      </c>
      <c r="AJ445" s="11">
        <v>4</v>
      </c>
      <c r="AK445" s="11">
        <v>4</v>
      </c>
      <c r="AL445" s="11">
        <v>4</v>
      </c>
      <c r="AM445" s="11">
        <v>4</v>
      </c>
      <c r="AN445" s="72">
        <v>4</v>
      </c>
      <c r="AO445" s="72">
        <v>4</v>
      </c>
      <c r="AP445" s="72">
        <v>4</v>
      </c>
      <c r="AQ445" s="72">
        <v>4</v>
      </c>
      <c r="AR445" s="72">
        <v>4</v>
      </c>
      <c r="AS445" s="72">
        <v>4</v>
      </c>
      <c r="AT445" s="72">
        <v>4</v>
      </c>
      <c r="AU445" s="72">
        <v>4</v>
      </c>
      <c r="AV445" s="72">
        <v>4</v>
      </c>
      <c r="AW445" s="72">
        <v>4</v>
      </c>
      <c r="AX445" s="72">
        <v>4</v>
      </c>
      <c r="AY445" s="72">
        <v>4</v>
      </c>
      <c r="AZ445" s="72">
        <v>4</v>
      </c>
      <c r="BA445" s="72">
        <v>4</v>
      </c>
      <c r="BB445" s="72">
        <v>4</v>
      </c>
      <c r="BC445" s="72">
        <v>4</v>
      </c>
      <c r="BD445" s="72">
        <v>4</v>
      </c>
      <c r="BE445" s="72">
        <v>4</v>
      </c>
      <c r="BF445" s="72">
        <v>4</v>
      </c>
      <c r="BG445" s="72">
        <v>4</v>
      </c>
      <c r="BH445" s="72">
        <v>4</v>
      </c>
      <c r="BI445" s="72">
        <v>4</v>
      </c>
      <c r="BJ445" s="72">
        <v>4</v>
      </c>
      <c r="BK445" s="72">
        <v>0</v>
      </c>
      <c r="BL445" s="72">
        <v>0</v>
      </c>
      <c r="BM445" s="72">
        <v>0</v>
      </c>
      <c r="BN445" s="72">
        <v>0</v>
      </c>
      <c r="BO445" s="72">
        <v>0</v>
      </c>
      <c r="BP445" s="72">
        <v>0</v>
      </c>
      <c r="BQ445" s="72">
        <v>0</v>
      </c>
      <c r="BR445" s="72">
        <v>0</v>
      </c>
      <c r="BS445" s="72">
        <v>0</v>
      </c>
      <c r="BT445" s="72">
        <v>0</v>
      </c>
      <c r="BU445" s="72">
        <v>0</v>
      </c>
      <c r="BV445" s="72">
        <v>0</v>
      </c>
      <c r="BW445" s="72">
        <v>0</v>
      </c>
      <c r="BX445" s="72">
        <v>0</v>
      </c>
      <c r="BY445" s="72">
        <v>0</v>
      </c>
      <c r="BZ445" s="72">
        <v>0</v>
      </c>
      <c r="CA445" s="72">
        <v>0</v>
      </c>
      <c r="CB445" s="72">
        <v>0</v>
      </c>
      <c r="CC445" s="72">
        <v>0</v>
      </c>
      <c r="CD445" s="72">
        <v>0</v>
      </c>
      <c r="CE445" s="72">
        <v>0</v>
      </c>
      <c r="CF445" s="72">
        <v>0</v>
      </c>
      <c r="CG445" s="72">
        <v>0</v>
      </c>
      <c r="CH445" s="72">
        <v>0</v>
      </c>
      <c r="CI445" s="72">
        <v>0</v>
      </c>
      <c r="CJ445" s="72">
        <v>0</v>
      </c>
      <c r="CK445" s="72">
        <v>0</v>
      </c>
      <c r="CL445" s="72">
        <v>0</v>
      </c>
      <c r="CM445" s="72">
        <v>0</v>
      </c>
      <c r="CN445" s="72">
        <v>0</v>
      </c>
      <c r="CO445" s="72">
        <v>0</v>
      </c>
      <c r="CP445" s="72">
        <v>0</v>
      </c>
      <c r="CQ445" s="72">
        <v>0</v>
      </c>
      <c r="CR445" s="72">
        <v>0</v>
      </c>
      <c r="CS445" s="72">
        <v>0</v>
      </c>
      <c r="CT445" s="72">
        <v>0</v>
      </c>
      <c r="CU445" s="72">
        <v>0</v>
      </c>
      <c r="CV445" s="72">
        <v>0</v>
      </c>
      <c r="CW445" s="72">
        <v>0</v>
      </c>
      <c r="CX445" s="72">
        <v>0</v>
      </c>
      <c r="CY445" s="72">
        <v>0</v>
      </c>
      <c r="CZ445" s="72">
        <v>0</v>
      </c>
      <c r="DA445" s="72">
        <v>0</v>
      </c>
      <c r="DB445" s="72">
        <v>0</v>
      </c>
      <c r="DC445" s="72">
        <v>0</v>
      </c>
      <c r="DD445" s="72">
        <v>0</v>
      </c>
      <c r="DE445" s="72">
        <v>0</v>
      </c>
      <c r="DF445" s="72">
        <v>0</v>
      </c>
      <c r="DG445" s="72">
        <v>0</v>
      </c>
      <c r="DH445" s="72">
        <v>0</v>
      </c>
      <c r="DI445" s="72">
        <v>0</v>
      </c>
      <c r="DJ445" s="72">
        <v>0</v>
      </c>
      <c r="DK445" s="72">
        <v>0</v>
      </c>
      <c r="DL445" s="72">
        <v>0</v>
      </c>
      <c r="DM445" s="72">
        <v>0</v>
      </c>
    </row>
    <row r="446" spans="1:117" x14ac:dyDescent="0.35">
      <c r="A446" s="7"/>
      <c r="B446" s="8" t="s">
        <v>747</v>
      </c>
      <c r="C446" s="35" t="s">
        <v>1159</v>
      </c>
      <c r="D446" s="10" t="s">
        <v>748</v>
      </c>
      <c r="E446" s="8" t="s">
        <v>1229</v>
      </c>
      <c r="F446" s="10"/>
      <c r="G446" s="10" t="s">
        <v>40</v>
      </c>
      <c r="H446" s="10" t="s">
        <v>41</v>
      </c>
      <c r="I446" s="11">
        <v>2</v>
      </c>
      <c r="J446" s="10"/>
      <c r="K446" s="10" t="s">
        <v>550</v>
      </c>
      <c r="L446" s="8"/>
      <c r="M446" s="12"/>
      <c r="N446" s="12">
        <f t="shared" si="9"/>
        <v>0</v>
      </c>
      <c r="O446" s="11"/>
      <c r="P446" s="11"/>
      <c r="Q446" s="11"/>
      <c r="R446" s="11"/>
      <c r="S446" s="11"/>
      <c r="T446" s="11"/>
      <c r="U446" s="11"/>
      <c r="V446" s="11"/>
      <c r="W446" s="11"/>
      <c r="X446" s="11"/>
      <c r="Y446" s="11"/>
      <c r="Z446" s="11">
        <v>3</v>
      </c>
      <c r="AA446" s="11"/>
      <c r="AB446" s="11"/>
      <c r="AC446" s="11">
        <v>0</v>
      </c>
      <c r="AD446" s="11">
        <v>0</v>
      </c>
      <c r="AE446" s="11">
        <v>0</v>
      </c>
      <c r="AF446" s="11">
        <v>0</v>
      </c>
      <c r="AG446" s="11">
        <v>0</v>
      </c>
      <c r="AH446" s="11">
        <v>0</v>
      </c>
      <c r="AI446" s="11">
        <v>2</v>
      </c>
      <c r="AJ446" s="11">
        <v>2</v>
      </c>
      <c r="AK446" s="11">
        <v>2</v>
      </c>
      <c r="AL446" s="11">
        <v>1</v>
      </c>
      <c r="AM446" s="11">
        <v>1</v>
      </c>
      <c r="AN446" s="72">
        <v>1</v>
      </c>
      <c r="AO446" s="72">
        <v>1</v>
      </c>
      <c r="AP446" s="72">
        <v>1</v>
      </c>
      <c r="AQ446" s="72">
        <v>1</v>
      </c>
      <c r="AR446" s="72">
        <v>1</v>
      </c>
      <c r="AS446" s="72">
        <v>1</v>
      </c>
      <c r="AT446" s="72">
        <v>1</v>
      </c>
      <c r="AU446" s="72">
        <v>1</v>
      </c>
      <c r="AV446" s="72">
        <v>1</v>
      </c>
      <c r="AW446" s="72">
        <v>1</v>
      </c>
      <c r="AX446" s="72">
        <v>1</v>
      </c>
      <c r="AY446" s="72">
        <v>1</v>
      </c>
      <c r="AZ446" s="72">
        <v>1</v>
      </c>
      <c r="BA446" s="72">
        <v>1</v>
      </c>
      <c r="BB446" s="72">
        <v>1</v>
      </c>
      <c r="BC446" s="72">
        <v>1</v>
      </c>
      <c r="BD446" s="72">
        <v>1</v>
      </c>
      <c r="BE446" s="72">
        <v>1</v>
      </c>
      <c r="BF446" s="72">
        <v>1</v>
      </c>
      <c r="BG446" s="72">
        <v>1</v>
      </c>
      <c r="BH446" s="72">
        <v>1</v>
      </c>
      <c r="BI446" s="72">
        <v>1</v>
      </c>
      <c r="BJ446" s="72">
        <v>1</v>
      </c>
      <c r="BK446" s="72">
        <v>1</v>
      </c>
      <c r="BL446" s="72">
        <v>1</v>
      </c>
      <c r="BM446" s="72">
        <v>1</v>
      </c>
      <c r="BN446" s="72">
        <v>1</v>
      </c>
      <c r="BO446" s="72">
        <v>1</v>
      </c>
      <c r="BP446" s="72">
        <v>1</v>
      </c>
      <c r="BQ446" s="72">
        <v>1</v>
      </c>
      <c r="BR446" s="72">
        <v>1</v>
      </c>
      <c r="BS446" s="72">
        <v>0</v>
      </c>
      <c r="BT446" s="72">
        <v>0</v>
      </c>
      <c r="BU446" s="72">
        <v>0</v>
      </c>
      <c r="BV446" s="72">
        <v>0</v>
      </c>
      <c r="BW446" s="72">
        <v>0</v>
      </c>
      <c r="BX446" s="72">
        <v>0</v>
      </c>
      <c r="BY446" s="72">
        <v>0</v>
      </c>
      <c r="BZ446" s="72">
        <v>0</v>
      </c>
      <c r="CA446" s="72">
        <v>0</v>
      </c>
      <c r="CB446" s="72">
        <v>0</v>
      </c>
      <c r="CC446" s="72">
        <v>0</v>
      </c>
      <c r="CD446" s="72">
        <v>0</v>
      </c>
      <c r="CE446" s="72">
        <v>0</v>
      </c>
      <c r="CF446" s="72">
        <v>0</v>
      </c>
      <c r="CG446" s="72">
        <v>0</v>
      </c>
      <c r="CH446" s="72">
        <v>0</v>
      </c>
      <c r="CI446" s="72">
        <v>0</v>
      </c>
      <c r="CJ446" s="72">
        <v>0</v>
      </c>
      <c r="CK446" s="72">
        <v>0</v>
      </c>
      <c r="CL446" s="72">
        <v>0</v>
      </c>
      <c r="CM446" s="72">
        <v>0</v>
      </c>
      <c r="CN446" s="72">
        <v>0</v>
      </c>
      <c r="CO446" s="72">
        <v>0</v>
      </c>
      <c r="CP446" s="72">
        <v>0</v>
      </c>
      <c r="CQ446" s="72">
        <v>0</v>
      </c>
      <c r="CR446" s="72">
        <v>0</v>
      </c>
      <c r="CS446" s="72">
        <v>0</v>
      </c>
      <c r="CT446" s="72">
        <v>0</v>
      </c>
      <c r="CU446" s="72">
        <v>0</v>
      </c>
      <c r="CV446" s="72">
        <v>0</v>
      </c>
      <c r="CW446" s="72">
        <v>0</v>
      </c>
      <c r="CX446" s="72">
        <v>0</v>
      </c>
      <c r="CY446" s="72">
        <v>0</v>
      </c>
      <c r="CZ446" s="72">
        <v>0</v>
      </c>
      <c r="DA446" s="72">
        <v>0</v>
      </c>
      <c r="DB446" s="72">
        <v>0</v>
      </c>
      <c r="DC446" s="72">
        <v>0</v>
      </c>
      <c r="DD446" s="72">
        <v>0</v>
      </c>
      <c r="DE446" s="72">
        <v>0</v>
      </c>
      <c r="DF446" s="72">
        <v>0</v>
      </c>
      <c r="DG446" s="72">
        <v>0</v>
      </c>
      <c r="DH446" s="72">
        <v>0</v>
      </c>
      <c r="DI446" s="72">
        <v>0</v>
      </c>
      <c r="DJ446" s="72">
        <v>0</v>
      </c>
      <c r="DK446" s="72">
        <v>0</v>
      </c>
      <c r="DL446" s="72">
        <v>0</v>
      </c>
      <c r="DM446" s="72">
        <v>0</v>
      </c>
    </row>
  </sheetData>
  <sheetProtection autoFilter="0"/>
  <pageMargins left="0.7" right="0.7" top="0.75" bottom="0.75" header="0.3" footer="0.3"/>
  <pageSetup paperSize="9" orientation="portrait" horizontalDpi="4294967293" r:id="rId1"/>
  <ignoredErrors>
    <ignoredError sqref="B300" numberStoredAsText="1"/>
  </ignoredErrors>
  <extLst>
    <ext xmlns:x14="http://schemas.microsoft.com/office/spreadsheetml/2009/9/main" uri="{05C60535-1F16-4fd2-B633-F4F36F0B64E0}">
      <x14:sparklineGroups xmlns:xm="http://schemas.microsoft.com/office/excel/2006/main">
        <x14:sparklineGroup lineWeight="1" displayEmptyCellsAs="gap" xr2:uid="{45FC00A6-9FC4-44A1-A094-F4E6E0879ACD}">
          <x14:colorSeries rgb="FFFF000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Stok!I2:AP2</xm:f>
              <xm:sqref>A2</xm:sqref>
            </x14:sparkline>
            <x14:sparkline>
              <xm:f>Stok!I3:AP3</xm:f>
              <xm:sqref>A3</xm:sqref>
            </x14:sparkline>
            <x14:sparkline>
              <xm:f>Stok!I4:AP4</xm:f>
              <xm:sqref>A4</xm:sqref>
            </x14:sparkline>
            <x14:sparkline>
              <xm:f>Stok!I5:AP5</xm:f>
              <xm:sqref>A5</xm:sqref>
            </x14:sparkline>
            <x14:sparkline>
              <xm:f>Stok!I6:AP6</xm:f>
              <xm:sqref>A6</xm:sqref>
            </x14:sparkline>
            <x14:sparkline>
              <xm:f>Stok!I7:AP7</xm:f>
              <xm:sqref>A7</xm:sqref>
            </x14:sparkline>
            <x14:sparkline>
              <xm:f>Stok!I8:AP8</xm:f>
              <xm:sqref>A8</xm:sqref>
            </x14:sparkline>
            <x14:sparkline>
              <xm:f>Stok!I9:AP9</xm:f>
              <xm:sqref>A9</xm:sqref>
            </x14:sparkline>
            <x14:sparkline>
              <xm:f>Stok!I10:AP10</xm:f>
              <xm:sqref>A10</xm:sqref>
            </x14:sparkline>
            <x14:sparkline>
              <xm:f>Stok!I11:AP11</xm:f>
              <xm:sqref>A11</xm:sqref>
            </x14:sparkline>
            <x14:sparkline>
              <xm:f>Stok!I12:AP12</xm:f>
              <xm:sqref>A12</xm:sqref>
            </x14:sparkline>
            <x14:sparkline>
              <xm:f>Stok!I13:AP13</xm:f>
              <xm:sqref>A13</xm:sqref>
            </x14:sparkline>
            <x14:sparkline>
              <xm:f>Stok!I14:AP14</xm:f>
              <xm:sqref>A14</xm:sqref>
            </x14:sparkline>
            <x14:sparkline>
              <xm:f>Stok!I15:AP15</xm:f>
              <xm:sqref>A15</xm:sqref>
            </x14:sparkline>
            <x14:sparkline>
              <xm:f>Stok!I16:AP16</xm:f>
              <xm:sqref>A16</xm:sqref>
            </x14:sparkline>
            <x14:sparkline>
              <xm:f>Stok!I17:AP17</xm:f>
              <xm:sqref>A17</xm:sqref>
            </x14:sparkline>
            <x14:sparkline>
              <xm:f>Stok!I18:AP18</xm:f>
              <xm:sqref>A18</xm:sqref>
            </x14:sparkline>
            <x14:sparkline>
              <xm:f>Stok!I19:AP19</xm:f>
              <xm:sqref>A19</xm:sqref>
            </x14:sparkline>
            <x14:sparkline>
              <xm:f>Stok!I20:AP20</xm:f>
              <xm:sqref>A20</xm:sqref>
            </x14:sparkline>
            <x14:sparkline>
              <xm:f>Stok!I21:AP21</xm:f>
              <xm:sqref>A21</xm:sqref>
            </x14:sparkline>
            <x14:sparkline>
              <xm:f>Stok!I22:AP22</xm:f>
              <xm:sqref>A22</xm:sqref>
            </x14:sparkline>
            <x14:sparkline>
              <xm:f>Stok!I23:AP23</xm:f>
              <xm:sqref>A23</xm:sqref>
            </x14:sparkline>
            <x14:sparkline>
              <xm:f>Stok!I24:AP24</xm:f>
              <xm:sqref>A24</xm:sqref>
            </x14:sparkline>
            <x14:sparkline>
              <xm:f>Stok!I25:AP25</xm:f>
              <xm:sqref>A25</xm:sqref>
            </x14:sparkline>
            <x14:sparkline>
              <xm:f>Stok!I26:AP26</xm:f>
              <xm:sqref>A26</xm:sqref>
            </x14:sparkline>
            <x14:sparkline>
              <xm:f>Stok!I27:AP27</xm:f>
              <xm:sqref>A27</xm:sqref>
            </x14:sparkline>
            <x14:sparkline>
              <xm:f>Stok!I28:AP28</xm:f>
              <xm:sqref>A28</xm:sqref>
            </x14:sparkline>
            <x14:sparkline>
              <xm:f>Stok!I29:AP29</xm:f>
              <xm:sqref>A29</xm:sqref>
            </x14:sparkline>
            <x14:sparkline>
              <xm:f>Stok!I30:AP30</xm:f>
              <xm:sqref>A30</xm:sqref>
            </x14:sparkline>
            <x14:sparkline>
              <xm:f>Stok!I31:AP31</xm:f>
              <xm:sqref>A31</xm:sqref>
            </x14:sparkline>
            <x14:sparkline>
              <xm:f>Stok!I32:AP32</xm:f>
              <xm:sqref>A32</xm:sqref>
            </x14:sparkline>
            <x14:sparkline>
              <xm:f>Stok!I33:AP33</xm:f>
              <xm:sqref>A33</xm:sqref>
            </x14:sparkline>
            <x14:sparkline>
              <xm:f>Stok!I34:AP34</xm:f>
              <xm:sqref>A34</xm:sqref>
            </x14:sparkline>
            <x14:sparkline>
              <xm:f>Stok!I35:AP35</xm:f>
              <xm:sqref>A35</xm:sqref>
            </x14:sparkline>
            <x14:sparkline>
              <xm:f>Stok!I36:AP36</xm:f>
              <xm:sqref>A36</xm:sqref>
            </x14:sparkline>
            <x14:sparkline>
              <xm:f>Stok!I37:AP37</xm:f>
              <xm:sqref>A37</xm:sqref>
            </x14:sparkline>
            <x14:sparkline>
              <xm:f>Stok!I38:AP38</xm:f>
              <xm:sqref>A38</xm:sqref>
            </x14:sparkline>
            <x14:sparkline>
              <xm:f>Stok!I39:AP39</xm:f>
              <xm:sqref>A39</xm:sqref>
            </x14:sparkline>
            <x14:sparkline>
              <xm:f>Stok!I40:AP40</xm:f>
              <xm:sqref>A40</xm:sqref>
            </x14:sparkline>
            <x14:sparkline>
              <xm:f>Stok!I41:AP41</xm:f>
              <xm:sqref>A41</xm:sqref>
            </x14:sparkline>
            <x14:sparkline>
              <xm:f>Stok!I42:AP42</xm:f>
              <xm:sqref>A42</xm:sqref>
            </x14:sparkline>
            <x14:sparkline>
              <xm:f>Stok!I43:AP43</xm:f>
              <xm:sqref>A43</xm:sqref>
            </x14:sparkline>
            <x14:sparkline>
              <xm:f>Stok!I44:AP44</xm:f>
              <xm:sqref>A44</xm:sqref>
            </x14:sparkline>
            <x14:sparkline>
              <xm:f>Stok!I45:AP45</xm:f>
              <xm:sqref>A45</xm:sqref>
            </x14:sparkline>
            <x14:sparkline>
              <xm:f>Stok!I46:AP46</xm:f>
              <xm:sqref>A46</xm:sqref>
            </x14:sparkline>
            <x14:sparkline>
              <xm:f>Stok!I47:AP47</xm:f>
              <xm:sqref>A47</xm:sqref>
            </x14:sparkline>
            <x14:sparkline>
              <xm:f>Stok!I48:AP48</xm:f>
              <xm:sqref>A48</xm:sqref>
            </x14:sparkline>
            <x14:sparkline>
              <xm:f>Stok!I49:AP49</xm:f>
              <xm:sqref>A49</xm:sqref>
            </x14:sparkline>
            <x14:sparkline>
              <xm:f>Stok!I50:AP50</xm:f>
              <xm:sqref>A50</xm:sqref>
            </x14:sparkline>
            <x14:sparkline>
              <xm:f>Stok!I51:AP51</xm:f>
              <xm:sqref>A51</xm:sqref>
            </x14:sparkline>
            <x14:sparkline>
              <xm:f>Stok!I52:AP52</xm:f>
              <xm:sqref>A52</xm:sqref>
            </x14:sparkline>
            <x14:sparkline>
              <xm:f>Stok!I53:AP53</xm:f>
              <xm:sqref>A53</xm:sqref>
            </x14:sparkline>
            <x14:sparkline>
              <xm:f>Stok!I54:AP54</xm:f>
              <xm:sqref>A54</xm:sqref>
            </x14:sparkline>
            <x14:sparkline>
              <xm:f>Stok!I55:AP55</xm:f>
              <xm:sqref>A55</xm:sqref>
            </x14:sparkline>
            <x14:sparkline>
              <xm:f>Stok!I56:AP56</xm:f>
              <xm:sqref>A56</xm:sqref>
            </x14:sparkline>
            <x14:sparkline>
              <xm:f>Stok!I57:AP57</xm:f>
              <xm:sqref>A57</xm:sqref>
            </x14:sparkline>
            <x14:sparkline>
              <xm:f>Stok!I58:AP58</xm:f>
              <xm:sqref>A58</xm:sqref>
            </x14:sparkline>
            <x14:sparkline>
              <xm:f>Stok!I59:AP59</xm:f>
              <xm:sqref>A59</xm:sqref>
            </x14:sparkline>
            <x14:sparkline>
              <xm:f>Stok!I60:AP60</xm:f>
              <xm:sqref>A60</xm:sqref>
            </x14:sparkline>
            <x14:sparkline>
              <xm:f>Stok!I61:AP61</xm:f>
              <xm:sqref>A61</xm:sqref>
            </x14:sparkline>
            <x14:sparkline>
              <xm:f>Stok!I62:AP62</xm:f>
              <xm:sqref>A62</xm:sqref>
            </x14:sparkline>
            <x14:sparkline>
              <xm:f>Stok!I63:AP63</xm:f>
              <xm:sqref>A63</xm:sqref>
            </x14:sparkline>
            <x14:sparkline>
              <xm:f>Stok!I64:AP64</xm:f>
              <xm:sqref>A64</xm:sqref>
            </x14:sparkline>
            <x14:sparkline>
              <xm:f>Stok!I65:AP65</xm:f>
              <xm:sqref>A65</xm:sqref>
            </x14:sparkline>
            <x14:sparkline>
              <xm:f>Stok!I66:AP66</xm:f>
              <xm:sqref>A66</xm:sqref>
            </x14:sparkline>
            <x14:sparkline>
              <xm:f>Stok!I67:AP67</xm:f>
              <xm:sqref>A67</xm:sqref>
            </x14:sparkline>
            <x14:sparkline>
              <xm:f>Stok!I68:AP68</xm:f>
              <xm:sqref>A68</xm:sqref>
            </x14:sparkline>
            <x14:sparkline>
              <xm:f>Stok!I69:AP69</xm:f>
              <xm:sqref>A69</xm:sqref>
            </x14:sparkline>
            <x14:sparkline>
              <xm:f>Stok!I70:AP70</xm:f>
              <xm:sqref>A70</xm:sqref>
            </x14:sparkline>
            <x14:sparkline>
              <xm:f>Stok!I71:AP71</xm:f>
              <xm:sqref>A71</xm:sqref>
            </x14:sparkline>
            <x14:sparkline>
              <xm:f>Stok!I72:AP72</xm:f>
              <xm:sqref>A72</xm:sqref>
            </x14:sparkline>
            <x14:sparkline>
              <xm:f>Stok!I73:AP73</xm:f>
              <xm:sqref>A73</xm:sqref>
            </x14:sparkline>
            <x14:sparkline>
              <xm:f>Stok!I74:AP74</xm:f>
              <xm:sqref>A74</xm:sqref>
            </x14:sparkline>
            <x14:sparkline>
              <xm:f>Stok!I75:AP75</xm:f>
              <xm:sqref>A75</xm:sqref>
            </x14:sparkline>
            <x14:sparkline>
              <xm:f>Stok!I76:AP76</xm:f>
              <xm:sqref>A76</xm:sqref>
            </x14:sparkline>
            <x14:sparkline>
              <xm:f>Stok!I77:AP77</xm:f>
              <xm:sqref>A77</xm:sqref>
            </x14:sparkline>
            <x14:sparkline>
              <xm:f>Stok!I78:AP78</xm:f>
              <xm:sqref>A78</xm:sqref>
            </x14:sparkline>
            <x14:sparkline>
              <xm:f>Stok!I79:AP79</xm:f>
              <xm:sqref>A79</xm:sqref>
            </x14:sparkline>
            <x14:sparkline>
              <xm:f>Stok!I80:AP80</xm:f>
              <xm:sqref>A80</xm:sqref>
            </x14:sparkline>
            <x14:sparkline>
              <xm:f>Stok!I81:AP81</xm:f>
              <xm:sqref>A81</xm:sqref>
            </x14:sparkline>
            <x14:sparkline>
              <xm:f>Stok!I82:AP82</xm:f>
              <xm:sqref>A82</xm:sqref>
            </x14:sparkline>
            <x14:sparkline>
              <xm:f>Stok!I83:AP83</xm:f>
              <xm:sqref>A83</xm:sqref>
            </x14:sparkline>
            <x14:sparkline>
              <xm:f>Stok!I84:AP84</xm:f>
              <xm:sqref>A84</xm:sqref>
            </x14:sparkline>
            <x14:sparkline>
              <xm:f>Stok!I85:AP85</xm:f>
              <xm:sqref>A85</xm:sqref>
            </x14:sparkline>
            <x14:sparkline>
              <xm:f>Stok!I86:AP86</xm:f>
              <xm:sqref>A86</xm:sqref>
            </x14:sparkline>
            <x14:sparkline>
              <xm:f>Stok!I87:AP87</xm:f>
              <xm:sqref>A87</xm:sqref>
            </x14:sparkline>
            <x14:sparkline>
              <xm:f>Stok!I88:AP88</xm:f>
              <xm:sqref>A88</xm:sqref>
            </x14:sparkline>
            <x14:sparkline>
              <xm:f>Stok!I89:AP89</xm:f>
              <xm:sqref>A89</xm:sqref>
            </x14:sparkline>
            <x14:sparkline>
              <xm:f>Stok!I90:AP90</xm:f>
              <xm:sqref>A90</xm:sqref>
            </x14:sparkline>
            <x14:sparkline>
              <xm:f>Stok!I91:AP91</xm:f>
              <xm:sqref>A91</xm:sqref>
            </x14:sparkline>
            <x14:sparkline>
              <xm:f>Stok!I92:AP92</xm:f>
              <xm:sqref>A92</xm:sqref>
            </x14:sparkline>
            <x14:sparkline>
              <xm:f>Stok!I93:AP93</xm:f>
              <xm:sqref>A93</xm:sqref>
            </x14:sparkline>
            <x14:sparkline>
              <xm:f>Stok!I94:AP94</xm:f>
              <xm:sqref>A94</xm:sqref>
            </x14:sparkline>
            <x14:sparkline>
              <xm:f>Stok!I95:AP95</xm:f>
              <xm:sqref>A95</xm:sqref>
            </x14:sparkline>
            <x14:sparkline>
              <xm:f>Stok!I96:AP96</xm:f>
              <xm:sqref>A96</xm:sqref>
            </x14:sparkline>
            <x14:sparkline>
              <xm:f>Stok!I97:AP97</xm:f>
              <xm:sqref>A97</xm:sqref>
            </x14:sparkline>
            <x14:sparkline>
              <xm:f>Stok!I98:AP98</xm:f>
              <xm:sqref>A98</xm:sqref>
            </x14:sparkline>
            <x14:sparkline>
              <xm:f>Stok!I99:AP99</xm:f>
              <xm:sqref>A99</xm:sqref>
            </x14:sparkline>
            <x14:sparkline>
              <xm:f>Stok!I100:AP100</xm:f>
              <xm:sqref>A100</xm:sqref>
            </x14:sparkline>
            <x14:sparkline>
              <xm:f>Stok!I101:AP101</xm:f>
              <xm:sqref>A101</xm:sqref>
            </x14:sparkline>
            <x14:sparkline>
              <xm:f>Stok!I102:AP102</xm:f>
              <xm:sqref>A102</xm:sqref>
            </x14:sparkline>
            <x14:sparkline>
              <xm:f>Stok!I103:AP103</xm:f>
              <xm:sqref>A103</xm:sqref>
            </x14:sparkline>
            <x14:sparkline>
              <xm:f>Stok!I104:AP104</xm:f>
              <xm:sqref>A104</xm:sqref>
            </x14:sparkline>
            <x14:sparkline>
              <xm:f>Stok!I105:AP105</xm:f>
              <xm:sqref>A105</xm:sqref>
            </x14:sparkline>
            <x14:sparkline>
              <xm:f>Stok!I106:AP106</xm:f>
              <xm:sqref>A106</xm:sqref>
            </x14:sparkline>
            <x14:sparkline>
              <xm:f>Stok!I107:AP107</xm:f>
              <xm:sqref>A107</xm:sqref>
            </x14:sparkline>
            <x14:sparkline>
              <xm:f>Stok!I108:AP108</xm:f>
              <xm:sqref>A108</xm:sqref>
            </x14:sparkline>
            <x14:sparkline>
              <xm:f>Stok!I109:AP109</xm:f>
              <xm:sqref>A109</xm:sqref>
            </x14:sparkline>
            <x14:sparkline>
              <xm:f>Stok!I110:AP110</xm:f>
              <xm:sqref>A110</xm:sqref>
            </x14:sparkline>
            <x14:sparkline>
              <xm:f>Stok!I111:AP111</xm:f>
              <xm:sqref>A111</xm:sqref>
            </x14:sparkline>
            <x14:sparkline>
              <xm:f>Stok!I112:AP112</xm:f>
              <xm:sqref>A112</xm:sqref>
            </x14:sparkline>
            <x14:sparkline>
              <xm:f>Stok!I113:AP113</xm:f>
              <xm:sqref>A113</xm:sqref>
            </x14:sparkline>
            <x14:sparkline>
              <xm:f>Stok!I114:AP114</xm:f>
              <xm:sqref>A114</xm:sqref>
            </x14:sparkline>
            <x14:sparkline>
              <xm:f>Stok!I115:AP115</xm:f>
              <xm:sqref>A115</xm:sqref>
            </x14:sparkline>
            <x14:sparkline>
              <xm:f>Stok!I116:AP116</xm:f>
              <xm:sqref>A116</xm:sqref>
            </x14:sparkline>
            <x14:sparkline>
              <xm:f>Stok!I117:AP117</xm:f>
              <xm:sqref>A117</xm:sqref>
            </x14:sparkline>
            <x14:sparkline>
              <xm:f>Stok!I118:AP118</xm:f>
              <xm:sqref>A118</xm:sqref>
            </x14:sparkline>
            <x14:sparkline>
              <xm:f>Stok!I119:AP119</xm:f>
              <xm:sqref>A119</xm:sqref>
            </x14:sparkline>
            <x14:sparkline>
              <xm:f>Stok!I120:AP120</xm:f>
              <xm:sqref>A120</xm:sqref>
            </x14:sparkline>
            <x14:sparkline>
              <xm:f>Stok!I121:AP121</xm:f>
              <xm:sqref>A121</xm:sqref>
            </x14:sparkline>
            <x14:sparkline>
              <xm:f>Stok!I122:AP122</xm:f>
              <xm:sqref>A122</xm:sqref>
            </x14:sparkline>
            <x14:sparkline>
              <xm:f>Stok!I123:AP123</xm:f>
              <xm:sqref>A123</xm:sqref>
            </x14:sparkline>
            <x14:sparkline>
              <xm:f>Stok!I124:AP124</xm:f>
              <xm:sqref>A124</xm:sqref>
            </x14:sparkline>
            <x14:sparkline>
              <xm:f>Stok!I125:AP125</xm:f>
              <xm:sqref>A125</xm:sqref>
            </x14:sparkline>
            <x14:sparkline>
              <xm:f>Stok!I126:AP126</xm:f>
              <xm:sqref>A126</xm:sqref>
            </x14:sparkline>
            <x14:sparkline>
              <xm:f>Stok!I127:AP127</xm:f>
              <xm:sqref>A127</xm:sqref>
            </x14:sparkline>
            <x14:sparkline>
              <xm:f>Stok!I128:AP128</xm:f>
              <xm:sqref>A128</xm:sqref>
            </x14:sparkline>
            <x14:sparkline>
              <xm:f>Stok!I129:AP129</xm:f>
              <xm:sqref>A129</xm:sqref>
            </x14:sparkline>
            <x14:sparkline>
              <xm:f>Stok!I130:AP130</xm:f>
              <xm:sqref>A130</xm:sqref>
            </x14:sparkline>
            <x14:sparkline>
              <xm:f>Stok!I131:AP131</xm:f>
              <xm:sqref>A131</xm:sqref>
            </x14:sparkline>
            <x14:sparkline>
              <xm:f>Stok!I132:AP132</xm:f>
              <xm:sqref>A132</xm:sqref>
            </x14:sparkline>
            <x14:sparkline>
              <xm:f>Stok!I133:AP133</xm:f>
              <xm:sqref>A133</xm:sqref>
            </x14:sparkline>
            <x14:sparkline>
              <xm:f>Stok!I134:AP134</xm:f>
              <xm:sqref>A134</xm:sqref>
            </x14:sparkline>
            <x14:sparkline>
              <xm:f>Stok!I135:AP135</xm:f>
              <xm:sqref>A135</xm:sqref>
            </x14:sparkline>
            <x14:sparkline>
              <xm:f>Stok!I136:AP136</xm:f>
              <xm:sqref>A136</xm:sqref>
            </x14:sparkline>
            <x14:sparkline>
              <xm:f>Stok!I137:AP137</xm:f>
              <xm:sqref>A137</xm:sqref>
            </x14:sparkline>
            <x14:sparkline>
              <xm:f>Stok!I138:AP138</xm:f>
              <xm:sqref>A138</xm:sqref>
            </x14:sparkline>
            <x14:sparkline>
              <xm:f>Stok!I139:AP139</xm:f>
              <xm:sqref>A139</xm:sqref>
            </x14:sparkline>
            <x14:sparkline>
              <xm:f>Stok!I140:AP140</xm:f>
              <xm:sqref>A140</xm:sqref>
            </x14:sparkline>
            <x14:sparkline>
              <xm:f>Stok!I141:AP141</xm:f>
              <xm:sqref>A141</xm:sqref>
            </x14:sparkline>
            <x14:sparkline>
              <xm:f>Stok!I142:AP142</xm:f>
              <xm:sqref>A142</xm:sqref>
            </x14:sparkline>
            <x14:sparkline>
              <xm:f>Stok!I143:AP143</xm:f>
              <xm:sqref>A143</xm:sqref>
            </x14:sparkline>
            <x14:sparkline>
              <xm:f>Stok!I144:AP144</xm:f>
              <xm:sqref>A144</xm:sqref>
            </x14:sparkline>
            <x14:sparkline>
              <xm:f>Stok!I145:AP145</xm:f>
              <xm:sqref>A145</xm:sqref>
            </x14:sparkline>
            <x14:sparkline>
              <xm:f>Stok!I146:AP146</xm:f>
              <xm:sqref>A146</xm:sqref>
            </x14:sparkline>
            <x14:sparkline>
              <xm:f>Stok!I147:AP147</xm:f>
              <xm:sqref>A147</xm:sqref>
            </x14:sparkline>
            <x14:sparkline>
              <xm:f>Stok!I148:AP148</xm:f>
              <xm:sqref>A148</xm:sqref>
            </x14:sparkline>
            <x14:sparkline>
              <xm:f>Stok!I149:AP149</xm:f>
              <xm:sqref>A149</xm:sqref>
            </x14:sparkline>
            <x14:sparkline>
              <xm:f>Stok!I150:AP150</xm:f>
              <xm:sqref>A150</xm:sqref>
            </x14:sparkline>
            <x14:sparkline>
              <xm:f>Stok!I151:AP151</xm:f>
              <xm:sqref>A151</xm:sqref>
            </x14:sparkline>
            <x14:sparkline>
              <xm:f>Stok!I152:AP152</xm:f>
              <xm:sqref>A152</xm:sqref>
            </x14:sparkline>
            <x14:sparkline>
              <xm:f>Stok!I153:AP153</xm:f>
              <xm:sqref>A153</xm:sqref>
            </x14:sparkline>
            <x14:sparkline>
              <xm:f>Stok!I154:AP154</xm:f>
              <xm:sqref>A154</xm:sqref>
            </x14:sparkline>
            <x14:sparkline>
              <xm:f>Stok!I155:AP155</xm:f>
              <xm:sqref>A155</xm:sqref>
            </x14:sparkline>
            <x14:sparkline>
              <xm:f>Stok!I156:AP156</xm:f>
              <xm:sqref>A156</xm:sqref>
            </x14:sparkline>
            <x14:sparkline>
              <xm:f>Stok!I157:AP157</xm:f>
              <xm:sqref>A157</xm:sqref>
            </x14:sparkline>
            <x14:sparkline>
              <xm:f>Stok!I158:AP158</xm:f>
              <xm:sqref>A158</xm:sqref>
            </x14:sparkline>
            <x14:sparkline>
              <xm:f>Stok!I159:AP159</xm:f>
              <xm:sqref>A159</xm:sqref>
            </x14:sparkline>
            <x14:sparkline>
              <xm:f>Stok!I160:AP160</xm:f>
              <xm:sqref>A160</xm:sqref>
            </x14:sparkline>
            <x14:sparkline>
              <xm:f>Stok!I161:AP161</xm:f>
              <xm:sqref>A161</xm:sqref>
            </x14:sparkline>
            <x14:sparkline>
              <xm:f>Stok!I162:AP162</xm:f>
              <xm:sqref>A162</xm:sqref>
            </x14:sparkline>
            <x14:sparkline>
              <xm:f>Stok!I163:AP163</xm:f>
              <xm:sqref>A163</xm:sqref>
            </x14:sparkline>
            <x14:sparkline>
              <xm:f>Stok!I164:AP164</xm:f>
              <xm:sqref>A164</xm:sqref>
            </x14:sparkline>
            <x14:sparkline>
              <xm:f>Stok!I165:AP165</xm:f>
              <xm:sqref>A165</xm:sqref>
            </x14:sparkline>
            <x14:sparkline>
              <xm:f>Stok!I166:AP166</xm:f>
              <xm:sqref>A166</xm:sqref>
            </x14:sparkline>
            <x14:sparkline>
              <xm:f>Stok!I167:AP167</xm:f>
              <xm:sqref>A167</xm:sqref>
            </x14:sparkline>
            <x14:sparkline>
              <xm:f>Stok!I168:AP168</xm:f>
              <xm:sqref>A168</xm:sqref>
            </x14:sparkline>
            <x14:sparkline>
              <xm:f>Stok!I169:AP169</xm:f>
              <xm:sqref>A169</xm:sqref>
            </x14:sparkline>
            <x14:sparkline>
              <xm:f>Stok!I170:AP170</xm:f>
              <xm:sqref>A170</xm:sqref>
            </x14:sparkline>
            <x14:sparkline>
              <xm:f>Stok!I171:AP171</xm:f>
              <xm:sqref>A171</xm:sqref>
            </x14:sparkline>
            <x14:sparkline>
              <xm:f>Stok!I172:AP172</xm:f>
              <xm:sqref>A172</xm:sqref>
            </x14:sparkline>
            <x14:sparkline>
              <xm:f>Stok!I173:AP173</xm:f>
              <xm:sqref>A173</xm:sqref>
            </x14:sparkline>
            <x14:sparkline>
              <xm:f>Stok!I174:AP174</xm:f>
              <xm:sqref>A174</xm:sqref>
            </x14:sparkline>
            <x14:sparkline>
              <xm:f>Stok!I175:AP175</xm:f>
              <xm:sqref>A175</xm:sqref>
            </x14:sparkline>
            <x14:sparkline>
              <xm:f>Stok!I176:AP176</xm:f>
              <xm:sqref>A176</xm:sqref>
            </x14:sparkline>
            <x14:sparkline>
              <xm:f>Stok!I177:AP177</xm:f>
              <xm:sqref>A177</xm:sqref>
            </x14:sparkline>
            <x14:sparkline>
              <xm:f>Stok!I178:AP178</xm:f>
              <xm:sqref>A178</xm:sqref>
            </x14:sparkline>
            <x14:sparkline>
              <xm:f>Stok!I179:AP179</xm:f>
              <xm:sqref>A179</xm:sqref>
            </x14:sparkline>
            <x14:sparkline>
              <xm:f>Stok!I180:AP180</xm:f>
              <xm:sqref>A180</xm:sqref>
            </x14:sparkline>
            <x14:sparkline>
              <xm:f>Stok!I181:AP181</xm:f>
              <xm:sqref>A181</xm:sqref>
            </x14:sparkline>
            <x14:sparkline>
              <xm:f>Stok!I182:AP182</xm:f>
              <xm:sqref>A182</xm:sqref>
            </x14:sparkline>
            <x14:sparkline>
              <xm:f>Stok!I183:AP183</xm:f>
              <xm:sqref>A183</xm:sqref>
            </x14:sparkline>
            <x14:sparkline>
              <xm:f>Stok!I184:AP184</xm:f>
              <xm:sqref>A184</xm:sqref>
            </x14:sparkline>
            <x14:sparkline>
              <xm:f>Stok!I185:AP185</xm:f>
              <xm:sqref>A185</xm:sqref>
            </x14:sparkline>
            <x14:sparkline>
              <xm:f>Stok!I186:AP186</xm:f>
              <xm:sqref>A186</xm:sqref>
            </x14:sparkline>
            <x14:sparkline>
              <xm:f>Stok!I187:AP187</xm:f>
              <xm:sqref>A187</xm:sqref>
            </x14:sparkline>
            <x14:sparkline>
              <xm:f>Stok!I188:AP188</xm:f>
              <xm:sqref>A188</xm:sqref>
            </x14:sparkline>
            <x14:sparkline>
              <xm:f>Stok!I189:AP189</xm:f>
              <xm:sqref>A189</xm:sqref>
            </x14:sparkline>
            <x14:sparkline>
              <xm:f>Stok!I190:AP190</xm:f>
              <xm:sqref>A190</xm:sqref>
            </x14:sparkline>
            <x14:sparkline>
              <xm:f>Stok!I191:AP191</xm:f>
              <xm:sqref>A191</xm:sqref>
            </x14:sparkline>
            <x14:sparkline>
              <xm:f>Stok!I192:AP192</xm:f>
              <xm:sqref>A192</xm:sqref>
            </x14:sparkline>
            <x14:sparkline>
              <xm:f>Stok!I193:AP193</xm:f>
              <xm:sqref>A193</xm:sqref>
            </x14:sparkline>
            <x14:sparkline>
              <xm:f>Stok!I194:AP194</xm:f>
              <xm:sqref>A194</xm:sqref>
            </x14:sparkline>
            <x14:sparkline>
              <xm:f>Stok!I195:AP195</xm:f>
              <xm:sqref>A195</xm:sqref>
            </x14:sparkline>
            <x14:sparkline>
              <xm:f>Stok!I196:AP196</xm:f>
              <xm:sqref>A196</xm:sqref>
            </x14:sparkline>
            <x14:sparkline>
              <xm:f>Stok!I197:AP197</xm:f>
              <xm:sqref>A197</xm:sqref>
            </x14:sparkline>
            <x14:sparkline>
              <xm:f>Stok!I198:AP198</xm:f>
              <xm:sqref>A198</xm:sqref>
            </x14:sparkline>
            <x14:sparkline>
              <xm:f>Stok!I199:AP199</xm:f>
              <xm:sqref>A199</xm:sqref>
            </x14:sparkline>
            <x14:sparkline>
              <xm:f>Stok!I200:AP200</xm:f>
              <xm:sqref>A200</xm:sqref>
            </x14:sparkline>
            <x14:sparkline>
              <xm:f>Stok!I201:AP201</xm:f>
              <xm:sqref>A201</xm:sqref>
            </x14:sparkline>
            <x14:sparkline>
              <xm:f>Stok!I202:AP202</xm:f>
              <xm:sqref>A202</xm:sqref>
            </x14:sparkline>
            <x14:sparkline>
              <xm:f>Stok!I203:AP203</xm:f>
              <xm:sqref>A203</xm:sqref>
            </x14:sparkline>
            <x14:sparkline>
              <xm:f>Stok!I204:AP204</xm:f>
              <xm:sqref>A204</xm:sqref>
            </x14:sparkline>
            <x14:sparkline>
              <xm:f>Stok!I205:AP205</xm:f>
              <xm:sqref>A205</xm:sqref>
            </x14:sparkline>
            <x14:sparkline>
              <xm:f>Stok!I206:AP206</xm:f>
              <xm:sqref>A206</xm:sqref>
            </x14:sparkline>
            <x14:sparkline>
              <xm:f>Stok!I207:AP207</xm:f>
              <xm:sqref>A207</xm:sqref>
            </x14:sparkline>
            <x14:sparkline>
              <xm:f>Stok!I208:AP208</xm:f>
              <xm:sqref>A208</xm:sqref>
            </x14:sparkline>
            <x14:sparkline>
              <xm:f>Stok!I209:AP209</xm:f>
              <xm:sqref>A209</xm:sqref>
            </x14:sparkline>
            <x14:sparkline>
              <xm:f>Stok!I210:AP210</xm:f>
              <xm:sqref>A210</xm:sqref>
            </x14:sparkline>
            <x14:sparkline>
              <xm:f>Stok!I211:AP211</xm:f>
              <xm:sqref>A211</xm:sqref>
            </x14:sparkline>
            <x14:sparkline>
              <xm:f>Stok!I212:AP212</xm:f>
              <xm:sqref>A212</xm:sqref>
            </x14:sparkline>
            <x14:sparkline>
              <xm:f>Stok!I213:AP213</xm:f>
              <xm:sqref>A213</xm:sqref>
            </x14:sparkline>
            <x14:sparkline>
              <xm:f>Stok!I214:AP214</xm:f>
              <xm:sqref>A214</xm:sqref>
            </x14:sparkline>
            <x14:sparkline>
              <xm:f>Stok!I215:AP215</xm:f>
              <xm:sqref>A215</xm:sqref>
            </x14:sparkline>
            <x14:sparkline>
              <xm:f>Stok!I216:AP216</xm:f>
              <xm:sqref>A216</xm:sqref>
            </x14:sparkline>
            <x14:sparkline>
              <xm:f>Stok!I217:AP217</xm:f>
              <xm:sqref>A217</xm:sqref>
            </x14:sparkline>
            <x14:sparkline>
              <xm:f>Stok!I218:AP218</xm:f>
              <xm:sqref>A218</xm:sqref>
            </x14:sparkline>
            <x14:sparkline>
              <xm:f>Stok!I219:AP219</xm:f>
              <xm:sqref>A219</xm:sqref>
            </x14:sparkline>
            <x14:sparkline>
              <xm:f>Stok!I220:AP220</xm:f>
              <xm:sqref>A220</xm:sqref>
            </x14:sparkline>
            <x14:sparkline>
              <xm:f>Stok!I221:AP221</xm:f>
              <xm:sqref>A221</xm:sqref>
            </x14:sparkline>
            <x14:sparkline>
              <xm:f>Stok!I222:AP222</xm:f>
              <xm:sqref>A222</xm:sqref>
            </x14:sparkline>
            <x14:sparkline>
              <xm:f>Stok!I223:AP223</xm:f>
              <xm:sqref>A223</xm:sqref>
            </x14:sparkline>
            <x14:sparkline>
              <xm:f>Stok!I224:AP224</xm:f>
              <xm:sqref>A224</xm:sqref>
            </x14:sparkline>
            <x14:sparkline>
              <xm:f>Stok!I225:AP225</xm:f>
              <xm:sqref>A225</xm:sqref>
            </x14:sparkline>
            <x14:sparkline>
              <xm:f>Stok!I226:AP226</xm:f>
              <xm:sqref>A226</xm:sqref>
            </x14:sparkline>
            <x14:sparkline>
              <xm:f>Stok!I227:AP227</xm:f>
              <xm:sqref>A227</xm:sqref>
            </x14:sparkline>
            <x14:sparkline>
              <xm:f>Stok!I228:AP228</xm:f>
              <xm:sqref>A228</xm:sqref>
            </x14:sparkline>
            <x14:sparkline>
              <xm:f>Stok!I229:AP229</xm:f>
              <xm:sqref>A229</xm:sqref>
            </x14:sparkline>
            <x14:sparkline>
              <xm:f>Stok!I230:AP230</xm:f>
              <xm:sqref>A230</xm:sqref>
            </x14:sparkline>
            <x14:sparkline>
              <xm:f>Stok!I231:AP231</xm:f>
              <xm:sqref>A231</xm:sqref>
            </x14:sparkline>
            <x14:sparkline>
              <xm:f>Stok!I232:AP232</xm:f>
              <xm:sqref>A232</xm:sqref>
            </x14:sparkline>
            <x14:sparkline>
              <xm:f>Stok!I233:AP233</xm:f>
              <xm:sqref>A233</xm:sqref>
            </x14:sparkline>
            <x14:sparkline>
              <xm:f>Stok!I234:AP234</xm:f>
              <xm:sqref>A234</xm:sqref>
            </x14:sparkline>
            <x14:sparkline>
              <xm:f>Stok!I235:AP235</xm:f>
              <xm:sqref>A235</xm:sqref>
            </x14:sparkline>
            <x14:sparkline>
              <xm:f>Stok!I236:AP236</xm:f>
              <xm:sqref>A236</xm:sqref>
            </x14:sparkline>
            <x14:sparkline>
              <xm:f>Stok!I237:AP237</xm:f>
              <xm:sqref>A237</xm:sqref>
            </x14:sparkline>
            <x14:sparkline>
              <xm:f>Stok!I238:AP238</xm:f>
              <xm:sqref>A238</xm:sqref>
            </x14:sparkline>
            <x14:sparkline>
              <xm:f>Stok!I239:AP239</xm:f>
              <xm:sqref>A239</xm:sqref>
            </x14:sparkline>
            <x14:sparkline>
              <xm:f>Stok!I240:AP240</xm:f>
              <xm:sqref>A240</xm:sqref>
            </x14:sparkline>
            <x14:sparkline>
              <xm:f>Stok!I241:AP241</xm:f>
              <xm:sqref>A241</xm:sqref>
            </x14:sparkline>
            <x14:sparkline>
              <xm:f>Stok!I242:AP242</xm:f>
              <xm:sqref>A242</xm:sqref>
            </x14:sparkline>
            <x14:sparkline>
              <xm:f>Stok!I243:AP243</xm:f>
              <xm:sqref>A243</xm:sqref>
            </x14:sparkline>
            <x14:sparkline>
              <xm:f>Stok!I244:AP244</xm:f>
              <xm:sqref>A244</xm:sqref>
            </x14:sparkline>
            <x14:sparkline>
              <xm:f>Stok!I245:AP245</xm:f>
              <xm:sqref>A245</xm:sqref>
            </x14:sparkline>
            <x14:sparkline>
              <xm:f>Stok!I246:AP246</xm:f>
              <xm:sqref>A246</xm:sqref>
            </x14:sparkline>
            <x14:sparkline>
              <xm:f>Stok!I247:AP247</xm:f>
              <xm:sqref>A247</xm:sqref>
            </x14:sparkline>
            <x14:sparkline>
              <xm:f>Stok!I248:AP248</xm:f>
              <xm:sqref>A248</xm:sqref>
            </x14:sparkline>
            <x14:sparkline>
              <xm:f>Stok!I249:AP249</xm:f>
              <xm:sqref>A249</xm:sqref>
            </x14:sparkline>
            <x14:sparkline>
              <xm:f>Stok!I250:AP250</xm:f>
              <xm:sqref>A250</xm:sqref>
            </x14:sparkline>
            <x14:sparkline>
              <xm:f>Stok!I251:AP251</xm:f>
              <xm:sqref>A251</xm:sqref>
            </x14:sparkline>
            <x14:sparkline>
              <xm:f>Stok!I252:AP252</xm:f>
              <xm:sqref>A252</xm:sqref>
            </x14:sparkline>
            <x14:sparkline>
              <xm:f>Stok!I253:AP253</xm:f>
              <xm:sqref>A253</xm:sqref>
            </x14:sparkline>
            <x14:sparkline>
              <xm:f>Stok!I254:AP254</xm:f>
              <xm:sqref>A254</xm:sqref>
            </x14:sparkline>
            <x14:sparkline>
              <xm:f>Stok!I255:AP255</xm:f>
              <xm:sqref>A255</xm:sqref>
            </x14:sparkline>
            <x14:sparkline>
              <xm:f>Stok!I256:AP256</xm:f>
              <xm:sqref>A256</xm:sqref>
            </x14:sparkline>
            <x14:sparkline>
              <xm:f>Stok!I257:AP257</xm:f>
              <xm:sqref>A257</xm:sqref>
            </x14:sparkline>
            <x14:sparkline>
              <xm:f>Stok!I258:AP258</xm:f>
              <xm:sqref>A258</xm:sqref>
            </x14:sparkline>
            <x14:sparkline>
              <xm:f>Stok!I259:AP259</xm:f>
              <xm:sqref>A259</xm:sqref>
            </x14:sparkline>
            <x14:sparkline>
              <xm:f>Stok!I260:AP260</xm:f>
              <xm:sqref>A260</xm:sqref>
            </x14:sparkline>
            <x14:sparkline>
              <xm:f>Stok!I261:AP261</xm:f>
              <xm:sqref>A261</xm:sqref>
            </x14:sparkline>
            <x14:sparkline>
              <xm:f>Stok!I262:AP262</xm:f>
              <xm:sqref>A262</xm:sqref>
            </x14:sparkline>
            <x14:sparkline>
              <xm:f>Stok!I263:AP263</xm:f>
              <xm:sqref>A263</xm:sqref>
            </x14:sparkline>
            <x14:sparkline>
              <xm:f>Stok!I264:AP264</xm:f>
              <xm:sqref>A264</xm:sqref>
            </x14:sparkline>
            <x14:sparkline>
              <xm:f>Stok!I265:AP265</xm:f>
              <xm:sqref>A265</xm:sqref>
            </x14:sparkline>
            <x14:sparkline>
              <xm:f>Stok!I266:AP266</xm:f>
              <xm:sqref>A266</xm:sqref>
            </x14:sparkline>
            <x14:sparkline>
              <xm:f>Stok!I267:AP267</xm:f>
              <xm:sqref>A267</xm:sqref>
            </x14:sparkline>
            <x14:sparkline>
              <xm:f>Stok!I268:AP268</xm:f>
              <xm:sqref>A268</xm:sqref>
            </x14:sparkline>
            <x14:sparkline>
              <xm:f>Stok!I269:AP269</xm:f>
              <xm:sqref>A269</xm:sqref>
            </x14:sparkline>
            <x14:sparkline>
              <xm:f>Stok!I270:AP270</xm:f>
              <xm:sqref>A270</xm:sqref>
            </x14:sparkline>
            <x14:sparkline>
              <xm:f>Stok!I271:AP271</xm:f>
              <xm:sqref>A271</xm:sqref>
            </x14:sparkline>
            <x14:sparkline>
              <xm:f>Stok!I272:AP272</xm:f>
              <xm:sqref>A272</xm:sqref>
            </x14:sparkline>
            <x14:sparkline>
              <xm:f>Stok!I273:AP273</xm:f>
              <xm:sqref>A273</xm:sqref>
            </x14:sparkline>
            <x14:sparkline>
              <xm:f>Stok!I274:AP274</xm:f>
              <xm:sqref>A274</xm:sqref>
            </x14:sparkline>
            <x14:sparkline>
              <xm:f>Stok!I275:AP275</xm:f>
              <xm:sqref>A275</xm:sqref>
            </x14:sparkline>
            <x14:sparkline>
              <xm:f>Stok!I276:AP276</xm:f>
              <xm:sqref>A276</xm:sqref>
            </x14:sparkline>
            <x14:sparkline>
              <xm:f>Stok!I277:AP277</xm:f>
              <xm:sqref>A277</xm:sqref>
            </x14:sparkline>
            <x14:sparkline>
              <xm:f>Stok!I278:AP278</xm:f>
              <xm:sqref>A278</xm:sqref>
            </x14:sparkline>
            <x14:sparkline>
              <xm:f>Stok!I280:AP280</xm:f>
              <xm:sqref>A279</xm:sqref>
            </x14:sparkline>
            <x14:sparkline>
              <xm:f>Stok!I286:AP286</xm:f>
              <xm:sqref>A280</xm:sqref>
            </x14:sparkline>
            <x14:sparkline>
              <xm:f>Stok!I287:AP287</xm:f>
              <xm:sqref>A281</xm:sqref>
            </x14:sparkline>
            <x14:sparkline>
              <xm:f>Stok!I288:AP288</xm:f>
              <xm:sqref>A282</xm:sqref>
            </x14:sparkline>
            <x14:sparkline>
              <xm:f>Stok!I288:AP288</xm:f>
              <xm:sqref>A283</xm:sqref>
            </x14:sparkline>
            <x14:sparkline>
              <xm:f>Stok!I288:AP288</xm:f>
              <xm:sqref>A284</xm:sqref>
            </x14:sparkline>
            <x14:sparkline>
              <xm:f>Stok!I288:AP288</xm:f>
              <xm:sqref>A285</xm:sqref>
            </x14:sparkline>
            <x14:sparkline>
              <xm:f>Stok!I287:AP287</xm:f>
              <xm:sqref>A286</xm:sqref>
            </x14:sparkline>
            <x14:sparkline>
              <xm:f>Stok!I288:AP288</xm:f>
              <xm:sqref>A287</xm:sqref>
            </x14:sparkline>
            <x14:sparkline>
              <xm:f>Stok!I289:AP289</xm:f>
              <xm:sqref>A288</xm:sqref>
            </x14:sparkline>
            <x14:sparkline>
              <xm:f>Stok!I290:AP290</xm:f>
              <xm:sqref>A289</xm:sqref>
            </x14:sparkline>
            <x14:sparkline>
              <xm:f>Stok!I291:AP291</xm:f>
              <xm:sqref>A290</xm:sqref>
            </x14:sparkline>
            <x14:sparkline>
              <xm:f>Stok!I293:AP293</xm:f>
              <xm:sqref>A291</xm:sqref>
            </x14:sparkline>
            <x14:sparkline>
              <xm:f>Stok!I294:AP294</xm:f>
              <xm:sqref>A292</xm:sqref>
            </x14:sparkline>
            <x14:sparkline>
              <xm:f>Stok!I294:AP294</xm:f>
              <xm:sqref>A293</xm:sqref>
            </x14:sparkline>
            <x14:sparkline>
              <xm:f>Stok!I296:AP296</xm:f>
              <xm:sqref>A294</xm:sqref>
            </x14:sparkline>
            <x14:sparkline>
              <xm:f>Stok!I297:AP297</xm:f>
              <xm:sqref>A295</xm:sqref>
            </x14:sparkline>
            <x14:sparkline>
              <xm:f>Stok!I297:AP297</xm:f>
              <xm:sqref>A296</xm:sqref>
            </x14:sparkline>
            <x14:sparkline>
              <xm:f>Stok!I298:AP298</xm:f>
              <xm:sqref>A297</xm:sqref>
            </x14:sparkline>
            <x14:sparkline>
              <xm:f>Stok!I299:AP299</xm:f>
              <xm:sqref>A298</xm:sqref>
            </x14:sparkline>
            <x14:sparkline>
              <xm:f>Stok!I303:AP303</xm:f>
              <xm:sqref>A299</xm:sqref>
            </x14:sparkline>
            <x14:sparkline>
              <xm:f>Stok!I304:AP304</xm:f>
              <xm:sqref>A300</xm:sqref>
            </x14:sparkline>
            <x14:sparkline>
              <xm:f>Stok!I305:AP305</xm:f>
              <xm:sqref>A301</xm:sqref>
            </x14:sparkline>
            <x14:sparkline>
              <xm:f>Stok!I304:AP304</xm:f>
              <xm:sqref>A302</xm:sqref>
            </x14:sparkline>
            <x14:sparkline>
              <xm:f>Stok!I304:AP304</xm:f>
              <xm:sqref>A303</xm:sqref>
            </x14:sparkline>
            <x14:sparkline>
              <xm:f>Stok!I305:AP305</xm:f>
              <xm:sqref>A304</xm:sqref>
            </x14:sparkline>
            <x14:sparkline>
              <xm:f>Stok!I306:AP306</xm:f>
              <xm:sqref>A305</xm:sqref>
            </x14:sparkline>
            <x14:sparkline>
              <xm:f>Stok!I307:AP307</xm:f>
              <xm:sqref>A306</xm:sqref>
            </x14:sparkline>
            <x14:sparkline>
              <xm:sqref>A307</xm:sqref>
            </x14:sparkline>
            <x14:sparkline>
              <xm:f>Stok!I310:AP310</xm:f>
              <xm:sqref>A308</xm:sqref>
            </x14:sparkline>
            <x14:sparkline>
              <xm:f>Stok!I311:AP311</xm:f>
              <xm:sqref>A309</xm:sqref>
            </x14:sparkline>
            <x14:sparkline>
              <xm:f>Stok!I311:AP311</xm:f>
              <xm:sqref>A310</xm:sqref>
            </x14:sparkline>
            <x14:sparkline>
              <xm:f>Stok!I312:AP312</xm:f>
              <xm:sqref>A311</xm:sqref>
            </x14:sparkline>
            <x14:sparkline>
              <xm:f>Stok!I314:AP314</xm:f>
              <xm:sqref>A312</xm:sqref>
            </x14:sparkline>
            <x14:sparkline>
              <xm:f>Stok!I315:AP315</xm:f>
              <xm:sqref>A313</xm:sqref>
            </x14:sparkline>
            <x14:sparkline>
              <xm:f>Stok!I315:AP315</xm:f>
              <xm:sqref>A314</xm:sqref>
            </x14:sparkline>
            <x14:sparkline>
              <xm:f>Stok!I316:AP316</xm:f>
              <xm:sqref>A315</xm:sqref>
            </x14:sparkline>
            <x14:sparkline>
              <xm:f>Stok!I317:AP317</xm:f>
              <xm:sqref>A316</xm:sqref>
            </x14:sparkline>
            <x14:sparkline>
              <xm:f>Stok!I318:AP318</xm:f>
              <xm:sqref>A317</xm:sqref>
            </x14:sparkline>
            <x14:sparkline>
              <xm:f>Stok!I319:AP319</xm:f>
              <xm:sqref>A318</xm:sqref>
            </x14:sparkline>
            <x14:sparkline>
              <xm:f>Stok!I320:AP320</xm:f>
              <xm:sqref>A319</xm:sqref>
            </x14:sparkline>
            <x14:sparkline>
              <xm:f>Stok!I321:AP321</xm:f>
              <xm:sqref>A320</xm:sqref>
            </x14:sparkline>
            <x14:sparkline>
              <xm:sqref>A321</xm:sqref>
            </x14:sparkline>
            <x14:sparkline>
              <xm:f>Stok!I323:AP323</xm:f>
              <xm:sqref>A322</xm:sqref>
            </x14:sparkline>
            <x14:sparkline>
              <xm:f>Stok!I324:AP324</xm:f>
              <xm:sqref>A323</xm:sqref>
            </x14:sparkline>
            <x14:sparkline>
              <xm:f>Stok!I325:AP325</xm:f>
              <xm:sqref>A324</xm:sqref>
            </x14:sparkline>
            <x14:sparkline>
              <xm:f>Stok!I326:AP326</xm:f>
              <xm:sqref>A325</xm:sqref>
            </x14:sparkline>
            <x14:sparkline>
              <xm:f>Stok!I327:AP327</xm:f>
              <xm:sqref>A326</xm:sqref>
            </x14:sparkline>
            <x14:sparkline>
              <xm:f>Stok!I328:AP328</xm:f>
              <xm:sqref>A327</xm:sqref>
            </x14:sparkline>
            <x14:sparkline>
              <xm:f>Stok!I329:AP329</xm:f>
              <xm:sqref>A328</xm:sqref>
            </x14:sparkline>
            <x14:sparkline>
              <xm:f>Stok!I330:AP330</xm:f>
              <xm:sqref>A329</xm:sqref>
            </x14:sparkline>
            <x14:sparkline>
              <xm:f>Stok!I331:AP331</xm:f>
              <xm:sqref>A330</xm:sqref>
            </x14:sparkline>
            <x14:sparkline>
              <xm:f>Stok!I337:AP337</xm:f>
              <xm:sqref>A331</xm:sqref>
            </x14:sparkline>
            <x14:sparkline>
              <xm:f>Stok!I338:AP338</xm:f>
              <xm:sqref>A332</xm:sqref>
            </x14:sparkline>
            <x14:sparkline>
              <xm:f>Stok!I338:AP338</xm:f>
              <xm:sqref>A333</xm:sqref>
            </x14:sparkline>
            <x14:sparkline>
              <xm:f>Stok!I338:AP338</xm:f>
              <xm:sqref>A334</xm:sqref>
            </x14:sparkline>
            <x14:sparkline>
              <xm:f>Stok!I338:AP338</xm:f>
              <xm:sqref>A335</xm:sqref>
            </x14:sparkline>
            <x14:sparkline>
              <xm:f>Stok!I338:AP338</xm:f>
              <xm:sqref>A336</xm:sqref>
            </x14:sparkline>
            <x14:sparkline>
              <xm:f>Stok!I338:AP338</xm:f>
              <xm:sqref>A337</xm:sqref>
            </x14:sparkline>
            <x14:sparkline>
              <xm:f>Stok!I339:AP339</xm:f>
              <xm:sqref>A338</xm:sqref>
            </x14:sparkline>
            <x14:sparkline>
              <xm:f>Stok!I340:AP340</xm:f>
              <xm:sqref>A339</xm:sqref>
            </x14:sparkline>
            <x14:sparkline>
              <xm:f>Stok!I341:AP341</xm:f>
              <xm:sqref>A340</xm:sqref>
            </x14:sparkline>
            <x14:sparkline>
              <xm:f>Stok!I344:AP344</xm:f>
              <xm:sqref>A341</xm:sqref>
            </x14:sparkline>
            <x14:sparkline>
              <xm:f>Stok!I345:AP345</xm:f>
              <xm:sqref>A342</xm:sqref>
            </x14:sparkline>
            <x14:sparkline>
              <xm:f>Stok!I345:AP345</xm:f>
              <xm:sqref>A343</xm:sqref>
            </x14:sparkline>
            <x14:sparkline>
              <xm:f>Stok!I346:AP346</xm:f>
              <xm:sqref>A344</xm:sqref>
            </x14:sparkline>
            <x14:sparkline>
              <xm:f>Stok!I347:AP347</xm:f>
              <xm:sqref>A345</xm:sqref>
            </x14:sparkline>
            <x14:sparkline>
              <xm:f>Stok!I347:AP347</xm:f>
              <xm:sqref>A346</xm:sqref>
            </x14:sparkline>
            <x14:sparkline>
              <xm:f>Stok!I348:AP348</xm:f>
              <xm:sqref>A347</xm:sqref>
            </x14:sparkline>
            <x14:sparkline>
              <xm:f>Stok!I351:AP351</xm:f>
              <xm:sqref>A348</xm:sqref>
            </x14:sparkline>
            <x14:sparkline>
              <xm:f>Stok!I352:AP352</xm:f>
              <xm:sqref>A349</xm:sqref>
            </x14:sparkline>
            <x14:sparkline>
              <xm:f>Stok!I353:AP353</xm:f>
              <xm:sqref>A350</xm:sqref>
            </x14:sparkline>
            <x14:sparkline>
              <xm:f>Stok!I352:AP352</xm:f>
              <xm:sqref>A351</xm:sqref>
            </x14:sparkline>
            <x14:sparkline>
              <xm:f>Stok!I353:AP353</xm:f>
              <xm:sqref>A352</xm:sqref>
            </x14:sparkline>
            <x14:sparkline>
              <xm:f>Stok!I354:AP354</xm:f>
              <xm:sqref>A353</xm:sqref>
            </x14:sparkline>
            <x14:sparkline>
              <xm:f>Stok!I355:AP355</xm:f>
              <xm:sqref>A354</xm:sqref>
            </x14:sparkline>
            <x14:sparkline>
              <xm:f>Stok!I357:AP357</xm:f>
              <xm:sqref>A355</xm:sqref>
            </x14:sparkline>
            <x14:sparkline>
              <xm:f>Stok!I359:AP359</xm:f>
              <xm:sqref>A356</xm:sqref>
            </x14:sparkline>
            <x14:sparkline>
              <xm:f>Stok!I360:AP360</xm:f>
              <xm:sqref>A357</xm:sqref>
            </x14:sparkline>
            <x14:sparkline>
              <xm:f>Stok!I361:AP361</xm:f>
              <xm:sqref>A358</xm:sqref>
            </x14:sparkline>
            <x14:sparkline>
              <xm:f>Stok!I361:AP361</xm:f>
              <xm:sqref>A359</xm:sqref>
            </x14:sparkline>
            <x14:sparkline>
              <xm:f>Stok!I361:AP361</xm:f>
              <xm:sqref>A360</xm:sqref>
            </x14:sparkline>
            <x14:sparkline>
              <xm:f>Stok!I362:AP362</xm:f>
              <xm:sqref>A361</xm:sqref>
            </x14:sparkline>
            <x14:sparkline>
              <xm:f>Stok!I363:AP363</xm:f>
              <xm:sqref>A362</xm:sqref>
            </x14:sparkline>
            <x14:sparkline>
              <xm:f>Stok!I364:AP364</xm:f>
              <xm:sqref>A363</xm:sqref>
            </x14:sparkline>
            <x14:sparkline>
              <xm:f>Stok!I365:AP365</xm:f>
              <xm:sqref>A364</xm:sqref>
            </x14:sparkline>
            <x14:sparkline>
              <xm:f>Stok!I366:AP366</xm:f>
              <xm:sqref>A365</xm:sqref>
            </x14:sparkline>
            <x14:sparkline>
              <xm:f>Stok!I368:AP368</xm:f>
              <xm:sqref>A366</xm:sqref>
            </x14:sparkline>
            <x14:sparkline>
              <xm:f>Stok!I369:AP369</xm:f>
              <xm:sqref>A367</xm:sqref>
            </x14:sparkline>
            <x14:sparkline>
              <xm:f>Stok!I369:AP369</xm:f>
              <xm:sqref>A368</xm:sqref>
            </x14:sparkline>
            <x14:sparkline>
              <xm:f>Stok!I370:AP370</xm:f>
              <xm:sqref>A369</xm:sqref>
            </x14:sparkline>
            <x14:sparkline>
              <xm:f>Stok!I371:AP371</xm:f>
              <xm:sqref>A370</xm:sqref>
            </x14:sparkline>
            <x14:sparkline>
              <xm:f>Stok!I372:AP372</xm:f>
              <xm:sqref>A371</xm:sqref>
            </x14:sparkline>
            <x14:sparkline>
              <xm:f>Stok!I373:AP373</xm:f>
              <xm:sqref>A372</xm:sqref>
            </x14:sparkline>
            <x14:sparkline>
              <xm:f>Stok!I374:AP374</xm:f>
              <xm:sqref>A373</xm:sqref>
            </x14:sparkline>
            <x14:sparkline>
              <xm:f>Stok!I375:AP375</xm:f>
              <xm:sqref>A374</xm:sqref>
            </x14:sparkline>
            <x14:sparkline>
              <xm:f>Stok!I376:AP376</xm:f>
              <xm:sqref>A375</xm:sqref>
            </x14:sparkline>
            <x14:sparkline>
              <xm:f>Stok!I378:AP378</xm:f>
              <xm:sqref>A376</xm:sqref>
            </x14:sparkline>
            <x14:sparkline>
              <xm:f>Stok!I380:AP380</xm:f>
              <xm:sqref>A377</xm:sqref>
            </x14:sparkline>
            <x14:sparkline>
              <xm:f>Stok!I380:AP380</xm:f>
              <xm:sqref>A378</xm:sqref>
            </x14:sparkline>
            <x14:sparkline>
              <xm:f>Stok!I381:AP381</xm:f>
              <xm:sqref>A379</xm:sqref>
            </x14:sparkline>
            <x14:sparkline>
              <xm:f>Stok!I381:AP381</xm:f>
              <xm:sqref>A380</xm:sqref>
            </x14:sparkline>
            <x14:sparkline>
              <xm:f>Stok!I382:AP382</xm:f>
              <xm:sqref>A381</xm:sqref>
            </x14:sparkline>
            <x14:sparkline>
              <xm:f>Stok!I383:AP383</xm:f>
              <xm:sqref>A382</xm:sqref>
            </x14:sparkline>
            <x14:sparkline>
              <xm:f>Stok!I384:AP384</xm:f>
              <xm:sqref>A383</xm:sqref>
            </x14:sparkline>
            <x14:sparkline>
              <xm:f>Stok!I385:AP385</xm:f>
              <xm:sqref>A384</xm:sqref>
            </x14:sparkline>
            <x14:sparkline>
              <xm:f>Stok!I386:AP386</xm:f>
              <xm:sqref>A385</xm:sqref>
            </x14:sparkline>
            <x14:sparkline>
              <xm:f>Stok!I387:AP387</xm:f>
              <xm:sqref>A386</xm:sqref>
            </x14:sparkline>
            <x14:sparkline>
              <xm:f>Stok!I389:AP389</xm:f>
              <xm:sqref>A387</xm:sqref>
            </x14:sparkline>
            <x14:sparkline>
              <xm:f>Stok!I391:AP391</xm:f>
              <xm:sqref>A388</xm:sqref>
            </x14:sparkline>
            <x14:sparkline>
              <xm:sqref>A389</xm:sqref>
            </x14:sparkline>
            <x14:sparkline>
              <xm:sqref>A390</xm:sqref>
            </x14:sparkline>
            <x14:sparkline>
              <xm:f>Stok!I394:AP394</xm:f>
              <xm:sqref>A391</xm:sqref>
            </x14:sparkline>
            <x14:sparkline>
              <xm:f>Stok!I395:AP395</xm:f>
              <xm:sqref>A392</xm:sqref>
            </x14:sparkline>
            <x14:sparkline>
              <xm:f>Stok!I396:AP396</xm:f>
              <xm:sqref>A393</xm:sqref>
            </x14:sparkline>
            <x14:sparkline>
              <xm:f>Stok!I396:AP396</xm:f>
              <xm:sqref>A394</xm:sqref>
            </x14:sparkline>
            <x14:sparkline>
              <xm:f>Stok!I397:AP397</xm:f>
              <xm:sqref>A395</xm:sqref>
            </x14:sparkline>
            <x14:sparkline>
              <xm:f>Stok!I398:AP398</xm:f>
              <xm:sqref>A396</xm:sqref>
            </x14:sparkline>
            <x14:sparkline>
              <xm:f>Stok!I399:AP399</xm:f>
              <xm:sqref>A397</xm:sqref>
            </x14:sparkline>
            <x14:sparkline>
              <xm:f>Stok!I400:AP400</xm:f>
              <xm:sqref>A398</xm:sqref>
            </x14:sparkline>
            <x14:sparkline>
              <xm:f>Stok!I401:AP401</xm:f>
              <xm:sqref>A399</xm:sqref>
            </x14:sparkline>
            <x14:sparkline>
              <xm:f>Stok!I402:AP402</xm:f>
              <xm:sqref>A400</xm:sqref>
            </x14:sparkline>
            <x14:sparkline>
              <xm:f>Stok!I403:AP403</xm:f>
              <xm:sqref>A401</xm:sqref>
            </x14:sparkline>
            <x14:sparkline>
              <xm:f>Stok!I404:AP404</xm:f>
              <xm:sqref>A402</xm:sqref>
            </x14:sparkline>
            <x14:sparkline>
              <xm:f>Stok!I406:AP406</xm:f>
              <xm:sqref>A403</xm:sqref>
            </x14:sparkline>
            <x14:sparkline>
              <xm:f>Stok!I407:AP407</xm:f>
              <xm:sqref>A404</xm:sqref>
            </x14:sparkline>
            <x14:sparkline>
              <xm:f>Stok!I407:AP407</xm:f>
              <xm:sqref>A405</xm:sqref>
            </x14:sparkline>
            <x14:sparkline>
              <xm:f>Stok!I408:AP408</xm:f>
              <xm:sqref>A406</xm:sqref>
            </x14:sparkline>
            <x14:sparkline>
              <xm:f>Stok!I409:AP409</xm:f>
              <xm:sqref>A407</xm:sqref>
            </x14:sparkline>
            <x14:sparkline>
              <xm:f>Stok!I410:AP410</xm:f>
              <xm:sqref>A408</xm:sqref>
            </x14:sparkline>
            <x14:sparkline>
              <xm:f>Stok!I411:AP411</xm:f>
              <xm:sqref>A409</xm:sqref>
            </x14:sparkline>
            <x14:sparkline>
              <xm:f>Stok!I412:AP412</xm:f>
              <xm:sqref>A410</xm:sqref>
            </x14:sparkline>
            <x14:sparkline>
              <xm:f>Stok!I413:AP413</xm:f>
              <xm:sqref>A411</xm:sqref>
            </x14:sparkline>
            <x14:sparkline>
              <xm:f>Stok!I414:AP414</xm:f>
              <xm:sqref>A412</xm:sqref>
            </x14:sparkline>
            <x14:sparkline>
              <xm:f>Stok!I415:AP415</xm:f>
              <xm:sqref>A413</xm:sqref>
            </x14:sparkline>
            <x14:sparkline>
              <xm:f>Stok!I416:AP416</xm:f>
              <xm:sqref>A414</xm:sqref>
            </x14:sparkline>
            <x14:sparkline>
              <xm:f>Stok!I417:AP417</xm:f>
              <xm:sqref>A415</xm:sqref>
            </x14:sparkline>
            <x14:sparkline>
              <xm:f>Stok!I418:AP418</xm:f>
              <xm:sqref>A416</xm:sqref>
            </x14:sparkline>
            <x14:sparkline>
              <xm:f>Stok!I419:AP419</xm:f>
              <xm:sqref>A417</xm:sqref>
            </x14:sparkline>
            <x14:sparkline>
              <xm:f>Stok!I420:AP420</xm:f>
              <xm:sqref>A418</xm:sqref>
            </x14:sparkline>
            <x14:sparkline>
              <xm:f>Stok!I422:AP422</xm:f>
              <xm:sqref>A419</xm:sqref>
            </x14:sparkline>
            <x14:sparkline>
              <xm:f>Stok!I423:AP423</xm:f>
              <xm:sqref>A420</xm:sqref>
            </x14:sparkline>
            <x14:sparkline>
              <xm:f>Stok!I424:AP424</xm:f>
              <xm:sqref>A421</xm:sqref>
            </x14:sparkline>
            <x14:sparkline>
              <xm:f>Stok!I424:AP424</xm:f>
              <xm:sqref>A422</xm:sqref>
            </x14:sparkline>
            <x14:sparkline>
              <xm:f>Stok!I425:AP425</xm:f>
              <xm:sqref>A423</xm:sqref>
            </x14:sparkline>
            <x14:sparkline>
              <xm:f>Stok!I426:AP426</xm:f>
              <xm:sqref>A424</xm:sqref>
            </x14:sparkline>
            <x14:sparkline>
              <xm:f>Stok!I427:AP427</xm:f>
              <xm:sqref>A425</xm:sqref>
            </x14:sparkline>
            <x14:sparkline>
              <xm:f>Stok!I429:AP429</xm:f>
              <xm:sqref>A426</xm:sqref>
            </x14:sparkline>
            <x14:sparkline>
              <xm:f>Stok!I431:AP431</xm:f>
              <xm:sqref>A427</xm:sqref>
            </x14:sparkline>
            <x14:sparkline>
              <xm:f>Stok!I432:AP432</xm:f>
              <xm:sqref>A428</xm:sqref>
            </x14:sparkline>
            <x14:sparkline>
              <xm:f>Stok!I432:AP432</xm:f>
              <xm:sqref>A429</xm:sqref>
            </x14:sparkline>
            <x14:sparkline>
              <xm:f>Stok!I432:AP432</xm:f>
              <xm:sqref>A430</xm:sqref>
            </x14:sparkline>
            <x14:sparkline>
              <xm:f>Stok!I433:AP433</xm:f>
              <xm:sqref>A431</xm:sqref>
            </x14:sparkline>
            <x14:sparkline>
              <xm:f>Stok!I434:AP434</xm:f>
              <xm:sqref>A432</xm:sqref>
            </x14:sparkline>
            <x14:sparkline>
              <xm:f>Stok!I435:AP435</xm:f>
              <xm:sqref>A433</xm:sqref>
            </x14:sparkline>
            <x14:sparkline>
              <xm:f>Stok!I436:AP436</xm:f>
              <xm:sqref>A434</xm:sqref>
            </x14:sparkline>
            <x14:sparkline>
              <xm:f>Stok!I437:AP437</xm:f>
              <xm:sqref>A435</xm:sqref>
            </x14:sparkline>
            <x14:sparkline>
              <xm:f>Stok!I438:AP438</xm:f>
              <xm:sqref>A436</xm:sqref>
            </x14:sparkline>
            <x14:sparkline>
              <xm:f>Stok!I439:AP439</xm:f>
              <xm:sqref>A437</xm:sqref>
            </x14:sparkline>
            <x14:sparkline>
              <xm:f>Stok!I440:AP440</xm:f>
              <xm:sqref>A438</xm:sqref>
            </x14:sparkline>
            <x14:sparkline>
              <xm:f>Stok!I442:AP442</xm:f>
              <xm:sqref>A439</xm:sqref>
            </x14:sparkline>
            <x14:sparkline>
              <xm:f>Stok!I444:AP444</xm:f>
              <xm:sqref>A440</xm:sqref>
            </x14:sparkline>
            <x14:sparkline>
              <xm:f>Stok!I445:AP445</xm:f>
              <xm:sqref>A441</xm:sqref>
            </x14:sparkline>
            <x14:sparkline>
              <xm:f>Stok!I445:AP445</xm:f>
              <xm:sqref>A442</xm:sqref>
            </x14:sparkline>
            <x14:sparkline>
              <xm:f>Stok!I445:AP445</xm:f>
              <xm:sqref>A443</xm:sqref>
            </x14:sparkline>
            <x14:sparkline>
              <xm:f>Stok!I446:AP446</xm:f>
              <xm:sqref>A444</xm:sqref>
            </x14:sparkline>
            <x14:sparkline>
              <xm:sqref>A445</xm:sqref>
            </x14:sparkline>
            <x14:sparkline>
              <xm:sqref>A446</xm:sqref>
            </x14:sparkline>
          </x14:sparklines>
        </x14:sparklineGroup>
      </x14:sparklineGroup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E6EB9-48C6-4572-88B4-60E25965280B}">
  <sheetPr codeName="Sayfa3"/>
  <dimension ref="A1:L72"/>
  <sheetViews>
    <sheetView zoomScale="85" zoomScaleNormal="85" workbookViewId="0">
      <pane ySplit="1" topLeftCell="A40" activePane="bottomLeft" state="frozenSplit"/>
      <selection activeCell="C1" sqref="C1"/>
      <selection pane="bottomLeft" activeCell="A54" sqref="A54"/>
    </sheetView>
  </sheetViews>
  <sheetFormatPr defaultRowHeight="14.85" x14ac:dyDescent="0.35"/>
  <cols>
    <col min="1" max="1" width="22.54296875" style="36" bestFit="1" customWidth="1"/>
    <col min="2" max="2" width="54.36328125" style="6" customWidth="1"/>
    <col min="3" max="3" width="13.90625" style="37" customWidth="1"/>
    <col min="4" max="4" width="15.36328125" style="37" hidden="1" customWidth="1"/>
    <col min="5" max="5" width="15" style="37" hidden="1" customWidth="1"/>
    <col min="6" max="6" width="10.81640625" style="37" customWidth="1"/>
    <col min="7" max="7" width="12.36328125" style="38" customWidth="1"/>
    <col min="8" max="8" width="10.453125" style="37" customWidth="1"/>
    <col min="9" max="9" width="28.36328125" style="37" customWidth="1"/>
    <col min="10" max="10" width="55.54296875" style="36" bestFit="1" customWidth="1"/>
    <col min="11" max="11" width="10.08984375" style="13" customWidth="1"/>
    <col min="12" max="12" width="15.36328125" style="13" bestFit="1" customWidth="1"/>
    <col min="13" max="16384" width="8.7265625" style="39"/>
  </cols>
  <sheetData>
    <row r="1" spans="1:12" s="6" customFormat="1" ht="26.55" x14ac:dyDescent="0.35">
      <c r="A1" s="1" t="s">
        <v>1</v>
      </c>
      <c r="B1" s="2" t="s">
        <v>2</v>
      </c>
      <c r="C1" s="3" t="s">
        <v>3</v>
      </c>
      <c r="D1" s="3" t="s">
        <v>4</v>
      </c>
      <c r="E1" s="3" t="s">
        <v>5</v>
      </c>
      <c r="F1" s="3" t="s">
        <v>6</v>
      </c>
      <c r="G1" s="4" t="s">
        <v>33</v>
      </c>
      <c r="H1" s="3" t="s">
        <v>8</v>
      </c>
      <c r="I1" s="3" t="s">
        <v>9</v>
      </c>
      <c r="J1" s="3" t="s">
        <v>10</v>
      </c>
      <c r="K1" s="2" t="s">
        <v>11</v>
      </c>
      <c r="L1" s="2" t="s">
        <v>12</v>
      </c>
    </row>
    <row r="2" spans="1:12" s="13" customFormat="1" ht="13.3" x14ac:dyDescent="0.35">
      <c r="A2" s="8" t="s">
        <v>749</v>
      </c>
      <c r="B2" s="9" t="s">
        <v>750</v>
      </c>
      <c r="C2" s="10" t="s">
        <v>104</v>
      </c>
      <c r="D2" s="10">
        <v>1002</v>
      </c>
      <c r="E2" s="10" t="s">
        <v>40</v>
      </c>
      <c r="F2" s="10" t="s">
        <v>41</v>
      </c>
      <c r="G2" s="11">
        <v>1</v>
      </c>
      <c r="H2" s="10"/>
      <c r="I2" s="10" t="s">
        <v>751</v>
      </c>
      <c r="J2" s="8"/>
      <c r="K2" s="12"/>
      <c r="L2" s="12"/>
    </row>
    <row r="3" spans="1:12" s="13" customFormat="1" ht="13.3" x14ac:dyDescent="0.35">
      <c r="A3" s="8" t="s">
        <v>752</v>
      </c>
      <c r="B3" s="9" t="s">
        <v>753</v>
      </c>
      <c r="C3" s="10" t="s">
        <v>104</v>
      </c>
      <c r="D3" s="10">
        <v>1002</v>
      </c>
      <c r="E3" s="10" t="s">
        <v>40</v>
      </c>
      <c r="F3" s="10" t="s">
        <v>41</v>
      </c>
      <c r="G3" s="11">
        <v>2</v>
      </c>
      <c r="H3" s="10"/>
      <c r="I3" s="10" t="s">
        <v>526</v>
      </c>
      <c r="J3" s="8"/>
      <c r="K3" s="12"/>
      <c r="L3" s="12"/>
    </row>
    <row r="4" spans="1:12" s="13" customFormat="1" ht="13.3" x14ac:dyDescent="0.35">
      <c r="A4" s="8" t="s">
        <v>754</v>
      </c>
      <c r="B4" s="9" t="s">
        <v>755</v>
      </c>
      <c r="C4" s="10" t="s">
        <v>104</v>
      </c>
      <c r="D4" s="10">
        <v>1002</v>
      </c>
      <c r="E4" s="10" t="s">
        <v>40</v>
      </c>
      <c r="F4" s="10" t="s">
        <v>41</v>
      </c>
      <c r="G4" s="11">
        <v>1</v>
      </c>
      <c r="H4" s="10"/>
      <c r="I4" s="10" t="s">
        <v>751</v>
      </c>
      <c r="J4" s="8"/>
      <c r="K4" s="12"/>
      <c r="L4" s="12"/>
    </row>
    <row r="5" spans="1:12" s="13" customFormat="1" ht="13.3" x14ac:dyDescent="0.35">
      <c r="A5" s="9" t="s">
        <v>756</v>
      </c>
      <c r="B5" s="9" t="s">
        <v>757</v>
      </c>
      <c r="C5" s="10" t="s">
        <v>513</v>
      </c>
      <c r="D5" s="10"/>
      <c r="E5" s="10" t="s">
        <v>40</v>
      </c>
      <c r="F5" s="10" t="s">
        <v>41</v>
      </c>
      <c r="G5" s="11">
        <v>3</v>
      </c>
      <c r="H5" s="10"/>
      <c r="I5" s="10" t="s">
        <v>526</v>
      </c>
      <c r="J5" s="8"/>
      <c r="K5" s="12"/>
      <c r="L5" s="12"/>
    </row>
    <row r="6" spans="1:12" s="13" customFormat="1" ht="13.3" x14ac:dyDescent="0.35">
      <c r="A6" s="8" t="s">
        <v>758</v>
      </c>
      <c r="B6" s="9" t="s">
        <v>759</v>
      </c>
      <c r="C6" s="10" t="s">
        <v>594</v>
      </c>
      <c r="D6" s="10">
        <v>1002</v>
      </c>
      <c r="E6" s="10" t="s">
        <v>40</v>
      </c>
      <c r="F6" s="10" t="s">
        <v>41</v>
      </c>
      <c r="G6" s="11">
        <v>1</v>
      </c>
      <c r="H6" s="10"/>
      <c r="I6" s="10" t="s">
        <v>526</v>
      </c>
      <c r="J6" s="8"/>
      <c r="K6" s="12"/>
      <c r="L6" s="12"/>
    </row>
    <row r="7" spans="1:12" x14ac:dyDescent="0.35">
      <c r="A7" s="8" t="s">
        <v>760</v>
      </c>
      <c r="B7" s="9" t="s">
        <v>761</v>
      </c>
      <c r="C7" s="10" t="s">
        <v>104</v>
      </c>
      <c r="D7" s="10"/>
      <c r="E7" s="10" t="s">
        <v>40</v>
      </c>
      <c r="F7" s="10" t="s">
        <v>41</v>
      </c>
      <c r="G7" s="11">
        <v>1</v>
      </c>
      <c r="H7" s="10"/>
      <c r="I7" s="10" t="s">
        <v>526</v>
      </c>
      <c r="J7" s="8"/>
      <c r="K7" s="7"/>
      <c r="L7" s="12"/>
    </row>
    <row r="8" spans="1:12" s="13" customFormat="1" ht="13.3" x14ac:dyDescent="0.35">
      <c r="A8" s="8" t="s">
        <v>762</v>
      </c>
      <c r="B8" s="9" t="s">
        <v>763</v>
      </c>
      <c r="C8" s="10" t="s">
        <v>764</v>
      </c>
      <c r="D8" s="10">
        <v>1002</v>
      </c>
      <c r="E8" s="10" t="s">
        <v>40</v>
      </c>
      <c r="F8" s="10" t="s">
        <v>41</v>
      </c>
      <c r="G8" s="11">
        <v>1</v>
      </c>
      <c r="H8" s="10"/>
      <c r="I8" s="10" t="s">
        <v>526</v>
      </c>
      <c r="J8" s="8" t="s">
        <v>765</v>
      </c>
      <c r="K8" s="12"/>
      <c r="L8" s="12"/>
    </row>
    <row r="9" spans="1:12" s="13" customFormat="1" ht="13.3" x14ac:dyDescent="0.35">
      <c r="A9" s="8" t="s">
        <v>766</v>
      </c>
      <c r="B9" s="9" t="s">
        <v>767</v>
      </c>
      <c r="C9" s="10" t="s">
        <v>764</v>
      </c>
      <c r="D9" s="10">
        <v>1002</v>
      </c>
      <c r="E9" s="10" t="s">
        <v>40</v>
      </c>
      <c r="F9" s="10" t="s">
        <v>41</v>
      </c>
      <c r="G9" s="11">
        <v>2</v>
      </c>
      <c r="H9" s="10"/>
      <c r="I9" s="10" t="s">
        <v>526</v>
      </c>
      <c r="J9" s="8" t="s">
        <v>765</v>
      </c>
      <c r="K9" s="12"/>
      <c r="L9" s="12"/>
    </row>
    <row r="10" spans="1:12" s="13" customFormat="1" ht="13.3" x14ac:dyDescent="0.35">
      <c r="A10" s="8" t="s">
        <v>768</v>
      </c>
      <c r="B10" s="9" t="s">
        <v>769</v>
      </c>
      <c r="C10" s="10" t="s">
        <v>770</v>
      </c>
      <c r="D10" s="10">
        <v>1002</v>
      </c>
      <c r="E10" s="10" t="s">
        <v>40</v>
      </c>
      <c r="F10" s="10" t="s">
        <v>41</v>
      </c>
      <c r="G10" s="11">
        <v>1</v>
      </c>
      <c r="H10" s="10"/>
      <c r="I10" s="10" t="s">
        <v>526</v>
      </c>
      <c r="J10" s="8"/>
      <c r="K10" s="12"/>
      <c r="L10" s="12"/>
    </row>
    <row r="11" spans="1:12" x14ac:dyDescent="0.35">
      <c r="A11" s="8" t="s">
        <v>771</v>
      </c>
      <c r="B11" s="9" t="s">
        <v>772</v>
      </c>
      <c r="C11" s="10" t="s">
        <v>773</v>
      </c>
      <c r="D11" s="10"/>
      <c r="E11" s="10" t="s">
        <v>40</v>
      </c>
      <c r="F11" s="10" t="s">
        <v>41</v>
      </c>
      <c r="G11" s="11">
        <v>1</v>
      </c>
      <c r="H11" s="10"/>
      <c r="I11" s="10" t="s">
        <v>526</v>
      </c>
      <c r="J11" s="8"/>
      <c r="K11" s="7"/>
      <c r="L11" s="12"/>
    </row>
    <row r="12" spans="1:12" x14ac:dyDescent="0.35">
      <c r="A12" s="40" t="s">
        <v>774</v>
      </c>
      <c r="B12" s="9" t="s">
        <v>775</v>
      </c>
      <c r="C12" s="10" t="s">
        <v>104</v>
      </c>
      <c r="D12" s="10"/>
      <c r="E12" s="10" t="s">
        <v>40</v>
      </c>
      <c r="F12" s="10" t="s">
        <v>41</v>
      </c>
      <c r="G12" s="11">
        <v>3</v>
      </c>
      <c r="H12" s="10"/>
      <c r="I12" s="10" t="s">
        <v>526</v>
      </c>
      <c r="J12" s="8"/>
      <c r="K12" s="7"/>
      <c r="L12" s="12"/>
    </row>
    <row r="13" spans="1:12" x14ac:dyDescent="0.35">
      <c r="A13" s="8" t="s">
        <v>776</v>
      </c>
      <c r="B13" s="9" t="s">
        <v>777</v>
      </c>
      <c r="C13" s="10" t="s">
        <v>778</v>
      </c>
      <c r="D13" s="10"/>
      <c r="E13" s="10" t="s">
        <v>40</v>
      </c>
      <c r="F13" s="10" t="s">
        <v>41</v>
      </c>
      <c r="G13" s="11">
        <v>1</v>
      </c>
      <c r="H13" s="10"/>
      <c r="I13" s="10" t="s">
        <v>53</v>
      </c>
      <c r="J13" s="8"/>
      <c r="K13" s="7"/>
      <c r="L13" s="12"/>
    </row>
    <row r="14" spans="1:12" x14ac:dyDescent="0.35">
      <c r="A14" s="8" t="s">
        <v>779</v>
      </c>
      <c r="B14" s="9" t="s">
        <v>780</v>
      </c>
      <c r="C14" s="10" t="s">
        <v>781</v>
      </c>
      <c r="D14" s="10"/>
      <c r="E14" s="10" t="s">
        <v>40</v>
      </c>
      <c r="F14" s="10" t="s">
        <v>41</v>
      </c>
      <c r="G14" s="11">
        <v>1</v>
      </c>
      <c r="H14" s="10"/>
      <c r="I14" s="10" t="s">
        <v>526</v>
      </c>
      <c r="J14" s="8"/>
      <c r="K14" s="7"/>
      <c r="L14" s="12"/>
    </row>
    <row r="15" spans="1:12" s="13" customFormat="1" ht="13.3" x14ac:dyDescent="0.35">
      <c r="A15" s="8" t="s">
        <v>782</v>
      </c>
      <c r="B15" s="9" t="s">
        <v>783</v>
      </c>
      <c r="C15" s="10" t="s">
        <v>784</v>
      </c>
      <c r="D15" s="10">
        <v>1002</v>
      </c>
      <c r="E15" s="10" t="s">
        <v>40</v>
      </c>
      <c r="F15" s="10" t="s">
        <v>41</v>
      </c>
      <c r="G15" s="11">
        <v>1</v>
      </c>
      <c r="H15" s="10"/>
      <c r="I15" s="10" t="s">
        <v>566</v>
      </c>
      <c r="J15" s="8"/>
      <c r="K15" s="12"/>
      <c r="L15" s="7"/>
    </row>
    <row r="16" spans="1:12" s="13" customFormat="1" ht="13.3" x14ac:dyDescent="0.35">
      <c r="A16" s="8" t="s">
        <v>785</v>
      </c>
      <c r="B16" s="9" t="s">
        <v>786</v>
      </c>
      <c r="C16" s="10" t="s">
        <v>787</v>
      </c>
      <c r="D16" s="10">
        <v>1002</v>
      </c>
      <c r="E16" s="10" t="s">
        <v>40</v>
      </c>
      <c r="F16" s="10" t="s">
        <v>41</v>
      </c>
      <c r="G16" s="11">
        <v>1</v>
      </c>
      <c r="H16" s="10"/>
      <c r="I16" s="10" t="s">
        <v>526</v>
      </c>
      <c r="J16" s="8"/>
      <c r="K16" s="12"/>
      <c r="L16" s="12"/>
    </row>
    <row r="17" spans="1:12" s="13" customFormat="1" ht="13.3" x14ac:dyDescent="0.35">
      <c r="A17" s="8" t="s">
        <v>788</v>
      </c>
      <c r="B17" s="9" t="s">
        <v>789</v>
      </c>
      <c r="C17" s="10" t="s">
        <v>790</v>
      </c>
      <c r="D17" s="10">
        <v>1002</v>
      </c>
      <c r="E17" s="10" t="s">
        <v>40</v>
      </c>
      <c r="F17" s="10" t="s">
        <v>41</v>
      </c>
      <c r="G17" s="11">
        <v>1</v>
      </c>
      <c r="H17" s="10"/>
      <c r="I17" s="10" t="s">
        <v>526</v>
      </c>
      <c r="J17" s="8"/>
      <c r="K17" s="12"/>
      <c r="L17" s="12"/>
    </row>
    <row r="18" spans="1:12" s="13" customFormat="1" ht="13.3" x14ac:dyDescent="0.35">
      <c r="A18" s="8" t="s">
        <v>791</v>
      </c>
      <c r="B18" s="9" t="s">
        <v>792</v>
      </c>
      <c r="C18" s="10" t="s">
        <v>104</v>
      </c>
      <c r="D18" s="10">
        <v>1002</v>
      </c>
      <c r="E18" s="10" t="s">
        <v>40</v>
      </c>
      <c r="F18" s="10" t="s">
        <v>41</v>
      </c>
      <c r="G18" s="11">
        <v>1</v>
      </c>
      <c r="H18" s="10"/>
      <c r="I18" s="10" t="s">
        <v>526</v>
      </c>
      <c r="J18" s="8"/>
      <c r="K18" s="12"/>
      <c r="L18" s="12"/>
    </row>
    <row r="19" spans="1:12" x14ac:dyDescent="0.35">
      <c r="A19" s="8" t="s">
        <v>793</v>
      </c>
      <c r="B19" s="9" t="s">
        <v>794</v>
      </c>
      <c r="C19" s="10" t="s">
        <v>104</v>
      </c>
      <c r="D19" s="10"/>
      <c r="E19" s="10" t="s">
        <v>40</v>
      </c>
      <c r="F19" s="10" t="s">
        <v>41</v>
      </c>
      <c r="G19" s="11">
        <v>2</v>
      </c>
      <c r="H19" s="10"/>
      <c r="I19" s="10" t="s">
        <v>526</v>
      </c>
      <c r="J19" s="8"/>
      <c r="K19" s="7"/>
      <c r="L19" s="12"/>
    </row>
    <row r="20" spans="1:12" s="13" customFormat="1" x14ac:dyDescent="0.35">
      <c r="A20" s="24" t="s">
        <v>795</v>
      </c>
      <c r="B20" s="9" t="s">
        <v>796</v>
      </c>
      <c r="C20" s="10" t="s">
        <v>104</v>
      </c>
      <c r="D20" s="10">
        <v>1002</v>
      </c>
      <c r="E20" s="10" t="s">
        <v>40</v>
      </c>
      <c r="F20" s="10" t="s">
        <v>41</v>
      </c>
      <c r="G20" s="11">
        <v>1</v>
      </c>
      <c r="H20" s="10"/>
      <c r="I20" s="10" t="s">
        <v>526</v>
      </c>
      <c r="J20" s="14"/>
      <c r="K20" s="12"/>
      <c r="L20" s="12"/>
    </row>
    <row r="21" spans="1:12" x14ac:dyDescent="0.35">
      <c r="A21" s="40" t="s">
        <v>797</v>
      </c>
      <c r="B21" s="9" t="s">
        <v>798</v>
      </c>
      <c r="C21" s="10" t="s">
        <v>104</v>
      </c>
      <c r="D21" s="10"/>
      <c r="E21" s="10" t="s">
        <v>40</v>
      </c>
      <c r="F21" s="10" t="s">
        <v>41</v>
      </c>
      <c r="G21" s="11">
        <v>1</v>
      </c>
      <c r="H21" s="10"/>
      <c r="I21" s="10" t="s">
        <v>526</v>
      </c>
      <c r="J21" s="8"/>
      <c r="K21" s="7"/>
      <c r="L21" s="12"/>
    </row>
    <row r="22" spans="1:12" s="13" customFormat="1" ht="13.3" x14ac:dyDescent="0.35">
      <c r="A22" s="8" t="s">
        <v>799</v>
      </c>
      <c r="B22" s="9" t="s">
        <v>800</v>
      </c>
      <c r="C22" s="10" t="s">
        <v>101</v>
      </c>
      <c r="D22" s="10">
        <v>1002</v>
      </c>
      <c r="E22" s="10" t="s">
        <v>40</v>
      </c>
      <c r="F22" s="10" t="s">
        <v>41</v>
      </c>
      <c r="G22" s="11">
        <v>1</v>
      </c>
      <c r="H22" s="10"/>
      <c r="I22" s="10" t="s">
        <v>801</v>
      </c>
      <c r="J22" s="8"/>
      <c r="K22" s="12"/>
      <c r="L22" s="12"/>
    </row>
    <row r="23" spans="1:12" s="13" customFormat="1" ht="13.3" x14ac:dyDescent="0.35">
      <c r="A23" s="8" t="s">
        <v>802</v>
      </c>
      <c r="B23" s="9" t="s">
        <v>803</v>
      </c>
      <c r="C23" s="10" t="s">
        <v>773</v>
      </c>
      <c r="D23" s="10">
        <v>1002</v>
      </c>
      <c r="E23" s="10" t="s">
        <v>40</v>
      </c>
      <c r="F23" s="10" t="s">
        <v>41</v>
      </c>
      <c r="G23" s="11">
        <v>1</v>
      </c>
      <c r="H23" s="10"/>
      <c r="I23" s="10" t="s">
        <v>526</v>
      </c>
      <c r="J23" s="8"/>
      <c r="K23" s="12"/>
      <c r="L23" s="12"/>
    </row>
    <row r="24" spans="1:12" x14ac:dyDescent="0.35">
      <c r="A24" s="40" t="s">
        <v>804</v>
      </c>
      <c r="B24" s="9" t="s">
        <v>805</v>
      </c>
      <c r="C24" s="10" t="s">
        <v>773</v>
      </c>
      <c r="D24" s="10"/>
      <c r="E24" s="10" t="s">
        <v>40</v>
      </c>
      <c r="F24" s="10" t="s">
        <v>41</v>
      </c>
      <c r="G24" s="11">
        <v>1</v>
      </c>
      <c r="H24" s="10"/>
      <c r="I24" s="10" t="s">
        <v>526</v>
      </c>
      <c r="J24" s="8"/>
      <c r="K24" s="7"/>
      <c r="L24" s="12"/>
    </row>
    <row r="25" spans="1:12" x14ac:dyDescent="0.35">
      <c r="A25" s="40" t="s">
        <v>806</v>
      </c>
      <c r="B25" s="9" t="s">
        <v>807</v>
      </c>
      <c r="C25" s="10" t="s">
        <v>808</v>
      </c>
      <c r="D25" s="10"/>
      <c r="E25" s="10" t="s">
        <v>40</v>
      </c>
      <c r="F25" s="10" t="s">
        <v>41</v>
      </c>
      <c r="G25" s="11">
        <v>1</v>
      </c>
      <c r="H25" s="10"/>
      <c r="I25" s="10" t="s">
        <v>526</v>
      </c>
      <c r="J25" s="8"/>
      <c r="K25" s="7"/>
      <c r="L25" s="12"/>
    </row>
    <row r="26" spans="1:12" x14ac:dyDescent="0.35">
      <c r="A26" s="40" t="s">
        <v>809</v>
      </c>
      <c r="B26" s="9" t="s">
        <v>810</v>
      </c>
      <c r="C26" s="10" t="s">
        <v>811</v>
      </c>
      <c r="D26" s="10"/>
      <c r="E26" s="10" t="s">
        <v>40</v>
      </c>
      <c r="F26" s="10" t="s">
        <v>41</v>
      </c>
      <c r="G26" s="11">
        <v>1</v>
      </c>
      <c r="H26" s="10"/>
      <c r="I26" s="10" t="s">
        <v>526</v>
      </c>
      <c r="J26" s="8"/>
      <c r="K26" s="7"/>
      <c r="L26" s="12"/>
    </row>
    <row r="27" spans="1:12" x14ac:dyDescent="0.35">
      <c r="A27" s="40" t="s">
        <v>812</v>
      </c>
      <c r="B27" s="9" t="s">
        <v>813</v>
      </c>
      <c r="C27" s="10" t="s">
        <v>525</v>
      </c>
      <c r="D27" s="10"/>
      <c r="E27" s="10" t="s">
        <v>40</v>
      </c>
      <c r="F27" s="10" t="s">
        <v>41</v>
      </c>
      <c r="G27" s="11">
        <v>2</v>
      </c>
      <c r="H27" s="10"/>
      <c r="I27" s="10" t="s">
        <v>526</v>
      </c>
      <c r="J27" s="8"/>
      <c r="K27" s="7"/>
      <c r="L27" s="12"/>
    </row>
    <row r="28" spans="1:12" s="13" customFormat="1" ht="13.3" x14ac:dyDescent="0.35">
      <c r="A28" s="8" t="s">
        <v>814</v>
      </c>
      <c r="B28" s="9" t="s">
        <v>815</v>
      </c>
      <c r="C28" s="10" t="s">
        <v>816</v>
      </c>
      <c r="D28" s="10">
        <v>1002</v>
      </c>
      <c r="E28" s="10" t="s">
        <v>40</v>
      </c>
      <c r="F28" s="10" t="s">
        <v>41</v>
      </c>
      <c r="G28" s="11">
        <v>2</v>
      </c>
      <c r="H28" s="10"/>
      <c r="I28" s="10" t="s">
        <v>526</v>
      </c>
      <c r="J28" s="8"/>
      <c r="K28" s="12"/>
      <c r="L28" s="12"/>
    </row>
    <row r="29" spans="1:12" s="13" customFormat="1" ht="12.8" customHeight="1" x14ac:dyDescent="0.35">
      <c r="A29" s="8" t="s">
        <v>817</v>
      </c>
      <c r="B29" s="9" t="s">
        <v>818</v>
      </c>
      <c r="C29" s="10" t="s">
        <v>819</v>
      </c>
      <c r="D29" s="10">
        <v>1002</v>
      </c>
      <c r="E29" s="10" t="s">
        <v>40</v>
      </c>
      <c r="F29" s="10" t="s">
        <v>41</v>
      </c>
      <c r="G29" s="11">
        <v>2</v>
      </c>
      <c r="H29" s="10"/>
      <c r="I29" s="10" t="s">
        <v>526</v>
      </c>
      <c r="J29" s="8"/>
      <c r="K29" s="12"/>
      <c r="L29" s="12"/>
    </row>
    <row r="30" spans="1:12" x14ac:dyDescent="0.35">
      <c r="A30" s="8" t="s">
        <v>820</v>
      </c>
      <c r="B30" s="9" t="s">
        <v>821</v>
      </c>
      <c r="C30" s="10" t="s">
        <v>525</v>
      </c>
      <c r="D30" s="10"/>
      <c r="E30" s="10" t="s">
        <v>40</v>
      </c>
      <c r="F30" s="10" t="s">
        <v>41</v>
      </c>
      <c r="G30" s="11">
        <v>1</v>
      </c>
      <c r="H30" s="10"/>
      <c r="I30" s="10" t="s">
        <v>526</v>
      </c>
      <c r="J30" s="8"/>
      <c r="K30" s="7"/>
      <c r="L30" s="12"/>
    </row>
    <row r="31" spans="1:12" x14ac:dyDescent="0.35">
      <c r="A31" s="8" t="s">
        <v>822</v>
      </c>
      <c r="B31" s="9" t="s">
        <v>823</v>
      </c>
      <c r="C31" s="10" t="s">
        <v>525</v>
      </c>
      <c r="D31" s="10"/>
      <c r="E31" s="10" t="s">
        <v>40</v>
      </c>
      <c r="F31" s="10" t="s">
        <v>41</v>
      </c>
      <c r="G31" s="11">
        <v>1</v>
      </c>
      <c r="H31" s="10"/>
      <c r="I31" s="10" t="s">
        <v>526</v>
      </c>
      <c r="J31" s="8"/>
      <c r="K31" s="7"/>
      <c r="L31" s="12"/>
    </row>
    <row r="32" spans="1:12" s="13" customFormat="1" ht="13.3" x14ac:dyDescent="0.35">
      <c r="A32" s="8" t="s">
        <v>824</v>
      </c>
      <c r="B32" s="9" t="s">
        <v>825</v>
      </c>
      <c r="C32" s="10" t="s">
        <v>104</v>
      </c>
      <c r="D32" s="10">
        <v>1002</v>
      </c>
      <c r="E32" s="10" t="s">
        <v>40</v>
      </c>
      <c r="F32" s="10" t="s">
        <v>41</v>
      </c>
      <c r="G32" s="11">
        <v>1</v>
      </c>
      <c r="H32" s="10"/>
      <c r="I32" s="10" t="s">
        <v>526</v>
      </c>
      <c r="J32" s="8"/>
      <c r="K32" s="12"/>
      <c r="L32" s="12"/>
    </row>
    <row r="33" spans="1:12" x14ac:dyDescent="0.35">
      <c r="A33" s="8" t="s">
        <v>826</v>
      </c>
      <c r="B33" s="9" t="s">
        <v>827</v>
      </c>
      <c r="C33" s="10" t="s">
        <v>104</v>
      </c>
      <c r="D33" s="10"/>
      <c r="E33" s="10" t="s">
        <v>40</v>
      </c>
      <c r="F33" s="10" t="s">
        <v>41</v>
      </c>
      <c r="G33" s="11">
        <v>1</v>
      </c>
      <c r="H33" s="10"/>
      <c r="I33" s="10" t="s">
        <v>526</v>
      </c>
      <c r="J33" s="8"/>
      <c r="K33" s="7"/>
      <c r="L33" s="12"/>
    </row>
    <row r="34" spans="1:12" s="13" customFormat="1" ht="13.3" x14ac:dyDescent="0.35">
      <c r="A34" s="8" t="s">
        <v>828</v>
      </c>
      <c r="B34" s="9" t="s">
        <v>829</v>
      </c>
      <c r="C34" s="10" t="s">
        <v>594</v>
      </c>
      <c r="D34" s="10">
        <v>1002</v>
      </c>
      <c r="E34" s="10" t="s">
        <v>40</v>
      </c>
      <c r="F34" s="10" t="s">
        <v>41</v>
      </c>
      <c r="G34" s="11">
        <v>1</v>
      </c>
      <c r="H34" s="10"/>
      <c r="I34" s="10" t="s">
        <v>526</v>
      </c>
      <c r="J34" s="8"/>
      <c r="K34" s="12"/>
      <c r="L34" s="12"/>
    </row>
    <row r="35" spans="1:12" s="13" customFormat="1" ht="13.3" x14ac:dyDescent="0.35">
      <c r="A35" s="8" t="s">
        <v>830</v>
      </c>
      <c r="B35" s="9" t="s">
        <v>831</v>
      </c>
      <c r="C35" s="10" t="s">
        <v>832</v>
      </c>
      <c r="D35" s="10">
        <v>1002</v>
      </c>
      <c r="E35" s="10" t="s">
        <v>40</v>
      </c>
      <c r="F35" s="10" t="s">
        <v>41</v>
      </c>
      <c r="G35" s="11">
        <v>1</v>
      </c>
      <c r="H35" s="10"/>
      <c r="I35" s="10" t="s">
        <v>526</v>
      </c>
      <c r="J35" s="8" t="s">
        <v>765</v>
      </c>
      <c r="K35" s="7"/>
      <c r="L35" s="12"/>
    </row>
    <row r="36" spans="1:12" x14ac:dyDescent="0.35">
      <c r="A36" s="8" t="s">
        <v>833</v>
      </c>
      <c r="B36" s="9" t="s">
        <v>834</v>
      </c>
      <c r="C36" s="10" t="s">
        <v>697</v>
      </c>
      <c r="D36" s="10"/>
      <c r="E36" s="10" t="s">
        <v>40</v>
      </c>
      <c r="F36" s="10" t="s">
        <v>41</v>
      </c>
      <c r="G36" s="11">
        <v>1</v>
      </c>
      <c r="H36" s="10"/>
      <c r="I36" s="10" t="s">
        <v>526</v>
      </c>
      <c r="J36" s="8"/>
      <c r="K36" s="7"/>
      <c r="L36" s="12"/>
    </row>
    <row r="37" spans="1:12" s="13" customFormat="1" ht="13.3" x14ac:dyDescent="0.35">
      <c r="A37" s="8" t="s">
        <v>713</v>
      </c>
      <c r="B37" s="9" t="s">
        <v>714</v>
      </c>
      <c r="C37" s="10" t="s">
        <v>697</v>
      </c>
      <c r="D37" s="10">
        <v>1002</v>
      </c>
      <c r="E37" s="10" t="s">
        <v>40</v>
      </c>
      <c r="F37" s="10" t="s">
        <v>41</v>
      </c>
      <c r="G37" s="11">
        <v>1</v>
      </c>
      <c r="H37" s="10"/>
      <c r="I37" s="10" t="s">
        <v>526</v>
      </c>
      <c r="J37" s="8"/>
      <c r="K37" s="12">
        <v>415</v>
      </c>
      <c r="L37" s="12">
        <f>K37*G37</f>
        <v>415</v>
      </c>
    </row>
    <row r="38" spans="1:12" x14ac:dyDescent="0.35">
      <c r="A38" s="8" t="s">
        <v>835</v>
      </c>
      <c r="B38" s="9" t="s">
        <v>836</v>
      </c>
      <c r="C38" s="10" t="s">
        <v>697</v>
      </c>
      <c r="D38" s="10"/>
      <c r="E38" s="10" t="s">
        <v>40</v>
      </c>
      <c r="F38" s="10" t="s">
        <v>41</v>
      </c>
      <c r="G38" s="11">
        <v>1</v>
      </c>
      <c r="H38" s="10"/>
      <c r="I38" s="10" t="s">
        <v>526</v>
      </c>
      <c r="J38" s="8"/>
      <c r="K38" s="7"/>
      <c r="L38" s="12"/>
    </row>
    <row r="39" spans="1:12" s="13" customFormat="1" ht="13.3" x14ac:dyDescent="0.35">
      <c r="A39" s="8" t="s">
        <v>837</v>
      </c>
      <c r="B39" s="9" t="s">
        <v>838</v>
      </c>
      <c r="C39" s="10" t="s">
        <v>513</v>
      </c>
      <c r="D39" s="10">
        <v>1002</v>
      </c>
      <c r="E39" s="10" t="s">
        <v>40</v>
      </c>
      <c r="F39" s="10" t="s">
        <v>41</v>
      </c>
      <c r="G39" s="11">
        <v>1</v>
      </c>
      <c r="H39" s="10"/>
      <c r="I39" s="10" t="s">
        <v>526</v>
      </c>
      <c r="J39" s="8" t="s">
        <v>765</v>
      </c>
      <c r="K39" s="12"/>
      <c r="L39" s="12"/>
    </row>
    <row r="40" spans="1:12" s="13" customFormat="1" ht="13.3" x14ac:dyDescent="0.35">
      <c r="A40" s="8" t="s">
        <v>839</v>
      </c>
      <c r="B40" s="9" t="s">
        <v>840</v>
      </c>
      <c r="C40" s="10" t="s">
        <v>513</v>
      </c>
      <c r="D40" s="10">
        <v>1002</v>
      </c>
      <c r="E40" s="10" t="s">
        <v>40</v>
      </c>
      <c r="F40" s="10" t="s">
        <v>41</v>
      </c>
      <c r="G40" s="11">
        <v>2</v>
      </c>
      <c r="H40" s="10"/>
      <c r="I40" s="10" t="s">
        <v>526</v>
      </c>
      <c r="J40" s="8" t="s">
        <v>765</v>
      </c>
      <c r="K40" s="12"/>
      <c r="L40" s="12"/>
    </row>
    <row r="41" spans="1:12" s="13" customFormat="1" ht="13.3" x14ac:dyDescent="0.35">
      <c r="A41" s="8" t="s">
        <v>841</v>
      </c>
      <c r="B41" s="9" t="s">
        <v>840</v>
      </c>
      <c r="C41" s="10" t="s">
        <v>513</v>
      </c>
      <c r="D41" s="10">
        <v>1002</v>
      </c>
      <c r="E41" s="10" t="s">
        <v>40</v>
      </c>
      <c r="F41" s="10" t="s">
        <v>41</v>
      </c>
      <c r="G41" s="11">
        <v>1</v>
      </c>
      <c r="H41" s="10"/>
      <c r="I41" s="10" t="s">
        <v>526</v>
      </c>
      <c r="J41" s="8" t="s">
        <v>765</v>
      </c>
      <c r="K41" s="12"/>
      <c r="L41" s="12"/>
    </row>
    <row r="42" spans="1:12" s="13" customFormat="1" ht="13.3" x14ac:dyDescent="0.35">
      <c r="A42" s="8" t="s">
        <v>842</v>
      </c>
      <c r="B42" s="9" t="s">
        <v>840</v>
      </c>
      <c r="C42" s="10" t="s">
        <v>513</v>
      </c>
      <c r="D42" s="10">
        <v>1002</v>
      </c>
      <c r="E42" s="10" t="s">
        <v>40</v>
      </c>
      <c r="F42" s="10" t="s">
        <v>41</v>
      </c>
      <c r="G42" s="11">
        <v>1</v>
      </c>
      <c r="H42" s="10"/>
      <c r="I42" s="10" t="s">
        <v>526</v>
      </c>
      <c r="J42" s="8" t="s">
        <v>765</v>
      </c>
      <c r="K42" s="12"/>
      <c r="L42" s="12"/>
    </row>
    <row r="43" spans="1:12" s="13" customFormat="1" ht="13.3" x14ac:dyDescent="0.35">
      <c r="A43" s="8" t="s">
        <v>843</v>
      </c>
      <c r="B43" s="9" t="s">
        <v>844</v>
      </c>
      <c r="C43" s="10" t="s">
        <v>513</v>
      </c>
      <c r="D43" s="10">
        <v>1002</v>
      </c>
      <c r="E43" s="10" t="s">
        <v>40</v>
      </c>
      <c r="F43" s="10" t="s">
        <v>41</v>
      </c>
      <c r="G43" s="11">
        <v>1</v>
      </c>
      <c r="H43" s="10"/>
      <c r="I43" s="10" t="s">
        <v>526</v>
      </c>
      <c r="J43" s="8" t="s">
        <v>765</v>
      </c>
      <c r="K43" s="12"/>
      <c r="L43" s="12"/>
    </row>
    <row r="44" spans="1:12" s="13" customFormat="1" ht="13.3" x14ac:dyDescent="0.35">
      <c r="A44" s="8" t="s">
        <v>845</v>
      </c>
      <c r="B44" s="9" t="s">
        <v>846</v>
      </c>
      <c r="C44" s="10" t="s">
        <v>513</v>
      </c>
      <c r="D44" s="10">
        <v>1002</v>
      </c>
      <c r="E44" s="10" t="s">
        <v>40</v>
      </c>
      <c r="F44" s="10" t="s">
        <v>41</v>
      </c>
      <c r="G44" s="11">
        <v>1</v>
      </c>
      <c r="H44" s="10"/>
      <c r="I44" s="10" t="s">
        <v>526</v>
      </c>
      <c r="J44" s="8" t="s">
        <v>847</v>
      </c>
      <c r="K44" s="12"/>
      <c r="L44" s="12"/>
    </row>
    <row r="45" spans="1:12" s="13" customFormat="1" ht="13.3" x14ac:dyDescent="0.35">
      <c r="A45" s="8" t="s">
        <v>848</v>
      </c>
      <c r="B45" s="9" t="s">
        <v>849</v>
      </c>
      <c r="C45" s="10" t="s">
        <v>513</v>
      </c>
      <c r="D45" s="10">
        <v>1002</v>
      </c>
      <c r="E45" s="10" t="s">
        <v>40</v>
      </c>
      <c r="F45" s="10" t="s">
        <v>41</v>
      </c>
      <c r="G45" s="11">
        <v>3</v>
      </c>
      <c r="H45" s="10"/>
      <c r="I45" s="10" t="s">
        <v>526</v>
      </c>
      <c r="J45" s="8" t="s">
        <v>765</v>
      </c>
      <c r="K45" s="12"/>
      <c r="L45" s="12"/>
    </row>
    <row r="46" spans="1:12" s="13" customFormat="1" ht="13.3" x14ac:dyDescent="0.35">
      <c r="A46" s="8" t="s">
        <v>850</v>
      </c>
      <c r="B46" s="9" t="s">
        <v>851</v>
      </c>
      <c r="C46" s="10" t="s">
        <v>513</v>
      </c>
      <c r="D46" s="10">
        <v>1002</v>
      </c>
      <c r="E46" s="10" t="s">
        <v>40</v>
      </c>
      <c r="F46" s="10" t="s">
        <v>41</v>
      </c>
      <c r="G46" s="11">
        <v>2</v>
      </c>
      <c r="H46" s="10"/>
      <c r="I46" s="10" t="s">
        <v>526</v>
      </c>
      <c r="J46" s="8" t="s">
        <v>765</v>
      </c>
      <c r="K46" s="12"/>
      <c r="L46" s="12"/>
    </row>
    <row r="47" spans="1:12" s="13" customFormat="1" ht="13.3" x14ac:dyDescent="0.35">
      <c r="A47" s="8" t="s">
        <v>852</v>
      </c>
      <c r="B47" s="9" t="s">
        <v>853</v>
      </c>
      <c r="C47" s="10" t="s">
        <v>513</v>
      </c>
      <c r="D47" s="10">
        <v>1002</v>
      </c>
      <c r="E47" s="10" t="s">
        <v>40</v>
      </c>
      <c r="F47" s="10" t="s">
        <v>41</v>
      </c>
      <c r="G47" s="11">
        <v>2</v>
      </c>
      <c r="H47" s="10"/>
      <c r="I47" s="10" t="s">
        <v>526</v>
      </c>
      <c r="J47" s="8" t="s">
        <v>765</v>
      </c>
      <c r="K47" s="12"/>
      <c r="L47" s="12"/>
    </row>
    <row r="48" spans="1:12" s="13" customFormat="1" ht="13.3" x14ac:dyDescent="0.35">
      <c r="A48" s="8" t="s">
        <v>854</v>
      </c>
      <c r="B48" s="9" t="s">
        <v>855</v>
      </c>
      <c r="C48" s="10" t="s">
        <v>513</v>
      </c>
      <c r="D48" s="10">
        <v>1002</v>
      </c>
      <c r="E48" s="10" t="s">
        <v>40</v>
      </c>
      <c r="F48" s="10" t="s">
        <v>41</v>
      </c>
      <c r="G48" s="11">
        <v>26</v>
      </c>
      <c r="H48" s="10"/>
      <c r="I48" s="10" t="s">
        <v>526</v>
      </c>
      <c r="J48" s="8" t="s">
        <v>765</v>
      </c>
      <c r="K48" s="12"/>
      <c r="L48" s="12"/>
    </row>
    <row r="49" spans="1:12" x14ac:dyDescent="0.35">
      <c r="A49" s="30" t="s">
        <v>856</v>
      </c>
      <c r="B49" s="35" t="s">
        <v>857</v>
      </c>
      <c r="C49" s="10" t="s">
        <v>858</v>
      </c>
      <c r="D49" s="10"/>
      <c r="E49" s="10" t="s">
        <v>40</v>
      </c>
      <c r="F49" s="10" t="s">
        <v>41</v>
      </c>
      <c r="G49" s="11">
        <v>1</v>
      </c>
      <c r="H49" s="10"/>
      <c r="I49" s="10" t="s">
        <v>526</v>
      </c>
      <c r="J49" s="8"/>
      <c r="K49" s="7"/>
      <c r="L49" s="12"/>
    </row>
    <row r="50" spans="1:12" x14ac:dyDescent="0.35">
      <c r="A50" s="8" t="s">
        <v>859</v>
      </c>
      <c r="B50" s="9" t="s">
        <v>860</v>
      </c>
      <c r="C50" s="10" t="s">
        <v>499</v>
      </c>
      <c r="D50" s="10"/>
      <c r="E50" s="10" t="s">
        <v>40</v>
      </c>
      <c r="F50" s="10" t="s">
        <v>41</v>
      </c>
      <c r="G50" s="11">
        <v>1</v>
      </c>
      <c r="H50" s="10"/>
      <c r="I50" s="10" t="s">
        <v>526</v>
      </c>
      <c r="J50" s="8"/>
      <c r="K50" s="7"/>
      <c r="L50" s="12"/>
    </row>
    <row r="51" spans="1:12" s="13" customFormat="1" ht="13.3" x14ac:dyDescent="0.35">
      <c r="A51" s="8" t="s">
        <v>861</v>
      </c>
      <c r="B51" s="9" t="s">
        <v>862</v>
      </c>
      <c r="C51" s="10" t="s">
        <v>594</v>
      </c>
      <c r="D51" s="10">
        <v>1002</v>
      </c>
      <c r="E51" s="10" t="s">
        <v>40</v>
      </c>
      <c r="F51" s="10" t="s">
        <v>41</v>
      </c>
      <c r="G51" s="11">
        <v>1</v>
      </c>
      <c r="H51" s="10"/>
      <c r="I51" s="10" t="s">
        <v>526</v>
      </c>
      <c r="J51" s="8"/>
      <c r="K51" s="12"/>
      <c r="L51" s="12"/>
    </row>
    <row r="52" spans="1:12" x14ac:dyDescent="0.35">
      <c r="A52" s="8" t="s">
        <v>863</v>
      </c>
      <c r="B52" s="9" t="s">
        <v>864</v>
      </c>
      <c r="C52" s="10" t="s">
        <v>104</v>
      </c>
      <c r="D52" s="10"/>
      <c r="E52" s="10" t="s">
        <v>40</v>
      </c>
      <c r="F52" s="10" t="s">
        <v>41</v>
      </c>
      <c r="G52" s="11">
        <v>1</v>
      </c>
      <c r="H52" s="10"/>
      <c r="I52" s="10" t="s">
        <v>526</v>
      </c>
      <c r="J52" s="8" t="s">
        <v>865</v>
      </c>
      <c r="K52" s="7"/>
      <c r="L52" s="12"/>
    </row>
    <row r="53" spans="1:12" x14ac:dyDescent="0.35">
      <c r="A53" s="8" t="s">
        <v>866</v>
      </c>
      <c r="B53" s="9" t="s">
        <v>867</v>
      </c>
      <c r="C53" s="10" t="s">
        <v>104</v>
      </c>
      <c r="D53" s="10"/>
      <c r="E53" s="10" t="s">
        <v>40</v>
      </c>
      <c r="F53" s="10" t="s">
        <v>41</v>
      </c>
      <c r="G53" s="11">
        <v>4</v>
      </c>
      <c r="H53" s="10"/>
      <c r="I53" s="10" t="s">
        <v>526</v>
      </c>
      <c r="J53" s="8"/>
      <c r="K53" s="7"/>
      <c r="L53" s="12"/>
    </row>
    <row r="54" spans="1:12" s="13" customFormat="1" x14ac:dyDescent="0.35">
      <c r="A54" s="24" t="s">
        <v>868</v>
      </c>
      <c r="B54" s="9" t="s">
        <v>869</v>
      </c>
      <c r="C54" s="10" t="s">
        <v>104</v>
      </c>
      <c r="D54" s="10">
        <v>1002</v>
      </c>
      <c r="E54" s="10" t="s">
        <v>40</v>
      </c>
      <c r="F54" s="10" t="s">
        <v>41</v>
      </c>
      <c r="G54" s="11" t="s">
        <v>73</v>
      </c>
      <c r="H54" s="10">
        <v>1</v>
      </c>
      <c r="I54" s="10" t="s">
        <v>526</v>
      </c>
      <c r="J54" s="14" t="s">
        <v>1524</v>
      </c>
      <c r="K54" s="12"/>
      <c r="L54" s="12"/>
    </row>
    <row r="55" spans="1:12" s="13" customFormat="1" x14ac:dyDescent="0.35">
      <c r="A55" s="41" t="s">
        <v>870</v>
      </c>
      <c r="B55" s="35" t="s">
        <v>871</v>
      </c>
      <c r="C55" s="10" t="s">
        <v>104</v>
      </c>
      <c r="D55" s="10">
        <v>1002</v>
      </c>
      <c r="E55" s="10" t="s">
        <v>40</v>
      </c>
      <c r="F55" s="10" t="s">
        <v>41</v>
      </c>
      <c r="G55" s="11">
        <v>1</v>
      </c>
      <c r="H55" s="10"/>
      <c r="I55" s="10" t="s">
        <v>526</v>
      </c>
      <c r="J55" s="8"/>
      <c r="K55" s="12"/>
      <c r="L55" s="12"/>
    </row>
    <row r="56" spans="1:12" x14ac:dyDescent="0.35">
      <c r="A56" s="42" t="s">
        <v>872</v>
      </c>
      <c r="B56" s="9"/>
      <c r="C56" s="10" t="s">
        <v>104</v>
      </c>
      <c r="D56" s="10"/>
      <c r="E56" s="10" t="s">
        <v>40</v>
      </c>
      <c r="F56" s="10" t="s">
        <v>41</v>
      </c>
      <c r="G56" s="11">
        <v>1</v>
      </c>
      <c r="H56" s="10"/>
      <c r="I56" s="10" t="s">
        <v>526</v>
      </c>
      <c r="J56" s="8"/>
      <c r="K56" s="7"/>
      <c r="L56" s="12"/>
    </row>
    <row r="57" spans="1:12" x14ac:dyDescent="0.35">
      <c r="A57" s="40" t="s">
        <v>873</v>
      </c>
      <c r="B57" s="9" t="s">
        <v>874</v>
      </c>
      <c r="C57" s="10" t="s">
        <v>104</v>
      </c>
      <c r="D57" s="10"/>
      <c r="E57" s="10" t="s">
        <v>40</v>
      </c>
      <c r="F57" s="10" t="s">
        <v>41</v>
      </c>
      <c r="G57" s="11">
        <v>2</v>
      </c>
      <c r="H57" s="10"/>
      <c r="I57" s="10" t="s">
        <v>526</v>
      </c>
      <c r="J57" s="8"/>
      <c r="K57" s="7"/>
      <c r="L57" s="12"/>
    </row>
    <row r="58" spans="1:12" s="13" customFormat="1" x14ac:dyDescent="0.35">
      <c r="A58" s="8" t="s">
        <v>875</v>
      </c>
      <c r="B58" s="25" t="s">
        <v>876</v>
      </c>
      <c r="C58" s="10" t="s">
        <v>104</v>
      </c>
      <c r="D58" s="10">
        <v>1002</v>
      </c>
      <c r="E58" s="10" t="s">
        <v>40</v>
      </c>
      <c r="F58" s="10" t="s">
        <v>41</v>
      </c>
      <c r="G58" s="11">
        <v>3</v>
      </c>
      <c r="H58" s="10"/>
      <c r="I58" s="10" t="s">
        <v>526</v>
      </c>
      <c r="J58" s="8"/>
      <c r="K58" s="12"/>
      <c r="L58" s="12"/>
    </row>
    <row r="59" spans="1:12" x14ac:dyDescent="0.35">
      <c r="A59" s="40" t="s">
        <v>877</v>
      </c>
      <c r="B59" s="9" t="s">
        <v>878</v>
      </c>
      <c r="C59" s="10" t="s">
        <v>513</v>
      </c>
      <c r="D59" s="10"/>
      <c r="E59" s="10" t="s">
        <v>40</v>
      </c>
      <c r="F59" s="10" t="s">
        <v>41</v>
      </c>
      <c r="G59" s="11">
        <v>6</v>
      </c>
      <c r="H59" s="10"/>
      <c r="I59" s="10" t="s">
        <v>526</v>
      </c>
      <c r="J59" s="8"/>
      <c r="K59" s="7"/>
      <c r="L59" s="12"/>
    </row>
    <row r="60" spans="1:12" s="13" customFormat="1" ht="13.3" x14ac:dyDescent="0.35">
      <c r="A60" s="8" t="s">
        <v>879</v>
      </c>
      <c r="B60" s="9" t="s">
        <v>880</v>
      </c>
      <c r="C60" s="10" t="s">
        <v>513</v>
      </c>
      <c r="D60" s="10">
        <v>1002</v>
      </c>
      <c r="E60" s="10" t="s">
        <v>40</v>
      </c>
      <c r="F60" s="10" t="s">
        <v>41</v>
      </c>
      <c r="G60" s="11">
        <v>2</v>
      </c>
      <c r="H60" s="10"/>
      <c r="I60" s="10" t="s">
        <v>526</v>
      </c>
      <c r="J60" s="8" t="s">
        <v>765</v>
      </c>
      <c r="K60" s="12"/>
      <c r="L60" s="12"/>
    </row>
    <row r="61" spans="1:12" s="13" customFormat="1" ht="13.3" x14ac:dyDescent="0.35">
      <c r="A61" s="8" t="s">
        <v>881</v>
      </c>
      <c r="B61" s="9" t="s">
        <v>882</v>
      </c>
      <c r="C61" s="10" t="s">
        <v>513</v>
      </c>
      <c r="D61" s="10">
        <v>1002</v>
      </c>
      <c r="E61" s="10" t="s">
        <v>40</v>
      </c>
      <c r="F61" s="10" t="s">
        <v>41</v>
      </c>
      <c r="G61" s="11">
        <v>1</v>
      </c>
      <c r="H61" s="10"/>
      <c r="I61" s="10" t="s">
        <v>526</v>
      </c>
      <c r="J61" s="8" t="s">
        <v>765</v>
      </c>
      <c r="K61" s="12"/>
      <c r="L61" s="12"/>
    </row>
    <row r="62" spans="1:12" x14ac:dyDescent="0.35">
      <c r="A62" s="30" t="s">
        <v>883</v>
      </c>
      <c r="B62" s="35" t="s">
        <v>884</v>
      </c>
      <c r="C62" s="10"/>
      <c r="D62" s="10"/>
      <c r="E62" s="10" t="s">
        <v>40</v>
      </c>
      <c r="F62" s="10" t="s">
        <v>41</v>
      </c>
      <c r="G62" s="11">
        <v>7</v>
      </c>
      <c r="H62" s="10"/>
      <c r="I62" s="10" t="s">
        <v>526</v>
      </c>
      <c r="J62" s="8"/>
      <c r="K62" s="7"/>
      <c r="L62" s="12"/>
    </row>
    <row r="63" spans="1:12" s="13" customFormat="1" ht="13.3" x14ac:dyDescent="0.35">
      <c r="A63" s="14" t="s">
        <v>885</v>
      </c>
      <c r="B63" s="9" t="s">
        <v>886</v>
      </c>
      <c r="C63" s="10" t="s">
        <v>697</v>
      </c>
      <c r="D63" s="10">
        <v>1002</v>
      </c>
      <c r="E63" s="10" t="s">
        <v>40</v>
      </c>
      <c r="F63" s="10" t="s">
        <v>41</v>
      </c>
      <c r="G63" s="11">
        <v>1</v>
      </c>
      <c r="H63" s="10"/>
      <c r="I63" s="10" t="s">
        <v>42</v>
      </c>
      <c r="J63" s="8" t="s">
        <v>887</v>
      </c>
      <c r="K63" s="12"/>
      <c r="L63" s="12"/>
    </row>
    <row r="64" spans="1:12" x14ac:dyDescent="0.35">
      <c r="A64" s="8" t="s">
        <v>888</v>
      </c>
      <c r="B64" s="9" t="s">
        <v>889</v>
      </c>
      <c r="C64" s="10"/>
      <c r="D64" s="10"/>
      <c r="E64" s="10" t="s">
        <v>40</v>
      </c>
      <c r="F64" s="10" t="s">
        <v>41</v>
      </c>
      <c r="G64" s="11">
        <v>3</v>
      </c>
      <c r="H64" s="10"/>
      <c r="I64" s="10" t="s">
        <v>526</v>
      </c>
      <c r="J64" s="8"/>
      <c r="K64" s="7"/>
      <c r="L64" s="12"/>
    </row>
    <row r="65" spans="1:12" x14ac:dyDescent="0.35">
      <c r="A65" s="40" t="s">
        <v>890</v>
      </c>
      <c r="B65" s="9" t="s">
        <v>891</v>
      </c>
      <c r="C65" s="10"/>
      <c r="D65" s="10"/>
      <c r="E65" s="10" t="s">
        <v>40</v>
      </c>
      <c r="F65" s="10" t="s">
        <v>41</v>
      </c>
      <c r="G65" s="11">
        <v>1</v>
      </c>
      <c r="H65" s="10"/>
      <c r="I65" s="10" t="s">
        <v>526</v>
      </c>
      <c r="J65" s="8"/>
      <c r="K65" s="7"/>
      <c r="L65" s="12"/>
    </row>
    <row r="66" spans="1:12" x14ac:dyDescent="0.35">
      <c r="A66" s="40" t="s">
        <v>892</v>
      </c>
      <c r="B66" s="9" t="s">
        <v>893</v>
      </c>
      <c r="C66" s="10"/>
      <c r="D66" s="10"/>
      <c r="E66" s="10" t="s">
        <v>40</v>
      </c>
      <c r="F66" s="10" t="s">
        <v>41</v>
      </c>
      <c r="G66" s="11">
        <v>1</v>
      </c>
      <c r="H66" s="10"/>
      <c r="I66" s="10" t="s">
        <v>894</v>
      </c>
      <c r="J66" s="8"/>
      <c r="K66" s="7"/>
      <c r="L66" s="12"/>
    </row>
    <row r="67" spans="1:12" x14ac:dyDescent="0.35">
      <c r="A67" s="40" t="s">
        <v>895</v>
      </c>
      <c r="B67" s="9" t="s">
        <v>896</v>
      </c>
      <c r="C67" s="10"/>
      <c r="D67" s="10"/>
      <c r="E67" s="10" t="s">
        <v>40</v>
      </c>
      <c r="F67" s="10" t="s">
        <v>41</v>
      </c>
      <c r="G67" s="11">
        <v>5</v>
      </c>
      <c r="H67" s="10"/>
      <c r="I67" s="10" t="s">
        <v>526</v>
      </c>
      <c r="J67" s="8"/>
      <c r="K67" s="7"/>
      <c r="L67" s="12"/>
    </row>
    <row r="68" spans="1:12" x14ac:dyDescent="0.35">
      <c r="A68" s="8" t="s">
        <v>897</v>
      </c>
      <c r="B68" s="9" t="s">
        <v>898</v>
      </c>
      <c r="C68" s="10"/>
      <c r="D68" s="10"/>
      <c r="E68" s="10" t="s">
        <v>40</v>
      </c>
      <c r="F68" s="10" t="s">
        <v>41</v>
      </c>
      <c r="G68" s="11">
        <v>1</v>
      </c>
      <c r="H68" s="10"/>
      <c r="I68" s="10" t="s">
        <v>526</v>
      </c>
      <c r="J68" s="8"/>
      <c r="K68" s="7"/>
      <c r="L68" s="12"/>
    </row>
    <row r="69" spans="1:12" x14ac:dyDescent="0.35">
      <c r="A69" s="8" t="s">
        <v>888</v>
      </c>
      <c r="B69" s="9" t="s">
        <v>899</v>
      </c>
      <c r="C69" s="10" t="s">
        <v>697</v>
      </c>
      <c r="D69" s="10"/>
      <c r="E69" s="10" t="s">
        <v>40</v>
      </c>
      <c r="F69" s="10" t="s">
        <v>41</v>
      </c>
      <c r="G69" s="11">
        <v>1</v>
      </c>
      <c r="H69" s="10"/>
      <c r="I69" s="10" t="s">
        <v>526</v>
      </c>
      <c r="J69" s="8"/>
      <c r="K69" s="7"/>
      <c r="L69" s="7"/>
    </row>
    <row r="70" spans="1:12" x14ac:dyDescent="0.35">
      <c r="A70" s="8" t="s">
        <v>900</v>
      </c>
      <c r="B70" s="27"/>
      <c r="C70" s="10" t="s">
        <v>104</v>
      </c>
      <c r="D70" s="10"/>
      <c r="E70" s="10" t="s">
        <v>40</v>
      </c>
      <c r="F70" s="10" t="s">
        <v>41</v>
      </c>
      <c r="G70" s="11">
        <v>2</v>
      </c>
      <c r="H70" s="10"/>
      <c r="I70" s="10" t="s">
        <v>526</v>
      </c>
      <c r="J70" s="8" t="s">
        <v>901</v>
      </c>
      <c r="K70" s="7"/>
      <c r="L70" s="7"/>
    </row>
    <row r="71" spans="1:12" x14ac:dyDescent="0.35">
      <c r="A71" s="8" t="s">
        <v>902</v>
      </c>
      <c r="B71" s="27"/>
      <c r="C71" s="10" t="s">
        <v>104</v>
      </c>
      <c r="D71" s="10"/>
      <c r="E71" s="10" t="s">
        <v>40</v>
      </c>
      <c r="F71" s="10" t="s">
        <v>41</v>
      </c>
      <c r="G71" s="11">
        <v>2</v>
      </c>
      <c r="H71" s="10"/>
      <c r="I71" s="10" t="s">
        <v>526</v>
      </c>
      <c r="J71" s="8" t="s">
        <v>901</v>
      </c>
      <c r="K71" s="7"/>
      <c r="L71" s="7"/>
    </row>
    <row r="72" spans="1:12" x14ac:dyDescent="0.35">
      <c r="A72" s="8" t="s">
        <v>903</v>
      </c>
      <c r="B72" s="27"/>
      <c r="C72" s="10" t="s">
        <v>152</v>
      </c>
      <c r="D72" s="10"/>
      <c r="E72" s="10" t="s">
        <v>40</v>
      </c>
      <c r="F72" s="10" t="s">
        <v>41</v>
      </c>
      <c r="G72" s="11">
        <v>2</v>
      </c>
      <c r="H72" s="10"/>
      <c r="I72" s="10" t="s">
        <v>526</v>
      </c>
      <c r="J72" s="8" t="s">
        <v>901</v>
      </c>
      <c r="K72" s="7"/>
      <c r="L72" s="7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00A31E-93E6-4E13-9939-12F274A0E38A}">
  <sheetPr codeName="Sayfa6"/>
  <dimension ref="A1:F18"/>
  <sheetViews>
    <sheetView showGridLines="0" workbookViewId="0">
      <selection activeCell="A16" sqref="A16"/>
    </sheetView>
  </sheetViews>
  <sheetFormatPr defaultRowHeight="14.85" x14ac:dyDescent="0.35"/>
  <cols>
    <col min="1" max="1" width="15.08984375" bestFit="1" customWidth="1"/>
    <col min="2" max="2" width="8.7265625" customWidth="1"/>
    <col min="3" max="3" width="13.7265625" customWidth="1"/>
    <col min="4" max="4" width="14.26953125" customWidth="1"/>
    <col min="5" max="5" width="28.08984375" customWidth="1"/>
    <col min="6" max="6" width="29.81640625" bestFit="1" customWidth="1"/>
  </cols>
  <sheetData>
    <row r="1" spans="1:6" x14ac:dyDescent="0.35">
      <c r="A1" s="99" t="s">
        <v>1424</v>
      </c>
      <c r="B1" s="100" t="s">
        <v>41</v>
      </c>
      <c r="C1" s="100" t="s">
        <v>3</v>
      </c>
      <c r="D1" s="100" t="s">
        <v>1202</v>
      </c>
      <c r="E1" s="100" t="s">
        <v>1425</v>
      </c>
      <c r="F1" s="101" t="s">
        <v>1426</v>
      </c>
    </row>
    <row r="2" spans="1:6" x14ac:dyDescent="0.35">
      <c r="A2" s="102" t="s">
        <v>1427</v>
      </c>
      <c r="B2" s="103"/>
      <c r="C2" s="103"/>
      <c r="D2" s="103"/>
      <c r="E2" s="104"/>
      <c r="F2" s="105"/>
    </row>
    <row r="3" spans="1:6" x14ac:dyDescent="0.35">
      <c r="A3" s="106" t="s">
        <v>672</v>
      </c>
      <c r="B3" s="107">
        <v>1</v>
      </c>
      <c r="C3" s="107" t="s">
        <v>594</v>
      </c>
      <c r="D3" s="107" t="s">
        <v>1203</v>
      </c>
      <c r="E3" s="108" t="s">
        <v>1428</v>
      </c>
      <c r="F3" s="109" t="s">
        <v>5</v>
      </c>
    </row>
    <row r="4" spans="1:6" x14ac:dyDescent="0.35">
      <c r="A4" s="106" t="s">
        <v>1429</v>
      </c>
      <c r="B4" s="107">
        <v>1</v>
      </c>
      <c r="C4" s="107" t="s">
        <v>594</v>
      </c>
      <c r="D4" s="110" t="s">
        <v>1206</v>
      </c>
      <c r="E4" s="108">
        <v>111749000793</v>
      </c>
      <c r="F4" s="109" t="s">
        <v>5</v>
      </c>
    </row>
    <row r="5" spans="1:6" ht="59.25" x14ac:dyDescent="0.35">
      <c r="A5" s="106" t="s">
        <v>1351</v>
      </c>
      <c r="B5" s="107">
        <v>7</v>
      </c>
      <c r="C5" s="107" t="s">
        <v>594</v>
      </c>
      <c r="D5" s="111" t="s">
        <v>1430</v>
      </c>
      <c r="E5" s="112" t="s">
        <v>1431</v>
      </c>
      <c r="F5" s="109" t="s">
        <v>5</v>
      </c>
    </row>
    <row r="6" spans="1:6" x14ac:dyDescent="0.35">
      <c r="A6" s="113" t="s">
        <v>1432</v>
      </c>
      <c r="B6" s="103"/>
      <c r="C6" s="103"/>
      <c r="D6" s="103"/>
      <c r="E6" s="114"/>
      <c r="F6" s="109"/>
    </row>
    <row r="7" spans="1:6" x14ac:dyDescent="0.35">
      <c r="A7" s="106" t="s">
        <v>1433</v>
      </c>
      <c r="B7" s="107">
        <v>1</v>
      </c>
      <c r="C7" s="107" t="s">
        <v>1434</v>
      </c>
      <c r="D7" s="107" t="s">
        <v>1435</v>
      </c>
      <c r="E7" s="108" t="s">
        <v>1436</v>
      </c>
      <c r="F7" s="109" t="s">
        <v>5</v>
      </c>
    </row>
    <row r="8" spans="1:6" x14ac:dyDescent="0.35">
      <c r="A8" s="106" t="s">
        <v>1437</v>
      </c>
      <c r="B8" s="107">
        <v>1</v>
      </c>
      <c r="C8" s="107" t="s">
        <v>152</v>
      </c>
      <c r="D8" s="107" t="s">
        <v>1438</v>
      </c>
      <c r="E8" s="108" t="s">
        <v>1439</v>
      </c>
      <c r="F8" s="109" t="s">
        <v>5</v>
      </c>
    </row>
    <row r="9" spans="1:6" x14ac:dyDescent="0.35">
      <c r="A9" s="106" t="s">
        <v>1440</v>
      </c>
      <c r="B9" s="107">
        <v>1</v>
      </c>
      <c r="C9" s="107" t="s">
        <v>152</v>
      </c>
      <c r="D9" s="110" t="s">
        <v>1441</v>
      </c>
      <c r="E9" s="108" t="s">
        <v>1442</v>
      </c>
      <c r="F9" s="109" t="s">
        <v>5</v>
      </c>
    </row>
    <row r="10" spans="1:6" x14ac:dyDescent="0.35">
      <c r="A10" s="106" t="s">
        <v>1443</v>
      </c>
      <c r="B10" s="107">
        <v>1</v>
      </c>
      <c r="C10" s="107" t="s">
        <v>594</v>
      </c>
      <c r="D10" s="107" t="s">
        <v>1203</v>
      </c>
      <c r="E10" s="108" t="s">
        <v>1444</v>
      </c>
      <c r="F10" s="109" t="s">
        <v>1496</v>
      </c>
    </row>
    <row r="11" spans="1:6" x14ac:dyDescent="0.35">
      <c r="A11" s="106" t="s">
        <v>1445</v>
      </c>
      <c r="B11" s="107">
        <v>2</v>
      </c>
      <c r="C11" s="107" t="s">
        <v>594</v>
      </c>
      <c r="D11" s="107" t="s">
        <v>1203</v>
      </c>
      <c r="E11" s="108" t="s">
        <v>1446</v>
      </c>
      <c r="F11" s="109" t="s">
        <v>5</v>
      </c>
    </row>
    <row r="12" spans="1:6" x14ac:dyDescent="0.35">
      <c r="A12" s="106" t="s">
        <v>1447</v>
      </c>
      <c r="B12" s="107">
        <v>1</v>
      </c>
      <c r="C12" s="107" t="s">
        <v>594</v>
      </c>
      <c r="D12" s="107" t="s">
        <v>1203</v>
      </c>
      <c r="E12" s="108" t="s">
        <v>1448</v>
      </c>
      <c r="F12" s="109" t="s">
        <v>5</v>
      </c>
    </row>
    <row r="13" spans="1:6" x14ac:dyDescent="0.35">
      <c r="A13" s="106" t="s">
        <v>613</v>
      </c>
      <c r="B13" s="107">
        <v>2</v>
      </c>
      <c r="C13" s="107" t="s">
        <v>594</v>
      </c>
      <c r="D13" s="107" t="s">
        <v>1206</v>
      </c>
      <c r="E13" s="108" t="s">
        <v>1449</v>
      </c>
      <c r="F13" s="109" t="s">
        <v>5</v>
      </c>
    </row>
    <row r="14" spans="1:6" x14ac:dyDescent="0.35">
      <c r="A14" s="106" t="s">
        <v>605</v>
      </c>
      <c r="B14" s="107">
        <v>2</v>
      </c>
      <c r="C14" s="107" t="s">
        <v>594</v>
      </c>
      <c r="D14" s="107" t="s">
        <v>1206</v>
      </c>
      <c r="E14" s="108" t="s">
        <v>1450</v>
      </c>
      <c r="F14" s="109" t="s">
        <v>5</v>
      </c>
    </row>
    <row r="15" spans="1:6" x14ac:dyDescent="0.35">
      <c r="A15" s="106" t="s">
        <v>1451</v>
      </c>
      <c r="B15" s="107">
        <v>1</v>
      </c>
      <c r="C15" s="107" t="s">
        <v>594</v>
      </c>
      <c r="D15" s="107" t="s">
        <v>1206</v>
      </c>
      <c r="E15" s="108">
        <v>402443000295</v>
      </c>
      <c r="F15" s="109" t="s">
        <v>5</v>
      </c>
    </row>
    <row r="16" spans="1:6" x14ac:dyDescent="0.35">
      <c r="A16" s="106" t="s">
        <v>607</v>
      </c>
      <c r="B16" s="107">
        <v>2</v>
      </c>
      <c r="C16" s="107" t="s">
        <v>594</v>
      </c>
      <c r="D16" s="107" t="s">
        <v>1452</v>
      </c>
      <c r="E16" s="108" t="s">
        <v>1453</v>
      </c>
      <c r="F16" s="109" t="s">
        <v>5</v>
      </c>
    </row>
    <row r="17" spans="1:6" x14ac:dyDescent="0.35">
      <c r="A17" s="106" t="s">
        <v>618</v>
      </c>
      <c r="B17" s="107">
        <v>1</v>
      </c>
      <c r="C17" s="107" t="s">
        <v>594</v>
      </c>
      <c r="D17" s="110" t="s">
        <v>1206</v>
      </c>
      <c r="E17" s="112">
        <v>262339002285</v>
      </c>
      <c r="F17" s="115" t="s">
        <v>1454</v>
      </c>
    </row>
    <row r="18" spans="1:6" x14ac:dyDescent="0.35">
      <c r="A18" s="106" t="s">
        <v>1455</v>
      </c>
      <c r="B18" s="107">
        <v>3</v>
      </c>
      <c r="C18" s="107" t="s">
        <v>594</v>
      </c>
      <c r="D18" s="107" t="s">
        <v>1205</v>
      </c>
      <c r="E18" s="108" t="s">
        <v>1456</v>
      </c>
      <c r="F18" s="109" t="s">
        <v>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14C9E5-C2B5-4BBD-A264-73755BB5D50E}">
  <sheetPr codeName="Sayfa4"/>
  <dimension ref="A1:F198"/>
  <sheetViews>
    <sheetView zoomScale="85" zoomScaleNormal="85" workbookViewId="0">
      <pane ySplit="1" topLeftCell="A2" activePane="bottomLeft" state="frozenSplit"/>
      <selection activeCell="C1" sqref="C1"/>
      <selection pane="bottomLeft"/>
    </sheetView>
  </sheetViews>
  <sheetFormatPr defaultRowHeight="14.85" x14ac:dyDescent="0.35"/>
  <cols>
    <col min="1" max="1" width="22.54296875" style="36" bestFit="1" customWidth="1"/>
    <col min="2" max="2" width="54.36328125" style="6" customWidth="1"/>
    <col min="3" max="3" width="13.90625" style="37" customWidth="1"/>
    <col min="4" max="4" width="15.36328125" style="37" customWidth="1"/>
    <col min="5" max="5" width="15" style="37" customWidth="1"/>
    <col min="6" max="6" width="10.81640625" style="37" customWidth="1"/>
    <col min="7" max="16384" width="8.7265625" style="39"/>
  </cols>
  <sheetData>
    <row r="1" spans="1:6" s="6" customFormat="1" ht="13.3" x14ac:dyDescent="0.35">
      <c r="A1" s="1" t="s">
        <v>1</v>
      </c>
      <c r="B1" s="2" t="s">
        <v>2</v>
      </c>
      <c r="C1" s="3" t="s">
        <v>3</v>
      </c>
      <c r="D1" s="3" t="s">
        <v>4</v>
      </c>
      <c r="E1" s="3" t="s">
        <v>5</v>
      </c>
      <c r="F1" s="3" t="s">
        <v>6</v>
      </c>
    </row>
    <row r="2" spans="1:6" s="13" customFormat="1" ht="13.3" x14ac:dyDescent="0.35">
      <c r="A2" s="8" t="s">
        <v>904</v>
      </c>
      <c r="B2" s="9" t="s">
        <v>905</v>
      </c>
      <c r="C2" s="10" t="s">
        <v>39</v>
      </c>
      <c r="D2" s="10">
        <v>1006</v>
      </c>
      <c r="E2" s="10" t="s">
        <v>40</v>
      </c>
      <c r="F2" s="10" t="s">
        <v>41</v>
      </c>
    </row>
    <row r="3" spans="1:6" s="13" customFormat="1" ht="13.3" x14ac:dyDescent="0.35">
      <c r="A3" s="8" t="s">
        <v>906</v>
      </c>
      <c r="B3" s="9" t="s">
        <v>907</v>
      </c>
      <c r="C3" s="10" t="s">
        <v>908</v>
      </c>
      <c r="D3" s="10">
        <v>1008</v>
      </c>
      <c r="E3" s="10" t="s">
        <v>40</v>
      </c>
      <c r="F3" s="10" t="s">
        <v>41</v>
      </c>
    </row>
    <row r="4" spans="1:6" s="13" customFormat="1" ht="13.3" x14ac:dyDescent="0.35">
      <c r="A4" s="8" t="s">
        <v>909</v>
      </c>
      <c r="B4" s="9" t="s">
        <v>910</v>
      </c>
      <c r="C4" s="10" t="s">
        <v>908</v>
      </c>
      <c r="D4" s="10">
        <v>1008</v>
      </c>
      <c r="E4" s="10" t="s">
        <v>40</v>
      </c>
      <c r="F4" s="10" t="s">
        <v>41</v>
      </c>
    </row>
    <row r="5" spans="1:6" s="13" customFormat="1" ht="13.3" x14ac:dyDescent="0.35">
      <c r="A5" s="8" t="s">
        <v>911</v>
      </c>
      <c r="B5" s="9" t="s">
        <v>912</v>
      </c>
      <c r="C5" s="10" t="s">
        <v>908</v>
      </c>
      <c r="D5" s="10">
        <v>1008</v>
      </c>
      <c r="E5" s="10" t="s">
        <v>40</v>
      </c>
      <c r="F5" s="10" t="s">
        <v>41</v>
      </c>
    </row>
    <row r="6" spans="1:6" s="13" customFormat="1" ht="13.3" x14ac:dyDescent="0.35">
      <c r="A6" s="8" t="s">
        <v>913</v>
      </c>
      <c r="B6" s="9" t="s">
        <v>914</v>
      </c>
      <c r="C6" s="10" t="s">
        <v>48</v>
      </c>
      <c r="D6" s="10">
        <v>1002</v>
      </c>
      <c r="E6" s="10" t="s">
        <v>40</v>
      </c>
      <c r="F6" s="10" t="s">
        <v>41</v>
      </c>
    </row>
    <row r="7" spans="1:6" s="13" customFormat="1" ht="13.3" x14ac:dyDescent="0.35">
      <c r="A7" s="8" t="s">
        <v>915</v>
      </c>
      <c r="B7" s="9" t="s">
        <v>916</v>
      </c>
      <c r="C7" s="10" t="s">
        <v>48</v>
      </c>
      <c r="D7" s="10">
        <v>1002</v>
      </c>
      <c r="E7" s="10" t="s">
        <v>40</v>
      </c>
      <c r="F7" s="10" t="s">
        <v>41</v>
      </c>
    </row>
    <row r="8" spans="1:6" s="13" customFormat="1" ht="13.3" x14ac:dyDescent="0.35">
      <c r="A8" s="8" t="s">
        <v>917</v>
      </c>
      <c r="B8" s="9" t="s">
        <v>918</v>
      </c>
      <c r="C8" s="10" t="s">
        <v>48</v>
      </c>
      <c r="D8" s="10">
        <v>1002</v>
      </c>
      <c r="E8" s="10" t="s">
        <v>40</v>
      </c>
      <c r="F8" s="10" t="s">
        <v>41</v>
      </c>
    </row>
    <row r="9" spans="1:6" s="13" customFormat="1" ht="13.3" x14ac:dyDescent="0.35">
      <c r="A9" s="8" t="s">
        <v>919</v>
      </c>
      <c r="B9" s="9" t="s">
        <v>920</v>
      </c>
      <c r="C9" s="10" t="s">
        <v>48</v>
      </c>
      <c r="D9" s="10">
        <v>1002</v>
      </c>
      <c r="E9" s="10" t="s">
        <v>40</v>
      </c>
      <c r="F9" s="10" t="s">
        <v>41</v>
      </c>
    </row>
    <row r="10" spans="1:6" s="13" customFormat="1" ht="13.3" x14ac:dyDescent="0.35">
      <c r="A10" s="8" t="s">
        <v>921</v>
      </c>
      <c r="B10" s="9" t="s">
        <v>922</v>
      </c>
      <c r="C10" s="10" t="s">
        <v>85</v>
      </c>
      <c r="D10" s="10">
        <v>1006</v>
      </c>
      <c r="E10" s="10" t="s">
        <v>40</v>
      </c>
      <c r="F10" s="10" t="s">
        <v>41</v>
      </c>
    </row>
    <row r="11" spans="1:6" s="13" customFormat="1" ht="13.3" x14ac:dyDescent="0.35">
      <c r="A11" s="8" t="s">
        <v>923</v>
      </c>
      <c r="B11" s="9" t="s">
        <v>924</v>
      </c>
      <c r="C11" s="10" t="s">
        <v>85</v>
      </c>
      <c r="D11" s="10">
        <v>1006</v>
      </c>
      <c r="E11" s="10" t="s">
        <v>40</v>
      </c>
      <c r="F11" s="10" t="s">
        <v>41</v>
      </c>
    </row>
    <row r="12" spans="1:6" s="13" customFormat="1" ht="13.3" x14ac:dyDescent="0.35">
      <c r="A12" s="8" t="s">
        <v>925</v>
      </c>
      <c r="B12" s="9" t="s">
        <v>926</v>
      </c>
      <c r="C12" s="10" t="s">
        <v>85</v>
      </c>
      <c r="D12" s="10">
        <v>1101</v>
      </c>
      <c r="E12" s="10" t="s">
        <v>40</v>
      </c>
      <c r="F12" s="10" t="s">
        <v>41</v>
      </c>
    </row>
    <row r="13" spans="1:6" s="13" customFormat="1" ht="13.3" x14ac:dyDescent="0.35">
      <c r="A13" s="8" t="s">
        <v>927</v>
      </c>
      <c r="B13" s="9" t="s">
        <v>928</v>
      </c>
      <c r="C13" s="10" t="s">
        <v>101</v>
      </c>
      <c r="D13" s="10">
        <v>1006</v>
      </c>
      <c r="E13" s="10" t="s">
        <v>40</v>
      </c>
      <c r="F13" s="10" t="s">
        <v>41</v>
      </c>
    </row>
    <row r="14" spans="1:6" s="13" customFormat="1" ht="13.3" x14ac:dyDescent="0.35">
      <c r="A14" s="8" t="s">
        <v>929</v>
      </c>
      <c r="B14" s="9" t="s">
        <v>930</v>
      </c>
      <c r="C14" s="10" t="s">
        <v>101</v>
      </c>
      <c r="D14" s="10">
        <v>1006</v>
      </c>
      <c r="E14" s="10" t="s">
        <v>40</v>
      </c>
      <c r="F14" s="10" t="s">
        <v>41</v>
      </c>
    </row>
    <row r="15" spans="1:6" s="13" customFormat="1" ht="13.3" x14ac:dyDescent="0.35">
      <c r="A15" s="8" t="s">
        <v>931</v>
      </c>
      <c r="B15" s="9" t="s">
        <v>932</v>
      </c>
      <c r="C15" s="10" t="s">
        <v>104</v>
      </c>
      <c r="D15" s="10">
        <v>1002</v>
      </c>
      <c r="E15" s="10" t="s">
        <v>40</v>
      </c>
      <c r="F15" s="10" t="s">
        <v>41</v>
      </c>
    </row>
    <row r="16" spans="1:6" s="13" customFormat="1" ht="13.3" x14ac:dyDescent="0.35">
      <c r="A16" s="8" t="s">
        <v>933</v>
      </c>
      <c r="B16" s="9" t="s">
        <v>934</v>
      </c>
      <c r="C16" s="10" t="s">
        <v>104</v>
      </c>
      <c r="D16" s="10">
        <v>1002</v>
      </c>
      <c r="E16" s="10" t="s">
        <v>40</v>
      </c>
      <c r="F16" s="10" t="s">
        <v>41</v>
      </c>
    </row>
    <row r="17" spans="1:6" s="13" customFormat="1" ht="13.3" x14ac:dyDescent="0.35">
      <c r="A17" s="8" t="s">
        <v>935</v>
      </c>
      <c r="B17" s="9" t="s">
        <v>936</v>
      </c>
      <c r="C17" s="10" t="s">
        <v>104</v>
      </c>
      <c r="D17" s="10">
        <v>1002</v>
      </c>
      <c r="E17" s="10" t="s">
        <v>40</v>
      </c>
      <c r="F17" s="10" t="s">
        <v>41</v>
      </c>
    </row>
    <row r="18" spans="1:6" s="13" customFormat="1" ht="13.3" x14ac:dyDescent="0.35">
      <c r="A18" s="8" t="s">
        <v>937</v>
      </c>
      <c r="B18" s="9" t="s">
        <v>938</v>
      </c>
      <c r="C18" s="10" t="s">
        <v>104</v>
      </c>
      <c r="D18" s="10">
        <v>1002</v>
      </c>
      <c r="E18" s="10" t="s">
        <v>40</v>
      </c>
      <c r="F18" s="10" t="s">
        <v>41</v>
      </c>
    </row>
    <row r="19" spans="1:6" s="13" customFormat="1" ht="13.3" x14ac:dyDescent="0.35">
      <c r="A19" s="8" t="s">
        <v>939</v>
      </c>
      <c r="B19" s="9" t="s">
        <v>940</v>
      </c>
      <c r="C19" s="10" t="s">
        <v>104</v>
      </c>
      <c r="D19" s="10">
        <v>1002</v>
      </c>
      <c r="E19" s="10" t="s">
        <v>40</v>
      </c>
      <c r="F19" s="10" t="s">
        <v>41</v>
      </c>
    </row>
    <row r="20" spans="1:6" s="13" customFormat="1" ht="13.3" x14ac:dyDescent="0.35">
      <c r="A20" s="8" t="s">
        <v>941</v>
      </c>
      <c r="B20" s="9" t="s">
        <v>942</v>
      </c>
      <c r="C20" s="10" t="s">
        <v>104</v>
      </c>
      <c r="D20" s="10">
        <v>1002</v>
      </c>
      <c r="E20" s="10" t="s">
        <v>40</v>
      </c>
      <c r="F20" s="10" t="s">
        <v>41</v>
      </c>
    </row>
    <row r="21" spans="1:6" s="13" customFormat="1" ht="13.3" x14ac:dyDescent="0.35">
      <c r="A21" s="8" t="s">
        <v>943</v>
      </c>
      <c r="B21" s="9" t="s">
        <v>944</v>
      </c>
      <c r="C21" s="10" t="s">
        <v>104</v>
      </c>
      <c r="D21" s="10">
        <v>1006</v>
      </c>
      <c r="E21" s="10" t="s">
        <v>40</v>
      </c>
      <c r="F21" s="10" t="s">
        <v>41</v>
      </c>
    </row>
    <row r="22" spans="1:6" s="13" customFormat="1" ht="13.3" x14ac:dyDescent="0.35">
      <c r="A22" s="8" t="s">
        <v>945</v>
      </c>
      <c r="B22" s="9" t="s">
        <v>946</v>
      </c>
      <c r="C22" s="10" t="s">
        <v>104</v>
      </c>
      <c r="D22" s="10">
        <v>1002</v>
      </c>
      <c r="E22" s="10" t="s">
        <v>40</v>
      </c>
      <c r="F22" s="10" t="s">
        <v>41</v>
      </c>
    </row>
    <row r="23" spans="1:6" s="13" customFormat="1" ht="13.3" x14ac:dyDescent="0.35">
      <c r="A23" s="8" t="s">
        <v>947</v>
      </c>
      <c r="B23" s="9" t="s">
        <v>948</v>
      </c>
      <c r="C23" s="10" t="s">
        <v>104</v>
      </c>
      <c r="D23" s="10">
        <v>1006</v>
      </c>
      <c r="E23" s="10" t="s">
        <v>40</v>
      </c>
      <c r="F23" s="10" t="s">
        <v>41</v>
      </c>
    </row>
    <row r="24" spans="1:6" s="13" customFormat="1" ht="13.3" x14ac:dyDescent="0.35">
      <c r="A24" s="8" t="s">
        <v>949</v>
      </c>
      <c r="B24" s="9" t="s">
        <v>950</v>
      </c>
      <c r="C24" s="10" t="s">
        <v>104</v>
      </c>
      <c r="D24" s="10">
        <v>1002</v>
      </c>
      <c r="E24" s="10" t="s">
        <v>40</v>
      </c>
      <c r="F24" s="10" t="s">
        <v>41</v>
      </c>
    </row>
    <row r="25" spans="1:6" s="13" customFormat="1" ht="13.3" x14ac:dyDescent="0.35">
      <c r="A25" s="8" t="s">
        <v>951</v>
      </c>
      <c r="B25" s="9" t="s">
        <v>952</v>
      </c>
      <c r="C25" s="10" t="s">
        <v>104</v>
      </c>
      <c r="D25" s="10">
        <v>1002</v>
      </c>
      <c r="E25" s="10" t="s">
        <v>40</v>
      </c>
      <c r="F25" s="10" t="s">
        <v>41</v>
      </c>
    </row>
    <row r="26" spans="1:6" s="13" customFormat="1" ht="13.3" x14ac:dyDescent="0.35">
      <c r="A26" s="8" t="s">
        <v>118</v>
      </c>
      <c r="B26" s="9" t="s">
        <v>953</v>
      </c>
      <c r="C26" s="10" t="s">
        <v>104</v>
      </c>
      <c r="D26" s="10">
        <v>1006</v>
      </c>
      <c r="E26" s="10" t="s">
        <v>40</v>
      </c>
      <c r="F26" s="10" t="s">
        <v>41</v>
      </c>
    </row>
    <row r="27" spans="1:6" s="13" customFormat="1" ht="13.3" x14ac:dyDescent="0.35">
      <c r="A27" s="8" t="s">
        <v>118</v>
      </c>
      <c r="B27" s="9" t="s">
        <v>953</v>
      </c>
      <c r="C27" s="10" t="s">
        <v>104</v>
      </c>
      <c r="D27" s="10">
        <v>1006</v>
      </c>
      <c r="E27" s="10" t="s">
        <v>40</v>
      </c>
      <c r="F27" s="10" t="s">
        <v>41</v>
      </c>
    </row>
    <row r="28" spans="1:6" s="13" customFormat="1" ht="13.3" x14ac:dyDescent="0.35">
      <c r="A28" s="8" t="s">
        <v>954</v>
      </c>
      <c r="B28" s="9" t="s">
        <v>955</v>
      </c>
      <c r="C28" s="10" t="s">
        <v>104</v>
      </c>
      <c r="D28" s="10">
        <v>1006</v>
      </c>
      <c r="E28" s="10" t="s">
        <v>40</v>
      </c>
      <c r="F28" s="10" t="s">
        <v>41</v>
      </c>
    </row>
    <row r="29" spans="1:6" s="13" customFormat="1" ht="13.3" x14ac:dyDescent="0.35">
      <c r="A29" s="8" t="s">
        <v>956</v>
      </c>
      <c r="B29" s="9" t="s">
        <v>957</v>
      </c>
      <c r="C29" s="10" t="s">
        <v>104</v>
      </c>
      <c r="D29" s="10">
        <v>1006</v>
      </c>
      <c r="E29" s="10" t="s">
        <v>40</v>
      </c>
      <c r="F29" s="10" t="s">
        <v>41</v>
      </c>
    </row>
    <row r="30" spans="1:6" s="13" customFormat="1" ht="13.3" x14ac:dyDescent="0.35">
      <c r="A30" s="8">
        <v>760237040</v>
      </c>
      <c r="B30" s="43" t="s">
        <v>958</v>
      </c>
      <c r="C30" s="10" t="s">
        <v>123</v>
      </c>
      <c r="D30" s="10">
        <v>1101</v>
      </c>
      <c r="E30" s="10" t="s">
        <v>40</v>
      </c>
      <c r="F30" s="10" t="s">
        <v>41</v>
      </c>
    </row>
    <row r="31" spans="1:6" s="13" customFormat="1" ht="13.3" x14ac:dyDescent="0.35">
      <c r="A31" s="8" t="s">
        <v>959</v>
      </c>
      <c r="B31" s="9" t="s">
        <v>960</v>
      </c>
      <c r="C31" s="10" t="s">
        <v>123</v>
      </c>
      <c r="D31" s="10">
        <v>1101</v>
      </c>
      <c r="E31" s="10" t="s">
        <v>40</v>
      </c>
      <c r="F31" s="10" t="s">
        <v>41</v>
      </c>
    </row>
    <row r="32" spans="1:6" s="13" customFormat="1" ht="13.3" x14ac:dyDescent="0.35">
      <c r="A32" s="8" t="s">
        <v>961</v>
      </c>
      <c r="B32" s="9" t="s">
        <v>962</v>
      </c>
      <c r="C32" s="10" t="s">
        <v>123</v>
      </c>
      <c r="D32" s="10">
        <v>1101</v>
      </c>
      <c r="E32" s="10" t="s">
        <v>40</v>
      </c>
      <c r="F32" s="10" t="s">
        <v>41</v>
      </c>
    </row>
    <row r="33" spans="1:6" s="13" customFormat="1" ht="13.3" x14ac:dyDescent="0.35">
      <c r="A33" s="8" t="s">
        <v>963</v>
      </c>
      <c r="B33" s="9" t="s">
        <v>964</v>
      </c>
      <c r="C33" s="10" t="s">
        <v>965</v>
      </c>
      <c r="D33" s="10">
        <v>1002</v>
      </c>
      <c r="E33" s="10" t="s">
        <v>40</v>
      </c>
      <c r="F33" s="10" t="s">
        <v>41</v>
      </c>
    </row>
    <row r="34" spans="1:6" s="13" customFormat="1" ht="13.3" x14ac:dyDescent="0.35">
      <c r="A34" s="8" t="s">
        <v>486</v>
      </c>
      <c r="B34" s="9" t="s">
        <v>487</v>
      </c>
      <c r="C34" s="10" t="s">
        <v>92</v>
      </c>
      <c r="D34" s="10">
        <v>1103</v>
      </c>
      <c r="E34" s="10" t="s">
        <v>92</v>
      </c>
      <c r="F34" s="10" t="s">
        <v>41</v>
      </c>
    </row>
    <row r="35" spans="1:6" s="13" customFormat="1" ht="13.3" x14ac:dyDescent="0.35">
      <c r="A35" s="8" t="s">
        <v>966</v>
      </c>
      <c r="B35" s="9" t="s">
        <v>967</v>
      </c>
      <c r="C35" s="10" t="s">
        <v>968</v>
      </c>
      <c r="D35" s="10">
        <v>1006</v>
      </c>
      <c r="E35" s="10" t="s">
        <v>40</v>
      </c>
      <c r="F35" s="10" t="s">
        <v>41</v>
      </c>
    </row>
    <row r="36" spans="1:6" s="13" customFormat="1" ht="13.3" x14ac:dyDescent="0.35">
      <c r="A36" s="8" t="s">
        <v>969</v>
      </c>
      <c r="B36" s="9" t="s">
        <v>970</v>
      </c>
      <c r="C36" s="10" t="s">
        <v>968</v>
      </c>
      <c r="D36" s="10">
        <v>1006</v>
      </c>
      <c r="E36" s="10" t="s">
        <v>40</v>
      </c>
      <c r="F36" s="10" t="s">
        <v>41</v>
      </c>
    </row>
    <row r="37" spans="1:6" s="13" customFormat="1" ht="13.3" x14ac:dyDescent="0.35">
      <c r="A37" s="8" t="s">
        <v>971</v>
      </c>
      <c r="B37" s="9" t="s">
        <v>972</v>
      </c>
      <c r="C37" s="10" t="s">
        <v>968</v>
      </c>
      <c r="D37" s="10">
        <v>1006</v>
      </c>
      <c r="E37" s="10" t="s">
        <v>40</v>
      </c>
      <c r="F37" s="10" t="s">
        <v>41</v>
      </c>
    </row>
    <row r="38" spans="1:6" s="13" customFormat="1" ht="13.3" x14ac:dyDescent="0.35">
      <c r="A38" s="8" t="s">
        <v>973</v>
      </c>
      <c r="B38" s="9" t="s">
        <v>974</v>
      </c>
      <c r="C38" s="10" t="s">
        <v>968</v>
      </c>
      <c r="D38" s="10">
        <v>1006</v>
      </c>
      <c r="E38" s="10" t="s">
        <v>40</v>
      </c>
      <c r="F38" s="10" t="s">
        <v>41</v>
      </c>
    </row>
    <row r="39" spans="1:6" s="13" customFormat="1" ht="13.3" x14ac:dyDescent="0.35">
      <c r="A39" s="8" t="s">
        <v>973</v>
      </c>
      <c r="B39" s="9" t="s">
        <v>974</v>
      </c>
      <c r="C39" s="10" t="s">
        <v>968</v>
      </c>
      <c r="D39" s="10">
        <v>1006</v>
      </c>
      <c r="E39" s="10" t="s">
        <v>40</v>
      </c>
      <c r="F39" s="10" t="s">
        <v>41</v>
      </c>
    </row>
    <row r="40" spans="1:6" s="13" customFormat="1" ht="13.3" x14ac:dyDescent="0.35">
      <c r="A40" s="8" t="s">
        <v>975</v>
      </c>
      <c r="B40" s="9" t="s">
        <v>976</v>
      </c>
      <c r="C40" s="10" t="s">
        <v>499</v>
      </c>
      <c r="D40" s="10">
        <v>1002</v>
      </c>
      <c r="E40" s="10" t="s">
        <v>40</v>
      </c>
      <c r="F40" s="10" t="s">
        <v>41</v>
      </c>
    </row>
    <row r="41" spans="1:6" s="13" customFormat="1" ht="13.3" x14ac:dyDescent="0.35">
      <c r="A41" s="8" t="s">
        <v>977</v>
      </c>
      <c r="B41" s="9" t="s">
        <v>978</v>
      </c>
      <c r="C41" s="10" t="s">
        <v>499</v>
      </c>
      <c r="D41" s="10">
        <v>1002</v>
      </c>
      <c r="E41" s="10" t="s">
        <v>40</v>
      </c>
      <c r="F41" s="10" t="s">
        <v>41</v>
      </c>
    </row>
    <row r="42" spans="1:6" s="13" customFormat="1" ht="13.3" x14ac:dyDescent="0.35">
      <c r="A42" s="8" t="s">
        <v>979</v>
      </c>
      <c r="B42" s="9" t="s">
        <v>980</v>
      </c>
      <c r="C42" s="10" t="s">
        <v>499</v>
      </c>
      <c r="D42" s="10">
        <v>1002</v>
      </c>
      <c r="E42" s="10" t="s">
        <v>40</v>
      </c>
      <c r="F42" s="10" t="s">
        <v>41</v>
      </c>
    </row>
    <row r="43" spans="1:6" s="13" customFormat="1" ht="13.3" x14ac:dyDescent="0.35">
      <c r="A43" s="8" t="s">
        <v>981</v>
      </c>
      <c r="B43" s="9" t="s">
        <v>982</v>
      </c>
      <c r="C43" s="10" t="s">
        <v>499</v>
      </c>
      <c r="D43" s="10">
        <v>1002</v>
      </c>
      <c r="E43" s="10" t="s">
        <v>40</v>
      </c>
      <c r="F43" s="10" t="s">
        <v>41</v>
      </c>
    </row>
    <row r="44" spans="1:6" s="13" customFormat="1" ht="13.3" x14ac:dyDescent="0.35">
      <c r="A44" s="21" t="s">
        <v>983</v>
      </c>
      <c r="B44" s="32" t="s">
        <v>984</v>
      </c>
      <c r="C44" s="23" t="s">
        <v>985</v>
      </c>
      <c r="D44" s="23">
        <v>1006</v>
      </c>
      <c r="E44" s="23" t="s">
        <v>40</v>
      </c>
      <c r="F44" s="23" t="s">
        <v>41</v>
      </c>
    </row>
    <row r="45" spans="1:6" s="13" customFormat="1" ht="13.3" x14ac:dyDescent="0.35">
      <c r="A45" s="8" t="s">
        <v>986</v>
      </c>
      <c r="B45" s="9" t="s">
        <v>987</v>
      </c>
      <c r="C45" s="10" t="s">
        <v>513</v>
      </c>
      <c r="D45" s="10">
        <v>1003</v>
      </c>
      <c r="E45" s="10" t="s">
        <v>40</v>
      </c>
      <c r="F45" s="10" t="s">
        <v>41</v>
      </c>
    </row>
    <row r="46" spans="1:6" s="13" customFormat="1" ht="13.3" x14ac:dyDescent="0.35">
      <c r="A46" s="8" t="s">
        <v>988</v>
      </c>
      <c r="B46" s="9" t="s">
        <v>989</v>
      </c>
      <c r="C46" s="10" t="s">
        <v>513</v>
      </c>
      <c r="D46" s="10">
        <v>1003</v>
      </c>
      <c r="E46" s="10" t="s">
        <v>40</v>
      </c>
      <c r="F46" s="10" t="s">
        <v>41</v>
      </c>
    </row>
    <row r="47" spans="1:6" s="13" customFormat="1" ht="13.3" x14ac:dyDescent="0.35">
      <c r="A47" s="8" t="s">
        <v>990</v>
      </c>
      <c r="B47" s="9"/>
      <c r="C47" s="10" t="s">
        <v>513</v>
      </c>
      <c r="D47" s="10">
        <v>1003</v>
      </c>
      <c r="E47" s="10" t="s">
        <v>40</v>
      </c>
      <c r="F47" s="10" t="s">
        <v>41</v>
      </c>
    </row>
    <row r="48" spans="1:6" s="13" customFormat="1" ht="13.3" x14ac:dyDescent="0.35">
      <c r="A48" s="8" t="s">
        <v>991</v>
      </c>
      <c r="B48" s="9"/>
      <c r="C48" s="10" t="s">
        <v>513</v>
      </c>
      <c r="D48" s="10">
        <v>1003</v>
      </c>
      <c r="E48" s="10" t="s">
        <v>40</v>
      </c>
      <c r="F48" s="10" t="s">
        <v>41</v>
      </c>
    </row>
    <row r="49" spans="1:6" s="13" customFormat="1" ht="13.3" x14ac:dyDescent="0.35">
      <c r="A49" s="8" t="s">
        <v>992</v>
      </c>
      <c r="B49" s="9"/>
      <c r="C49" s="10" t="s">
        <v>513</v>
      </c>
      <c r="D49" s="10">
        <v>1003</v>
      </c>
      <c r="E49" s="10" t="s">
        <v>40</v>
      </c>
      <c r="F49" s="10" t="s">
        <v>41</v>
      </c>
    </row>
    <row r="50" spans="1:6" s="13" customFormat="1" ht="13.3" x14ac:dyDescent="0.35">
      <c r="A50" s="8" t="s">
        <v>993</v>
      </c>
      <c r="B50" s="9" t="s">
        <v>994</v>
      </c>
      <c r="C50" s="10" t="s">
        <v>513</v>
      </c>
      <c r="D50" s="10">
        <v>1002</v>
      </c>
      <c r="E50" s="10" t="s">
        <v>40</v>
      </c>
      <c r="F50" s="10" t="s">
        <v>41</v>
      </c>
    </row>
    <row r="51" spans="1:6" s="13" customFormat="1" ht="13.3" x14ac:dyDescent="0.35">
      <c r="A51" s="8" t="s">
        <v>995</v>
      </c>
      <c r="B51" s="9" t="s">
        <v>996</v>
      </c>
      <c r="C51" s="10" t="s">
        <v>513</v>
      </c>
      <c r="D51" s="10">
        <v>1002</v>
      </c>
      <c r="E51" s="10" t="s">
        <v>40</v>
      </c>
      <c r="F51" s="10" t="s">
        <v>41</v>
      </c>
    </row>
    <row r="52" spans="1:6" s="13" customFormat="1" ht="13.3" x14ac:dyDescent="0.35">
      <c r="A52" s="8" t="s">
        <v>997</v>
      </c>
      <c r="B52" s="9" t="s">
        <v>998</v>
      </c>
      <c r="C52" s="10" t="s">
        <v>513</v>
      </c>
      <c r="D52" s="10">
        <v>1006</v>
      </c>
      <c r="E52" s="10" t="s">
        <v>40</v>
      </c>
      <c r="F52" s="10" t="s">
        <v>41</v>
      </c>
    </row>
    <row r="53" spans="1:6" s="13" customFormat="1" ht="13.3" x14ac:dyDescent="0.35">
      <c r="A53" s="8" t="s">
        <v>997</v>
      </c>
      <c r="B53" s="9" t="s">
        <v>998</v>
      </c>
      <c r="C53" s="10" t="s">
        <v>513</v>
      </c>
      <c r="D53" s="10">
        <v>1006</v>
      </c>
      <c r="E53" s="10" t="s">
        <v>40</v>
      </c>
      <c r="F53" s="10" t="s">
        <v>41</v>
      </c>
    </row>
    <row r="54" spans="1:6" s="13" customFormat="1" ht="13.3" x14ac:dyDescent="0.35">
      <c r="A54" s="8" t="s">
        <v>999</v>
      </c>
      <c r="B54" s="9" t="s">
        <v>1000</v>
      </c>
      <c r="C54" s="10" t="s">
        <v>513</v>
      </c>
      <c r="D54" s="10">
        <v>1006</v>
      </c>
      <c r="E54" s="10" t="s">
        <v>40</v>
      </c>
      <c r="F54" s="10" t="s">
        <v>41</v>
      </c>
    </row>
    <row r="55" spans="1:6" s="13" customFormat="1" ht="13.3" x14ac:dyDescent="0.35">
      <c r="A55" s="8" t="s">
        <v>1001</v>
      </c>
      <c r="B55" s="9" t="s">
        <v>1002</v>
      </c>
      <c r="C55" s="10" t="s">
        <v>513</v>
      </c>
      <c r="D55" s="10">
        <v>1002</v>
      </c>
      <c r="E55" s="10" t="s">
        <v>40</v>
      </c>
      <c r="F55" s="10" t="s">
        <v>41</v>
      </c>
    </row>
    <row r="56" spans="1:6" s="13" customFormat="1" ht="13.3" x14ac:dyDescent="0.35">
      <c r="A56" s="8" t="s">
        <v>1003</v>
      </c>
      <c r="B56" s="9" t="s">
        <v>1004</v>
      </c>
      <c r="C56" s="10" t="s">
        <v>513</v>
      </c>
      <c r="D56" s="10">
        <v>1002</v>
      </c>
      <c r="E56" s="10" t="s">
        <v>40</v>
      </c>
      <c r="F56" s="10" t="s">
        <v>41</v>
      </c>
    </row>
    <row r="57" spans="1:6" s="13" customFormat="1" ht="13.3" x14ac:dyDescent="0.35">
      <c r="A57" s="8" t="s">
        <v>1005</v>
      </c>
      <c r="B57" s="9" t="s">
        <v>1006</v>
      </c>
      <c r="C57" s="10" t="s">
        <v>513</v>
      </c>
      <c r="D57" s="10">
        <v>1002</v>
      </c>
      <c r="E57" s="10" t="s">
        <v>40</v>
      </c>
      <c r="F57" s="10" t="s">
        <v>41</v>
      </c>
    </row>
    <row r="58" spans="1:6" s="13" customFormat="1" ht="13.3" x14ac:dyDescent="0.35">
      <c r="A58" s="8" t="s">
        <v>1007</v>
      </c>
      <c r="B58" s="9" t="s">
        <v>1008</v>
      </c>
      <c r="C58" s="10" t="s">
        <v>513</v>
      </c>
      <c r="D58" s="10">
        <v>1002</v>
      </c>
      <c r="E58" s="10" t="s">
        <v>40</v>
      </c>
      <c r="F58" s="10" t="s">
        <v>41</v>
      </c>
    </row>
    <row r="59" spans="1:6" s="13" customFormat="1" ht="13.3" x14ac:dyDescent="0.35">
      <c r="A59" s="8" t="s">
        <v>1009</v>
      </c>
      <c r="B59" s="9" t="s">
        <v>1010</v>
      </c>
      <c r="C59" s="10" t="s">
        <v>513</v>
      </c>
      <c r="D59" s="10">
        <v>1002</v>
      </c>
      <c r="E59" s="10" t="s">
        <v>40</v>
      </c>
      <c r="F59" s="10" t="s">
        <v>41</v>
      </c>
    </row>
    <row r="60" spans="1:6" s="13" customFormat="1" ht="13.3" x14ac:dyDescent="0.35">
      <c r="A60" s="8" t="s">
        <v>1011</v>
      </c>
      <c r="B60" s="9" t="s">
        <v>1012</v>
      </c>
      <c r="C60" s="10" t="s">
        <v>513</v>
      </c>
      <c r="D60" s="10">
        <v>1002</v>
      </c>
      <c r="E60" s="10" t="s">
        <v>40</v>
      </c>
      <c r="F60" s="10" t="s">
        <v>41</v>
      </c>
    </row>
    <row r="61" spans="1:6" s="13" customFormat="1" ht="13.3" x14ac:dyDescent="0.35">
      <c r="A61" s="8" t="s">
        <v>1013</v>
      </c>
      <c r="B61" s="7" t="s">
        <v>1014</v>
      </c>
      <c r="C61" s="10" t="s">
        <v>513</v>
      </c>
      <c r="D61" s="10">
        <v>1002</v>
      </c>
      <c r="E61" s="10" t="s">
        <v>40</v>
      </c>
      <c r="F61" s="10" t="s">
        <v>41</v>
      </c>
    </row>
    <row r="62" spans="1:6" s="13" customFormat="1" ht="13.3" x14ac:dyDescent="0.35">
      <c r="A62" s="8" t="s">
        <v>1015</v>
      </c>
      <c r="B62" s="9" t="s">
        <v>1016</v>
      </c>
      <c r="C62" s="10" t="s">
        <v>513</v>
      </c>
      <c r="D62" s="10">
        <v>1002</v>
      </c>
      <c r="E62" s="10" t="s">
        <v>40</v>
      </c>
      <c r="F62" s="10" t="s">
        <v>41</v>
      </c>
    </row>
    <row r="63" spans="1:6" s="13" customFormat="1" ht="13.3" x14ac:dyDescent="0.35">
      <c r="A63" s="8" t="s">
        <v>1017</v>
      </c>
      <c r="B63" s="9" t="s">
        <v>1018</v>
      </c>
      <c r="C63" s="10" t="s">
        <v>513</v>
      </c>
      <c r="D63" s="10">
        <v>1002</v>
      </c>
      <c r="E63" s="10" t="s">
        <v>40</v>
      </c>
      <c r="F63" s="10" t="s">
        <v>41</v>
      </c>
    </row>
    <row r="64" spans="1:6" s="13" customFormat="1" ht="13.3" x14ac:dyDescent="0.35">
      <c r="A64" s="8" t="s">
        <v>1019</v>
      </c>
      <c r="B64" s="9" t="s">
        <v>1020</v>
      </c>
      <c r="C64" s="10" t="s">
        <v>513</v>
      </c>
      <c r="D64" s="10">
        <v>1002</v>
      </c>
      <c r="E64" s="10" t="s">
        <v>40</v>
      </c>
      <c r="F64" s="10" t="s">
        <v>41</v>
      </c>
    </row>
    <row r="65" spans="1:6" s="13" customFormat="1" ht="13.3" x14ac:dyDescent="0.35">
      <c r="A65" s="8" t="s">
        <v>883</v>
      </c>
      <c r="B65" s="9" t="s">
        <v>1021</v>
      </c>
      <c r="C65" s="10" t="s">
        <v>513</v>
      </c>
      <c r="D65" s="10">
        <v>1002</v>
      </c>
      <c r="E65" s="10" t="s">
        <v>40</v>
      </c>
      <c r="F65" s="10" t="s">
        <v>41</v>
      </c>
    </row>
    <row r="66" spans="1:6" s="13" customFormat="1" ht="13.3" x14ac:dyDescent="0.35">
      <c r="A66" s="8" t="s">
        <v>1022</v>
      </c>
      <c r="B66" s="9" t="s">
        <v>1023</v>
      </c>
      <c r="C66" s="10" t="s">
        <v>513</v>
      </c>
      <c r="D66" s="10">
        <v>1002</v>
      </c>
      <c r="E66" s="10" t="s">
        <v>40</v>
      </c>
      <c r="F66" s="10" t="s">
        <v>41</v>
      </c>
    </row>
    <row r="67" spans="1:6" s="13" customFormat="1" ht="13.3" x14ac:dyDescent="0.35">
      <c r="A67" s="8" t="s">
        <v>1024</v>
      </c>
      <c r="B67" s="9" t="s">
        <v>1025</v>
      </c>
      <c r="C67" s="10" t="s">
        <v>513</v>
      </c>
      <c r="D67" s="10">
        <v>1002</v>
      </c>
      <c r="E67" s="10" t="s">
        <v>40</v>
      </c>
      <c r="F67" s="10" t="s">
        <v>41</v>
      </c>
    </row>
    <row r="68" spans="1:6" s="13" customFormat="1" ht="13.3" x14ac:dyDescent="0.35">
      <c r="A68" s="8" t="s">
        <v>1026</v>
      </c>
      <c r="B68" s="9" t="s">
        <v>1027</v>
      </c>
      <c r="C68" s="10" t="s">
        <v>513</v>
      </c>
      <c r="D68" s="10">
        <v>1002</v>
      </c>
      <c r="E68" s="10" t="s">
        <v>40</v>
      </c>
      <c r="F68" s="10" t="s">
        <v>41</v>
      </c>
    </row>
    <row r="69" spans="1:6" s="13" customFormat="1" ht="13.3" x14ac:dyDescent="0.35">
      <c r="A69" s="8" t="s">
        <v>1028</v>
      </c>
      <c r="B69" s="9" t="s">
        <v>1029</v>
      </c>
      <c r="C69" s="10" t="s">
        <v>513</v>
      </c>
      <c r="D69" s="10">
        <v>1002</v>
      </c>
      <c r="E69" s="10" t="s">
        <v>40</v>
      </c>
      <c r="F69" s="10" t="s">
        <v>41</v>
      </c>
    </row>
    <row r="70" spans="1:6" s="13" customFormat="1" ht="13.3" x14ac:dyDescent="0.35">
      <c r="A70" s="8" t="s">
        <v>1030</v>
      </c>
      <c r="B70" s="9" t="s">
        <v>1031</v>
      </c>
      <c r="C70" s="10" t="s">
        <v>513</v>
      </c>
      <c r="D70" s="10">
        <v>1002</v>
      </c>
      <c r="E70" s="10" t="s">
        <v>40</v>
      </c>
      <c r="F70" s="10" t="s">
        <v>41</v>
      </c>
    </row>
    <row r="71" spans="1:6" s="13" customFormat="1" ht="13.3" x14ac:dyDescent="0.35">
      <c r="A71" s="8" t="s">
        <v>1032</v>
      </c>
      <c r="B71" s="9" t="s">
        <v>1033</v>
      </c>
      <c r="C71" s="10" t="s">
        <v>513</v>
      </c>
      <c r="D71" s="10">
        <v>1002</v>
      </c>
      <c r="E71" s="10" t="s">
        <v>40</v>
      </c>
      <c r="F71" s="10" t="s">
        <v>41</v>
      </c>
    </row>
    <row r="72" spans="1:6" s="13" customFormat="1" ht="13.3" x14ac:dyDescent="0.35">
      <c r="A72" s="8" t="s">
        <v>1034</v>
      </c>
      <c r="B72" s="7" t="s">
        <v>1035</v>
      </c>
      <c r="C72" s="10" t="s">
        <v>513</v>
      </c>
      <c r="D72" s="10">
        <v>1002</v>
      </c>
      <c r="E72" s="10" t="s">
        <v>40</v>
      </c>
      <c r="F72" s="10" t="s">
        <v>41</v>
      </c>
    </row>
    <row r="73" spans="1:6" s="13" customFormat="1" ht="13.3" x14ac:dyDescent="0.35">
      <c r="A73" s="8" t="s">
        <v>1036</v>
      </c>
      <c r="B73" s="7" t="s">
        <v>1037</v>
      </c>
      <c r="C73" s="10" t="s">
        <v>513</v>
      </c>
      <c r="D73" s="10">
        <v>1002</v>
      </c>
      <c r="E73" s="10" t="s">
        <v>40</v>
      </c>
      <c r="F73" s="10" t="s">
        <v>41</v>
      </c>
    </row>
    <row r="74" spans="1:6" s="13" customFormat="1" ht="13.3" x14ac:dyDescent="0.35">
      <c r="A74" s="8" t="s">
        <v>756</v>
      </c>
      <c r="B74" s="9" t="s">
        <v>1038</v>
      </c>
      <c r="C74" s="10" t="s">
        <v>513</v>
      </c>
      <c r="D74" s="10">
        <v>1002</v>
      </c>
      <c r="E74" s="10" t="s">
        <v>40</v>
      </c>
      <c r="F74" s="10" t="s">
        <v>41</v>
      </c>
    </row>
    <row r="75" spans="1:6" s="13" customFormat="1" ht="13.3" x14ac:dyDescent="0.35">
      <c r="A75" s="8" t="s">
        <v>1039</v>
      </c>
      <c r="B75" s="9" t="s">
        <v>1040</v>
      </c>
      <c r="C75" s="10" t="s">
        <v>513</v>
      </c>
      <c r="D75" s="10">
        <v>1002</v>
      </c>
      <c r="E75" s="10" t="s">
        <v>40</v>
      </c>
      <c r="F75" s="10" t="s">
        <v>41</v>
      </c>
    </row>
    <row r="76" spans="1:6" s="13" customFormat="1" ht="13.3" x14ac:dyDescent="0.35">
      <c r="A76" s="8" t="s">
        <v>1041</v>
      </c>
      <c r="B76" s="9" t="s">
        <v>1042</v>
      </c>
      <c r="C76" s="10" t="s">
        <v>1043</v>
      </c>
      <c r="D76" s="10">
        <v>1006</v>
      </c>
      <c r="E76" s="10" t="s">
        <v>40</v>
      </c>
      <c r="F76" s="10" t="s">
        <v>41</v>
      </c>
    </row>
    <row r="77" spans="1:6" s="13" customFormat="1" ht="13.3" x14ac:dyDescent="0.35">
      <c r="A77" s="8" t="s">
        <v>1044</v>
      </c>
      <c r="B77" s="9" t="s">
        <v>1045</v>
      </c>
      <c r="C77" s="10" t="s">
        <v>1043</v>
      </c>
      <c r="D77" s="10">
        <v>1002</v>
      </c>
      <c r="E77" s="10" t="s">
        <v>40</v>
      </c>
      <c r="F77" s="10" t="s">
        <v>41</v>
      </c>
    </row>
    <row r="78" spans="1:6" s="13" customFormat="1" ht="13.3" x14ac:dyDescent="0.35">
      <c r="A78" s="8" t="s">
        <v>1046</v>
      </c>
      <c r="B78" s="9" t="s">
        <v>1047</v>
      </c>
      <c r="C78" s="10" t="s">
        <v>525</v>
      </c>
      <c r="D78" s="10">
        <v>1003</v>
      </c>
      <c r="E78" s="10" t="s">
        <v>40</v>
      </c>
      <c r="F78" s="10" t="s">
        <v>41</v>
      </c>
    </row>
    <row r="79" spans="1:6" s="13" customFormat="1" ht="13.3" x14ac:dyDescent="0.35">
      <c r="A79" s="8" t="s">
        <v>1048</v>
      </c>
      <c r="B79" s="9" t="s">
        <v>1049</v>
      </c>
      <c r="C79" s="10" t="s">
        <v>525</v>
      </c>
      <c r="D79" s="10">
        <v>1003</v>
      </c>
      <c r="E79" s="10" t="s">
        <v>40</v>
      </c>
      <c r="F79" s="10" t="s">
        <v>41</v>
      </c>
    </row>
    <row r="80" spans="1:6" s="13" customFormat="1" ht="13.3" x14ac:dyDescent="0.35">
      <c r="A80" s="8" t="s">
        <v>1050</v>
      </c>
      <c r="B80" s="9" t="s">
        <v>1051</v>
      </c>
      <c r="C80" s="10" t="s">
        <v>525</v>
      </c>
      <c r="D80" s="10">
        <v>1003</v>
      </c>
      <c r="E80" s="10" t="s">
        <v>40</v>
      </c>
      <c r="F80" s="10" t="s">
        <v>41</v>
      </c>
    </row>
    <row r="81" spans="1:6" s="13" customFormat="1" ht="13.3" x14ac:dyDescent="0.35">
      <c r="A81" s="8" t="s">
        <v>1052</v>
      </c>
      <c r="B81" s="9" t="s">
        <v>1053</v>
      </c>
      <c r="C81" s="10" t="s">
        <v>525</v>
      </c>
      <c r="D81" s="10">
        <v>1003</v>
      </c>
      <c r="E81" s="10" t="s">
        <v>40</v>
      </c>
      <c r="F81" s="10" t="s">
        <v>41</v>
      </c>
    </row>
    <row r="82" spans="1:6" s="13" customFormat="1" ht="13.3" x14ac:dyDescent="0.35">
      <c r="A82" s="8" t="s">
        <v>1054</v>
      </c>
      <c r="B82" s="9" t="s">
        <v>1055</v>
      </c>
      <c r="C82" s="10" t="s">
        <v>525</v>
      </c>
      <c r="D82" s="10">
        <v>1003</v>
      </c>
      <c r="E82" s="10" t="s">
        <v>40</v>
      </c>
      <c r="F82" s="10" t="s">
        <v>41</v>
      </c>
    </row>
    <row r="83" spans="1:6" s="13" customFormat="1" ht="13.3" x14ac:dyDescent="0.35">
      <c r="A83" s="8" t="s">
        <v>1056</v>
      </c>
      <c r="B83" s="9" t="s">
        <v>1057</v>
      </c>
      <c r="C83" s="10" t="s">
        <v>525</v>
      </c>
      <c r="D83" s="10">
        <v>1003</v>
      </c>
      <c r="E83" s="10" t="s">
        <v>40</v>
      </c>
      <c r="F83" s="10" t="s">
        <v>41</v>
      </c>
    </row>
    <row r="84" spans="1:6" s="13" customFormat="1" ht="13.3" x14ac:dyDescent="0.35">
      <c r="A84" s="8" t="s">
        <v>1058</v>
      </c>
      <c r="B84" s="9" t="s">
        <v>1059</v>
      </c>
      <c r="C84" s="10" t="s">
        <v>525</v>
      </c>
      <c r="D84" s="10">
        <v>1003</v>
      </c>
      <c r="E84" s="10" t="s">
        <v>40</v>
      </c>
      <c r="F84" s="10" t="s">
        <v>41</v>
      </c>
    </row>
    <row r="85" spans="1:6" s="13" customFormat="1" ht="13.3" x14ac:dyDescent="0.35">
      <c r="A85" s="8" t="s">
        <v>1060</v>
      </c>
      <c r="B85" s="9"/>
      <c r="C85" s="10" t="s">
        <v>525</v>
      </c>
      <c r="D85" s="10">
        <v>1003</v>
      </c>
      <c r="E85" s="10" t="s">
        <v>40</v>
      </c>
      <c r="F85" s="10" t="s">
        <v>41</v>
      </c>
    </row>
    <row r="86" spans="1:6" s="13" customFormat="1" ht="13.3" x14ac:dyDescent="0.35">
      <c r="A86" s="8" t="s">
        <v>1061</v>
      </c>
      <c r="B86" s="9"/>
      <c r="C86" s="10" t="s">
        <v>525</v>
      </c>
      <c r="D86" s="10">
        <v>1003</v>
      </c>
      <c r="E86" s="10" t="s">
        <v>40</v>
      </c>
      <c r="F86" s="10" t="s">
        <v>41</v>
      </c>
    </row>
    <row r="87" spans="1:6" s="13" customFormat="1" ht="13.3" x14ac:dyDescent="0.35">
      <c r="A87" s="8" t="s">
        <v>1062</v>
      </c>
      <c r="B87" s="9"/>
      <c r="C87" s="10" t="s">
        <v>525</v>
      </c>
      <c r="D87" s="10">
        <v>1003</v>
      </c>
      <c r="E87" s="10" t="s">
        <v>40</v>
      </c>
      <c r="F87" s="10" t="s">
        <v>41</v>
      </c>
    </row>
    <row r="88" spans="1:6" s="13" customFormat="1" ht="13.3" x14ac:dyDescent="0.35">
      <c r="A88" s="8" t="s">
        <v>1063</v>
      </c>
      <c r="B88" s="9"/>
      <c r="C88" s="10" t="s">
        <v>525</v>
      </c>
      <c r="D88" s="10">
        <v>1003</v>
      </c>
      <c r="E88" s="10" t="s">
        <v>40</v>
      </c>
      <c r="F88" s="10" t="s">
        <v>41</v>
      </c>
    </row>
    <row r="89" spans="1:6" s="13" customFormat="1" ht="13.3" x14ac:dyDescent="0.35">
      <c r="A89" s="14" t="s">
        <v>1064</v>
      </c>
      <c r="B89" s="9" t="s">
        <v>1065</v>
      </c>
      <c r="C89" s="10" t="s">
        <v>773</v>
      </c>
      <c r="D89" s="10">
        <v>1006</v>
      </c>
      <c r="E89" s="10" t="s">
        <v>40</v>
      </c>
      <c r="F89" s="10" t="s">
        <v>41</v>
      </c>
    </row>
    <row r="90" spans="1:6" s="13" customFormat="1" ht="13.3" x14ac:dyDescent="0.35">
      <c r="A90" s="8" t="s">
        <v>1066</v>
      </c>
      <c r="B90" s="9" t="s">
        <v>1067</v>
      </c>
      <c r="C90" s="10" t="s">
        <v>773</v>
      </c>
      <c r="D90" s="10">
        <v>1002</v>
      </c>
      <c r="E90" s="10" t="s">
        <v>40</v>
      </c>
      <c r="F90" s="10" t="s">
        <v>41</v>
      </c>
    </row>
    <row r="91" spans="1:6" s="13" customFormat="1" ht="13.3" x14ac:dyDescent="0.35">
      <c r="A91" s="8" t="s">
        <v>538</v>
      </c>
      <c r="B91" s="9" t="s">
        <v>539</v>
      </c>
      <c r="C91" s="10" t="s">
        <v>540</v>
      </c>
      <c r="D91" s="10">
        <v>1005</v>
      </c>
      <c r="E91" s="10" t="s">
        <v>40</v>
      </c>
      <c r="F91" s="10" t="s">
        <v>41</v>
      </c>
    </row>
    <row r="92" spans="1:6" s="13" customFormat="1" ht="13.3" x14ac:dyDescent="0.35">
      <c r="A92" s="8" t="s">
        <v>541</v>
      </c>
      <c r="B92" s="9" t="s">
        <v>542</v>
      </c>
      <c r="C92" s="10" t="s">
        <v>540</v>
      </c>
      <c r="D92" s="10">
        <v>1005</v>
      </c>
      <c r="E92" s="10" t="s">
        <v>40</v>
      </c>
      <c r="F92" s="10" t="s">
        <v>41</v>
      </c>
    </row>
    <row r="93" spans="1:6" s="13" customFormat="1" ht="13.3" x14ac:dyDescent="0.35">
      <c r="A93" s="8" t="s">
        <v>543</v>
      </c>
      <c r="B93" s="9" t="s">
        <v>542</v>
      </c>
      <c r="C93" s="10" t="s">
        <v>540</v>
      </c>
      <c r="D93" s="10">
        <v>1005</v>
      </c>
      <c r="E93" s="10" t="s">
        <v>40</v>
      </c>
      <c r="F93" s="10" t="s">
        <v>41</v>
      </c>
    </row>
    <row r="94" spans="1:6" s="13" customFormat="1" ht="13.3" x14ac:dyDescent="0.35">
      <c r="A94" s="8" t="s">
        <v>544</v>
      </c>
      <c r="B94" s="9" t="s">
        <v>542</v>
      </c>
      <c r="C94" s="10" t="s">
        <v>540</v>
      </c>
      <c r="D94" s="10">
        <v>1005</v>
      </c>
      <c r="E94" s="10" t="s">
        <v>40</v>
      </c>
      <c r="F94" s="10" t="s">
        <v>41</v>
      </c>
    </row>
    <row r="95" spans="1:6" s="13" customFormat="1" ht="13.3" x14ac:dyDescent="0.35">
      <c r="A95" s="8" t="s">
        <v>545</v>
      </c>
      <c r="B95" s="9" t="s">
        <v>539</v>
      </c>
      <c r="C95" s="10" t="s">
        <v>540</v>
      </c>
      <c r="D95" s="10">
        <v>1005</v>
      </c>
      <c r="E95" s="10" t="s">
        <v>40</v>
      </c>
      <c r="F95" s="10" t="s">
        <v>41</v>
      </c>
    </row>
    <row r="96" spans="1:6" s="13" customFormat="1" ht="13.3" x14ac:dyDescent="0.35">
      <c r="A96" s="8" t="s">
        <v>1458</v>
      </c>
      <c r="B96" s="9" t="s">
        <v>539</v>
      </c>
      <c r="C96" s="10" t="s">
        <v>540</v>
      </c>
      <c r="D96" s="10">
        <v>1005</v>
      </c>
      <c r="E96" s="10" t="s">
        <v>40</v>
      </c>
      <c r="F96" s="10" t="s">
        <v>41</v>
      </c>
    </row>
    <row r="97" spans="1:6" s="13" customFormat="1" ht="13.3" x14ac:dyDescent="0.35">
      <c r="A97" s="8" t="s">
        <v>1237</v>
      </c>
      <c r="B97" s="9" t="s">
        <v>547</v>
      </c>
      <c r="C97" s="10" t="s">
        <v>540</v>
      </c>
      <c r="D97" s="10">
        <v>1005</v>
      </c>
      <c r="E97" s="10" t="s">
        <v>40</v>
      </c>
      <c r="F97" s="10" t="s">
        <v>41</v>
      </c>
    </row>
    <row r="98" spans="1:6" s="13" customFormat="1" ht="13.3" x14ac:dyDescent="0.35">
      <c r="A98" s="8" t="s">
        <v>546</v>
      </c>
      <c r="B98" s="9" t="s">
        <v>547</v>
      </c>
      <c r="C98" s="10" t="s">
        <v>540</v>
      </c>
      <c r="D98" s="10">
        <v>1005</v>
      </c>
      <c r="E98" s="10" t="s">
        <v>40</v>
      </c>
      <c r="F98" s="10" t="s">
        <v>41</v>
      </c>
    </row>
    <row r="99" spans="1:6" s="13" customFormat="1" ht="13.3" x14ac:dyDescent="0.35">
      <c r="A99" s="8" t="s">
        <v>1459</v>
      </c>
      <c r="B99" s="9" t="s">
        <v>547</v>
      </c>
      <c r="C99" s="10" t="s">
        <v>540</v>
      </c>
      <c r="D99" s="10">
        <v>1005</v>
      </c>
      <c r="E99" s="10" t="s">
        <v>40</v>
      </c>
      <c r="F99" s="10" t="s">
        <v>41</v>
      </c>
    </row>
    <row r="100" spans="1:6" s="13" customFormat="1" ht="13.3" x14ac:dyDescent="0.35">
      <c r="A100" s="8" t="s">
        <v>1068</v>
      </c>
      <c r="B100" s="9" t="s">
        <v>1069</v>
      </c>
      <c r="C100" s="10" t="s">
        <v>1070</v>
      </c>
      <c r="D100" s="10">
        <v>1002</v>
      </c>
      <c r="E100" s="10" t="s">
        <v>40</v>
      </c>
      <c r="F100" s="10" t="s">
        <v>41</v>
      </c>
    </row>
    <row r="101" spans="1:6" s="13" customFormat="1" ht="13.3" x14ac:dyDescent="0.35">
      <c r="A101" s="8" t="s">
        <v>1071</v>
      </c>
      <c r="B101" s="9" t="s">
        <v>1072</v>
      </c>
      <c r="C101" s="10" t="s">
        <v>1073</v>
      </c>
      <c r="D101" s="10">
        <v>1006</v>
      </c>
      <c r="E101" s="10" t="s">
        <v>40</v>
      </c>
      <c r="F101" s="10" t="s">
        <v>41</v>
      </c>
    </row>
    <row r="102" spans="1:6" s="13" customFormat="1" ht="13.3" x14ac:dyDescent="0.35">
      <c r="A102" s="8" t="s">
        <v>1074</v>
      </c>
      <c r="B102" s="9" t="s">
        <v>1075</v>
      </c>
      <c r="C102" s="10" t="s">
        <v>1076</v>
      </c>
      <c r="D102" s="10">
        <v>1104</v>
      </c>
      <c r="E102" s="10" t="s">
        <v>92</v>
      </c>
      <c r="F102" s="10" t="s">
        <v>95</v>
      </c>
    </row>
    <row r="103" spans="1:6" s="13" customFormat="1" ht="13.3" x14ac:dyDescent="0.35">
      <c r="A103" s="8" t="s">
        <v>1077</v>
      </c>
      <c r="B103" s="9" t="s">
        <v>1078</v>
      </c>
      <c r="C103" s="10" t="s">
        <v>578</v>
      </c>
      <c r="D103" s="10">
        <v>1006</v>
      </c>
      <c r="E103" s="10" t="s">
        <v>40</v>
      </c>
      <c r="F103" s="10" t="s">
        <v>41</v>
      </c>
    </row>
    <row r="104" spans="1:6" s="13" customFormat="1" ht="13.3" x14ac:dyDescent="0.35">
      <c r="A104" s="8" t="s">
        <v>1079</v>
      </c>
      <c r="B104" s="9" t="s">
        <v>1080</v>
      </c>
      <c r="C104" s="10" t="s">
        <v>588</v>
      </c>
      <c r="D104" s="10">
        <v>1002</v>
      </c>
      <c r="E104" s="10" t="s">
        <v>40</v>
      </c>
      <c r="F104" s="10" t="s">
        <v>41</v>
      </c>
    </row>
    <row r="105" spans="1:6" s="13" customFormat="1" ht="13.3" x14ac:dyDescent="0.35">
      <c r="A105" s="8" t="s">
        <v>1081</v>
      </c>
      <c r="B105" s="9" t="s">
        <v>1082</v>
      </c>
      <c r="C105" s="10" t="s">
        <v>594</v>
      </c>
      <c r="D105" s="10">
        <v>1002</v>
      </c>
      <c r="E105" s="10" t="s">
        <v>40</v>
      </c>
      <c r="F105" s="10" t="s">
        <v>41</v>
      </c>
    </row>
    <row r="106" spans="1:6" s="13" customFormat="1" ht="13.3" x14ac:dyDescent="0.35">
      <c r="A106" s="8" t="s">
        <v>1083</v>
      </c>
      <c r="B106" s="9" t="s">
        <v>1084</v>
      </c>
      <c r="C106" s="10" t="s">
        <v>594</v>
      </c>
      <c r="D106" s="10">
        <v>1002</v>
      </c>
      <c r="E106" s="10" t="s">
        <v>40</v>
      </c>
      <c r="F106" s="10" t="s">
        <v>41</v>
      </c>
    </row>
    <row r="107" spans="1:6" s="13" customFormat="1" ht="13.3" x14ac:dyDescent="0.35">
      <c r="A107" s="8" t="s">
        <v>1085</v>
      </c>
      <c r="B107" s="9" t="s">
        <v>1086</v>
      </c>
      <c r="C107" s="10" t="s">
        <v>594</v>
      </c>
      <c r="D107" s="10">
        <v>1002</v>
      </c>
      <c r="E107" s="10" t="s">
        <v>40</v>
      </c>
      <c r="F107" s="10" t="s">
        <v>41</v>
      </c>
    </row>
    <row r="108" spans="1:6" s="13" customFormat="1" ht="13.3" x14ac:dyDescent="0.35">
      <c r="A108" s="8" t="s">
        <v>1087</v>
      </c>
      <c r="B108" s="9" t="s">
        <v>1088</v>
      </c>
      <c r="C108" s="10" t="s">
        <v>594</v>
      </c>
      <c r="D108" s="10">
        <v>1002</v>
      </c>
      <c r="E108" s="10" t="s">
        <v>40</v>
      </c>
      <c r="F108" s="10" t="s">
        <v>41</v>
      </c>
    </row>
    <row r="109" spans="1:6" s="13" customFormat="1" ht="13.3" x14ac:dyDescent="0.35">
      <c r="A109" s="8" t="s">
        <v>1089</v>
      </c>
      <c r="B109" s="9" t="s">
        <v>1090</v>
      </c>
      <c r="C109" s="10" t="s">
        <v>594</v>
      </c>
      <c r="D109" s="10">
        <v>1002</v>
      </c>
      <c r="E109" s="10" t="s">
        <v>40</v>
      </c>
      <c r="F109" s="10" t="s">
        <v>41</v>
      </c>
    </row>
    <row r="110" spans="1:6" s="13" customFormat="1" ht="13.3" x14ac:dyDescent="0.35">
      <c r="A110" s="21" t="s">
        <v>1091</v>
      </c>
      <c r="B110" s="22" t="s">
        <v>1092</v>
      </c>
      <c r="C110" s="23" t="s">
        <v>594</v>
      </c>
      <c r="D110" s="23">
        <v>1006</v>
      </c>
      <c r="E110" s="23" t="s">
        <v>40</v>
      </c>
      <c r="F110" s="23" t="s">
        <v>41</v>
      </c>
    </row>
    <row r="111" spans="1:6" s="13" customFormat="1" ht="13.3" x14ac:dyDescent="0.35">
      <c r="A111" s="8" t="s">
        <v>1093</v>
      </c>
      <c r="B111" s="9" t="s">
        <v>1094</v>
      </c>
      <c r="C111" s="10" t="s">
        <v>594</v>
      </c>
      <c r="D111" s="10">
        <v>1002</v>
      </c>
      <c r="E111" s="10" t="s">
        <v>40</v>
      </c>
      <c r="F111" s="10" t="s">
        <v>41</v>
      </c>
    </row>
    <row r="112" spans="1:6" s="13" customFormat="1" ht="13.3" x14ac:dyDescent="0.35">
      <c r="A112" s="8" t="s">
        <v>1095</v>
      </c>
      <c r="B112" s="9" t="s">
        <v>1096</v>
      </c>
      <c r="C112" s="10" t="s">
        <v>594</v>
      </c>
      <c r="D112" s="10">
        <v>1004</v>
      </c>
      <c r="E112" s="10" t="s">
        <v>40</v>
      </c>
      <c r="F112" s="10" t="s">
        <v>41</v>
      </c>
    </row>
    <row r="113" spans="1:6" s="13" customFormat="1" ht="13.3" x14ac:dyDescent="0.35">
      <c r="A113" s="8" t="s">
        <v>1097</v>
      </c>
      <c r="B113" s="9" t="s">
        <v>1098</v>
      </c>
      <c r="C113" s="10" t="s">
        <v>594</v>
      </c>
      <c r="D113" s="10">
        <v>1002</v>
      </c>
      <c r="E113" s="10" t="s">
        <v>40</v>
      </c>
      <c r="F113" s="10" t="s">
        <v>41</v>
      </c>
    </row>
    <row r="114" spans="1:6" s="13" customFormat="1" ht="13.3" x14ac:dyDescent="0.35">
      <c r="A114" s="8" t="s">
        <v>1099</v>
      </c>
      <c r="B114" s="9" t="s">
        <v>1100</v>
      </c>
      <c r="C114" s="10" t="s">
        <v>594</v>
      </c>
      <c r="D114" s="10">
        <v>1002</v>
      </c>
      <c r="E114" s="10" t="s">
        <v>40</v>
      </c>
      <c r="F114" s="10" t="s">
        <v>41</v>
      </c>
    </row>
    <row r="115" spans="1:6" s="13" customFormat="1" ht="13.3" x14ac:dyDescent="0.35">
      <c r="A115" s="8" t="s">
        <v>1101</v>
      </c>
      <c r="B115" s="9" t="s">
        <v>1102</v>
      </c>
      <c r="C115" s="10" t="s">
        <v>697</v>
      </c>
      <c r="D115" s="10">
        <v>1002</v>
      </c>
      <c r="E115" s="10" t="s">
        <v>40</v>
      </c>
      <c r="F115" s="10" t="s">
        <v>41</v>
      </c>
    </row>
    <row r="116" spans="1:6" s="13" customFormat="1" ht="13.3" x14ac:dyDescent="0.35">
      <c r="A116" s="8" t="s">
        <v>1103</v>
      </c>
      <c r="B116" s="9" t="s">
        <v>1104</v>
      </c>
      <c r="C116" s="10" t="s">
        <v>697</v>
      </c>
      <c r="D116" s="10">
        <v>1002</v>
      </c>
      <c r="E116" s="10" t="s">
        <v>40</v>
      </c>
      <c r="F116" s="10" t="s">
        <v>41</v>
      </c>
    </row>
    <row r="117" spans="1:6" s="13" customFormat="1" ht="13.3" x14ac:dyDescent="0.35">
      <c r="A117" s="8" t="s">
        <v>1105</v>
      </c>
      <c r="B117" s="9" t="s">
        <v>1106</v>
      </c>
      <c r="C117" s="10" t="s">
        <v>697</v>
      </c>
      <c r="D117" s="10">
        <v>1006</v>
      </c>
      <c r="E117" s="10" t="s">
        <v>40</v>
      </c>
      <c r="F117" s="10" t="s">
        <v>41</v>
      </c>
    </row>
    <row r="118" spans="1:6" s="13" customFormat="1" ht="13.3" x14ac:dyDescent="0.35">
      <c r="A118" s="8" t="s">
        <v>1107</v>
      </c>
      <c r="B118" s="9" t="s">
        <v>1108</v>
      </c>
      <c r="C118" s="10" t="s">
        <v>697</v>
      </c>
      <c r="D118" s="10">
        <v>1006</v>
      </c>
      <c r="E118" s="10" t="s">
        <v>40</v>
      </c>
      <c r="F118" s="10" t="s">
        <v>41</v>
      </c>
    </row>
    <row r="119" spans="1:6" s="13" customFormat="1" ht="13.3" x14ac:dyDescent="0.35">
      <c r="A119" s="8" t="s">
        <v>1109</v>
      </c>
      <c r="B119" s="9" t="s">
        <v>1110</v>
      </c>
      <c r="C119" s="10" t="s">
        <v>697</v>
      </c>
      <c r="D119" s="10">
        <v>1006</v>
      </c>
      <c r="E119" s="10" t="s">
        <v>40</v>
      </c>
      <c r="F119" s="10" t="s">
        <v>41</v>
      </c>
    </row>
    <row r="120" spans="1:6" s="13" customFormat="1" ht="13.3" x14ac:dyDescent="0.35">
      <c r="A120" s="8" t="s">
        <v>1109</v>
      </c>
      <c r="B120" s="9" t="s">
        <v>1110</v>
      </c>
      <c r="C120" s="10" t="s">
        <v>697</v>
      </c>
      <c r="D120" s="10">
        <v>1006</v>
      </c>
      <c r="E120" s="10" t="s">
        <v>40</v>
      </c>
      <c r="F120" s="10" t="s">
        <v>41</v>
      </c>
    </row>
    <row r="121" spans="1:6" s="13" customFormat="1" ht="13.3" x14ac:dyDescent="0.35">
      <c r="A121" s="8" t="s">
        <v>1111</v>
      </c>
      <c r="B121" s="9" t="s">
        <v>1112</v>
      </c>
      <c r="C121" s="10" t="s">
        <v>697</v>
      </c>
      <c r="D121" s="10">
        <v>1002</v>
      </c>
      <c r="E121" s="10" t="s">
        <v>40</v>
      </c>
      <c r="F121" s="10" t="s">
        <v>41</v>
      </c>
    </row>
    <row r="122" spans="1:6" s="13" customFormat="1" ht="13.3" x14ac:dyDescent="0.35">
      <c r="A122" s="8" t="s">
        <v>1113</v>
      </c>
      <c r="B122" s="9" t="s">
        <v>1114</v>
      </c>
      <c r="C122" s="10" t="s">
        <v>697</v>
      </c>
      <c r="D122" s="10">
        <v>1004</v>
      </c>
      <c r="E122" s="10" t="s">
        <v>40</v>
      </c>
      <c r="F122" s="10" t="s">
        <v>41</v>
      </c>
    </row>
    <row r="123" spans="1:6" s="13" customFormat="1" ht="13.3" x14ac:dyDescent="0.35">
      <c r="A123" s="8" t="s">
        <v>1115</v>
      </c>
      <c r="B123" s="9" t="s">
        <v>1116</v>
      </c>
      <c r="C123" s="10" t="s">
        <v>697</v>
      </c>
      <c r="D123" s="10">
        <v>1004</v>
      </c>
      <c r="E123" s="10" t="s">
        <v>40</v>
      </c>
      <c r="F123" s="10" t="s">
        <v>41</v>
      </c>
    </row>
    <row r="124" spans="1:6" s="13" customFormat="1" ht="13.3" x14ac:dyDescent="0.35">
      <c r="A124" s="8" t="s">
        <v>1117</v>
      </c>
      <c r="B124" s="9" t="s">
        <v>1118</v>
      </c>
      <c r="C124" s="10" t="s">
        <v>697</v>
      </c>
      <c r="D124" s="10">
        <v>1002</v>
      </c>
      <c r="E124" s="10" t="s">
        <v>40</v>
      </c>
      <c r="F124" s="10" t="s">
        <v>41</v>
      </c>
    </row>
    <row r="125" spans="1:6" s="13" customFormat="1" ht="13.3" x14ac:dyDescent="0.35">
      <c r="A125" s="8" t="s">
        <v>1119</v>
      </c>
      <c r="B125" s="9" t="s">
        <v>1120</v>
      </c>
      <c r="C125" s="10" t="s">
        <v>697</v>
      </c>
      <c r="D125" s="10">
        <v>1006</v>
      </c>
      <c r="E125" s="10" t="s">
        <v>40</v>
      </c>
      <c r="F125" s="10" t="s">
        <v>41</v>
      </c>
    </row>
    <row r="126" spans="1:6" s="13" customFormat="1" ht="13.3" x14ac:dyDescent="0.35">
      <c r="A126" s="8" t="s">
        <v>1121</v>
      </c>
      <c r="B126" s="9" t="s">
        <v>1120</v>
      </c>
      <c r="C126" s="10" t="s">
        <v>697</v>
      </c>
      <c r="D126" s="10">
        <v>1006</v>
      </c>
      <c r="E126" s="10" t="s">
        <v>40</v>
      </c>
      <c r="F126" s="10" t="s">
        <v>41</v>
      </c>
    </row>
    <row r="127" spans="1:6" s="13" customFormat="1" ht="13.3" x14ac:dyDescent="0.35">
      <c r="A127" s="8" t="s">
        <v>1121</v>
      </c>
      <c r="B127" s="9" t="s">
        <v>1120</v>
      </c>
      <c r="C127" s="10" t="s">
        <v>697</v>
      </c>
      <c r="D127" s="10">
        <v>1006</v>
      </c>
      <c r="E127" s="10" t="s">
        <v>40</v>
      </c>
      <c r="F127" s="10" t="s">
        <v>41</v>
      </c>
    </row>
    <row r="128" spans="1:6" s="13" customFormat="1" ht="13.3" x14ac:dyDescent="0.35">
      <c r="A128" s="8" t="s">
        <v>1122</v>
      </c>
      <c r="B128" s="9" t="s">
        <v>1123</v>
      </c>
      <c r="C128" s="10" t="s">
        <v>697</v>
      </c>
      <c r="D128" s="10">
        <v>1006</v>
      </c>
      <c r="E128" s="10" t="s">
        <v>40</v>
      </c>
      <c r="F128" s="10" t="s">
        <v>41</v>
      </c>
    </row>
    <row r="129" spans="1:6" s="13" customFormat="1" ht="13.3" x14ac:dyDescent="0.35">
      <c r="A129" s="8" t="s">
        <v>1124</v>
      </c>
      <c r="B129" s="9" t="s">
        <v>1125</v>
      </c>
      <c r="C129" s="10" t="s">
        <v>1126</v>
      </c>
      <c r="D129" s="10">
        <v>1002</v>
      </c>
      <c r="E129" s="10" t="s">
        <v>40</v>
      </c>
      <c r="F129" s="10" t="s">
        <v>41</v>
      </c>
    </row>
    <row r="130" spans="1:6" s="13" customFormat="1" ht="13.3" x14ac:dyDescent="0.35">
      <c r="A130" s="8" t="s">
        <v>1127</v>
      </c>
      <c r="B130" s="9" t="s">
        <v>1128</v>
      </c>
      <c r="C130" s="10" t="s">
        <v>1129</v>
      </c>
      <c r="D130" s="10">
        <v>1005</v>
      </c>
      <c r="E130" s="10" t="s">
        <v>1130</v>
      </c>
      <c r="F130" s="10" t="s">
        <v>41</v>
      </c>
    </row>
    <row r="131" spans="1:6" s="13" customFormat="1" ht="13.3" x14ac:dyDescent="0.35">
      <c r="A131" s="8" t="s">
        <v>1131</v>
      </c>
      <c r="B131" s="9" t="s">
        <v>1132</v>
      </c>
      <c r="C131" s="10" t="s">
        <v>1133</v>
      </c>
      <c r="D131" s="10">
        <v>1001</v>
      </c>
      <c r="E131" s="10" t="s">
        <v>40</v>
      </c>
      <c r="F131" s="10" t="s">
        <v>41</v>
      </c>
    </row>
    <row r="132" spans="1:6" s="13" customFormat="1" ht="13.3" x14ac:dyDescent="0.35">
      <c r="A132" s="8"/>
      <c r="B132" s="9"/>
      <c r="C132" s="10"/>
      <c r="D132" s="10"/>
      <c r="E132" s="10"/>
      <c r="F132" s="10"/>
    </row>
    <row r="133" spans="1:6" s="13" customFormat="1" ht="13.3" x14ac:dyDescent="0.35">
      <c r="A133" s="8"/>
      <c r="B133" s="9"/>
      <c r="C133" s="10"/>
      <c r="D133" s="10"/>
      <c r="E133" s="10"/>
      <c r="F133" s="10"/>
    </row>
    <row r="134" spans="1:6" s="13" customFormat="1" ht="13.3" x14ac:dyDescent="0.35">
      <c r="A134" s="8"/>
      <c r="B134" s="9"/>
      <c r="C134" s="10"/>
      <c r="D134" s="10"/>
      <c r="E134" s="10"/>
      <c r="F134" s="10"/>
    </row>
    <row r="135" spans="1:6" s="13" customFormat="1" ht="13.3" x14ac:dyDescent="0.35">
      <c r="A135" s="8"/>
      <c r="B135" s="9"/>
      <c r="C135" s="10"/>
      <c r="D135" s="10"/>
      <c r="E135" s="10"/>
      <c r="F135" s="10"/>
    </row>
    <row r="136" spans="1:6" s="13" customFormat="1" ht="13.3" x14ac:dyDescent="0.35">
      <c r="A136" s="9"/>
      <c r="B136" s="9"/>
      <c r="C136" s="10"/>
      <c r="D136" s="10"/>
      <c r="E136" s="10"/>
      <c r="F136" s="10"/>
    </row>
    <row r="137" spans="1:6" s="13" customFormat="1" ht="13.3" x14ac:dyDescent="0.35">
      <c r="A137" s="8"/>
      <c r="B137" s="9"/>
      <c r="C137" s="10"/>
      <c r="D137" s="10"/>
      <c r="E137" s="10"/>
      <c r="F137" s="10"/>
    </row>
    <row r="138" spans="1:6" x14ac:dyDescent="0.35">
      <c r="A138" s="8"/>
      <c r="B138" s="9"/>
      <c r="C138" s="10"/>
      <c r="D138" s="10"/>
      <c r="E138" s="10"/>
      <c r="F138" s="10"/>
    </row>
    <row r="139" spans="1:6" s="13" customFormat="1" ht="13.3" x14ac:dyDescent="0.35">
      <c r="A139" s="8"/>
      <c r="B139" s="9"/>
      <c r="C139" s="10"/>
      <c r="D139" s="10"/>
      <c r="E139" s="10"/>
      <c r="F139" s="10"/>
    </row>
    <row r="140" spans="1:6" s="13" customFormat="1" ht="13.3" x14ac:dyDescent="0.35">
      <c r="A140" s="8"/>
      <c r="B140" s="9"/>
      <c r="C140" s="10"/>
      <c r="D140" s="10"/>
      <c r="E140" s="10"/>
      <c r="F140" s="10"/>
    </row>
    <row r="141" spans="1:6" s="13" customFormat="1" ht="13.3" x14ac:dyDescent="0.35">
      <c r="A141" s="8"/>
      <c r="B141" s="9"/>
      <c r="C141" s="10"/>
      <c r="D141" s="10"/>
      <c r="E141" s="10"/>
      <c r="F141" s="10"/>
    </row>
    <row r="142" spans="1:6" x14ac:dyDescent="0.35">
      <c r="A142" s="8"/>
      <c r="B142" s="9"/>
      <c r="C142" s="10"/>
      <c r="D142" s="10"/>
      <c r="E142" s="10"/>
      <c r="F142" s="10"/>
    </row>
    <row r="143" spans="1:6" x14ac:dyDescent="0.35">
      <c r="A143" s="40"/>
      <c r="B143" s="9"/>
      <c r="C143" s="10"/>
      <c r="D143" s="10"/>
      <c r="E143" s="10"/>
      <c r="F143" s="10"/>
    </row>
    <row r="144" spans="1:6" x14ac:dyDescent="0.35">
      <c r="A144" s="8"/>
      <c r="B144" s="9"/>
      <c r="C144" s="10"/>
      <c r="D144" s="10"/>
      <c r="E144" s="10"/>
      <c r="F144" s="10"/>
    </row>
    <row r="145" spans="1:6" x14ac:dyDescent="0.35">
      <c r="A145" s="8"/>
      <c r="B145" s="9"/>
      <c r="C145" s="10"/>
      <c r="D145" s="10"/>
      <c r="E145" s="10"/>
      <c r="F145" s="10"/>
    </row>
    <row r="146" spans="1:6" s="13" customFormat="1" ht="13.3" x14ac:dyDescent="0.35">
      <c r="A146" s="8"/>
      <c r="B146" s="9"/>
      <c r="C146" s="10"/>
      <c r="D146" s="10"/>
      <c r="E146" s="10"/>
      <c r="F146" s="10"/>
    </row>
    <row r="147" spans="1:6" s="13" customFormat="1" ht="13.3" x14ac:dyDescent="0.35">
      <c r="A147" s="8"/>
      <c r="B147" s="9"/>
      <c r="C147" s="10"/>
      <c r="D147" s="10"/>
      <c r="E147" s="10"/>
      <c r="F147" s="10"/>
    </row>
    <row r="148" spans="1:6" s="13" customFormat="1" ht="13.3" x14ac:dyDescent="0.35">
      <c r="A148" s="8"/>
      <c r="B148" s="9"/>
      <c r="C148" s="10"/>
      <c r="D148" s="10"/>
      <c r="E148" s="10"/>
      <c r="F148" s="10"/>
    </row>
    <row r="149" spans="1:6" s="13" customFormat="1" ht="13.3" x14ac:dyDescent="0.35">
      <c r="A149" s="8"/>
      <c r="B149" s="9"/>
      <c r="C149" s="10"/>
      <c r="D149" s="10"/>
      <c r="E149" s="10"/>
      <c r="F149" s="10"/>
    </row>
    <row r="150" spans="1:6" x14ac:dyDescent="0.35">
      <c r="A150" s="8"/>
      <c r="B150" s="9"/>
      <c r="C150" s="10"/>
      <c r="D150" s="10"/>
      <c r="E150" s="10"/>
      <c r="F150" s="10"/>
    </row>
    <row r="151" spans="1:6" s="13" customFormat="1" x14ac:dyDescent="0.35">
      <c r="A151" s="24"/>
      <c r="B151" s="9"/>
      <c r="C151" s="10"/>
      <c r="D151" s="10"/>
      <c r="E151" s="10"/>
      <c r="F151" s="10"/>
    </row>
    <row r="152" spans="1:6" x14ac:dyDescent="0.35">
      <c r="A152" s="40"/>
      <c r="B152" s="9"/>
      <c r="C152" s="10"/>
      <c r="D152" s="10"/>
      <c r="E152" s="10"/>
      <c r="F152" s="10"/>
    </row>
    <row r="153" spans="1:6" s="13" customFormat="1" ht="13.3" x14ac:dyDescent="0.35">
      <c r="A153" s="8"/>
      <c r="B153" s="9"/>
      <c r="C153" s="10"/>
      <c r="D153" s="10"/>
      <c r="E153" s="10"/>
      <c r="F153" s="10"/>
    </row>
    <row r="154" spans="1:6" s="13" customFormat="1" ht="13.3" x14ac:dyDescent="0.35">
      <c r="A154" s="8"/>
      <c r="B154" s="9"/>
      <c r="C154" s="10"/>
      <c r="D154" s="10"/>
      <c r="E154" s="10"/>
      <c r="F154" s="10"/>
    </row>
    <row r="155" spans="1:6" x14ac:dyDescent="0.35">
      <c r="A155" s="40"/>
      <c r="B155" s="44"/>
      <c r="C155" s="10"/>
      <c r="D155" s="10"/>
      <c r="E155" s="10"/>
      <c r="F155" s="10"/>
    </row>
    <row r="156" spans="1:6" x14ac:dyDescent="0.35">
      <c r="A156" s="40"/>
      <c r="B156" s="9"/>
      <c r="C156" s="10"/>
      <c r="D156" s="10"/>
      <c r="E156" s="10"/>
      <c r="F156" s="10"/>
    </row>
    <row r="157" spans="1:6" x14ac:dyDescent="0.35">
      <c r="A157" s="40"/>
      <c r="B157" s="9"/>
      <c r="C157" s="10"/>
      <c r="D157" s="10"/>
      <c r="E157" s="10"/>
      <c r="F157" s="10"/>
    </row>
    <row r="158" spans="1:6" x14ac:dyDescent="0.35">
      <c r="A158" s="40"/>
      <c r="B158" s="9"/>
      <c r="C158" s="10"/>
      <c r="D158" s="10"/>
      <c r="E158" s="10"/>
      <c r="F158" s="10"/>
    </row>
    <row r="159" spans="1:6" s="13" customFormat="1" ht="13.3" x14ac:dyDescent="0.35">
      <c r="A159" s="8"/>
      <c r="B159" s="9"/>
      <c r="C159" s="10"/>
      <c r="D159" s="10"/>
      <c r="E159" s="10"/>
      <c r="F159" s="10"/>
    </row>
    <row r="160" spans="1:6" s="13" customFormat="1" ht="12.8" customHeight="1" x14ac:dyDescent="0.35">
      <c r="A160" s="8"/>
      <c r="B160" s="9"/>
      <c r="C160" s="10"/>
      <c r="D160" s="10"/>
      <c r="E160" s="10"/>
      <c r="F160" s="10"/>
    </row>
    <row r="161" spans="1:6" x14ac:dyDescent="0.35">
      <c r="A161" s="8"/>
      <c r="B161" s="9"/>
      <c r="C161" s="10"/>
      <c r="D161" s="10"/>
      <c r="E161" s="10"/>
      <c r="F161" s="10"/>
    </row>
    <row r="162" spans="1:6" x14ac:dyDescent="0.35">
      <c r="A162" s="8"/>
      <c r="B162" s="9"/>
      <c r="C162" s="10"/>
      <c r="D162" s="10"/>
      <c r="E162" s="10"/>
      <c r="F162" s="10"/>
    </row>
    <row r="163" spans="1:6" s="13" customFormat="1" ht="13.3" x14ac:dyDescent="0.35">
      <c r="A163" s="8"/>
      <c r="B163" s="9"/>
      <c r="C163" s="10"/>
      <c r="D163" s="10"/>
      <c r="E163" s="10"/>
      <c r="F163" s="10"/>
    </row>
    <row r="164" spans="1:6" x14ac:dyDescent="0.35">
      <c r="A164" s="8"/>
      <c r="B164" s="9"/>
      <c r="C164" s="10"/>
      <c r="D164" s="10"/>
      <c r="E164" s="10"/>
      <c r="F164" s="10"/>
    </row>
    <row r="165" spans="1:6" s="13" customFormat="1" ht="13.3" x14ac:dyDescent="0.35">
      <c r="A165" s="8"/>
      <c r="B165" s="9"/>
      <c r="C165" s="10"/>
      <c r="D165" s="10"/>
      <c r="E165" s="10"/>
      <c r="F165" s="10"/>
    </row>
    <row r="166" spans="1:6" s="13" customFormat="1" ht="13.3" x14ac:dyDescent="0.35">
      <c r="A166" s="8"/>
      <c r="B166" s="9"/>
      <c r="C166" s="10"/>
      <c r="D166" s="10"/>
      <c r="E166" s="10"/>
      <c r="F166" s="10"/>
    </row>
    <row r="167" spans="1:6" x14ac:dyDescent="0.35">
      <c r="A167" s="8"/>
      <c r="B167" s="9"/>
      <c r="C167" s="10"/>
      <c r="D167" s="10"/>
      <c r="E167" s="10"/>
      <c r="F167" s="10"/>
    </row>
    <row r="168" spans="1:6" s="13" customFormat="1" ht="13.3" x14ac:dyDescent="0.35">
      <c r="A168" s="8"/>
      <c r="B168" s="9"/>
      <c r="C168" s="10"/>
      <c r="D168" s="10"/>
      <c r="E168" s="10"/>
      <c r="F168" s="10"/>
    </row>
    <row r="169" spans="1:6" x14ac:dyDescent="0.35">
      <c r="A169" s="8"/>
      <c r="B169" s="9"/>
      <c r="C169" s="10"/>
      <c r="D169" s="10"/>
      <c r="E169" s="10"/>
      <c r="F169" s="10"/>
    </row>
    <row r="170" spans="1:6" s="13" customFormat="1" ht="13.3" x14ac:dyDescent="0.35">
      <c r="A170" s="8"/>
      <c r="B170" s="9"/>
      <c r="C170" s="10"/>
      <c r="D170" s="10"/>
      <c r="E170" s="10"/>
      <c r="F170" s="10"/>
    </row>
    <row r="171" spans="1:6" s="13" customFormat="1" ht="13.3" x14ac:dyDescent="0.35">
      <c r="A171" s="8"/>
      <c r="B171" s="9"/>
      <c r="C171" s="10"/>
      <c r="D171" s="10"/>
      <c r="E171" s="10"/>
      <c r="F171" s="10"/>
    </row>
    <row r="172" spans="1:6" s="13" customFormat="1" ht="13.3" x14ac:dyDescent="0.35">
      <c r="A172" s="8"/>
      <c r="B172" s="9"/>
      <c r="C172" s="10"/>
      <c r="D172" s="10"/>
      <c r="E172" s="10"/>
      <c r="F172" s="10"/>
    </row>
    <row r="173" spans="1:6" s="13" customFormat="1" ht="13.3" x14ac:dyDescent="0.35">
      <c r="A173" s="8"/>
      <c r="B173" s="9"/>
      <c r="C173" s="10"/>
      <c r="D173" s="10"/>
      <c r="E173" s="10"/>
      <c r="F173" s="10"/>
    </row>
    <row r="174" spans="1:6" s="13" customFormat="1" ht="13.3" x14ac:dyDescent="0.35">
      <c r="A174" s="8"/>
      <c r="B174" s="9"/>
      <c r="C174" s="10"/>
      <c r="D174" s="10"/>
      <c r="E174" s="10"/>
      <c r="F174" s="10"/>
    </row>
    <row r="175" spans="1:6" s="13" customFormat="1" ht="13.3" x14ac:dyDescent="0.35">
      <c r="A175" s="8"/>
      <c r="B175" s="9"/>
      <c r="C175" s="10"/>
      <c r="D175" s="10"/>
      <c r="E175" s="10"/>
      <c r="F175" s="10"/>
    </row>
    <row r="176" spans="1:6" s="13" customFormat="1" ht="13.3" x14ac:dyDescent="0.35">
      <c r="A176" s="8"/>
      <c r="B176" s="9"/>
      <c r="C176" s="10"/>
      <c r="D176" s="10"/>
      <c r="E176" s="10"/>
      <c r="F176" s="10"/>
    </row>
    <row r="177" spans="1:6" s="13" customFormat="1" ht="13.3" x14ac:dyDescent="0.35">
      <c r="A177" s="8"/>
      <c r="B177" s="9"/>
      <c r="C177" s="10"/>
      <c r="D177" s="10"/>
      <c r="E177" s="10"/>
      <c r="F177" s="10"/>
    </row>
    <row r="178" spans="1:6" s="13" customFormat="1" ht="13.3" x14ac:dyDescent="0.35">
      <c r="A178" s="8"/>
      <c r="B178" s="9"/>
      <c r="C178" s="10"/>
      <c r="D178" s="10"/>
      <c r="E178" s="10"/>
      <c r="F178" s="10"/>
    </row>
    <row r="179" spans="1:6" s="13" customFormat="1" ht="13.3" x14ac:dyDescent="0.35">
      <c r="A179" s="8"/>
      <c r="B179" s="9"/>
      <c r="C179" s="10"/>
      <c r="D179" s="10"/>
      <c r="E179" s="10"/>
      <c r="F179" s="10"/>
    </row>
    <row r="180" spans="1:6" x14ac:dyDescent="0.35">
      <c r="A180" s="31"/>
      <c r="B180" s="44"/>
      <c r="C180" s="10"/>
      <c r="D180" s="10"/>
      <c r="E180" s="10"/>
      <c r="F180" s="10"/>
    </row>
    <row r="181" spans="1:6" x14ac:dyDescent="0.35">
      <c r="A181" s="8"/>
      <c r="B181" s="9"/>
      <c r="C181" s="10"/>
      <c r="D181" s="10"/>
      <c r="E181" s="10"/>
      <c r="F181" s="10"/>
    </row>
    <row r="182" spans="1:6" s="13" customFormat="1" ht="13.3" x14ac:dyDescent="0.35">
      <c r="A182" s="8"/>
      <c r="B182" s="9"/>
      <c r="C182" s="10"/>
      <c r="D182" s="10"/>
      <c r="E182" s="10"/>
      <c r="F182" s="10"/>
    </row>
    <row r="183" spans="1:6" x14ac:dyDescent="0.35">
      <c r="A183" s="8"/>
      <c r="B183" s="9"/>
      <c r="C183" s="10"/>
      <c r="D183" s="10"/>
      <c r="E183" s="10"/>
      <c r="F183" s="10"/>
    </row>
    <row r="184" spans="1:6" x14ac:dyDescent="0.35">
      <c r="A184" s="8"/>
      <c r="B184" s="9"/>
      <c r="C184" s="10"/>
      <c r="D184" s="10"/>
      <c r="E184" s="10"/>
      <c r="F184" s="10"/>
    </row>
    <row r="185" spans="1:6" s="13" customFormat="1" ht="13.3" x14ac:dyDescent="0.35">
      <c r="A185" s="31"/>
      <c r="B185" s="44"/>
      <c r="C185" s="10"/>
      <c r="D185" s="10"/>
      <c r="E185" s="10"/>
      <c r="F185" s="10"/>
    </row>
    <row r="186" spans="1:6" x14ac:dyDescent="0.35">
      <c r="A186" s="8"/>
      <c r="B186" s="9"/>
      <c r="C186" s="10"/>
      <c r="D186" s="10"/>
      <c r="E186" s="10"/>
      <c r="F186" s="10"/>
    </row>
    <row r="187" spans="1:6" x14ac:dyDescent="0.35">
      <c r="A187" s="40"/>
      <c r="B187" s="9"/>
      <c r="C187" s="10"/>
      <c r="D187" s="10"/>
      <c r="E187" s="10"/>
      <c r="F187" s="10"/>
    </row>
    <row r="188" spans="1:6" s="13" customFormat="1" x14ac:dyDescent="0.35">
      <c r="A188" s="8"/>
      <c r="B188" s="25"/>
      <c r="C188" s="10"/>
      <c r="D188" s="10"/>
      <c r="E188" s="10"/>
      <c r="F188" s="10"/>
    </row>
    <row r="189" spans="1:6" x14ac:dyDescent="0.35">
      <c r="A189" s="40"/>
      <c r="B189" s="9"/>
      <c r="C189" s="10"/>
      <c r="D189" s="10"/>
      <c r="E189" s="10"/>
      <c r="F189" s="10"/>
    </row>
    <row r="190" spans="1:6" s="13" customFormat="1" ht="13.3" x14ac:dyDescent="0.35">
      <c r="A190" s="8"/>
      <c r="B190" s="9"/>
      <c r="C190" s="10"/>
      <c r="D190" s="10"/>
      <c r="E190" s="10"/>
      <c r="F190" s="10"/>
    </row>
    <row r="191" spans="1:6" s="13" customFormat="1" ht="13.3" x14ac:dyDescent="0.35">
      <c r="A191" s="8"/>
      <c r="B191" s="9"/>
      <c r="C191" s="10"/>
      <c r="D191" s="10"/>
      <c r="E191" s="10"/>
      <c r="F191" s="10"/>
    </row>
    <row r="192" spans="1:6" x14ac:dyDescent="0.35">
      <c r="A192" s="31"/>
      <c r="B192" s="44"/>
      <c r="C192" s="10"/>
      <c r="D192" s="10"/>
      <c r="E192" s="10"/>
      <c r="F192" s="10"/>
    </row>
    <row r="193" spans="1:6" s="13" customFormat="1" ht="13.3" x14ac:dyDescent="0.35">
      <c r="A193" s="14"/>
      <c r="B193" s="9"/>
      <c r="C193" s="10"/>
      <c r="D193" s="10"/>
      <c r="E193" s="10"/>
      <c r="F193" s="10"/>
    </row>
    <row r="194" spans="1:6" x14ac:dyDescent="0.35">
      <c r="A194" s="8"/>
      <c r="B194" s="9"/>
      <c r="C194" s="10"/>
      <c r="D194" s="10"/>
      <c r="E194" s="10"/>
      <c r="F194" s="10"/>
    </row>
    <row r="195" spans="1:6" x14ac:dyDescent="0.35">
      <c r="A195" s="40"/>
      <c r="B195" s="9"/>
      <c r="C195" s="10"/>
      <c r="D195" s="10"/>
      <c r="E195" s="10"/>
      <c r="F195" s="10"/>
    </row>
    <row r="196" spans="1:6" x14ac:dyDescent="0.35">
      <c r="A196" s="40"/>
      <c r="B196" s="9"/>
      <c r="C196" s="10"/>
      <c r="D196" s="10"/>
      <c r="E196" s="10"/>
      <c r="F196" s="10"/>
    </row>
    <row r="197" spans="1:6" x14ac:dyDescent="0.35">
      <c r="A197" s="40"/>
      <c r="B197" s="9"/>
      <c r="C197" s="10"/>
      <c r="D197" s="10"/>
      <c r="E197" s="10"/>
      <c r="F197" s="10"/>
    </row>
    <row r="198" spans="1:6" x14ac:dyDescent="0.35">
      <c r="A198" s="8"/>
      <c r="B198" s="9"/>
      <c r="C198" s="10"/>
      <c r="D198" s="10"/>
      <c r="E198" s="10"/>
      <c r="F198" s="10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E643D0-D2F2-4C6D-943D-B6AB2F4B3011}">
  <sheetPr codeName="Sayfa5"/>
  <dimension ref="A1:B18"/>
  <sheetViews>
    <sheetView workbookViewId="0"/>
  </sheetViews>
  <sheetFormatPr defaultRowHeight="14.85" x14ac:dyDescent="0.35"/>
  <cols>
    <col min="1" max="1" width="9.54296875" style="52" bestFit="1" customWidth="1"/>
    <col min="2" max="2" width="32.81640625" style="39" customWidth="1"/>
    <col min="3" max="16384" width="8.7265625" style="39"/>
  </cols>
  <sheetData>
    <row r="1" spans="1:2" ht="15.85" thickBot="1" x14ac:dyDescent="0.4">
      <c r="A1" s="45" t="s">
        <v>1134</v>
      </c>
      <c r="B1" s="46" t="s">
        <v>1135</v>
      </c>
    </row>
    <row r="2" spans="1:2" ht="15.85" thickBot="1" x14ac:dyDescent="0.4">
      <c r="A2" s="47">
        <v>10</v>
      </c>
      <c r="B2" s="48" t="s">
        <v>1136</v>
      </c>
    </row>
    <row r="3" spans="1:2" ht="15.85" thickBot="1" x14ac:dyDescent="0.4">
      <c r="A3" s="49">
        <v>1001</v>
      </c>
      <c r="B3" s="50" t="s">
        <v>1137</v>
      </c>
    </row>
    <row r="4" spans="1:2" ht="15.85" thickBot="1" x14ac:dyDescent="0.4">
      <c r="A4" s="49">
        <v>1002</v>
      </c>
      <c r="B4" s="50" t="s">
        <v>1138</v>
      </c>
    </row>
    <row r="5" spans="1:2" ht="15.85" thickBot="1" x14ac:dyDescent="0.4">
      <c r="A5" s="49">
        <v>1003</v>
      </c>
      <c r="B5" s="50" t="s">
        <v>1139</v>
      </c>
    </row>
    <row r="6" spans="1:2" ht="15.85" thickBot="1" x14ac:dyDescent="0.4">
      <c r="A6" s="49">
        <v>1004</v>
      </c>
      <c r="B6" s="50" t="s">
        <v>1140</v>
      </c>
    </row>
    <row r="7" spans="1:2" ht="15.85" thickBot="1" x14ac:dyDescent="0.4">
      <c r="A7" s="49">
        <v>1005</v>
      </c>
      <c r="B7" s="50" t="s">
        <v>1141</v>
      </c>
    </row>
    <row r="8" spans="1:2" ht="15.85" thickBot="1" x14ac:dyDescent="0.4">
      <c r="A8" s="49">
        <v>1006</v>
      </c>
      <c r="B8" s="50" t="s">
        <v>1142</v>
      </c>
    </row>
    <row r="9" spans="1:2" ht="15.85" thickBot="1" x14ac:dyDescent="0.4">
      <c r="A9" s="49">
        <v>1007</v>
      </c>
      <c r="B9" s="50" t="s">
        <v>1143</v>
      </c>
    </row>
    <row r="10" spans="1:2" ht="15.85" thickBot="1" x14ac:dyDescent="0.4">
      <c r="A10" s="47">
        <v>11</v>
      </c>
      <c r="B10" s="48" t="s">
        <v>1144</v>
      </c>
    </row>
    <row r="11" spans="1:2" ht="15.85" thickBot="1" x14ac:dyDescent="0.4">
      <c r="A11" s="49">
        <v>1101</v>
      </c>
      <c r="B11" s="50" t="s">
        <v>1145</v>
      </c>
    </row>
    <row r="12" spans="1:2" ht="15.85" thickBot="1" x14ac:dyDescent="0.4">
      <c r="A12" s="49">
        <v>1102</v>
      </c>
      <c r="B12" s="50" t="s">
        <v>1146</v>
      </c>
    </row>
    <row r="13" spans="1:2" ht="15.85" thickBot="1" x14ac:dyDescent="0.4">
      <c r="A13" s="49">
        <v>1103</v>
      </c>
      <c r="B13" s="50" t="s">
        <v>1147</v>
      </c>
    </row>
    <row r="14" spans="1:2" ht="15.85" thickBot="1" x14ac:dyDescent="0.4">
      <c r="A14" s="49">
        <v>1104</v>
      </c>
      <c r="B14" s="50" t="s">
        <v>1148</v>
      </c>
    </row>
    <row r="15" spans="1:2" ht="15.85" thickBot="1" x14ac:dyDescent="0.4">
      <c r="A15" s="49">
        <v>1105</v>
      </c>
      <c r="B15" s="50" t="s">
        <v>1149</v>
      </c>
    </row>
    <row r="16" spans="1:2" ht="15.85" thickBot="1" x14ac:dyDescent="0.4">
      <c r="A16" s="47">
        <v>12</v>
      </c>
      <c r="B16" s="48" t="s">
        <v>1150</v>
      </c>
    </row>
    <row r="17" spans="1:2" ht="15.85" thickBot="1" x14ac:dyDescent="0.4">
      <c r="A17" s="49">
        <v>1201</v>
      </c>
      <c r="B17" s="51"/>
    </row>
    <row r="18" spans="1:2" ht="15.85" thickBot="1" x14ac:dyDescent="0.4">
      <c r="A18" s="49">
        <v>1202</v>
      </c>
      <c r="B18" s="5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6</vt:i4>
      </vt:variant>
    </vt:vector>
  </HeadingPairs>
  <TitlesOfParts>
    <vt:vector size="6" baseType="lpstr">
      <vt:lpstr>Dashboard</vt:lpstr>
      <vt:lpstr>Stok</vt:lpstr>
      <vt:lpstr>2. El Ürünler</vt:lpstr>
      <vt:lpstr>Nabi'nin Demo Ürünleri</vt:lpstr>
      <vt:lpstr>Stoğu Tükenen-EOS</vt:lpstr>
      <vt:lpstr>MS Kodu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Emrah Erbil</dc:creator>
  <cp:lastModifiedBy>Emrah Erbil</cp:lastModifiedBy>
  <dcterms:created xsi:type="dcterms:W3CDTF">2024-10-14T08:50:12Z</dcterms:created>
  <dcterms:modified xsi:type="dcterms:W3CDTF">2026-08-17T12:57:53Z</dcterms:modified>
</cp:coreProperties>
</file>