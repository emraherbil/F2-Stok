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E6044FFC-6686-416C-B7C6-A00A9C708284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18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05" i="2" l="1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2" i="2"/>
  <c r="DH336" i="2" l="1"/>
  <c r="DH139" i="2"/>
  <c r="DG336" i="2"/>
  <c r="DG139" i="2"/>
  <c r="L7" i="6" l="1"/>
  <c r="DF336" i="2"/>
  <c r="DF139" i="2"/>
  <c r="L8" i="6" l="1"/>
  <c r="L9" i="6"/>
  <c r="DE336" i="2"/>
  <c r="DE139" i="2"/>
  <c r="L10" i="6" l="1"/>
  <c r="DD336" i="2"/>
  <c r="DD139" i="2"/>
  <c r="L11" i="6"/>
  <c r="DC139" i="2" l="1"/>
  <c r="DB139" i="2"/>
  <c r="L12" i="6" l="1"/>
  <c r="L13" i="6"/>
  <c r="DA139" i="2"/>
  <c r="L14" i="6" l="1"/>
  <c r="CZ139" i="2"/>
  <c r="L15" i="6" l="1"/>
  <c r="L16" i="6"/>
  <c r="L17" i="6" l="1"/>
  <c r="L18" i="6" l="1"/>
  <c r="L19" i="6" l="1"/>
  <c r="L20" i="6" l="1"/>
  <c r="L21" i="6"/>
  <c r="L22" i="6" l="1"/>
  <c r="L23" i="6" l="1"/>
  <c r="L24" i="6"/>
  <c r="L25" i="6" l="1"/>
  <c r="M33" i="2" l="1"/>
  <c r="L26" i="6" l="1"/>
  <c r="L27" i="6" l="1"/>
  <c r="L28" i="6"/>
  <c r="L29" i="6" l="1"/>
  <c r="L30" i="6"/>
  <c r="L31" i="6" l="1"/>
  <c r="L32" i="6" l="1"/>
  <c r="L33" i="6"/>
  <c r="L34" i="6" l="1"/>
  <c r="L35" i="6" l="1"/>
  <c r="L36" i="6" l="1"/>
  <c r="L37" i="6" l="1"/>
  <c r="L38" i="6"/>
  <c r="L39" i="6" l="1"/>
  <c r="L40" i="6" l="1"/>
  <c r="L41" i="6" l="1"/>
  <c r="L42" i="6" l="1"/>
  <c r="L43" i="6" l="1"/>
  <c r="L44" i="6" l="1"/>
  <c r="L45" i="6" l="1"/>
  <c r="BU141" i="2"/>
  <c r="L46" i="6" l="1"/>
  <c r="L47" i="6" l="1"/>
  <c r="BS188" i="2" l="1"/>
  <c r="L48" i="6" l="1"/>
  <c r="L49" i="6" l="1"/>
  <c r="L50" i="6" l="1"/>
  <c r="L51" i="6"/>
  <c r="L52" i="6"/>
  <c r="L53" i="6" l="1"/>
  <c r="L54" i="6"/>
  <c r="L55" i="6" l="1"/>
  <c r="L56" i="6"/>
  <c r="L101" i="6" l="1"/>
  <c r="L57" i="6" l="1"/>
  <c r="L58" i="6" l="1"/>
  <c r="L59" i="6" l="1"/>
  <c r="L60" i="6" l="1"/>
  <c r="L61" i="6" l="1"/>
  <c r="L62" i="6"/>
  <c r="L63" i="6" l="1"/>
  <c r="L64" i="6"/>
  <c r="L65" i="6" l="1"/>
  <c r="G2" i="6" l="1"/>
  <c r="L66" i="6" l="1"/>
  <c r="L67" i="6" l="1"/>
  <c r="L68" i="6" l="1"/>
  <c r="L69" i="6" l="1"/>
  <c r="L70" i="6" l="1"/>
  <c r="L104" i="6" l="1"/>
  <c r="L103" i="6"/>
  <c r="L102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2" i="6"/>
  <c r="L71" i="6"/>
  <c r="L73" i="6"/>
  <c r="L74" i="6" l="1"/>
  <c r="L75" i="6" l="1"/>
  <c r="L76" i="6" l="1"/>
  <c r="L37" i="3" l="1"/>
</calcChain>
</file>

<file path=xl/sharedStrings.xml><?xml version="1.0" encoding="utf-8"?>
<sst xmlns="http://schemas.openxmlformats.org/spreadsheetml/2006/main" count="4641" uniqueCount="1554">
  <si>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</si>
  <si>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</si>
  <si>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</si>
  <si>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</si>
  <si>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</si>
  <si>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</si>
  <si>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</si>
  <si>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</si>
  <si>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</si>
  <si>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</si>
  <si>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</si>
  <si>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</si>
  <si>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</si>
  <si>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</si>
  <si>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</si>
  <si>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</si>
  <si>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</si>
  <si>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</si>
  <si>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</si>
  <si>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</si>
  <si>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</si>
  <si>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</si>
  <si>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</si>
  <si>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</si>
  <si>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</si>
  <si>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</si>
  <si>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</si>
  <si>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</si>
  <si>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</si>
  <si>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</si>
  <si>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</si>
  <si>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</si>
  <si>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</si>
  <si>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</si>
  <si>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</si>
  <si>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</si>
  <si>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</si>
  <si>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</si>
  <si>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</si>
  <si>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</si>
  <si>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</si>
  <si>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</si>
  <si>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</si>
  <si>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</si>
  <si>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</si>
  <si>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</si>
  <si>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</si>
  <si>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</si>
  <si>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</si>
  <si>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</si>
  <si>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</si>
  <si>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</si>
  <si>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</si>
  <si>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</si>
  <si>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</si>
  <si>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</si>
  <si>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</si>
  <si>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</si>
  <si>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</si>
  <si>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</si>
  <si>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</si>
  <si>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</si>
  <si>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</si>
  <si>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</si>
  <si>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</si>
  <si>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</si>
  <si>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</si>
  <si>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</si>
  <si>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</si>
  <si>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</si>
  <si>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</si>
  <si>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</si>
  <si>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</si>
  <si>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</si>
  <si>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</si>
  <si>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</si>
  <si>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</si>
  <si>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</si>
  <si>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</si>
  <si>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</si>
  <si>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</si>
  <si>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</si>
  <si>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</si>
  <si>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</si>
  <si>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</si>
  <si>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</si>
  <si>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</si>
  <si>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</si>
  <si>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</si>
  <si>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</si>
  <si>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</si>
  <si>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</si>
  <si>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</si>
  <si>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</si>
  <si>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</si>
  <si>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</si>
  <si>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</si>
  <si>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</si>
  <si>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</si>
  <si>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</si>
  <si>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</si>
  <si>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</si>
  <si>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</si>
  <si>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</si>
  <si>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</si>
  <si>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</si>
  <si>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</si>
  <si>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</si>
  <si>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</si>
  <si>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</si>
  <si>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</si>
  <si>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</si>
  <si>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</si>
  <si>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</si>
  <si>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</si>
  <si>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</si>
  <si>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</si>
  <si>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</si>
  <si>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</si>
  <si>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</si>
  <si>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</si>
  <si>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</si>
  <si>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</si>
  <si>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</si>
  <si>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</si>
  <si>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</si>
  <si>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</si>
  <si>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</si>
  <si>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</si>
  <si>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</si>
  <si>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</si>
  <si>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</si>
  <si>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</si>
  <si>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</si>
  <si>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</si>
  <si>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</si>
  <si>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</si>
  <si>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</si>
  <si>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</si>
  <si>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</si>
  <si>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</si>
  <si>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</si>
  <si>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</si>
  <si>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</si>
  <si>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</si>
  <si>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</si>
  <si>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</si>
  <si>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</si>
  <si>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</si>
  <si>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</si>
  <si>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</si>
  <si>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</si>
  <si>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</si>
  <si>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</si>
  <si>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</si>
  <si>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</si>
  <si>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</si>
  <si>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</si>
  <si>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</si>
  <si>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</si>
  <si>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</si>
  <si>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</si>
  <si>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</si>
  <si>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</si>
  <si>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</si>
  <si>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</si>
  <si>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</si>
  <si>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</si>
  <si>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</si>
  <si>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</si>
  <si>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</si>
  <si>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</si>
  <si>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</si>
  <si>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</si>
  <si>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</si>
  <si>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</si>
  <si>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</si>
  <si>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</si>
  <si>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</si>
  <si>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</si>
  <si>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</si>
  <si>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</si>
  <si>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</si>
  <si>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</si>
  <si>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</si>
  <si>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</si>
  <si>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</si>
  <si>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</si>
  <si>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</si>
  <si>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</si>
  <si>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</si>
  <si>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</si>
  <si>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</si>
  <si>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</si>
  <si>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</si>
  <si>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</si>
  <si>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</si>
  <si>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</si>
  <si>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</si>
  <si>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</si>
  <si>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</si>
  <si>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</si>
  <si>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</si>
  <si>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</si>
  <si>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</si>
  <si>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</si>
  <si>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</si>
  <si>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</si>
  <si>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</si>
  <si>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</si>
  <si>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</si>
  <si>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</si>
  <si>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</si>
  <si>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</si>
  <si>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</si>
  <si>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</si>
  <si>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</si>
  <si>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</si>
  <si>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</si>
  <si>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</si>
  <si>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</si>
  <si>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</si>
  <si>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</si>
  <si>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</si>
  <si>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</si>
  <si>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</si>
  <si>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</si>
  <si>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</si>
  <si>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</si>
  <si>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</si>
  <si>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</si>
  <si>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</si>
  <si>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</si>
  <si>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</si>
  <si>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</si>
  <si>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</si>
  <si>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</si>
  <si>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</si>
  <si>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</si>
  <si>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</si>
  <si>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</si>
  <si>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</si>
  <si>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</si>
  <si>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</si>
  <si>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</si>
  <si>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</si>
  <si>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</si>
  <si>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</si>
  <si>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</si>
  <si>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</si>
  <si>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</si>
  <si>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</si>
  <si>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</si>
  <si>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</si>
  <si>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</si>
  <si>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</si>
  <si>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</si>
  <si>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</si>
  <si>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</si>
  <si>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</si>
  <si>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</si>
  <si>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</si>
  <si>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</si>
  <si>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</si>
  <si>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</si>
  <si>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</si>
  <si>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</si>
  <si>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</si>
  <si>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</si>
  <si>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</si>
  <si>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</si>
  <si>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</si>
  <si>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</si>
  <si>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</si>
  <si>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</si>
  <si>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</si>
  <si>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</si>
  <si>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</si>
  <si>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</si>
  <si>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</si>
  <si>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</si>
  <si>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</si>
  <si>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</si>
  <si>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</si>
  <si>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</si>
  <si>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</si>
  <si>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</si>
  <si>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</si>
  <si>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</si>
  <si>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</si>
  <si>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</si>
  <si>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</si>
  <si>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</si>
  <si>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</si>
  <si>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</si>
  <si>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</si>
  <si>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</si>
  <si>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</si>
  <si>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</si>
  <si>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</si>
  <si>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</si>
  <si>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</si>
  <si>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</si>
  <si>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</si>
  <si>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</si>
  <si>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</si>
  <si>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</si>
  <si>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</si>
  <si>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</si>
  <si>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</si>
  <si>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</si>
  <si>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</si>
  <si>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</si>
  <si>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</si>
  <si>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</si>
  <si>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</si>
  <si>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</si>
  <si>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</si>
  <si>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</si>
  <si>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</si>
  <si>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</si>
  <si>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</si>
  <si>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</si>
  <si>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</si>
  <si>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</si>
  <si>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</si>
  <si>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</si>
  <si>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</si>
  <si>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</si>
  <si>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</si>
  <si>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</si>
  <si>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</si>
  <si>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</si>
  <si>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</si>
  <si>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</si>
  <si>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</si>
  <si>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</si>
  <si>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</si>
  <si>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</si>
  <si>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</si>
  <si>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</si>
  <si>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</si>
  <si>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</si>
  <si>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</si>
  <si>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</si>
  <si>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</si>
  <si>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</si>
  <si>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</si>
  <si>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</si>
  <si>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</si>
  <si>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</si>
  <si>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</si>
  <si>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</si>
  <si>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</si>
  <si>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</si>
  <si>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</si>
  <si>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</si>
  <si>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</si>
  <si>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</si>
  <si>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</si>
  <si>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</si>
  <si>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</si>
  <si>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</si>
  <si>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</si>
  <si>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</si>
  <si>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</si>
  <si>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</si>
  <si>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</si>
  <si>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</si>
  <si>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</si>
  <si>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</si>
  <si>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</si>
  <si>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</si>
  <si>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</si>
  <si>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</si>
  <si>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</si>
  <si>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</si>
  <si>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</si>
  <si>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</si>
  <si>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</si>
  <si>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</si>
  <si>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</si>
  <si>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</si>
  <si>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</si>
  <si>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</si>
  <si>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</si>
  <si>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</si>
  <si>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</si>
  <si>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</si>
  <si>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</si>
  <si>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</si>
  <si>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</si>
  <si>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</si>
  <si>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</si>
  <si>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</si>
  <si>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</si>
  <si>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</si>
  <si>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</si>
  <si>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</si>
  <si>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</si>
  <si>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</si>
  <si>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</si>
  <si>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</si>
  <si>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</si>
  <si>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</si>
  <si>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</si>
  <si>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</si>
  <si>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</si>
  <si>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</si>
  <si>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</si>
  <si>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</si>
  <si>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</si>
  <si>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</si>
  <si>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</si>
  <si>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</si>
  <si>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</si>
  <si>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</si>
  <si>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</si>
  <si>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</si>
  <si>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</si>
  <si>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</si>
  <si>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</si>
  <si>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</si>
  <si>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</si>
  <si>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</si>
  <si>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</si>
  <si>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</si>
  <si>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</si>
  <si>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</si>
  <si>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</si>
  <si>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</si>
  <si>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</si>
  <si>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</si>
  <si>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</si>
  <si>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</si>
  <si>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</si>
  <si>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</si>
  <si>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</si>
  <si>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</si>
  <si>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</si>
  <si>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</si>
  <si>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</si>
  <si>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</si>
  <si>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</si>
  <si>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</si>
  <si>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</si>
  <si>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</si>
  <si>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</si>
  <si>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</si>
  <si>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</si>
  <si>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</si>
  <si>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</si>
  <si>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</si>
  <si>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</si>
  <si>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</si>
  <si>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</si>
  <si>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</si>
  <si>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</si>
  <si>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</si>
  <si>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</si>
  <si>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</si>
  <si>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</si>
  <si>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</si>
  <si>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</si>
  <si>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</si>
  <si>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</si>
  <si>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</si>
  <si>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</si>
  <si>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</si>
  <si>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</si>
  <si>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</si>
  <si>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</si>
  <si>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</si>
  <si>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</si>
  <si>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</si>
  <si>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</si>
  <si>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</si>
  <si>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</si>
  <si>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</si>
  <si>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</si>
  <si>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</si>
  <si>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</si>
  <si>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</si>
  <si>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</si>
  <si>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</si>
  <si>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</si>
  <si>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</si>
  <si>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</si>
  <si>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</si>
  <si>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</si>
  <si>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</si>
  <si>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</si>
  <si>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</si>
  <si>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</si>
  <si>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</si>
  <si>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</si>
  <si>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</si>
  <si>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</si>
  <si>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</si>
  <si>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</si>
  <si>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</si>
  <si>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</si>
  <si>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</si>
  <si>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</si>
  <si>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</si>
  <si>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</si>
  <si>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</si>
  <si>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</si>
  <si>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</si>
  <si>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</si>
  <si>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</si>
  <si>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</si>
  <si>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</si>
  <si>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</si>
  <si>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</si>
  <si>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</si>
  <si>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</si>
  <si>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</si>
  <si>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</si>
  <si>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</si>
  <si>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</si>
  <si>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</si>
  <si>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</si>
  <si>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</si>
  <si>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</si>
  <si>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</si>
  <si>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</si>
  <si>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</si>
  <si>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</si>
  <si>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</si>
  <si>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</si>
  <si>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</si>
  <si>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</si>
  <si>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</si>
  <si>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</si>
  <si>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</si>
  <si>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</si>
  <si>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</si>
  <si>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</si>
  <si>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</si>
  <si>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</si>
  <si>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</si>
  <si>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</si>
  <si>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</si>
  <si>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</si>
  <si>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</si>
  <si>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</si>
  <si>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</si>
  <si>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</si>
  <si>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</si>
  <si>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</si>
  <si>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</si>
  <si>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</si>
  <si>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</si>
  <si>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</si>
  <si>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</si>
  <si>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</si>
  <si>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</si>
  <si>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</si>
  <si>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</si>
  <si>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</si>
  <si>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</si>
  <si>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</si>
  <si>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</si>
  <si>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</si>
  <si>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</si>
  <si>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</si>
  <si>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</si>
  <si>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</si>
  <si>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</si>
  <si>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</si>
  <si>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</si>
  <si>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</si>
  <si>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</si>
  <si>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</si>
  <si>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</si>
  <si>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</si>
  <si>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</si>
  <si>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</si>
  <si>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</si>
  <si>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</si>
  <si>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</si>
  <si>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</si>
  <si>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</si>
  <si>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</si>
  <si>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</si>
  <si>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</si>
  <si>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</si>
  <si>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</si>
  <si>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</si>
  <si>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</si>
  <si>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</si>
  <si>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</si>
  <si>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</si>
  <si>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</si>
  <si>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</si>
  <si>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</si>
  <si>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</si>
  <si>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</si>
  <si>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</si>
  <si>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</si>
  <si>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</si>
  <si>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</si>
  <si>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</si>
  <si>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</si>
  <si>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</si>
  <si>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</si>
  <si>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</si>
  <si>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</si>
  <si>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</si>
  <si>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</si>
  <si>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</si>
  <si>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</si>
  <si>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</si>
  <si>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</si>
  <si>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</si>
  <si>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</si>
  <si>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</si>
  <si>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</si>
  <si>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</si>
  <si>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</si>
  <si>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</si>
  <si>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</si>
  <si>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</si>
  <si>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</si>
  <si>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</si>
  <si>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</si>
  <si>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</si>
  <si>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</si>
  <si>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</si>
  <si>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</si>
  <si>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</si>
  <si>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</si>
  <si>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</si>
  <si>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</si>
  <si>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</si>
  <si>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</si>
  <si>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</si>
  <si>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</si>
  <si>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</si>
  <si>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</si>
  <si>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</si>
  <si>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</si>
  <si>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</si>
  <si>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</si>
  <si>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</si>
  <si>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</si>
  <si>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</si>
  <si>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</si>
  <si>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</si>
  <si>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</si>
  <si>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</si>
  <si>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</si>
  <si>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</si>
  <si>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</si>
  <si>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</si>
  <si>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</si>
  <si>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</si>
  <si>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</si>
  <si>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</si>
  <si>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</si>
  <si>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</si>
  <si>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</si>
  <si>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</si>
  <si>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</si>
  <si>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</si>
  <si>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</si>
  <si>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</si>
  <si>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</si>
  <si>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</si>
  <si>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</si>
  <si>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</si>
  <si>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</si>
  <si>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</si>
  <si>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</si>
  <si>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</si>
  <si>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</si>
  <si>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</si>
  <si>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</si>
  <si>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</si>
  <si>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</si>
  <si>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</si>
  <si>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</si>
  <si>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</si>
  <si>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</si>
  <si>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</si>
  <si>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</si>
  <si>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</si>
  <si>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</si>
  <si>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</si>
  <si>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</si>
  <si>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</si>
  <si>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</si>
  <si>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</si>
  <si>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</si>
  <si>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</si>
  <si>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</si>
  <si>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</si>
  <si>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</si>
  <si>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</si>
  <si>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</si>
  <si>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</si>
  <si>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</si>
  <si>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</si>
  <si>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</si>
  <si>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</si>
  <si>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</si>
  <si>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</si>
  <si>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</si>
  <si>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</si>
  <si>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</si>
  <si>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</si>
  <si>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</si>
  <si>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</si>
  <si>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</si>
  <si>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</si>
  <si>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</si>
  <si>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</si>
  <si>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</si>
  <si>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</si>
  <si>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</si>
  <si>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</si>
  <si>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</si>
  <si>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</si>
  <si>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</si>
  <si>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</si>
  <si>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</si>
  <si>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</si>
  <si>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</si>
  <si>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</si>
  <si>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</si>
  <si>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</si>
  <si>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</si>
  <si>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</si>
  <si>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</si>
  <si>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</si>
  <si>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</si>
  <si>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</si>
  <si>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</si>
  <si>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</si>
  <si>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</si>
  <si>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</si>
  <si>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</si>
  <si>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</si>
  <si>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</si>
  <si>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</si>
  <si>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</si>
  <si>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</si>
  <si>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</si>
  <si>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</si>
  <si>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</si>
  <si>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</si>
  <si>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</si>
  <si>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</si>
  <si>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</si>
  <si>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</si>
  <si>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</si>
  <si>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</si>
  <si>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</si>
  <si>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</si>
  <si>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</si>
  <si>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</si>
  <si>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</si>
  <si>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</si>
  <si>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</si>
  <si>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</si>
  <si>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</si>
  <si>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</si>
  <si>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</si>
  <si>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</si>
  <si>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</si>
  <si>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</si>
  <si>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</si>
  <si>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</si>
  <si>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</si>
  <si>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</si>
  <si>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</si>
  <si>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</si>
  <si>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</si>
  <si>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</si>
  <si>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</si>
  <si>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</si>
  <si>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</si>
  <si>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</si>
  <si>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</si>
  <si>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</si>
  <si>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</si>
  <si>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</si>
  <si>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</si>
  <si>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</si>
  <si>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</si>
  <si>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</si>
  <si>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</si>
  <si>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</si>
  <si>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</si>
  <si>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</si>
  <si>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</si>
  <si>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</si>
  <si>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</si>
  <si>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</si>
  <si>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</si>
  <si>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</si>
  <si>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</si>
  <si>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</si>
  <si>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</si>
  <si>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</si>
  <si>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</si>
  <si>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</si>
  <si>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</si>
  <si>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</si>
  <si>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</si>
  <si>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</si>
  <si>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</si>
  <si>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</si>
  <si>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</si>
  <si>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</si>
  <si>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</si>
  <si>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</si>
  <si>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</si>
  <si>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</si>
  <si>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</si>
  <si>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</si>
  <si>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</si>
  <si>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</si>
  <si>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</si>
  <si>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</si>
  <si>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</si>
  <si>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</si>
  <si>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</si>
  <si>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</si>
  <si>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</si>
  <si>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</si>
  <si>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</si>
  <si>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</si>
  <si>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</si>
  <si>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</si>
  <si>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</si>
  <si>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</si>
  <si>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</si>
  <si>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</si>
  <si>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</si>
  <si>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</si>
  <si>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</si>
  <si>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</si>
  <si>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</si>
  <si>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</si>
  <si>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</si>
  <si>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</si>
  <si>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</si>
  <si>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</si>
  <si>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</si>
  <si>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</si>
  <si>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</si>
  <si>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</si>
  <si>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</si>
  <si>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</si>
  <si>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</si>
  <si>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</si>
  <si>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</si>
  <si>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</si>
  <si>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</si>
  <si>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</si>
  <si>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</si>
  <si>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</si>
  <si>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</si>
  <si>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</si>
  <si>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</si>
  <si>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</si>
  <si>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</si>
  <si>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</si>
  <si>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</si>
  <si>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</si>
  <si>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</si>
  <si>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</si>
  <si>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</si>
  <si>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</si>
  <si>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</si>
  <si>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</si>
  <si>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</si>
  <si>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</si>
  <si>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</si>
  <si>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</si>
  <si>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</si>
  <si>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</si>
  <si>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</si>
  <si>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</si>
  <si>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</si>
  <si>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</si>
  <si>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</si>
  <si>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</si>
  <si>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</si>
  <si>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</si>
  <si>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</si>
  <si>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</si>
  <si>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</si>
  <si>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</si>
  <si>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</si>
  <si>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</si>
  <si>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</si>
  <si>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</si>
  <si>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</si>
  <si>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</si>
  <si>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</si>
  <si>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</si>
  <si>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</si>
  <si>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</si>
  <si>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</si>
  <si>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</si>
  <si>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</si>
  <si>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</si>
  <si>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</si>
  <si>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</si>
  <si>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</si>
  <si>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</si>
  <si>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</si>
  <si>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</si>
  <si>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</si>
  <si>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</si>
  <si>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</si>
  <si>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</si>
  <si>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</si>
  <si>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</si>
  <si>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</si>
  <si>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</si>
  <si>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</si>
  <si>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</si>
  <si>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</si>
  <si>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</si>
  <si>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</si>
  <si>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</si>
  <si>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</si>
  <si>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</si>
  <si>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</si>
  <si>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</si>
  <si>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</si>
  <si>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</si>
  <si>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</si>
  <si>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</si>
  <si>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</si>
  <si>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</si>
  <si>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</si>
  <si>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</si>
  <si>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</si>
  <si>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</si>
  <si>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</si>
  <si>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</si>
  <si>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</si>
  <si>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</si>
  <si>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</si>
  <si>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</si>
  <si>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</si>
  <si>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</si>
  <si>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</si>
  <si>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</si>
  <si>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</si>
  <si>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</si>
  <si>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</si>
  <si>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</si>
  <si>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</si>
  <si>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</si>
  <si>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</si>
  <si>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</si>
  <si>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</si>
  <si>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</si>
  <si>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</si>
  <si>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</si>
  <si>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</si>
  <si>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</si>
  <si>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</si>
  <si>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</si>
  <si>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</si>
  <si>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</si>
  <si>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</si>
  <si>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</si>
  <si>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</si>
  <si>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</si>
  <si>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</si>
  <si>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</si>
  <si>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</si>
  <si>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</si>
  <si>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</si>
  <si>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</si>
  <si>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</si>
  <si>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</si>
  <si>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</si>
  <si>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</si>
  <si>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</si>
  <si>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</si>
  <si>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</si>
  <si>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</si>
  <si>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</si>
  <si>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</si>
  <si>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</si>
  <si>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</si>
  <si>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</si>
  <si>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</si>
  <si>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</si>
  <si>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</si>
  <si>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</si>
  <si>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</si>
  <si>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</si>
  <si>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</si>
  <si>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</si>
  <si>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</si>
  <si>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</si>
  <si>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</si>
  <si>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</si>
  <si>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</si>
  <si>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</si>
  <si>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</si>
  <si>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</si>
  <si>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</si>
  <si>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</si>
  <si>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</si>
  <si>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</si>
  <si>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</si>
  <si>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</si>
  <si>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</si>
  <si>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</si>
  <si>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</si>
  <si>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</si>
  <si>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</si>
  <si>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</si>
  <si>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</si>
  <si>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</si>
  <si>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</si>
  <si>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</si>
  <si>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</si>
  <si>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</si>
  <si>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</si>
  <si>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</si>
  <si>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</si>
  <si>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</si>
  <si>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</si>
  <si>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</si>
  <si>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</si>
  <si>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</si>
  <si>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</si>
  <si>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</si>
  <si>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</si>
  <si>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</si>
  <si>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</si>
  <si>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</si>
  <si>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</si>
  <si>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</si>
  <si>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</si>
  <si>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</si>
  <si>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</si>
  <si>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</si>
  <si>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</si>
  <si>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</si>
  <si>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</si>
  <si>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</si>
  <si>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</si>
  <si>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</si>
  <si>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</si>
  <si>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</si>
  <si>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</si>
  <si>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</si>
  <si>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</si>
  <si>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</si>
  <si>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</si>
  <si>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</si>
  <si>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</si>
  <si>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</si>
  <si>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</si>
  <si>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</si>
  <si>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</si>
  <si>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</si>
  <si>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</si>
  <si>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</si>
  <si>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</si>
  <si>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</si>
  <si>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</si>
  <si>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</si>
  <si>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</si>
  <si>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</si>
  <si>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</si>
  <si>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</si>
  <si>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</si>
  <si>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</si>
  <si>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</si>
  <si>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</si>
  <si>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</si>
  <si>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</si>
  <si>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</si>
  <si>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</si>
  <si>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</si>
  <si>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</si>
  <si>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</si>
  <si>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</si>
  <si>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</si>
  <si>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</si>
  <si>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</si>
  <si>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</si>
  <si>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</si>
  <si>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</si>
  <si>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</si>
  <si>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</si>
  <si>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</si>
  <si>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</si>
  <si>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</si>
  <si>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</si>
  <si>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</si>
  <si>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</si>
  <si>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</si>
  <si>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</si>
  <si>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</si>
  <si>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</si>
  <si>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</si>
  <si>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</si>
  <si>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</si>
  <si>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</si>
  <si>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</si>
  <si>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</si>
  <si>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</si>
  <si>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</si>
  <si>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</si>
  <si>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</si>
  <si>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</si>
  <si>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</si>
  <si>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</si>
  <si>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</si>
  <si>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</si>
  <si>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</si>
  <si>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</si>
  <si>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</si>
  <si>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</si>
  <si>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</si>
  <si>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</si>
  <si>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</si>
  <si>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</si>
  <si>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</si>
  <si>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</si>
  <si>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</si>
  <si>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</si>
  <si>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</si>
  <si>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</si>
  <si>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</si>
  <si>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</si>
  <si>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</si>
  <si>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</si>
  <si>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</si>
  <si>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</si>
  <si>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</si>
  <si>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</si>
  <si>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</si>
  <si>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</si>
  <si>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</si>
  <si>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</si>
  <si>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</si>
  <si>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</si>
  <si>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</si>
  <si>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</si>
  <si>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</si>
  <si>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</si>
  <si>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</si>
  <si>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</si>
  <si>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</si>
  <si>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</si>
  <si>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</si>
  <si>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</si>
  <si>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</si>
  <si>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</si>
  <si>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</si>
  <si>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</si>
  <si>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</si>
  <si>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</si>
  <si>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</si>
  <si>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</si>
  <si>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</si>
  <si>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</si>
  <si>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</si>
  <si>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</si>
  <si>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</si>
  <si>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</si>
  <si>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</si>
  <si>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</si>
  <si>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</si>
  <si>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</si>
  <si>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</si>
  <si>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</si>
  <si>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</si>
  <si>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</si>
  <si>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</si>
  <si>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</si>
  <si>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</si>
  <si>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</si>
  <si>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</si>
  <si>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</si>
  <si>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</si>
  <si>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</si>
  <si>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</si>
  <si>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</si>
  <si>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</si>
  <si>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</si>
  <si>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</si>
  <si>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</si>
  <si>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</si>
  <si>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</si>
  <si>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</si>
  <si>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</si>
  <si>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</si>
  <si>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</si>
  <si>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</si>
  <si>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</si>
  <si>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</si>
  <si>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</si>
  <si>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</si>
  <si>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</si>
  <si>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</si>
  <si>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</si>
  <si>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</si>
  <si>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</si>
  <si>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</si>
  <si>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</si>
  <si>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</si>
  <si>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</si>
  <si>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</si>
  <si>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</si>
  <si>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</si>
  <si>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</si>
  <si>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</si>
  <si>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</si>
  <si>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</si>
  <si>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</si>
  <si>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</si>
  <si>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</si>
  <si>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</si>
  <si>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</si>
  <si>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</si>
  <si>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</si>
  <si>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</si>
  <si>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</si>
  <si>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</si>
  <si>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</si>
  <si>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</si>
  <si>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</si>
  <si>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</si>
  <si>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</si>
  <si>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</si>
  <si>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</si>
  <si>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</si>
  <si>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</si>
  <si>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</si>
  <si>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</si>
  <si>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</si>
  <si>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</si>
  <si>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</si>
  <si>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</si>
  <si>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</si>
  <si>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</si>
  <si>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</si>
  <si>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</si>
  <si>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</si>
  <si>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</si>
  <si>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</si>
  <si>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</si>
  <si>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</si>
  <si>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</si>
  <si>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</si>
  <si>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</si>
  <si>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</si>
  <si>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</si>
  <si>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</si>
  <si>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</si>
  <si>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</si>
  <si>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</si>
  <si>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</si>
  <si>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</si>
  <si>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</si>
  <si>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</si>
  <si>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</si>
  <si>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</si>
  <si>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</si>
  <si>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</si>
  <si>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</si>
  <si>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</si>
  <si>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</si>
  <si>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</si>
  <si>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</si>
  <si>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</si>
  <si>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</si>
  <si>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</si>
  <si>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</si>
  <si>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</si>
  <si>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</si>
  <si>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</si>
  <si>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</si>
  <si>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</si>
  <si>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</si>
  <si>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</si>
  <si>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</si>
  <si>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</si>
  <si>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</si>
  <si>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</si>
  <si>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</si>
  <si>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</si>
  <si>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</si>
  <si>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</si>
  <si>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</si>
  <si>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</si>
  <si>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</si>
  <si>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</si>
  <si>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</si>
  <si>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</si>
  <si>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</si>
  <si>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</si>
  <si>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</si>
  <si>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</si>
  <si>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</si>
  <si>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</si>
  <si>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</si>
  <si>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</si>
  <si>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</si>
  <si>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</si>
  <si>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</si>
  <si>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</si>
  <si>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</si>
  <si>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</si>
  <si>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</si>
  <si>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</si>
  <si>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</si>
  <si>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</si>
  <si>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</si>
  <si>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</si>
  <si>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</si>
  <si>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</si>
  <si>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</si>
  <si>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</si>
  <si>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</si>
  <si>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</si>
  <si>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</si>
  <si>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</si>
  <si>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</si>
  <si>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</si>
  <si>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</si>
  <si>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</si>
  <si>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</si>
  <si>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</si>
  <si>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</si>
  <si>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</si>
  <si>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</si>
  <si>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</si>
  <si>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</si>
  <si>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</si>
  <si>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</si>
  <si>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</si>
  <si>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</si>
  <si>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</si>
  <si>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</si>
  <si>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</si>
  <si>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</si>
  <si>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</si>
  <si>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</si>
  <si>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</si>
  <si>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</si>
  <si>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</si>
  <si>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</si>
  <si>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</si>
  <si>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</si>
  <si>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</si>
  <si>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</si>
  <si>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</si>
  <si>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</si>
  <si>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</si>
  <si>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</si>
  <si>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</si>
  <si>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</si>
  <si>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</si>
  <si>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</si>
  <si>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</si>
  <si>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</si>
  <si>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</si>
  <si>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</si>
  <si>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</si>
  <si>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</si>
  <si>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</si>
  <si>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</si>
  <si>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</si>
  <si>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</si>
  <si>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</si>
  <si>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</si>
  <si>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</si>
  <si>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</si>
  <si>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</si>
  <si>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</si>
  <si>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</si>
  <si>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</si>
  <si>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</si>
  <si>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</si>
  <si>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</si>
  <si>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</si>
  <si>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</si>
  <si>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</si>
  <si>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</si>
  <si>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</si>
  <si>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</si>
  <si>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</si>
  <si>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</si>
  <si>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</si>
  <si>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</si>
  <si>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</si>
  <si>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</si>
  <si>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</si>
  <si>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</si>
  <si>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</si>
  <si>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</si>
  <si>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</si>
  <si>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</si>
  <si>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</si>
  <si>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</si>
  <si>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</si>
  <si>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</si>
  <si>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</si>
  <si>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</si>
  <si>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</si>
  <si>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</si>
  <si>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</si>
  <si>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</si>
  <si>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</si>
  <si>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</si>
  <si>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</si>
  <si>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</si>
  <si>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</si>
  <si>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</si>
  <si>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</si>
  <si>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</si>
  <si>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</si>
  <si>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</si>
  <si>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</si>
  <si>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</si>
  <si>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</si>
  <si>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</si>
  <si>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</si>
  <si>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</si>
  <si>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</si>
  <si>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</si>
  <si>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</si>
  <si>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</si>
  <si>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</si>
  <si>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</si>
  <si>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</si>
  <si>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</si>
  <si>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</si>
  <si>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</si>
  <si>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</si>
  <si>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</si>
  <si>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</si>
  <si>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</si>
  <si>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</si>
  <si>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</si>
  <si>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</si>
  <si>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</si>
  <si>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</si>
  <si>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</si>
  <si>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</si>
  <si>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</si>
  <si>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</si>
  <si>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</si>
  <si>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</si>
  <si>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</si>
  <si>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</si>
  <si>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</si>
  <si>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</si>
  <si>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</si>
  <si>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</si>
  <si>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</si>
  <si>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</si>
  <si>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</si>
  <si>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</si>
  <si>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</si>
  <si>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</si>
  <si>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</si>
  <si>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</si>
  <si>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</si>
  <si>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</si>
  <si>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</si>
  <si>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</si>
  <si>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</si>
  <si>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</si>
  <si>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</si>
  <si>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</si>
  <si>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</si>
  <si>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</si>
  <si>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</si>
  <si>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</si>
  <si>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</si>
  <si>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</si>
  <si>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</si>
  <si>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</si>
  <si>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</si>
  <si>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</si>
  <si>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</si>
  <si>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</si>
  <si>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</si>
  <si>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</si>
  <si>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</si>
  <si>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</si>
  <si>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</si>
  <si>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</si>
  <si>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</si>
  <si>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</si>
  <si>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</si>
  <si>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</si>
  <si>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</si>
  <si>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</si>
  <si>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</si>
  <si>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</si>
  <si>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</si>
  <si>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</si>
  <si>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</si>
  <si>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</si>
  <si>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</si>
  <si>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</si>
  <si>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</si>
  <si>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</si>
  <si>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</si>
  <si>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</si>
  <si>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</si>
  <si>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</si>
  <si>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</si>
  <si>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</si>
  <si>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</si>
  <si>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</si>
  <si>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</si>
  <si>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</si>
  <si>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</si>
  <si>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</si>
  <si>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</si>
  <si>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</si>
  <si>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</si>
  <si>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</si>
  <si>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</si>
  <si>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</si>
  <si>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</si>
  <si>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</si>
  <si>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</si>
  <si>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</si>
  <si>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</si>
  <si>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</si>
  <si>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</si>
  <si>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</si>
  <si>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</si>
  <si>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</si>
  <si>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</si>
  <si>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</si>
  <si>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</si>
  <si>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</si>
  <si>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</si>
  <si>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</si>
  <si>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</si>
  <si>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06.07.2026</t>
  </si>
  <si>
    <t>Toplam Stok Miktarı
06.07.2026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</si>
</sst>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0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  <xf numFmtId="164" fontId="32" fillId="7" borderId="0" xfId="0" applyNumberFormat="1" applyFont="1" applyFill="1" applyAlignment="1">
      <alignment horizontal="right"/>
    </xf>
    <xf numFmtId="0" fontId="32" fillId="7" borderId="0" xfId="0" applyNumberFormat="1" applyFont="1" applyFill="1"/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Dashboard!$K$6:$K$104</c:f>
              <c:numCache>
                <c:formatCode>m/d/yyyy</c:formatCode>
                <c:ptCount val="99"/>
                <c:pt idx="0">
                  <c:v>46209</c:v>
                </c:pt>
                <c:pt idx="1">
                  <c:v>46202</c:v>
                </c:pt>
                <c:pt idx="2">
                  <c:v>46195</c:v>
                </c:pt>
                <c:pt idx="3">
                  <c:v>46188</c:v>
                </c:pt>
                <c:pt idx="4">
                  <c:v>46181</c:v>
                </c:pt>
                <c:pt idx="5">
                  <c:v>46174</c:v>
                </c:pt>
                <c:pt idx="6">
                  <c:v>46160</c:v>
                </c:pt>
                <c:pt idx="7">
                  <c:v>46153</c:v>
                </c:pt>
                <c:pt idx="8">
                  <c:v>46146</c:v>
                </c:pt>
                <c:pt idx="9">
                  <c:v>46139</c:v>
                </c:pt>
                <c:pt idx="10">
                  <c:v>46132</c:v>
                </c:pt>
                <c:pt idx="11">
                  <c:v>46125</c:v>
                </c:pt>
                <c:pt idx="12">
                  <c:v>46118</c:v>
                </c:pt>
                <c:pt idx="13">
                  <c:v>46111</c:v>
                </c:pt>
                <c:pt idx="14">
                  <c:v>46104</c:v>
                </c:pt>
                <c:pt idx="15">
                  <c:v>46097</c:v>
                </c:pt>
                <c:pt idx="16">
                  <c:v>46090</c:v>
                </c:pt>
                <c:pt idx="17">
                  <c:v>46083</c:v>
                </c:pt>
                <c:pt idx="18">
                  <c:v>46076</c:v>
                </c:pt>
                <c:pt idx="19">
                  <c:v>46069</c:v>
                </c:pt>
                <c:pt idx="20">
                  <c:v>46062</c:v>
                </c:pt>
                <c:pt idx="21">
                  <c:v>46055</c:v>
                </c:pt>
                <c:pt idx="22">
                  <c:v>46048</c:v>
                </c:pt>
                <c:pt idx="23">
                  <c:v>46041</c:v>
                </c:pt>
                <c:pt idx="24">
                  <c:v>46034</c:v>
                </c:pt>
                <c:pt idx="25">
                  <c:v>46027</c:v>
                </c:pt>
                <c:pt idx="26">
                  <c:v>46020</c:v>
                </c:pt>
                <c:pt idx="27">
                  <c:v>46013</c:v>
                </c:pt>
                <c:pt idx="28">
                  <c:v>46006</c:v>
                </c:pt>
                <c:pt idx="29">
                  <c:v>45999</c:v>
                </c:pt>
                <c:pt idx="30">
                  <c:v>45992</c:v>
                </c:pt>
                <c:pt idx="31">
                  <c:v>45985</c:v>
                </c:pt>
                <c:pt idx="32">
                  <c:v>45978</c:v>
                </c:pt>
                <c:pt idx="33">
                  <c:v>45971</c:v>
                </c:pt>
                <c:pt idx="34">
                  <c:v>45964</c:v>
                </c:pt>
                <c:pt idx="35">
                  <c:v>45950</c:v>
                </c:pt>
                <c:pt idx="36">
                  <c:v>45943</c:v>
                </c:pt>
                <c:pt idx="37">
                  <c:v>45936</c:v>
                </c:pt>
                <c:pt idx="38">
                  <c:v>45929</c:v>
                </c:pt>
                <c:pt idx="39">
                  <c:v>45919</c:v>
                </c:pt>
                <c:pt idx="40">
                  <c:v>45908</c:v>
                </c:pt>
                <c:pt idx="41">
                  <c:v>45896</c:v>
                </c:pt>
                <c:pt idx="42">
                  <c:v>45866</c:v>
                </c:pt>
                <c:pt idx="43">
                  <c:v>45840</c:v>
                </c:pt>
                <c:pt idx="44">
                  <c:v>45824</c:v>
                </c:pt>
                <c:pt idx="45">
                  <c:v>45805</c:v>
                </c:pt>
                <c:pt idx="46">
                  <c:v>45797</c:v>
                </c:pt>
                <c:pt idx="47">
                  <c:v>45783</c:v>
                </c:pt>
                <c:pt idx="48">
                  <c:v>45769</c:v>
                </c:pt>
                <c:pt idx="49">
                  <c:v>45762</c:v>
                </c:pt>
                <c:pt idx="50">
                  <c:v>45750</c:v>
                </c:pt>
                <c:pt idx="51">
                  <c:v>45741</c:v>
                </c:pt>
                <c:pt idx="52">
                  <c:v>45736</c:v>
                </c:pt>
                <c:pt idx="53">
                  <c:v>45726</c:v>
                </c:pt>
                <c:pt idx="54">
                  <c:v>45723</c:v>
                </c:pt>
                <c:pt idx="55">
                  <c:v>45716</c:v>
                </c:pt>
                <c:pt idx="56">
                  <c:v>45712</c:v>
                </c:pt>
                <c:pt idx="57">
                  <c:v>45705</c:v>
                </c:pt>
                <c:pt idx="58">
                  <c:v>45702</c:v>
                </c:pt>
                <c:pt idx="59">
                  <c:v>45698</c:v>
                </c:pt>
                <c:pt idx="60">
                  <c:v>45691</c:v>
                </c:pt>
                <c:pt idx="61">
                  <c:v>45684</c:v>
                </c:pt>
                <c:pt idx="62">
                  <c:v>45677</c:v>
                </c:pt>
                <c:pt idx="63">
                  <c:v>45672</c:v>
                </c:pt>
                <c:pt idx="64">
                  <c:v>45656</c:v>
                </c:pt>
                <c:pt idx="65">
                  <c:v>45649</c:v>
                </c:pt>
                <c:pt idx="66">
                  <c:v>45642</c:v>
                </c:pt>
                <c:pt idx="67">
                  <c:v>45635</c:v>
                </c:pt>
                <c:pt idx="68">
                  <c:v>45630</c:v>
                </c:pt>
                <c:pt idx="69">
                  <c:v>45614</c:v>
                </c:pt>
                <c:pt idx="70">
                  <c:v>45608</c:v>
                </c:pt>
                <c:pt idx="71">
                  <c:v>45596</c:v>
                </c:pt>
                <c:pt idx="72">
                  <c:v>45580</c:v>
                </c:pt>
                <c:pt idx="73">
                  <c:v>45570</c:v>
                </c:pt>
                <c:pt idx="74">
                  <c:v>45563</c:v>
                </c:pt>
                <c:pt idx="75">
                  <c:v>45552</c:v>
                </c:pt>
                <c:pt idx="76">
                  <c:v>45539</c:v>
                </c:pt>
                <c:pt idx="77">
                  <c:v>45524</c:v>
                </c:pt>
                <c:pt idx="78">
                  <c:v>45511</c:v>
                </c:pt>
                <c:pt idx="79">
                  <c:v>45500</c:v>
                </c:pt>
                <c:pt idx="80">
                  <c:v>45490</c:v>
                </c:pt>
                <c:pt idx="81">
                  <c:v>45478</c:v>
                </c:pt>
                <c:pt idx="82">
                  <c:v>45467</c:v>
                </c:pt>
                <c:pt idx="83">
                  <c:v>45455</c:v>
                </c:pt>
                <c:pt idx="84">
                  <c:v>45442</c:v>
                </c:pt>
                <c:pt idx="85">
                  <c:v>45427</c:v>
                </c:pt>
                <c:pt idx="86">
                  <c:v>45427</c:v>
                </c:pt>
                <c:pt idx="87">
                  <c:v>45411</c:v>
                </c:pt>
                <c:pt idx="88">
                  <c:v>45397</c:v>
                </c:pt>
                <c:pt idx="89">
                  <c:v>45376</c:v>
                </c:pt>
                <c:pt idx="90">
                  <c:v>45364</c:v>
                </c:pt>
                <c:pt idx="91">
                  <c:v>45352</c:v>
                </c:pt>
                <c:pt idx="92">
                  <c:v>45334</c:v>
                </c:pt>
                <c:pt idx="93">
                  <c:v>45320</c:v>
                </c:pt>
                <c:pt idx="94">
                  <c:v>45313</c:v>
                </c:pt>
                <c:pt idx="95">
                  <c:v>45293</c:v>
                </c:pt>
                <c:pt idx="96">
                  <c:v>45285</c:v>
                </c:pt>
                <c:pt idx="97">
                  <c:v>45275</c:v>
                </c:pt>
                <c:pt idx="98">
                  <c:v>45173</c:v>
                </c:pt>
              </c:numCache>
            </c:numRef>
          </c:cat>
          <c:val>
            <c:numRef>
              <c:f>Dashboard!$L$6:$L$104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09.450739351851" createdVersion="8" refreshedVersion="8" minRefreshableVersion="3" recordCount="437" xr:uid="{1CFC1990-4319-42C1-A618-B7EEA4511A58}">
  <cacheSource type="worksheet">
    <worksheetSource ref="A1:DH438" sheet="Stok"/>
  </cacheSource>
  <cacheFields count="112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497.01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9105653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5.06447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4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6.46719999999999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4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3.8592000000000004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607.3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9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4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497.01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6078.209999999999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998.400000000001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6247.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E459FD-6EDA-4050-8DEA-92B72A9B2622}" name="PivotTable4" cacheId="18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2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6.07.2026" fld="111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3"/>
          </reference>
        </references>
      </pivotArea>
    </format>
    <format dxfId="18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3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2">
      <pivotArea grandRow="1" outline="0" collapsedLevelsAreSubtotals="1" fieldPosition="0"/>
    </format>
    <format dxfId="1">
      <pivotArea dataOnly="0" labelOnly="1" grandRow="1" outline="0" fieldPosition="0"/>
    </format>
    <format dxfId="0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910565300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910565300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4" totalsRowShown="0" headerRowDxfId="10" dataDxfId="8" headerRowBorderDxfId="9" tableBorderDxfId="7" totalsRowBorderDxfId="6">
  <autoFilter ref="K5:L104" xr:uid="{E5E02A0B-EBAC-497B-8F95-E1A614B153BB}">
    <filterColumn colId="0" hiddenButton="1"/>
    <filterColumn colId="1" hiddenButton="1"/>
  </autoFilter>
  <sortState xmlns:xlrd2="http://schemas.microsoft.com/office/spreadsheetml/2017/richdata2" ref="K6:L104">
    <sortCondition descending="1" ref="K76:K104"/>
  </sortState>
  <tableColumns count="2">
    <tableColumn id="1" xr3:uid="{F3F08BA5-BC24-4512-A5B4-E4D9C7C2DCF5}" name="Sayım Tarihi" dataDxfId="5" dataCellStyle="Normal 2"/>
    <tableColumn id="2" xr3:uid="{EEB9CBF8-49FE-4799-93B4-AAE618911A93}" name="Miktar" dataDxfId="4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89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27" t="s">
        <v>1552</v>
      </c>
      <c r="Z1" s="128"/>
      <c r="AA1" s="128"/>
      <c r="AB1" s="128"/>
      <c r="AC1" s="128"/>
      <c r="AD1" s="128"/>
      <c r="AE1" s="128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29" t="str">
        <f>L6</f>
        <v/>
      </c>
      <c r="Y2" s="129"/>
      <c r="Z2" s="129"/>
      <c r="AA2" s="129"/>
      <c r="AB2" s="129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1553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0">
        <v>1</v>
      </c>
      <c r="J6" s="53"/>
      <c r="K6" s="134">
        <v>46209</v>
      </c>
      <c r="L6" s="135" t="str">
        <f>IFERROR(VLOOKUP($A$2,Stok!$B$1:$DH$438,111,0),"")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0">
        <v>0</v>
      </c>
      <c r="J7" s="53"/>
      <c r="K7" s="58">
        <v>46202</v>
      </c>
      <c r="L7" s="59" t="str">
        <f>IFERROR(VLOOKUP($A$2,Stok!$B$1:$DG$438,110,0),"")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0">
        <v>1</v>
      </c>
      <c r="J8" s="53"/>
      <c r="K8" s="58">
        <v>46195</v>
      </c>
      <c r="L8" s="59" t="str">
        <f>IFERROR(VLOOKUP($A$2,Stok!$B$1:$DF$438,109,0),"")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0">
        <v>127</v>
      </c>
      <c r="J9" s="53"/>
      <c r="K9" s="58">
        <v>46188</v>
      </c>
      <c r="L9" s="59" t="str">
        <f>IFERROR(VLOOKUP($A$2,Stok!$B$1:$DE$438,108,0),"")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0">
        <v>1</v>
      </c>
      <c r="J10" s="53"/>
      <c r="K10" s="58">
        <v>46181</v>
      </c>
      <c r="L10" s="59" t="str">
        <f>IFERROR(VLOOKUP($A$2,Stok!$B$1:$DD$438,107,0),"")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0">
        <v>1</v>
      </c>
      <c r="J11" s="53"/>
      <c r="K11" s="58">
        <v>46174</v>
      </c>
      <c r="L11" s="59" t="str">
        <f>IFERROR(VLOOKUP($A$2,Stok!$B$1:$DC$438,106,0),"")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0">
        <v>1</v>
      </c>
      <c r="J12" s="53"/>
      <c r="K12" s="58">
        <v>46160</v>
      </c>
      <c r="L12" s="59" t="str">
        <f>IFERROR(VLOOKUP($A$2,Stok!$B$1:$DB$438,105,0),"")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0">
        <v>0</v>
      </c>
      <c r="J13" s="53"/>
      <c r="K13" s="58">
        <v>46153</v>
      </c>
      <c r="L13" s="59" t="str">
        <f>IFERROR(VLOOKUP($A$2,Stok!$B$1:$DA$438,104,0),"")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0">
        <v>0</v>
      </c>
      <c r="J14" s="53"/>
      <c r="K14" s="58">
        <v>46146</v>
      </c>
      <c r="L14" s="59" t="str">
        <f>IFERROR(VLOOKUP($A$2,Stok!$B$1:$CZ$438,103,0),"")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0">
        <v>0</v>
      </c>
      <c r="J15" s="53"/>
      <c r="K15" s="58">
        <v>46139</v>
      </c>
      <c r="L15" s="59" t="str">
        <f>IFERROR(VLOOKUP($A$2,Stok!$B$1:$CY$438,102,0),"")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0">
        <v>0</v>
      </c>
      <c r="J16" s="53"/>
      <c r="K16" s="58">
        <v>46132</v>
      </c>
      <c r="L16" s="59" t="str">
        <f>IFERROR(VLOOKUP($A$2,Stok!$B$1:$CX$438,101,0),"")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0">
        <v>0</v>
      </c>
      <c r="J17" s="53"/>
      <c r="K17" s="58">
        <v>46125</v>
      </c>
      <c r="L17" s="59" t="str">
        <f>IFERROR(VLOOKUP($A$2,Stok!$B$1:$CW$438,100,0),"")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0">
        <v>1</v>
      </c>
      <c r="J18" s="53"/>
      <c r="K18" s="58">
        <v>46118</v>
      </c>
      <c r="L18" s="59" t="str">
        <f>IFERROR(VLOOKUP($A$2,Stok!$B$1:$CV$438,99,0),"")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0">
        <v>14</v>
      </c>
      <c r="J19" s="53"/>
      <c r="K19" s="58">
        <v>46111</v>
      </c>
      <c r="L19" s="59" t="str">
        <f>IFERROR(VLOOKUP($A$2,Stok!$B$1:$CU$438,98,0),"")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0">
        <v>1</v>
      </c>
      <c r="J20" s="53"/>
      <c r="K20" s="58">
        <v>46104</v>
      </c>
      <c r="L20" s="59" t="str">
        <f>IFERROR(VLOOKUP($A$2,Stok!$B$1:$CT$438,97,0),"")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0">
        <v>56</v>
      </c>
      <c r="J21" s="53"/>
      <c r="K21" s="58">
        <v>46097</v>
      </c>
      <c r="L21" s="59" t="str">
        <f>IFERROR(VLOOKUP($A$2,Stok!$B$1:$CS$438,96,0),"")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0">
        <v>43</v>
      </c>
      <c r="J22" s="53"/>
      <c r="K22" s="58">
        <v>46090</v>
      </c>
      <c r="L22" s="59" t="str">
        <f>IFERROR(VLOOKUP($A$2,Stok!$B$1:$CR$438,95,0),"")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0">
        <v>0</v>
      </c>
      <c r="J23" s="53"/>
      <c r="K23" s="58">
        <v>46083</v>
      </c>
      <c r="L23" s="59" t="str">
        <f>IFERROR(VLOOKUP($A$2,Stok!$B$1:$CQ$438,94,0),"")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0">
        <v>9</v>
      </c>
      <c r="J24" s="53"/>
      <c r="K24" s="58">
        <v>46076</v>
      </c>
      <c r="L24" s="59" t="str">
        <f>IFERROR(VLOOKUP($A$2,Stok!$B$1:$CP$438,93,0),"")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0">
        <v>0</v>
      </c>
      <c r="J25" s="53"/>
      <c r="K25" s="58">
        <v>46069</v>
      </c>
      <c r="L25" s="59" t="str">
        <f>IFERROR(VLOOKUP($A$2,Stok!$B$1:$CO$438,92,0),"")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0">
        <v>805</v>
      </c>
      <c r="J26" s="53"/>
      <c r="K26" s="58">
        <v>46062</v>
      </c>
      <c r="L26" s="59" t="str">
        <f>IFERROR(VLOOKUP($A$2,Stok!$B$1:$CN$438,91,0),"")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0">
        <v>500</v>
      </c>
      <c r="J27" s="53"/>
      <c r="K27" s="58">
        <v>46055</v>
      </c>
      <c r="L27" s="59" t="str">
        <f>IFERROR(VLOOKUP($A$2,Stok!$B$1:$CM$438,90,0),"")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0">
        <v>0</v>
      </c>
      <c r="J28" s="53"/>
      <c r="K28" s="58">
        <v>46048</v>
      </c>
      <c r="L28" s="59" t="str">
        <f>IFERROR(VLOOKUP($A$2,Stok!$B$1:$CL$438,89,0),"")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0">
        <v>1</v>
      </c>
      <c r="J29" s="53"/>
      <c r="K29" s="58">
        <v>46041</v>
      </c>
      <c r="L29" s="59" t="str">
        <f>IFERROR(VLOOKUP($A$2,Stok!$B$1:$CK$438,88,0),"")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0">
        <v>207</v>
      </c>
      <c r="J30" s="53"/>
      <c r="K30" s="58">
        <v>46034</v>
      </c>
      <c r="L30" s="59" t="str">
        <f>IFERROR(VLOOKUP($A$2,Stok!$B$1:$CJ$438,87,0),"")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0">
        <v>24</v>
      </c>
      <c r="J31" s="53"/>
      <c r="K31" s="58">
        <v>46027</v>
      </c>
      <c r="L31" s="59" t="str">
        <f>IFERROR(VLOOKUP($A$2,Stok!$B$1:$CI$438,86,0),"")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0">
        <v>28</v>
      </c>
      <c r="J32" s="53"/>
      <c r="K32" s="58">
        <v>46020</v>
      </c>
      <c r="L32" s="59" t="str">
        <f>IFERROR(VLOOKUP($A$2,Stok!$B$1:$CH$438,85,0),"")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0">
        <v>28</v>
      </c>
      <c r="J33" s="53"/>
      <c r="K33" s="58">
        <v>46013</v>
      </c>
      <c r="L33" s="59" t="str">
        <f>IFERROR(VLOOKUP($A$2,Stok!$B$1:$CG$438,84,0),"")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0">
        <v>2</v>
      </c>
      <c r="J34" s="53"/>
      <c r="K34" s="58">
        <v>46006</v>
      </c>
      <c r="L34" s="59" t="str">
        <f>IFERROR(VLOOKUP($A$2,Stok!$B$1:$CF$438,83,0),"")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0">
        <v>2</v>
      </c>
      <c r="J35" s="53"/>
      <c r="K35" s="58">
        <v>45999</v>
      </c>
      <c r="L35" s="59" t="str">
        <f>IFERROR(VLOOKUP($A$2,Stok!$B$1:$CE$438,82,0),"")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0">
        <v>13</v>
      </c>
      <c r="J36" s="53"/>
      <c r="K36" s="58">
        <v>45992</v>
      </c>
      <c r="L36" s="59" t="str">
        <f>IFERROR(VLOOKUP($A$2,Stok!$B$1:$CD$438,81,0),"")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0">
        <v>2</v>
      </c>
      <c r="J37" s="53"/>
      <c r="K37" s="58">
        <v>45985</v>
      </c>
      <c r="L37" s="59" t="str">
        <f>IFERROR(VLOOKUP($A$2,Stok!$B$1:$CC$438,80,0),"")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0">
        <v>2</v>
      </c>
      <c r="J38" s="53"/>
      <c r="K38" s="58">
        <v>45978</v>
      </c>
      <c r="L38" s="59" t="str">
        <f>IFERROR(VLOOKUP($A$2,Stok!$B$1:$CB$438,79,0),"")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0">
        <v>43</v>
      </c>
      <c r="J39" s="53"/>
      <c r="K39" s="58">
        <v>45971</v>
      </c>
      <c r="L39" s="59" t="str">
        <f>IFERROR(VLOOKUP($A$2,Stok!$B$1:$CA$438,78,0),"")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0">
        <v>1</v>
      </c>
      <c r="J40" s="53"/>
      <c r="K40" s="58">
        <v>45964</v>
      </c>
      <c r="L40" s="59" t="str">
        <f>IFERROR(VLOOKUP($A$2,Stok!$B$1:$BZ$438,77,0),"")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0">
        <v>0</v>
      </c>
      <c r="J41" s="53"/>
      <c r="K41" s="58">
        <v>45950</v>
      </c>
      <c r="L41" s="59" t="str">
        <f>IFERROR(VLOOKUP($A$2,Stok!$B$1:$BY$438,76,0),"")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0">
        <v>1</v>
      </c>
      <c r="J42" s="53"/>
      <c r="K42" s="58">
        <v>45943</v>
      </c>
      <c r="L42" s="59" t="str">
        <f>IFERROR(VLOOKUP($A$2,Stok!$B$1:$BX$438,75,0),"")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0">
        <v>8</v>
      </c>
      <c r="J43" s="53"/>
      <c r="K43" s="58">
        <v>45936</v>
      </c>
      <c r="L43" s="59" t="str">
        <f>IFERROR(VLOOKUP($A$2,Stok!$B$1:$BW$438,74,0),"")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0">
        <v>2</v>
      </c>
      <c r="J44" s="53"/>
      <c r="K44" s="58">
        <v>45929</v>
      </c>
      <c r="L44" s="59" t="str">
        <f>IFERROR(VLOOKUP($A$2,Stok!$B$1:$BV$438,73,0),"")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0">
        <v>1</v>
      </c>
      <c r="J45" s="53"/>
      <c r="K45" s="58">
        <v>45919</v>
      </c>
      <c r="L45" s="59" t="str">
        <f>IFERROR(VLOOKUP($A$2,Stok!$B$1:$BU$438,72,0),"")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0">
        <v>1</v>
      </c>
      <c r="J46" s="53"/>
      <c r="K46" s="58">
        <v>45908</v>
      </c>
      <c r="L46" s="59" t="str">
        <f>IFERROR(VLOOKUP($A$2,Stok!$B$1:$BT$438,71,0),"")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0">
        <v>4</v>
      </c>
      <c r="J47" s="53"/>
      <c r="K47" s="58">
        <v>45896</v>
      </c>
      <c r="L47" s="59" t="str">
        <f>IFERROR(VLOOKUP($A$2,Stok!$B$1:$BS$438,70,0),"")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0">
        <v>18</v>
      </c>
      <c r="J48" s="53"/>
      <c r="K48" s="58">
        <v>45866</v>
      </c>
      <c r="L48" s="59" t="str">
        <f>IFERROR(VLOOKUP($A$2,Stok!$B$1:$BR$438,69,0),"")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0">
        <v>0</v>
      </c>
      <c r="J49" s="53"/>
      <c r="K49" s="58">
        <v>45840</v>
      </c>
      <c r="L49" s="59" t="str">
        <f>IFERROR(VLOOKUP($A$2,Stok!$B$1:$BQ$438,68,0),"")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0">
        <v>0</v>
      </c>
      <c r="J50" s="53"/>
      <c r="K50" s="58">
        <v>45824</v>
      </c>
      <c r="L50" s="59" t="str">
        <f>IFERROR(VLOOKUP($A$2,Stok!$B$1:$BP$438,67,0),"")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0">
        <v>7</v>
      </c>
      <c r="J51" s="53"/>
      <c r="K51" s="58">
        <v>45805</v>
      </c>
      <c r="L51" s="59" t="str">
        <f>IFERROR(VLOOKUP($A$2,Stok!$B$1:$BO$438,66,0),"")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0">
        <v>0</v>
      </c>
      <c r="J52" s="53"/>
      <c r="K52" s="58">
        <v>45797</v>
      </c>
      <c r="L52" s="59" t="str">
        <f>IFERROR(VLOOKUP($A$2,Stok!$B$1:$BN$438,65,0),"")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0">
        <v>1140</v>
      </c>
      <c r="J53" s="53"/>
      <c r="K53" s="58">
        <v>45783</v>
      </c>
      <c r="L53" s="59" t="str">
        <f>IFERROR(VLOOKUP($A$2,Stok!$B$1:$BM$438,64,0),"")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0">
        <v>8</v>
      </c>
      <c r="J54" s="53"/>
      <c r="K54" s="58">
        <v>45769</v>
      </c>
      <c r="L54" s="59" t="str">
        <f>IFERROR(VLOOKUP($A$2,Stok!$B$1:$BL$438,63,0),"")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0">
        <v>0</v>
      </c>
      <c r="J55" s="53"/>
      <c r="K55" s="58">
        <v>45762</v>
      </c>
      <c r="L55" s="59" t="str">
        <f>IFERROR(VLOOKUP($A$2,Stok!$B$1:$BK$438,62,0),"")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0">
        <v>73</v>
      </c>
      <c r="J56" s="53"/>
      <c r="K56" s="58">
        <v>45750</v>
      </c>
      <c r="L56" s="59" t="str">
        <f>IFERROR(VLOOKUP($A$2,Stok!$B$1:$BJ$438,61,0),"")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0">
        <v>0</v>
      </c>
      <c r="J57" s="53"/>
      <c r="K57" s="58">
        <v>45741</v>
      </c>
      <c r="L57" s="59" t="str">
        <f>IFERROR(VLOOKUP($A$2,Stok!$B$1:$BI$438,60,0),"")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0">
        <v>0</v>
      </c>
      <c r="J58" s="53"/>
      <c r="K58" s="58">
        <v>45736</v>
      </c>
      <c r="L58" s="59" t="str">
        <f>IFERROR(VLOOKUP($A$2,Stok!$B$1:$BH$438,59,0),"")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0">
        <v>38</v>
      </c>
      <c r="J59" s="53"/>
      <c r="K59" s="58">
        <v>45726</v>
      </c>
      <c r="L59" s="59" t="str">
        <f>IFERROR(VLOOKUP($A$2,Stok!$B$1:$BG$438,58,0),"")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0">
        <v>0</v>
      </c>
      <c r="J60" s="53"/>
      <c r="K60" s="58">
        <v>45723</v>
      </c>
      <c r="L60" s="59" t="str">
        <f>IFERROR(VLOOKUP($A$2,Stok!$B$1:$BF$438,57,0),"")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0">
        <v>0</v>
      </c>
      <c r="J61" s="53"/>
      <c r="K61" s="58">
        <v>45716</v>
      </c>
      <c r="L61" s="59" t="str">
        <f>IFERROR(VLOOKUP($A$2,Stok!$B$1:$BE$438,56,0),"")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0">
        <v>0</v>
      </c>
      <c r="J62" s="53"/>
      <c r="K62" s="58">
        <v>45712</v>
      </c>
      <c r="L62" s="59" t="str">
        <f>IFERROR(VLOOKUP($A$2,Stok!$B$1:$BD$438,55,0),"")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0">
        <v>0</v>
      </c>
      <c r="J63" s="53"/>
      <c r="K63" s="58">
        <v>45705</v>
      </c>
      <c r="L63" s="59" t="str">
        <f>IFERROR(VLOOKUP($A$2,Stok!$B$1:$BC$438,54,0),"")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0">
        <v>0</v>
      </c>
      <c r="J64" s="53"/>
      <c r="K64" s="58">
        <v>45702</v>
      </c>
      <c r="L64" s="59" t="str">
        <f>IFERROR(VLOOKUP($A$2,Stok!$B$1:$BB$438,53,0),"")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0">
        <v>24</v>
      </c>
      <c r="J65" s="53"/>
      <c r="K65" s="58">
        <v>45698</v>
      </c>
      <c r="L65" s="59" t="str">
        <f>IFERROR(VLOOKUP($A$2,Stok!$B$1:$BA$438,52,0),"")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0">
        <v>161</v>
      </c>
      <c r="J66" s="53"/>
      <c r="K66" s="58">
        <v>45691</v>
      </c>
      <c r="L66" s="59" t="str">
        <f>IFERROR(VLOOKUP($A$2,Stok!$B$1:$AZ$438,51,0),"")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0">
        <v>0</v>
      </c>
      <c r="J67" s="53"/>
      <c r="K67" s="58">
        <v>45684</v>
      </c>
      <c r="L67" s="59" t="str">
        <f>IFERROR(VLOOKUP($A$2,Stok!$B$1:$AY$438,50,0),"")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0">
        <v>0</v>
      </c>
      <c r="J68" s="53"/>
      <c r="K68" s="58">
        <v>45677</v>
      </c>
      <c r="L68" s="59" t="str">
        <f>IFERROR(VLOOKUP($A$2,Stok!$B$1:$AX$438,49,0),"")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0">
        <v>0</v>
      </c>
      <c r="J69" s="53"/>
      <c r="K69" s="58">
        <v>45672</v>
      </c>
      <c r="L69" s="59" t="str">
        <f>IFERROR(VLOOKUP($A$2,Stok!$B$1:$AW$438,48,0),"")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0">
        <v>0</v>
      </c>
      <c r="J70" s="53"/>
      <c r="K70" s="58">
        <v>45656</v>
      </c>
      <c r="L70" s="59" t="str">
        <f>IFERROR(VLOOKUP($A$2,Stok!$B$1:$AV$438,47,0),"")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0">
        <v>504</v>
      </c>
      <c r="J71" s="53"/>
      <c r="K71" s="58">
        <v>45649</v>
      </c>
      <c r="L71" s="59" t="str">
        <f>IFERROR(VLOOKUP($A$2,Stok!$B$1:$AU$438,46,0),"")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0">
        <v>6</v>
      </c>
      <c r="J72" s="53"/>
      <c r="K72" s="58">
        <v>45642</v>
      </c>
      <c r="L72" s="59" t="str">
        <f>IFERROR(VLOOKUP($A$2,Stok!$B$1:$AT$438,45,0),"")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0">
        <v>0</v>
      </c>
      <c r="J73" s="53"/>
      <c r="K73" s="58">
        <v>45635</v>
      </c>
      <c r="L73" s="59" t="str">
        <f>IFERROR(VLOOKUP($A$2,Stok!$B$1:$AS$438,44,0),"")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0">
        <v>128</v>
      </c>
      <c r="J74" s="53"/>
      <c r="K74" s="58">
        <v>45630</v>
      </c>
      <c r="L74" s="59" t="str">
        <f>IFERROR(VLOOKUP($A$2,Stok!$B$1:$AR$438,43,0),"")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0">
        <v>27</v>
      </c>
      <c r="J75" s="53"/>
      <c r="K75" s="58">
        <v>45614</v>
      </c>
      <c r="L75" s="59" t="str">
        <f>IFERROR(VLOOKUP($A$2,Stok!$B$1:$AQ$438,42,0),"")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0">
        <v>0</v>
      </c>
      <c r="J76" s="53"/>
      <c r="K76" s="58">
        <v>45608</v>
      </c>
      <c r="L76" s="59" t="str">
        <f>IFERROR(VLOOKUP($A$2,Stok!$B$1:$AP$438,41,0),"")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0">
        <v>0</v>
      </c>
      <c r="J77" s="53"/>
      <c r="K77" s="58">
        <v>45596</v>
      </c>
      <c r="L77" s="59" t="str">
        <f>IFERROR(VLOOKUP($A$2,Stok!$B$1:$AO$438,40,0),"")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0">
        <v>0</v>
      </c>
      <c r="J78" s="53"/>
      <c r="K78" s="58">
        <v>45580</v>
      </c>
      <c r="L78" s="59" t="str">
        <f>IFERROR(VLOOKUP($A$2,Stok!$B$1:$AN$438,39,0),"")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0">
        <v>0</v>
      </c>
      <c r="J79" s="53"/>
      <c r="K79" s="58">
        <v>45570</v>
      </c>
      <c r="L79" s="59" t="str">
        <f>IFERROR(VLOOKUP($A$2,Stok!$B$1:$AM$438,38,0),"")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0">
        <v>0</v>
      </c>
      <c r="J80" s="53"/>
      <c r="K80" s="58">
        <v>45563</v>
      </c>
      <c r="L80" s="59" t="str">
        <f>IFERROR(VLOOKUP($A$2,Stok!$B$1:$AL$438,37,0),"")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0">
        <v>1</v>
      </c>
      <c r="J81" s="53"/>
      <c r="K81" s="58">
        <v>45552</v>
      </c>
      <c r="L81" s="59" t="str">
        <f>IFERROR(VLOOKUP($A$2,Stok!$B$1:$AK$438,36,0),"")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0">
        <v>0</v>
      </c>
      <c r="J82" s="53"/>
      <c r="K82" s="58">
        <v>45539</v>
      </c>
      <c r="L82" s="59" t="str">
        <f>IFERROR(VLOOKUP($A$2,Stok!$B$1:$AJ$438,35,0),"")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0">
        <v>141</v>
      </c>
      <c r="J83" s="53"/>
      <c r="K83" s="58">
        <v>45524</v>
      </c>
      <c r="L83" s="59" t="str">
        <f>IFERROR(VLOOKUP($A$2,Stok!$B$1:$AI$438,34,0),"")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0">
        <v>29</v>
      </c>
      <c r="J84" s="53"/>
      <c r="K84" s="58">
        <v>45511</v>
      </c>
      <c r="L84" s="59" t="str">
        <f>IFERROR(VLOOKUP($A$2,Stok!$B$1:$AH$438,33,0),"")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0">
        <v>0</v>
      </c>
      <c r="J85" s="53"/>
      <c r="K85" s="58">
        <v>45500</v>
      </c>
      <c r="L85" s="59" t="str">
        <f>IFERROR(VLOOKUP($A$2,Stok!$B$1:$AG$438,32,0),"")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0">
        <v>0</v>
      </c>
      <c r="J86" s="53"/>
      <c r="K86" s="58">
        <v>45490</v>
      </c>
      <c r="L86" s="59" t="str">
        <f>IFERROR(VLOOKUP($A$2,Stok!$B$1:$AF$438,31,0),"")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0">
        <v>0</v>
      </c>
      <c r="J87" s="53"/>
      <c r="K87" s="58">
        <v>45478</v>
      </c>
      <c r="L87" s="59" t="str">
        <f>IFERROR(VLOOKUP($A$2,Stok!$B$1:$AE$438,30,0),"")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0">
        <v>0</v>
      </c>
      <c r="J88" s="53"/>
      <c r="K88" s="58">
        <v>45467</v>
      </c>
      <c r="L88" s="59" t="str">
        <f>IFERROR(VLOOKUP($A$2,Stok!$B$1:$AD$438,29,0),"")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0">
        <v>0</v>
      </c>
      <c r="J89" s="53"/>
      <c r="K89" s="58">
        <v>45455</v>
      </c>
      <c r="L89" s="59" t="str">
        <f>IFERROR(VLOOKUP($A$2,Stok!$B$1:$AC$438,28,0),"")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0">
        <v>0</v>
      </c>
      <c r="J90" s="53"/>
      <c r="K90" s="58">
        <v>45442</v>
      </c>
      <c r="L90" s="59" t="str">
        <f>IFERROR(VLOOKUP($A$2,Stok!$B$1:$AB$438,27,0),"")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0">
        <v>8</v>
      </c>
      <c r="J91" s="53"/>
      <c r="K91" s="58">
        <v>45427</v>
      </c>
      <c r="L91" s="59" t="str">
        <f>IFERROR(VLOOKUP($A$2,Stok!$B$1:$AA$438,25,0),"")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0">
        <v>0</v>
      </c>
      <c r="J92" s="53"/>
      <c r="K92" s="58">
        <v>45427</v>
      </c>
      <c r="L92" s="59" t="str">
        <f>IFERROR(VLOOKUP($A$2,Stok!$B$1:$AA$438,26,0),"")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0">
        <v>0</v>
      </c>
      <c r="J93" s="53"/>
      <c r="K93" s="58">
        <v>45411</v>
      </c>
      <c r="L93" s="59" t="str">
        <f>IFERROR(VLOOKUP($A$2,Stok!$B$1:$AA$438,24,0),"")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0">
        <v>0</v>
      </c>
      <c r="J94" s="53"/>
      <c r="K94" s="58">
        <v>45397</v>
      </c>
      <c r="L94" s="59" t="str">
        <f>IFERROR(VLOOKUP($A$2,Stok!$B$1:$AA$438,23,0),"")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0">
        <v>0</v>
      </c>
      <c r="J95" s="53"/>
      <c r="K95" s="58">
        <v>45376</v>
      </c>
      <c r="L95" s="59" t="str">
        <f>IFERROR(VLOOKUP($A$2,Stok!$B$1:$AA$438,22,0),"")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0">
        <v>6</v>
      </c>
      <c r="J96" s="53"/>
      <c r="K96" s="58">
        <v>45364</v>
      </c>
      <c r="L96" s="59" t="str">
        <f>IFERROR(VLOOKUP($A$2,Stok!$B$1:$AA$438,21,0),"")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0">
        <v>2</v>
      </c>
      <c r="J97" s="53"/>
      <c r="K97" s="58">
        <v>45352</v>
      </c>
      <c r="L97" s="59" t="str">
        <f>IFERROR(VLOOKUP($A$2,Stok!$B$1:$AA$438,20,0),"")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0">
        <v>209</v>
      </c>
      <c r="J98" s="53"/>
      <c r="K98" s="58">
        <v>45334</v>
      </c>
      <c r="L98" s="59" t="str">
        <f>IFERROR(VLOOKUP($A$2,Stok!$B$1:$AA$438,19,0),"")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0">
        <v>0</v>
      </c>
      <c r="J99" s="53"/>
      <c r="K99" s="58">
        <v>45320</v>
      </c>
      <c r="L99" s="59" t="str">
        <f>IFERROR(VLOOKUP($A$2,Stok!$B$1:$AA$438,18,0),"")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0">
        <v>0</v>
      </c>
      <c r="J100" s="53"/>
      <c r="K100" s="58">
        <v>45313</v>
      </c>
      <c r="L100" s="59" t="str">
        <f>IFERROR(VLOOKUP($A$2,Stok!$B$1:$AA$438,17,0),"")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0">
        <v>0</v>
      </c>
      <c r="J101" s="53"/>
      <c r="K101" s="60">
        <v>45293</v>
      </c>
      <c r="L101" s="59" t="str">
        <f>IFERROR(VLOOKUP($A$2,Stok!$B$1:$AA$438,16,0),"")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0">
        <v>0</v>
      </c>
      <c r="J102" s="53"/>
      <c r="K102" s="60">
        <v>45285</v>
      </c>
      <c r="L102" s="70" t="str">
        <f>IFERROR(VLOOKUP($A$2,Stok!$B$1:$AA$438,15,0),"")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0">
        <v>0</v>
      </c>
      <c r="J103" s="53"/>
      <c r="K103" s="58">
        <v>45275</v>
      </c>
      <c r="L103" s="70" t="str">
        <f>IFERROR(VLOOKUP($A$2,Stok!$B$1:$AA$438,14,0),"")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0">
        <v>0</v>
      </c>
      <c r="J104" s="53"/>
      <c r="K104" s="60">
        <v>45173</v>
      </c>
      <c r="L104" s="70" t="str">
        <f>IFERROR(VLOOKUP($A$2,Stok!$B$1:$AA$438,8,0),"")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0">
        <v>26</v>
      </c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0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0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0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0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0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0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0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0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0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0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0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0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62268.853071040023</v>
      </c>
      <c r="I118" s="130">
        <v>56688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0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0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0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0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0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0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400</v>
      </c>
      <c r="I125" s="130">
        <v>2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0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0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0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0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0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0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0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0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0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0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0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0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0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0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0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0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0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0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0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0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0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0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0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0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0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0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0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0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0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0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0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0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0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0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0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5.0644799999999996</v>
      </c>
      <c r="I161" s="130">
        <v>4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0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0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0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0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176.46719999999999</v>
      </c>
      <c r="I166" s="130">
        <v>104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0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0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0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0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0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0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0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0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0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0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0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0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0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0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0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0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0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0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0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0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0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0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0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0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0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0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0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0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0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0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900</v>
      </c>
      <c r="I197" s="130">
        <v>15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0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0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0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0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0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0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0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0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0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0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0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0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0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0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0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0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0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0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0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0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0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0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0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0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0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0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0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0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0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0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0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0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0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0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0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1607.375</v>
      </c>
      <c r="I233" s="130">
        <v>334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0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0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0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0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0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0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0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0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0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0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0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0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0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0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0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0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0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0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3.8592000000000004</v>
      </c>
      <c r="I252" s="130">
        <v>2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0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0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0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0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0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0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0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0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0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0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0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0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0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0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0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0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0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0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0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0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0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0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0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0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0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0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0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0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0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0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0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0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0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0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0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0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0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0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0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0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0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0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0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0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0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0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0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0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0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0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0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0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0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0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0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0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0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0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0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0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0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0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0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0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0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0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0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0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0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0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0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0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0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0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0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0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0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0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0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0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0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0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0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0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0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0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0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0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0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0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0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0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0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234386.5</v>
      </c>
      <c r="I346" s="130">
        <v>661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1" t="s">
        <v>592</v>
      </c>
      <c r="G347" s="125"/>
      <c r="H347" s="125">
        <v>0</v>
      </c>
      <c r="I347" s="130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1" t="s">
        <v>595</v>
      </c>
      <c r="G348" s="125">
        <v>25.89</v>
      </c>
      <c r="H348" s="125">
        <v>517.79999999999995</v>
      </c>
      <c r="I348" s="130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1" t="s">
        <v>596</v>
      </c>
      <c r="G349" s="125">
        <v>39.15</v>
      </c>
      <c r="H349" s="125">
        <v>0</v>
      </c>
      <c r="I349" s="130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1" t="s">
        <v>597</v>
      </c>
      <c r="G350" s="125">
        <v>205</v>
      </c>
      <c r="H350" s="125">
        <v>1230</v>
      </c>
      <c r="I350" s="130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1" t="s">
        <v>599</v>
      </c>
      <c r="G351" s="125"/>
      <c r="H351" s="125">
        <v>0</v>
      </c>
      <c r="I351" s="130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1" t="s">
        <v>1267</v>
      </c>
      <c r="G352" s="125">
        <v>190.36</v>
      </c>
      <c r="H352" s="125">
        <v>17893.84</v>
      </c>
      <c r="I352" s="130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1" t="s">
        <v>605</v>
      </c>
      <c r="G353" s="125">
        <v>324.52999999999997</v>
      </c>
      <c r="H353" s="125">
        <v>324.52999999999997</v>
      </c>
      <c r="I353" s="130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1" t="s">
        <v>1243</v>
      </c>
      <c r="G354" s="125"/>
      <c r="H354" s="125">
        <v>0</v>
      </c>
      <c r="I354" s="130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1" t="s">
        <v>607</v>
      </c>
      <c r="G355" s="125">
        <v>559.26</v>
      </c>
      <c r="H355" s="125">
        <v>559.26</v>
      </c>
      <c r="I355" s="130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1" t="s">
        <v>609</v>
      </c>
      <c r="G356" s="125"/>
      <c r="H356" s="125">
        <v>0</v>
      </c>
      <c r="I356" s="130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1" t="s">
        <v>611</v>
      </c>
      <c r="G357" s="125">
        <v>249</v>
      </c>
      <c r="H357" s="125">
        <v>0</v>
      </c>
      <c r="I357" s="130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1" t="s">
        <v>613</v>
      </c>
      <c r="G358" s="125">
        <v>264.27</v>
      </c>
      <c r="H358" s="125">
        <v>6078.2099999999991</v>
      </c>
      <c r="I358" s="130">
        <v>23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1" t="s">
        <v>615</v>
      </c>
      <c r="G359" s="125">
        <v>392.16</v>
      </c>
      <c r="H359" s="125">
        <v>29412.000000000004</v>
      </c>
      <c r="I359" s="130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1" t="s">
        <v>1268</v>
      </c>
      <c r="G360" s="125"/>
      <c r="H360" s="125">
        <v>0</v>
      </c>
      <c r="I360" s="130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1" t="s">
        <v>618</v>
      </c>
      <c r="G361" s="125">
        <v>350</v>
      </c>
      <c r="H361" s="125">
        <v>0</v>
      </c>
      <c r="I361" s="130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1" t="s">
        <v>621</v>
      </c>
      <c r="G362" s="125"/>
      <c r="H362" s="125">
        <v>0</v>
      </c>
      <c r="I362" s="130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1" t="s">
        <v>623</v>
      </c>
      <c r="G363" s="125">
        <v>724.8</v>
      </c>
      <c r="H363" s="125">
        <v>0</v>
      </c>
      <c r="I363" s="130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1" t="s">
        <v>625</v>
      </c>
      <c r="G364" s="125">
        <v>525</v>
      </c>
      <c r="H364" s="125">
        <v>525</v>
      </c>
      <c r="I364" s="130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1" t="s">
        <v>627</v>
      </c>
      <c r="G365" s="125">
        <v>621.6</v>
      </c>
      <c r="H365" s="125">
        <v>45998.400000000001</v>
      </c>
      <c r="I365" s="130">
        <v>74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1" t="s">
        <v>630</v>
      </c>
      <c r="G366" s="125"/>
      <c r="H366" s="125">
        <v>0</v>
      </c>
      <c r="I366" s="130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1" t="s">
        <v>633</v>
      </c>
      <c r="G367" s="125">
        <v>813.96</v>
      </c>
      <c r="H367" s="125">
        <v>0</v>
      </c>
      <c r="I367" s="130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0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1" t="s">
        <v>637</v>
      </c>
      <c r="G369" s="132">
        <v>17</v>
      </c>
      <c r="H369" s="132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0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1" t="s">
        <v>1352</v>
      </c>
      <c r="G371" s="125">
        <v>200</v>
      </c>
      <c r="H371" s="125">
        <v>400</v>
      </c>
      <c r="I371" s="130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1" t="s">
        <v>1171</v>
      </c>
      <c r="G372" s="125">
        <v>207.53</v>
      </c>
      <c r="H372" s="125">
        <v>0</v>
      </c>
      <c r="I372" s="130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36247.08</v>
      </c>
      <c r="I373" s="130">
        <v>276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1" t="s">
        <v>639</v>
      </c>
      <c r="G374" s="125">
        <v>460</v>
      </c>
      <c r="H374" s="125">
        <v>460</v>
      </c>
      <c r="I374" s="130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1" t="s">
        <v>1172</v>
      </c>
      <c r="G375" s="125">
        <v>395</v>
      </c>
      <c r="H375" s="125">
        <v>790</v>
      </c>
      <c r="I375" s="130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1" t="s">
        <v>641</v>
      </c>
      <c r="G376" s="125"/>
      <c r="H376" s="125">
        <v>0</v>
      </c>
      <c r="I376" s="130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1" t="s">
        <v>1266</v>
      </c>
      <c r="G377" s="125">
        <v>80.739999999999995</v>
      </c>
      <c r="H377" s="125">
        <v>161.47999999999999</v>
      </c>
      <c r="I377" s="130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0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1" t="s">
        <v>643</v>
      </c>
      <c r="G379" s="125"/>
      <c r="H379" s="125">
        <v>0</v>
      </c>
      <c r="I379" s="130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0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1" t="s">
        <v>648</v>
      </c>
      <c r="G381" s="125">
        <v>530</v>
      </c>
      <c r="H381" s="125">
        <v>0</v>
      </c>
      <c r="I381" s="130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1" t="s">
        <v>645</v>
      </c>
      <c r="G382" s="125">
        <v>1775</v>
      </c>
      <c r="H382" s="125">
        <v>1775</v>
      </c>
      <c r="I382" s="130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1" t="s">
        <v>650</v>
      </c>
      <c r="G383" s="125">
        <v>875.72</v>
      </c>
      <c r="H383" s="125">
        <v>0</v>
      </c>
      <c r="I383" s="130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1" t="s">
        <v>1269</v>
      </c>
      <c r="G384" s="125"/>
      <c r="H384" s="125">
        <v>0</v>
      </c>
      <c r="I384" s="130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1" t="s">
        <v>653</v>
      </c>
      <c r="G385" s="125">
        <v>975</v>
      </c>
      <c r="H385" s="125">
        <v>0</v>
      </c>
      <c r="I385" s="130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1" t="s">
        <v>656</v>
      </c>
      <c r="G386" s="125"/>
      <c r="H386" s="125">
        <v>0</v>
      </c>
      <c r="I386" s="130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1" t="s">
        <v>660</v>
      </c>
      <c r="G387" s="125">
        <v>1323</v>
      </c>
      <c r="H387" s="125">
        <v>0</v>
      </c>
      <c r="I387" s="130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0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1" t="s">
        <v>666</v>
      </c>
      <c r="G389" s="125"/>
      <c r="H389" s="125">
        <v>0</v>
      </c>
      <c r="I389" s="130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1" t="s">
        <v>663</v>
      </c>
      <c r="G390" s="125">
        <v>1348</v>
      </c>
      <c r="H390" s="125">
        <v>0</v>
      </c>
      <c r="I390" s="130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1" t="s">
        <v>668</v>
      </c>
      <c r="G391" s="125">
        <v>3000</v>
      </c>
      <c r="H391" s="125">
        <v>12000</v>
      </c>
      <c r="I391" s="130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1" t="s">
        <v>1173</v>
      </c>
      <c r="G392" s="125">
        <v>1094.81</v>
      </c>
      <c r="H392" s="125">
        <v>0</v>
      </c>
      <c r="I392" s="130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1" t="s">
        <v>1174</v>
      </c>
      <c r="G393" s="125"/>
      <c r="H393" s="125">
        <v>0</v>
      </c>
      <c r="I393" s="130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1" t="s">
        <v>670</v>
      </c>
      <c r="G394" s="125">
        <v>5138.74</v>
      </c>
      <c r="H394" s="125">
        <v>0</v>
      </c>
      <c r="I394" s="130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1" t="s">
        <v>1175</v>
      </c>
      <c r="G395" s="125">
        <v>3961.71</v>
      </c>
      <c r="H395" s="125">
        <v>7923.42</v>
      </c>
      <c r="I395" s="130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1" t="s">
        <v>672</v>
      </c>
      <c r="G396" s="125"/>
      <c r="H396" s="125">
        <v>0</v>
      </c>
      <c r="I396" s="130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1" t="s">
        <v>675</v>
      </c>
      <c r="G397" s="125"/>
      <c r="H397" s="125">
        <v>0</v>
      </c>
      <c r="I397" s="130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1" t="s">
        <v>1176</v>
      </c>
      <c r="G398" s="125">
        <v>711.31</v>
      </c>
      <c r="H398" s="125">
        <v>711.31</v>
      </c>
      <c r="I398" s="130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1" t="s">
        <v>1270</v>
      </c>
      <c r="G399" s="125">
        <v>1692.44</v>
      </c>
      <c r="H399" s="125">
        <v>5077.32</v>
      </c>
      <c r="I399" s="130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1" t="s">
        <v>677</v>
      </c>
      <c r="G400" s="125"/>
      <c r="H400" s="125">
        <v>0</v>
      </c>
      <c r="I400" s="130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1" t="s">
        <v>1177</v>
      </c>
      <c r="G401" s="125">
        <v>1030.18</v>
      </c>
      <c r="H401" s="125">
        <v>2060.36</v>
      </c>
      <c r="I401" s="130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1" t="s">
        <v>1271</v>
      </c>
      <c r="G402" s="125"/>
      <c r="H402" s="125">
        <v>0</v>
      </c>
      <c r="I402" s="130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1" t="s">
        <v>679</v>
      </c>
      <c r="G403" s="125">
        <v>1843.48</v>
      </c>
      <c r="H403" s="125">
        <v>11060.880000000001</v>
      </c>
      <c r="I403" s="130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1" t="s">
        <v>681</v>
      </c>
      <c r="G404" s="125">
        <v>1833</v>
      </c>
      <c r="H404" s="125">
        <v>21996</v>
      </c>
      <c r="I404" s="130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1" t="s">
        <v>684</v>
      </c>
      <c r="G405" s="125">
        <v>2782.61</v>
      </c>
      <c r="H405" s="125">
        <v>19478.27</v>
      </c>
      <c r="I405" s="130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1" t="s">
        <v>686</v>
      </c>
      <c r="G406" s="125"/>
      <c r="H406" s="125">
        <v>0</v>
      </c>
      <c r="I406" s="130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1" t="s">
        <v>1170</v>
      </c>
      <c r="G407" s="125">
        <v>122.16</v>
      </c>
      <c r="H407" s="125">
        <v>244.32</v>
      </c>
      <c r="I407" s="130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0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1" t="s">
        <v>603</v>
      </c>
      <c r="G409" s="125"/>
      <c r="H409" s="125">
        <v>0</v>
      </c>
      <c r="I409" s="130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1" t="s">
        <v>690</v>
      </c>
      <c r="G410" s="125">
        <v>12.78</v>
      </c>
      <c r="H410" s="125">
        <v>293.94</v>
      </c>
      <c r="I410" s="130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1" t="s">
        <v>1353</v>
      </c>
      <c r="G411" s="125"/>
      <c r="H411" s="125">
        <v>0</v>
      </c>
      <c r="I411" s="130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1" t="s">
        <v>1337</v>
      </c>
      <c r="G412" s="125"/>
      <c r="H412" s="125">
        <v>0</v>
      </c>
      <c r="I412" s="130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1" t="s">
        <v>1338</v>
      </c>
      <c r="G413" s="125">
        <v>5125.82</v>
      </c>
      <c r="H413" s="125">
        <v>10251.64</v>
      </c>
      <c r="I413" s="130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1" t="s">
        <v>1169</v>
      </c>
      <c r="G414" s="125"/>
      <c r="H414" s="125">
        <v>0</v>
      </c>
      <c r="I414" s="130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1" t="s">
        <v>693</v>
      </c>
      <c r="G415" s="125">
        <v>458.22</v>
      </c>
      <c r="H415" s="125">
        <v>916.44</v>
      </c>
      <c r="I415" s="130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1" t="s">
        <v>600</v>
      </c>
      <c r="G416" s="125">
        <v>205</v>
      </c>
      <c r="H416" s="125">
        <v>0</v>
      </c>
      <c r="I416" s="130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0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0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0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0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0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0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0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0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0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0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0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0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0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0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0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0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0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0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0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0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0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0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0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0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0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0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0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0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0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0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0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0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0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0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0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0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0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0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0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0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0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0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0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0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0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0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0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0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0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0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0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0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0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0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0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241007.96</v>
      </c>
      <c r="I472" s="130">
        <v>1253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0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0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131497.01999999999</v>
      </c>
      <c r="I475" s="130">
        <v>622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39" t="s">
        <v>1539</v>
      </c>
      <c r="G476" s="136">
        <v>457.52</v>
      </c>
      <c r="H476" s="136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39" t="s">
        <v>1540</v>
      </c>
      <c r="G477" s="136">
        <v>291.60000000000002</v>
      </c>
      <c r="H477" s="136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38" t="s">
        <v>1155</v>
      </c>
      <c r="G478" s="136">
        <v>89261.780517621359</v>
      </c>
      <c r="H478" s="136">
        <v>647508.01740322134</v>
      </c>
      <c r="I478" s="137">
        <v>68133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</sheetData>
  <mergeCells count="2">
    <mergeCell ref="Y1:AE1"/>
    <mergeCell ref="X2:AB2"/>
  </mergeCells>
  <pageMargins left="0.7" right="0.7" top="0.75" bottom="0.75" header="0.3" footer="0.3"/>
  <ignoredErrors>
    <ignoredError sqref="L6:L104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H438"/>
  <sheetViews>
    <sheetView topLeftCell="CU1" zoomScale="90" zoomScaleNormal="90" workbookViewId="0">
      <pane ySplit="1" topLeftCell="A413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12" width="14.26953125" style="76" customWidth="1"/>
    <col min="113" max="16384" width="8.90625" style="13"/>
  </cols>
  <sheetData>
    <row r="1" spans="1:112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</row>
    <row r="2" spans="1:112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M2*DH2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</row>
    <row r="3" spans="1:112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M3*DH3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</row>
    <row r="4" spans="1:112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</row>
    <row r="5" spans="1:112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</row>
    <row r="6" spans="1:112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</row>
    <row r="7" spans="1:112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</row>
    <row r="8" spans="1:112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</row>
    <row r="9" spans="1:112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</row>
    <row r="10" spans="1:112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</row>
    <row r="11" spans="1:112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</row>
    <row r="12" spans="1:112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</row>
    <row r="13" spans="1:112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</row>
    <row r="14" spans="1:112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</row>
    <row r="15" spans="1:112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</row>
    <row r="16" spans="1:112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</row>
    <row r="17" spans="1:112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</row>
    <row r="18" spans="1:112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</row>
    <row r="19" spans="1:112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</row>
    <row r="20" spans="1:112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</row>
    <row r="21" spans="1:112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</row>
    <row r="22" spans="1:112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</row>
    <row r="23" spans="1:112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</row>
    <row r="24" spans="1:112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</row>
    <row r="25" spans="1:112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</row>
    <row r="26" spans="1:112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</row>
    <row r="27" spans="1:112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</row>
    <row r="28" spans="1:112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</row>
    <row r="29" spans="1:112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</row>
    <row r="30" spans="1:112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</row>
    <row r="31" spans="1:112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</row>
    <row r="32" spans="1:112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</row>
    <row r="33" spans="1:112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</row>
    <row r="34" spans="1:112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</row>
    <row r="35" spans="1:112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</row>
    <row r="36" spans="1:112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</row>
    <row r="37" spans="1:112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</row>
    <row r="38" spans="1:112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</row>
    <row r="39" spans="1:112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</row>
    <row r="40" spans="1:112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</row>
    <row r="41" spans="1:112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</row>
    <row r="42" spans="1:112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</row>
    <row r="43" spans="1:112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</row>
    <row r="44" spans="1:112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</row>
    <row r="45" spans="1:112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</row>
    <row r="46" spans="1:112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</row>
    <row r="47" spans="1:112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</row>
    <row r="48" spans="1:112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</row>
    <row r="49" spans="1:112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</row>
    <row r="50" spans="1:112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</row>
    <row r="51" spans="1:112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</row>
    <row r="52" spans="1:112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</row>
    <row r="53" spans="1:112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</row>
    <row r="54" spans="1:112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</row>
    <row r="55" spans="1:112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</row>
    <row r="56" spans="1:112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</row>
    <row r="57" spans="1:112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</row>
    <row r="58" spans="1:112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</row>
    <row r="59" spans="1:112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</row>
    <row r="60" spans="1:112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</row>
    <row r="61" spans="1:112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</row>
    <row r="62" spans="1:112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</row>
    <row r="63" spans="1:112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</row>
    <row r="64" spans="1:112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</row>
    <row r="65" spans="1:112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</row>
    <row r="66" spans="1:112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</row>
    <row r="67" spans="1:112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M67*DH67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</row>
    <row r="68" spans="1:112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</row>
    <row r="69" spans="1:112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</row>
    <row r="70" spans="1:112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</row>
    <row r="71" spans="1:112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</row>
    <row r="72" spans="1:112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</row>
    <row r="73" spans="1:112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</row>
    <row r="74" spans="1:112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</row>
    <row r="75" spans="1:112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</row>
    <row r="76" spans="1:112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</row>
    <row r="77" spans="1:112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</row>
    <row r="78" spans="1:112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</row>
    <row r="79" spans="1:112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</row>
    <row r="80" spans="1:112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</row>
    <row r="81" spans="1:112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</row>
    <row r="82" spans="1:112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</row>
    <row r="83" spans="1:112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</row>
    <row r="84" spans="1:112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</row>
    <row r="85" spans="1:112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</row>
    <row r="86" spans="1:112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</row>
    <row r="87" spans="1:112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</row>
    <row r="88" spans="1:112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</row>
    <row r="89" spans="1:112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</row>
    <row r="90" spans="1:112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</row>
    <row r="91" spans="1:112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</row>
    <row r="92" spans="1:112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</row>
    <row r="93" spans="1:112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</row>
    <row r="94" spans="1:112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</row>
    <row r="95" spans="1:112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</row>
    <row r="96" spans="1:112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</row>
    <row r="97" spans="1:112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</row>
    <row r="98" spans="1:112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</row>
    <row r="99" spans="1:112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</row>
    <row r="100" spans="1:112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</row>
    <row r="101" spans="1:112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</row>
    <row r="102" spans="1:112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</row>
    <row r="103" spans="1:112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</row>
    <row r="104" spans="1:112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</row>
    <row r="105" spans="1:112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</row>
    <row r="106" spans="1:112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</row>
    <row r="107" spans="1:112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</row>
    <row r="108" spans="1:112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</row>
    <row r="109" spans="1:112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</row>
    <row r="110" spans="1:112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</row>
    <row r="111" spans="1:112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</row>
    <row r="112" spans="1:112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</row>
    <row r="113" spans="1:112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</row>
    <row r="114" spans="1:112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</row>
    <row r="115" spans="1:112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</row>
    <row r="116" spans="1:112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</row>
    <row r="117" spans="1:112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</row>
    <row r="118" spans="1:112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</row>
    <row r="119" spans="1:112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</row>
    <row r="120" spans="1:112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</row>
    <row r="121" spans="1:112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</row>
    <row r="122" spans="1:112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</row>
    <row r="123" spans="1:112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</row>
    <row r="124" spans="1:112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</row>
    <row r="125" spans="1:112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</row>
    <row r="126" spans="1:112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</row>
    <row r="127" spans="1:112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</row>
    <row r="128" spans="1:112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</row>
    <row r="129" spans="1:112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</row>
    <row r="130" spans="1:112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</row>
    <row r="131" spans="1:112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M131*DH131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</row>
    <row r="132" spans="1:112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</row>
    <row r="133" spans="1:112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</row>
    <row r="134" spans="1:112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</row>
    <row r="135" spans="1:112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</row>
    <row r="136" spans="1:112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</row>
    <row r="137" spans="1:112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</row>
    <row r="138" spans="1:112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</row>
    <row r="139" spans="1:112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</row>
    <row r="140" spans="1:112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</row>
    <row r="141" spans="1:112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</row>
    <row r="142" spans="1:112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</row>
    <row r="143" spans="1:112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</row>
    <row r="144" spans="1:112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</row>
    <row r="145" spans="1:112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</row>
    <row r="146" spans="1:112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</row>
    <row r="147" spans="1:112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</row>
    <row r="148" spans="1:112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</row>
    <row r="149" spans="1:112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</row>
    <row r="150" spans="1:112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</row>
    <row r="151" spans="1:112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</row>
    <row r="152" spans="1:112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</row>
    <row r="153" spans="1:112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</row>
    <row r="154" spans="1:112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</row>
    <row r="155" spans="1:112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</row>
    <row r="156" spans="1:112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</row>
    <row r="157" spans="1:112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</row>
    <row r="158" spans="1:112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5.0644799999999996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4</v>
      </c>
    </row>
    <row r="159" spans="1:112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176.46719999999999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104</v>
      </c>
    </row>
    <row r="160" spans="1:112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</row>
    <row r="161" spans="1:112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</row>
    <row r="162" spans="1:112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</row>
    <row r="163" spans="1:112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</row>
    <row r="164" spans="1:112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</row>
    <row r="165" spans="1:112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</row>
    <row r="166" spans="1:112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</row>
    <row r="167" spans="1:112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</row>
    <row r="168" spans="1:112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</row>
    <row r="169" spans="1:112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</row>
    <row r="170" spans="1:112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</row>
    <row r="171" spans="1:112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</row>
    <row r="172" spans="1:112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</row>
    <row r="173" spans="1:112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</row>
    <row r="174" spans="1:112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</row>
    <row r="175" spans="1:112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</row>
    <row r="176" spans="1:112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</row>
    <row r="177" spans="1:112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</row>
    <row r="178" spans="1:112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</row>
    <row r="179" spans="1:112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</row>
    <row r="180" spans="1:112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</row>
    <row r="181" spans="1:112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</row>
    <row r="182" spans="1:112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</row>
    <row r="183" spans="1:112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</row>
    <row r="184" spans="1:112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</row>
    <row r="185" spans="1:112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</row>
    <row r="186" spans="1:112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</row>
    <row r="187" spans="1:112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</row>
    <row r="188" spans="1:112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</row>
    <row r="189" spans="1:112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</row>
    <row r="190" spans="1:112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</row>
    <row r="191" spans="1:112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</row>
    <row r="192" spans="1:112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</row>
    <row r="193" spans="1:112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</row>
    <row r="194" spans="1:112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</row>
    <row r="195" spans="1:112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M195*DH195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</row>
    <row r="196" spans="1:112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</row>
    <row r="197" spans="1:112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</row>
    <row r="198" spans="1:112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</row>
    <row r="199" spans="1:112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</row>
    <row r="200" spans="1:112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3.8592000000000004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</row>
    <row r="201" spans="1:112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</row>
    <row r="202" spans="1:112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</row>
    <row r="203" spans="1:112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</row>
    <row r="204" spans="1:112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</row>
    <row r="205" spans="1:112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</row>
    <row r="206" spans="1:112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</row>
    <row r="207" spans="1:112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</row>
    <row r="208" spans="1:112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</row>
    <row r="209" spans="1:112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</row>
    <row r="210" spans="1:112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</row>
    <row r="211" spans="1:112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</row>
    <row r="212" spans="1:112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</row>
    <row r="213" spans="1:112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</row>
    <row r="214" spans="1:112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</row>
    <row r="215" spans="1:112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</row>
    <row r="216" spans="1:112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</row>
    <row r="217" spans="1:112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</row>
    <row r="218" spans="1:112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</row>
    <row r="219" spans="1:112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</row>
    <row r="220" spans="1:112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</row>
    <row r="221" spans="1:112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</row>
    <row r="222" spans="1:112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1607.375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</row>
    <row r="223" spans="1:112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</row>
    <row r="224" spans="1:112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</row>
    <row r="225" spans="1:112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</row>
    <row r="226" spans="1:112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900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</row>
    <row r="227" spans="1:112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</row>
    <row r="228" spans="1:112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</row>
    <row r="229" spans="1:112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</row>
    <row r="230" spans="1:112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</row>
    <row r="231" spans="1:112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</row>
    <row r="232" spans="1:112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</row>
    <row r="233" spans="1:112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</row>
    <row r="234" spans="1:112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</row>
    <row r="235" spans="1:112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</row>
    <row r="236" spans="1:112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</row>
    <row r="237" spans="1:112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</row>
    <row r="238" spans="1:112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</row>
    <row r="239" spans="1:112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</row>
    <row r="240" spans="1:112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</row>
    <row r="241" spans="1:112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</row>
    <row r="242" spans="1:112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</row>
    <row r="243" spans="1:112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</row>
    <row r="244" spans="1:112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</row>
    <row r="245" spans="1:112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</row>
    <row r="246" spans="1:112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</row>
    <row r="247" spans="1:112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</row>
    <row r="248" spans="1:112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400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2</v>
      </c>
      <c r="AP248" s="72">
        <v>2</v>
      </c>
      <c r="AQ248" s="72">
        <v>2</v>
      </c>
      <c r="AR248" s="72">
        <v>2</v>
      </c>
      <c r="AS248" s="72">
        <v>2</v>
      </c>
      <c r="AT248" s="72">
        <v>2</v>
      </c>
      <c r="AU248" s="72">
        <v>2</v>
      </c>
      <c r="AV248" s="72">
        <v>2</v>
      </c>
      <c r="AW248" s="72">
        <v>2</v>
      </c>
      <c r="AX248" s="72">
        <v>2</v>
      </c>
      <c r="AY248" s="72">
        <v>2</v>
      </c>
      <c r="AZ248" s="72">
        <v>2</v>
      </c>
      <c r="BA248" s="72">
        <v>2</v>
      </c>
      <c r="BB248" s="72">
        <v>2</v>
      </c>
      <c r="BC248" s="72">
        <v>2</v>
      </c>
      <c r="BD248" s="72">
        <v>2</v>
      </c>
      <c r="BE248" s="72">
        <v>2</v>
      </c>
      <c r="BF248" s="72">
        <v>2</v>
      </c>
      <c r="BG248" s="72">
        <v>2</v>
      </c>
      <c r="BH248" s="72">
        <v>2</v>
      </c>
      <c r="BI248" s="72">
        <v>2</v>
      </c>
      <c r="BJ248" s="72">
        <v>2</v>
      </c>
      <c r="BK248" s="72">
        <v>2</v>
      </c>
      <c r="BL248" s="72">
        <v>2</v>
      </c>
      <c r="BM248" s="72">
        <v>2</v>
      </c>
      <c r="BN248" s="72">
        <v>2</v>
      </c>
      <c r="BO248" s="72">
        <v>2</v>
      </c>
      <c r="BP248" s="72">
        <v>2</v>
      </c>
      <c r="BQ248" s="72">
        <v>2</v>
      </c>
      <c r="BR248" s="72">
        <v>2</v>
      </c>
      <c r="BS248" s="72">
        <v>2</v>
      </c>
      <c r="BT248" s="72">
        <v>2</v>
      </c>
      <c r="BU248" s="72">
        <v>2</v>
      </c>
      <c r="BV248" s="72">
        <v>2</v>
      </c>
      <c r="BW248" s="72">
        <v>2</v>
      </c>
      <c r="BX248" s="72">
        <v>2</v>
      </c>
      <c r="BY248" s="72">
        <v>2</v>
      </c>
      <c r="BZ248" s="72">
        <v>2</v>
      </c>
      <c r="CA248" s="72">
        <v>2</v>
      </c>
      <c r="CB248" s="72">
        <v>2</v>
      </c>
      <c r="CC248" s="72">
        <v>2</v>
      </c>
      <c r="CD248" s="72">
        <v>2</v>
      </c>
      <c r="CE248" s="72">
        <v>2</v>
      </c>
      <c r="CF248" s="72">
        <v>2</v>
      </c>
      <c r="CG248" s="72">
        <v>2</v>
      </c>
      <c r="CH248" s="72">
        <v>2</v>
      </c>
      <c r="CI248" s="72">
        <v>2</v>
      </c>
      <c r="CJ248" s="72">
        <v>2</v>
      </c>
      <c r="CK248" s="72">
        <v>2</v>
      </c>
      <c r="CL248" s="72">
        <v>2</v>
      </c>
      <c r="CM248" s="72">
        <v>2</v>
      </c>
      <c r="CN248" s="72">
        <v>2</v>
      </c>
      <c r="CO248" s="72">
        <v>2</v>
      </c>
      <c r="CP248" s="72">
        <v>2</v>
      </c>
      <c r="CQ248" s="72">
        <v>2</v>
      </c>
      <c r="CR248" s="72">
        <v>2</v>
      </c>
      <c r="CS248" s="72">
        <v>2</v>
      </c>
      <c r="CT248" s="72">
        <v>2</v>
      </c>
      <c r="CU248" s="72">
        <v>2</v>
      </c>
      <c r="CV248" s="72">
        <v>2</v>
      </c>
      <c r="CW248" s="72">
        <v>2</v>
      </c>
      <c r="CX248" s="72">
        <v>2</v>
      </c>
      <c r="CY248" s="72">
        <v>2</v>
      </c>
      <c r="CZ248" s="72">
        <v>2</v>
      </c>
      <c r="DA248" s="72">
        <v>2</v>
      </c>
      <c r="DB248" s="72">
        <v>2</v>
      </c>
      <c r="DC248" s="72">
        <v>2</v>
      </c>
      <c r="DD248" s="72">
        <v>2</v>
      </c>
      <c r="DE248" s="72">
        <v>2</v>
      </c>
      <c r="DF248" s="72">
        <v>2</v>
      </c>
      <c r="DG248" s="72">
        <v>2</v>
      </c>
      <c r="DH248" s="72">
        <v>2</v>
      </c>
    </row>
    <row r="249" spans="1:112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</row>
    <row r="250" spans="1:112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</row>
    <row r="251" spans="1:112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</row>
    <row r="252" spans="1:112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</row>
    <row r="253" spans="1:112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</row>
    <row r="254" spans="1:112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</row>
    <row r="255" spans="1:112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</row>
    <row r="256" spans="1:112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</row>
    <row r="257" spans="1:112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</row>
    <row r="258" spans="1:112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</row>
    <row r="259" spans="1:112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M259*DH259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</row>
    <row r="260" spans="1:112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</row>
    <row r="261" spans="1:112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</row>
    <row r="262" spans="1:112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</row>
    <row r="263" spans="1:112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</row>
    <row r="264" spans="1:112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</row>
    <row r="265" spans="1:112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</row>
    <row r="266" spans="1:112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</row>
    <row r="267" spans="1:112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</row>
    <row r="268" spans="1:112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</row>
    <row r="269" spans="1:112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</row>
    <row r="270" spans="1:112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</row>
    <row r="271" spans="1:112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</row>
    <row r="272" spans="1:112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</row>
    <row r="273" spans="1:112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</row>
    <row r="274" spans="1:112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</row>
    <row r="275" spans="1:112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</row>
    <row r="276" spans="1:112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</row>
    <row r="277" spans="1:112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</row>
    <row r="278" spans="1:112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</row>
    <row r="279" spans="1:112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</row>
    <row r="280" spans="1:112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</row>
    <row r="281" spans="1:112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</row>
    <row r="282" spans="1:112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</row>
    <row r="283" spans="1:112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</row>
    <row r="284" spans="1:112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</row>
    <row r="285" spans="1:112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</row>
    <row r="286" spans="1:112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</row>
    <row r="287" spans="1:112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</row>
    <row r="288" spans="1:112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</row>
    <row r="289" spans="1:112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</row>
    <row r="290" spans="1:112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</row>
    <row r="291" spans="1:112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</row>
    <row r="292" spans="1:112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</row>
    <row r="293" spans="1:112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</row>
    <row r="294" spans="1:112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</row>
    <row r="295" spans="1:112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</row>
    <row r="296" spans="1:112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</row>
    <row r="297" spans="1:112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</row>
    <row r="298" spans="1:112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</row>
    <row r="299" spans="1:112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</row>
    <row r="300" spans="1:112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</row>
    <row r="301" spans="1:112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</row>
    <row r="302" spans="1:112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</row>
    <row r="303" spans="1:112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</row>
    <row r="304" spans="1:112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</row>
    <row r="305" spans="1:112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</row>
    <row r="306" spans="1:112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</row>
    <row r="307" spans="1:112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</row>
    <row r="308" spans="1:112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</row>
    <row r="309" spans="1:112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</row>
    <row r="310" spans="1:112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</row>
    <row r="311" spans="1:112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</row>
    <row r="312" spans="1:112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</row>
    <row r="313" spans="1:112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</row>
    <row r="314" spans="1:112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</row>
    <row r="315" spans="1:112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</row>
    <row r="316" spans="1:112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</row>
    <row r="317" spans="1:112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</row>
    <row r="318" spans="1:112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</row>
    <row r="319" spans="1:112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</row>
    <row r="320" spans="1:112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</row>
    <row r="321" spans="1:112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</row>
    <row r="322" spans="1:112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</row>
    <row r="323" spans="1:112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M323*DH323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</row>
    <row r="324" spans="1:112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</row>
    <row r="325" spans="1:112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</row>
    <row r="326" spans="1:112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</row>
    <row r="327" spans="1:112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</row>
    <row r="328" spans="1:112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131497.01999999999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</row>
    <row r="329" spans="1:112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</row>
    <row r="330" spans="1:112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</row>
    <row r="331" spans="1:112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</row>
    <row r="332" spans="1:112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</row>
    <row r="333" spans="1:112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</row>
    <row r="334" spans="1:112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</row>
    <row r="335" spans="1:112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</row>
    <row r="336" spans="1:112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>3000-107</f>
        <v>2893</v>
      </c>
      <c r="DE336" s="72">
        <f>3000-107</f>
        <v>2893</v>
      </c>
      <c r="DF336" s="72">
        <f>3000-107</f>
        <v>2893</v>
      </c>
      <c r="DG336" s="72">
        <f>3000-107</f>
        <v>2893</v>
      </c>
      <c r="DH336" s="72">
        <f>3000-107</f>
        <v>2893</v>
      </c>
    </row>
    <row r="337" spans="1:112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</row>
    <row r="338" spans="1:112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</row>
    <row r="339" spans="1:112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</row>
    <row r="340" spans="1:112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</row>
    <row r="341" spans="1:112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</row>
    <row r="342" spans="1:112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</row>
    <row r="343" spans="1:112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</row>
    <row r="344" spans="1:112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</row>
    <row r="345" spans="1:112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</row>
    <row r="346" spans="1:112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</row>
    <row r="347" spans="1:112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</row>
    <row r="348" spans="1:112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</row>
    <row r="349" spans="1:112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</row>
    <row r="350" spans="1:112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</row>
    <row r="351" spans="1:112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</row>
    <row r="352" spans="1:112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</row>
    <row r="353" spans="1:112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</row>
    <row r="354" spans="1:112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</row>
    <row r="355" spans="1:112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</row>
    <row r="356" spans="1:112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</row>
    <row r="357" spans="1:112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6078.2099999999991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</row>
    <row r="358" spans="1:112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</row>
    <row r="359" spans="1:112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</row>
    <row r="360" spans="1:112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</row>
    <row r="361" spans="1:112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</row>
    <row r="362" spans="1:112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</row>
    <row r="363" spans="1:112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</row>
    <row r="364" spans="1:112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45998.400000000001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</row>
    <row r="365" spans="1:112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</row>
    <row r="366" spans="1:112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</row>
    <row r="367" spans="1:112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</row>
    <row r="368" spans="1:112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</row>
    <row r="369" spans="1:112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</row>
    <row r="370" spans="1:112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</row>
    <row r="371" spans="1:112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36247.08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</row>
    <row r="372" spans="1:112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</row>
    <row r="373" spans="1:112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</row>
    <row r="374" spans="1:112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</row>
    <row r="375" spans="1:112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</row>
    <row r="376" spans="1:112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</row>
    <row r="377" spans="1:112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</row>
    <row r="378" spans="1:112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</row>
    <row r="379" spans="1:112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</row>
    <row r="380" spans="1:112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</row>
    <row r="381" spans="1:112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</row>
    <row r="382" spans="1:112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</row>
    <row r="383" spans="1:112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</row>
    <row r="384" spans="1:112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</row>
    <row r="385" spans="1:112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</row>
    <row r="386" spans="1:112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</row>
    <row r="387" spans="1:112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7">M387*DH387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</row>
    <row r="388" spans="1:112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7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</row>
    <row r="389" spans="1:112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7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</row>
    <row r="390" spans="1:112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7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</row>
    <row r="391" spans="1:112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7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</row>
    <row r="392" spans="1:112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7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</row>
    <row r="393" spans="1:112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7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</row>
    <row r="394" spans="1:112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7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</row>
    <row r="395" spans="1:112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7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</row>
    <row r="396" spans="1:112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7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</row>
    <row r="397" spans="1:112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7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</row>
    <row r="398" spans="1:112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7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</row>
    <row r="399" spans="1:112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7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</row>
    <row r="400" spans="1:112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7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</row>
    <row r="401" spans="1:112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7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</row>
    <row r="402" spans="1:112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7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</row>
    <row r="403" spans="1:112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7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</row>
    <row r="404" spans="1:112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7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</row>
    <row r="405" spans="1:112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7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</row>
    <row r="406" spans="1:112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7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</row>
    <row r="407" spans="1:112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7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</row>
    <row r="408" spans="1:112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7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</row>
    <row r="409" spans="1:112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7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</row>
    <row r="410" spans="1:112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7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</row>
    <row r="411" spans="1:112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7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</row>
    <row r="412" spans="1:112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7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</row>
    <row r="413" spans="1:112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7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</row>
    <row r="414" spans="1:112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7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</row>
    <row r="415" spans="1:112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7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</row>
    <row r="416" spans="1:112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7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</row>
    <row r="417" spans="1:112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7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</row>
    <row r="418" spans="1:112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7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</row>
    <row r="419" spans="1:112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7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</row>
    <row r="420" spans="1:112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7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</row>
    <row r="421" spans="1:112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7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</row>
    <row r="422" spans="1:112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7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</row>
    <row r="423" spans="1:112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7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</row>
    <row r="424" spans="1:112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7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</row>
    <row r="425" spans="1:112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7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</row>
    <row r="426" spans="1:112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7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</row>
    <row r="427" spans="1:112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7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</row>
    <row r="428" spans="1:112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7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</row>
    <row r="429" spans="1:112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7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</row>
    <row r="430" spans="1:112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7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</row>
    <row r="431" spans="1:112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7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</row>
    <row r="432" spans="1:112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7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</row>
    <row r="433" spans="1:112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7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</row>
    <row r="434" spans="1:112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7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</row>
    <row r="435" spans="1:112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7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</row>
    <row r="436" spans="1:112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7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</row>
    <row r="437" spans="1:112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7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</row>
    <row r="438" spans="1:112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7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2026-07-06T08:01:18Z</dcterms:modified>
</cp:coreProperties>
</file>